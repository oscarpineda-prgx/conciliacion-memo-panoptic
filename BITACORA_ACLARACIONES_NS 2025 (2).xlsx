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X:\Soriana\00 - AUDITORIA 2020 - 2024\00 - Auditores\Oscar\Proyectos Python\Conciliacion_Memo_Panoptic\"/>
    </mc:Choice>
  </mc:AlternateContent>
  <xr:revisionPtr revIDLastSave="0" documentId="13_ncr:1_{C9F53A40-7129-405A-91F5-D822A2DDC979}" xr6:coauthVersionLast="47" xr6:coauthVersionMax="47" xr10:uidLastSave="{00000000-0000-0000-0000-000000000000}"/>
  <bookViews>
    <workbookView xWindow="-120" yWindow="-120" windowWidth="38640" windowHeight="15840" xr2:uid="{E0367F80-096D-4CAA-B2BC-E2F68532D372}"/>
  </bookViews>
  <sheets>
    <sheet name="Bitacora" sheetId="9" r:id="rId1"/>
    <sheet name="Resumen" sheetId="12" r:id="rId2"/>
    <sheet name="Detalle Cargos 24Mzo26" sheetId="19" r:id="rId3"/>
    <sheet name="Reembolsos" sheetId="20" r:id="rId4"/>
    <sheet name="reembolsoxproveedor" sheetId="21" r:id="rId5"/>
    <sheet name="reembolso 12May26" sheetId="22" r:id="rId6"/>
    <sheet name="aplicados 23feb2026" sheetId="14" state="hidden" r:id="rId7"/>
    <sheet name="Sheet3" sheetId="16" state="hidden" r:id="rId8"/>
    <sheet name="Notas Aclaraciones" sheetId="2" r:id="rId9"/>
    <sheet name="2020-2024" sheetId="5" r:id="rId10"/>
    <sheet name="contactos" sheetId="4" r:id="rId11"/>
    <sheet name="Sheet1" sheetId="3" state="hidden" r:id="rId12"/>
  </sheets>
  <definedNames>
    <definedName name="_xlnm._FilterDatabase" localSheetId="9" hidden="1">'2020-2024'!$A$1:$N$1</definedName>
    <definedName name="_xlnm._FilterDatabase" localSheetId="0" hidden="1">Bitacora!$A$6:$BB$441</definedName>
    <definedName name="_xlnm._FilterDatabase" localSheetId="2" hidden="1">'Detalle Cargos 24Mzo26'!$A$2:$T$1621</definedName>
    <definedName name="_xlnm._FilterDatabase" localSheetId="3" hidden="1">Reembolsos!$B$3:$O$33</definedName>
    <definedName name="_xlnm._FilterDatabase" localSheetId="11" hidden="1">Sheet1!$A$2:$T$2</definedName>
  </definedNames>
  <calcPr calcId="191028"/>
  <pivotCaches>
    <pivotCache cacheId="1" r:id="rId13"/>
    <pivotCache cacheId="2"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0" i="9" l="1"/>
  <c r="G33" i="20"/>
  <c r="T100" i="9"/>
  <c r="I33" i="20" l="1"/>
  <c r="F33" i="20" s="1"/>
  <c r="S100" i="9" l="1"/>
  <c r="T35" i="9"/>
  <c r="S35" i="9"/>
  <c r="U223" i="9"/>
  <c r="T223" i="9"/>
  <c r="S223" i="9"/>
  <c r="U75" i="9"/>
  <c r="T75" i="9"/>
  <c r="S75" i="9"/>
  <c r="S57" i="9"/>
  <c r="T86" i="9"/>
  <c r="U94" i="9"/>
  <c r="T94" i="9"/>
  <c r="S94" i="9"/>
  <c r="S195" i="9" l="1"/>
  <c r="AC195" i="9" s="1"/>
  <c r="U159" i="9"/>
  <c r="T159" i="9"/>
  <c r="S159" i="9"/>
  <c r="I159" i="9" s="1"/>
  <c r="K159" i="9" s="1"/>
  <c r="S98" i="9"/>
  <c r="I98" i="9" s="1"/>
  <c r="K98" i="9" s="1"/>
  <c r="U97" i="9"/>
  <c r="T97" i="9"/>
  <c r="S97" i="9"/>
  <c r="I97" i="9" s="1"/>
  <c r="K97" i="9" s="1"/>
  <c r="U74" i="9"/>
  <c r="T74" i="9"/>
  <c r="S74" i="9"/>
  <c r="I74" i="9" s="1"/>
  <c r="K74" i="9" s="1"/>
  <c r="U60" i="9"/>
  <c r="T60" i="9"/>
  <c r="S60" i="9"/>
  <c r="I60" i="9" s="1"/>
  <c r="K60" i="9" s="1"/>
  <c r="T19" i="9"/>
  <c r="S19" i="9"/>
  <c r="I19" i="9" s="1"/>
  <c r="K19" i="9" s="1"/>
  <c r="T173" i="9"/>
  <c r="S173" i="9"/>
  <c r="I173" i="9" s="1"/>
  <c r="K173" i="9" s="1"/>
  <c r="U31" i="9"/>
  <c r="T31" i="9"/>
  <c r="S31" i="9"/>
  <c r="I31" i="9" s="1"/>
  <c r="K31" i="9" s="1"/>
  <c r="S198" i="9"/>
  <c r="I198" i="9" s="1"/>
  <c r="K198" i="9" s="1"/>
  <c r="H2" i="20"/>
  <c r="I2" i="20"/>
  <c r="Y19" i="9"/>
  <c r="Z19" i="9" s="1"/>
  <c r="Y11" i="9"/>
  <c r="N100" i="9"/>
  <c r="K100" i="9"/>
  <c r="F31" i="20"/>
  <c r="F2" i="20" s="1"/>
  <c r="H4" i="9"/>
  <c r="I331" i="9"/>
  <c r="K331" i="9" s="1"/>
  <c r="Z100" i="9"/>
  <c r="V100" i="9"/>
  <c r="O441" i="9"/>
  <c r="D13" i="22"/>
  <c r="G13" i="22"/>
  <c r="J5" i="9"/>
  <c r="I16" i="9"/>
  <c r="K16" i="9" s="1"/>
  <c r="I17" i="9"/>
  <c r="K17" i="9" s="1"/>
  <c r="I18" i="9"/>
  <c r="K18" i="9" s="1"/>
  <c r="I20" i="9"/>
  <c r="K20" i="9" s="1"/>
  <c r="I21" i="9"/>
  <c r="K21" i="9" s="1"/>
  <c r="I22" i="9"/>
  <c r="K22" i="9" s="1"/>
  <c r="I23" i="9"/>
  <c r="K23" i="9" s="1"/>
  <c r="I24" i="9"/>
  <c r="K24" i="9" s="1"/>
  <c r="I25" i="9"/>
  <c r="K25" i="9" s="1"/>
  <c r="I26" i="9"/>
  <c r="K26" i="9" s="1"/>
  <c r="I29" i="9"/>
  <c r="K29" i="9" s="1"/>
  <c r="I30" i="9"/>
  <c r="K30" i="9" s="1"/>
  <c r="I32" i="9"/>
  <c r="K32" i="9" s="1"/>
  <c r="I33" i="9"/>
  <c r="K33" i="9" s="1"/>
  <c r="I34" i="9"/>
  <c r="K34" i="9" s="1"/>
  <c r="I35" i="9"/>
  <c r="K35" i="9" s="1"/>
  <c r="I36" i="9"/>
  <c r="K36" i="9" s="1"/>
  <c r="I39" i="9"/>
  <c r="K39" i="9" s="1"/>
  <c r="I41" i="9"/>
  <c r="K41" i="9" s="1"/>
  <c r="I42" i="9"/>
  <c r="K42" i="9" s="1"/>
  <c r="I43" i="9"/>
  <c r="K43" i="9" s="1"/>
  <c r="I44" i="9"/>
  <c r="K44" i="9" s="1"/>
  <c r="I47" i="9"/>
  <c r="K47" i="9" s="1"/>
  <c r="I48" i="9"/>
  <c r="K48" i="9" s="1"/>
  <c r="I49" i="9"/>
  <c r="K49" i="9" s="1"/>
  <c r="I50" i="9"/>
  <c r="K50" i="9" s="1"/>
  <c r="I51" i="9"/>
  <c r="K51" i="9" s="1"/>
  <c r="I52" i="9"/>
  <c r="K52" i="9" s="1"/>
  <c r="I53" i="9"/>
  <c r="K53" i="9" s="1"/>
  <c r="I54" i="9"/>
  <c r="K54" i="9" s="1"/>
  <c r="I55" i="9"/>
  <c r="K55" i="9" s="1"/>
  <c r="I56" i="9"/>
  <c r="K56" i="9" s="1"/>
  <c r="I58" i="9"/>
  <c r="K58" i="9" s="1"/>
  <c r="I59" i="9"/>
  <c r="K59" i="9" s="1"/>
  <c r="I61" i="9"/>
  <c r="K61" i="9" s="1"/>
  <c r="I62" i="9"/>
  <c r="K62" i="9" s="1"/>
  <c r="I63" i="9"/>
  <c r="K63" i="9" s="1"/>
  <c r="I64" i="9"/>
  <c r="K64" i="9" s="1"/>
  <c r="I65" i="9"/>
  <c r="K65" i="9" s="1"/>
  <c r="I66" i="9"/>
  <c r="K66" i="9" s="1"/>
  <c r="I67" i="9"/>
  <c r="K67" i="9" s="1"/>
  <c r="I68" i="9"/>
  <c r="K68" i="9" s="1"/>
  <c r="I70" i="9"/>
  <c r="K70" i="9" s="1"/>
  <c r="I71" i="9"/>
  <c r="K71" i="9" s="1"/>
  <c r="I72" i="9"/>
  <c r="K72" i="9" s="1"/>
  <c r="I73" i="9"/>
  <c r="K73" i="9" s="1"/>
  <c r="I75" i="9"/>
  <c r="K75" i="9" s="1"/>
  <c r="I76" i="9"/>
  <c r="K76" i="9" s="1"/>
  <c r="I77" i="9"/>
  <c r="K77" i="9" s="1"/>
  <c r="I78" i="9"/>
  <c r="K78" i="9" s="1"/>
  <c r="I79" i="9"/>
  <c r="K79" i="9" s="1"/>
  <c r="I80" i="9"/>
  <c r="K80" i="9" s="1"/>
  <c r="I81" i="9"/>
  <c r="K81" i="9" s="1"/>
  <c r="I82" i="9"/>
  <c r="K82" i="9" s="1"/>
  <c r="I83" i="9"/>
  <c r="K83" i="9" s="1"/>
  <c r="I84" i="9"/>
  <c r="K84" i="9" s="1"/>
  <c r="I87" i="9"/>
  <c r="K87" i="9" s="1"/>
  <c r="I88" i="9"/>
  <c r="K88" i="9" s="1"/>
  <c r="I90" i="9"/>
  <c r="K90" i="9" s="1"/>
  <c r="I91" i="9"/>
  <c r="K91" i="9" s="1"/>
  <c r="I92" i="9"/>
  <c r="K92" i="9" s="1"/>
  <c r="I93" i="9"/>
  <c r="K93" i="9" s="1"/>
  <c r="I94" i="9"/>
  <c r="K94" i="9" s="1"/>
  <c r="I95" i="9"/>
  <c r="K95" i="9" s="1"/>
  <c r="I96" i="9"/>
  <c r="K96" i="9" s="1"/>
  <c r="I99" i="9"/>
  <c r="K99" i="9" s="1"/>
  <c r="I101" i="9"/>
  <c r="K101" i="9" s="1"/>
  <c r="I102" i="9"/>
  <c r="K102" i="9" s="1"/>
  <c r="I103" i="9"/>
  <c r="K103" i="9" s="1"/>
  <c r="I104" i="9"/>
  <c r="K104" i="9" s="1"/>
  <c r="I105" i="9"/>
  <c r="K105" i="9" s="1"/>
  <c r="I106" i="9"/>
  <c r="K106" i="9" s="1"/>
  <c r="I107" i="9"/>
  <c r="K107" i="9" s="1"/>
  <c r="I108" i="9"/>
  <c r="I109" i="9"/>
  <c r="K109" i="9" s="1"/>
  <c r="I110" i="9"/>
  <c r="K110" i="9" s="1"/>
  <c r="I111" i="9"/>
  <c r="K111" i="9" s="1"/>
  <c r="I112" i="9"/>
  <c r="K112" i="9" s="1"/>
  <c r="I113" i="9"/>
  <c r="K113" i="9" s="1"/>
  <c r="I114" i="9"/>
  <c r="K114" i="9" s="1"/>
  <c r="I115" i="9"/>
  <c r="K115" i="9" s="1"/>
  <c r="I116" i="9"/>
  <c r="K116" i="9" s="1"/>
  <c r="I117" i="9"/>
  <c r="K117" i="9" s="1"/>
  <c r="I118" i="9"/>
  <c r="K118" i="9" s="1"/>
  <c r="I119" i="9"/>
  <c r="K119" i="9" s="1"/>
  <c r="I120" i="9"/>
  <c r="K120" i="9" s="1"/>
  <c r="I122" i="9"/>
  <c r="K122" i="9" s="1"/>
  <c r="I123" i="9"/>
  <c r="K123" i="9" s="1"/>
  <c r="I124" i="9"/>
  <c r="K124" i="9" s="1"/>
  <c r="I125" i="9"/>
  <c r="K125" i="9" s="1"/>
  <c r="I126" i="9"/>
  <c r="K126" i="9" s="1"/>
  <c r="I127" i="9"/>
  <c r="K127" i="9" s="1"/>
  <c r="I128" i="9"/>
  <c r="K128" i="9" s="1"/>
  <c r="I129" i="9"/>
  <c r="K129" i="9" s="1"/>
  <c r="I130" i="9"/>
  <c r="K130" i="9" s="1"/>
  <c r="I131" i="9"/>
  <c r="K131" i="9" s="1"/>
  <c r="I132" i="9"/>
  <c r="K132" i="9" s="1"/>
  <c r="I133" i="9"/>
  <c r="K133" i="9" s="1"/>
  <c r="I134" i="9"/>
  <c r="K134" i="9" s="1"/>
  <c r="I135" i="9"/>
  <c r="K135" i="9" s="1"/>
  <c r="I136" i="9"/>
  <c r="K136" i="9" s="1"/>
  <c r="I137" i="9"/>
  <c r="K137" i="9" s="1"/>
  <c r="I138" i="9"/>
  <c r="K138" i="9" s="1"/>
  <c r="I139" i="9"/>
  <c r="K139" i="9" s="1"/>
  <c r="I140" i="9"/>
  <c r="K140" i="9" s="1"/>
  <c r="I141" i="9"/>
  <c r="K141" i="9" s="1"/>
  <c r="I142" i="9"/>
  <c r="K142" i="9" s="1"/>
  <c r="I143" i="9"/>
  <c r="K143" i="9" s="1"/>
  <c r="I144" i="9"/>
  <c r="K144" i="9" s="1"/>
  <c r="I145" i="9"/>
  <c r="K145" i="9" s="1"/>
  <c r="I146" i="9"/>
  <c r="K146" i="9" s="1"/>
  <c r="I147" i="9"/>
  <c r="K147" i="9" s="1"/>
  <c r="I148" i="9"/>
  <c r="K148" i="9" s="1"/>
  <c r="I149" i="9"/>
  <c r="K149" i="9" s="1"/>
  <c r="I150" i="9"/>
  <c r="K150" i="9" s="1"/>
  <c r="I151" i="9"/>
  <c r="K151" i="9" s="1"/>
  <c r="I152" i="9"/>
  <c r="K152" i="9" s="1"/>
  <c r="I153" i="9"/>
  <c r="K153" i="9" s="1"/>
  <c r="I154" i="9"/>
  <c r="K154" i="9" s="1"/>
  <c r="I155" i="9"/>
  <c r="K155" i="9" s="1"/>
  <c r="I156" i="9"/>
  <c r="K156" i="9" s="1"/>
  <c r="I157" i="9"/>
  <c r="K157" i="9" s="1"/>
  <c r="I158" i="9"/>
  <c r="K158" i="9" s="1"/>
  <c r="I160" i="9"/>
  <c r="K160" i="9" s="1"/>
  <c r="I161" i="9"/>
  <c r="K161" i="9" s="1"/>
  <c r="I162" i="9"/>
  <c r="K162" i="9" s="1"/>
  <c r="I163" i="9"/>
  <c r="K163" i="9" s="1"/>
  <c r="I164" i="9"/>
  <c r="K164" i="9" s="1"/>
  <c r="I165" i="9"/>
  <c r="K165" i="9" s="1"/>
  <c r="I166" i="9"/>
  <c r="K166" i="9" s="1"/>
  <c r="I167" i="9"/>
  <c r="K167" i="9" s="1"/>
  <c r="I168" i="9"/>
  <c r="K168" i="9" s="1"/>
  <c r="I169" i="9"/>
  <c r="K169" i="9" s="1"/>
  <c r="I170" i="9"/>
  <c r="K170" i="9" s="1"/>
  <c r="I171" i="9"/>
  <c r="K171" i="9" s="1"/>
  <c r="I172" i="9"/>
  <c r="K172" i="9" s="1"/>
  <c r="I174" i="9"/>
  <c r="K174" i="9" s="1"/>
  <c r="I175" i="9"/>
  <c r="K175" i="9" s="1"/>
  <c r="I176" i="9"/>
  <c r="K176" i="9" s="1"/>
  <c r="I177" i="9"/>
  <c r="K177" i="9" s="1"/>
  <c r="I178" i="9"/>
  <c r="K178" i="9" s="1"/>
  <c r="I179" i="9"/>
  <c r="K179" i="9" s="1"/>
  <c r="I180" i="9"/>
  <c r="K180" i="9" s="1"/>
  <c r="I181" i="9"/>
  <c r="K181" i="9" s="1"/>
  <c r="I182" i="9"/>
  <c r="K182" i="9" s="1"/>
  <c r="I183" i="9"/>
  <c r="K183" i="9" s="1"/>
  <c r="I184" i="9"/>
  <c r="K184" i="9" s="1"/>
  <c r="I185" i="9"/>
  <c r="K185" i="9" s="1"/>
  <c r="I186" i="9"/>
  <c r="K186" i="9" s="1"/>
  <c r="I187" i="9"/>
  <c r="K187" i="9" s="1"/>
  <c r="I188" i="9"/>
  <c r="K188" i="9" s="1"/>
  <c r="I189" i="9"/>
  <c r="K189" i="9" s="1"/>
  <c r="I190" i="9"/>
  <c r="K190" i="9" s="1"/>
  <c r="I191" i="9"/>
  <c r="K191" i="9" s="1"/>
  <c r="I192" i="9"/>
  <c r="K192" i="9" s="1"/>
  <c r="I193" i="9"/>
  <c r="K193" i="9" s="1"/>
  <c r="I194" i="9"/>
  <c r="K194" i="9" s="1"/>
  <c r="I196" i="9"/>
  <c r="K196" i="9" s="1"/>
  <c r="I197" i="9"/>
  <c r="K197" i="9" s="1"/>
  <c r="I199" i="9"/>
  <c r="K199" i="9" s="1"/>
  <c r="I200" i="9"/>
  <c r="K200" i="9" s="1"/>
  <c r="I202" i="9"/>
  <c r="K202" i="9" s="1"/>
  <c r="I203" i="9"/>
  <c r="K203" i="9" s="1"/>
  <c r="I204" i="9"/>
  <c r="K204" i="9" s="1"/>
  <c r="I205" i="9"/>
  <c r="K205" i="9" s="1"/>
  <c r="I206" i="9"/>
  <c r="K206" i="9" s="1"/>
  <c r="I207" i="9"/>
  <c r="K207" i="9" s="1"/>
  <c r="I208" i="9"/>
  <c r="K208" i="9" s="1"/>
  <c r="I209" i="9"/>
  <c r="K209" i="9" s="1"/>
  <c r="I210" i="9"/>
  <c r="K210" i="9" s="1"/>
  <c r="I211" i="9"/>
  <c r="K211" i="9" s="1"/>
  <c r="I212" i="9"/>
  <c r="K212" i="9" s="1"/>
  <c r="I213" i="9"/>
  <c r="K213" i="9" s="1"/>
  <c r="I214" i="9"/>
  <c r="K214" i="9" s="1"/>
  <c r="I215" i="9"/>
  <c r="K215" i="9" s="1"/>
  <c r="I216" i="9"/>
  <c r="K216" i="9" s="1"/>
  <c r="I217" i="9"/>
  <c r="K217" i="9" s="1"/>
  <c r="I218" i="9"/>
  <c r="K218" i="9" s="1"/>
  <c r="I219" i="9"/>
  <c r="K219" i="9" s="1"/>
  <c r="I220" i="9"/>
  <c r="K220" i="9" s="1"/>
  <c r="I221" i="9"/>
  <c r="K221" i="9" s="1"/>
  <c r="I222" i="9"/>
  <c r="K222" i="9" s="1"/>
  <c r="I223" i="9"/>
  <c r="K223" i="9" s="1"/>
  <c r="I224" i="9"/>
  <c r="K224" i="9" s="1"/>
  <c r="I225" i="9"/>
  <c r="K225" i="9" s="1"/>
  <c r="I226" i="9"/>
  <c r="K226" i="9" s="1"/>
  <c r="I227" i="9"/>
  <c r="K227" i="9" s="1"/>
  <c r="I228" i="9"/>
  <c r="K228" i="9" s="1"/>
  <c r="I229" i="9"/>
  <c r="K229" i="9" s="1"/>
  <c r="I230" i="9"/>
  <c r="K230" i="9" s="1"/>
  <c r="I231" i="9"/>
  <c r="K231" i="9" s="1"/>
  <c r="I232" i="9"/>
  <c r="K232" i="9" s="1"/>
  <c r="I233" i="9"/>
  <c r="K233" i="9" s="1"/>
  <c r="I234" i="9"/>
  <c r="K234" i="9" s="1"/>
  <c r="I235" i="9"/>
  <c r="K235" i="9" s="1"/>
  <c r="I236" i="9"/>
  <c r="K236" i="9" s="1"/>
  <c r="I237" i="9"/>
  <c r="K237" i="9" s="1"/>
  <c r="I238" i="9"/>
  <c r="K238" i="9" s="1"/>
  <c r="I239" i="9"/>
  <c r="K239" i="9" s="1"/>
  <c r="I240" i="9"/>
  <c r="K240" i="9" s="1"/>
  <c r="I241" i="9"/>
  <c r="K241" i="9" s="1"/>
  <c r="I242" i="9"/>
  <c r="K242" i="9" s="1"/>
  <c r="I243" i="9"/>
  <c r="K243" i="9" s="1"/>
  <c r="I244" i="9"/>
  <c r="K244" i="9" s="1"/>
  <c r="I245" i="9"/>
  <c r="K245" i="9" s="1"/>
  <c r="I246" i="9"/>
  <c r="K246" i="9" s="1"/>
  <c r="I247" i="9"/>
  <c r="K247" i="9" s="1"/>
  <c r="I248" i="9"/>
  <c r="K248" i="9" s="1"/>
  <c r="I249" i="9"/>
  <c r="K249" i="9" s="1"/>
  <c r="I250" i="9"/>
  <c r="K250" i="9" s="1"/>
  <c r="I251" i="9"/>
  <c r="K251" i="9" s="1"/>
  <c r="I252" i="9"/>
  <c r="K252" i="9" s="1"/>
  <c r="I253" i="9"/>
  <c r="K253" i="9" s="1"/>
  <c r="I254" i="9"/>
  <c r="K254" i="9" s="1"/>
  <c r="I255" i="9"/>
  <c r="K255" i="9" s="1"/>
  <c r="I256" i="9"/>
  <c r="K256" i="9" s="1"/>
  <c r="I257" i="9"/>
  <c r="K257" i="9" s="1"/>
  <c r="I258" i="9"/>
  <c r="K258" i="9" s="1"/>
  <c r="I259" i="9"/>
  <c r="K259" i="9" s="1"/>
  <c r="I260" i="9"/>
  <c r="K260" i="9" s="1"/>
  <c r="I261" i="9"/>
  <c r="K261" i="9" s="1"/>
  <c r="I262" i="9"/>
  <c r="K262" i="9" s="1"/>
  <c r="I263" i="9"/>
  <c r="K263" i="9" s="1"/>
  <c r="I264" i="9"/>
  <c r="K264" i="9" s="1"/>
  <c r="I265" i="9"/>
  <c r="K265" i="9" s="1"/>
  <c r="I266" i="9"/>
  <c r="K266" i="9" s="1"/>
  <c r="I267" i="9"/>
  <c r="K267" i="9" s="1"/>
  <c r="I268" i="9"/>
  <c r="K268" i="9" s="1"/>
  <c r="I269" i="9"/>
  <c r="K269" i="9" s="1"/>
  <c r="I270" i="9"/>
  <c r="K270" i="9" s="1"/>
  <c r="I271" i="9"/>
  <c r="K271" i="9" s="1"/>
  <c r="I272" i="9"/>
  <c r="K272" i="9" s="1"/>
  <c r="I273" i="9"/>
  <c r="K273" i="9" s="1"/>
  <c r="I274" i="9"/>
  <c r="K274" i="9" s="1"/>
  <c r="I275" i="9"/>
  <c r="K275" i="9" s="1"/>
  <c r="I276" i="9"/>
  <c r="K276" i="9" s="1"/>
  <c r="I277" i="9"/>
  <c r="K277" i="9" s="1"/>
  <c r="I278" i="9"/>
  <c r="K278" i="9" s="1"/>
  <c r="I279" i="9"/>
  <c r="K279" i="9" s="1"/>
  <c r="I280" i="9"/>
  <c r="K280" i="9" s="1"/>
  <c r="I281" i="9"/>
  <c r="K281" i="9" s="1"/>
  <c r="I282" i="9"/>
  <c r="K282" i="9" s="1"/>
  <c r="I283" i="9"/>
  <c r="K283" i="9" s="1"/>
  <c r="I284" i="9"/>
  <c r="K284" i="9" s="1"/>
  <c r="I285" i="9"/>
  <c r="K285" i="9" s="1"/>
  <c r="I286" i="9"/>
  <c r="K286" i="9" s="1"/>
  <c r="I287" i="9"/>
  <c r="K287" i="9" s="1"/>
  <c r="I288" i="9"/>
  <c r="K288" i="9" s="1"/>
  <c r="I289" i="9"/>
  <c r="K289" i="9" s="1"/>
  <c r="I290" i="9"/>
  <c r="K290" i="9" s="1"/>
  <c r="I291" i="9"/>
  <c r="K291" i="9" s="1"/>
  <c r="I292" i="9"/>
  <c r="K292" i="9" s="1"/>
  <c r="I293" i="9"/>
  <c r="K293" i="9" s="1"/>
  <c r="I294" i="9"/>
  <c r="K294" i="9" s="1"/>
  <c r="I295" i="9"/>
  <c r="K295" i="9" s="1"/>
  <c r="I296" i="9"/>
  <c r="K296" i="9" s="1"/>
  <c r="I297" i="9"/>
  <c r="K297" i="9" s="1"/>
  <c r="I298" i="9"/>
  <c r="K298" i="9" s="1"/>
  <c r="I299" i="9"/>
  <c r="K299" i="9" s="1"/>
  <c r="I300" i="9"/>
  <c r="K300" i="9" s="1"/>
  <c r="I301" i="9"/>
  <c r="K301" i="9" s="1"/>
  <c r="I302" i="9"/>
  <c r="K302" i="9" s="1"/>
  <c r="I303" i="9"/>
  <c r="K303" i="9" s="1"/>
  <c r="I304" i="9"/>
  <c r="K304" i="9" s="1"/>
  <c r="I305" i="9"/>
  <c r="K305" i="9" s="1"/>
  <c r="I306" i="9"/>
  <c r="K306" i="9" s="1"/>
  <c r="I307" i="9"/>
  <c r="K307" i="9" s="1"/>
  <c r="I308" i="9"/>
  <c r="K308" i="9" s="1"/>
  <c r="I309" i="9"/>
  <c r="K309" i="9" s="1"/>
  <c r="I310" i="9"/>
  <c r="K310" i="9" s="1"/>
  <c r="I311" i="9"/>
  <c r="K311" i="9" s="1"/>
  <c r="I312" i="9"/>
  <c r="K312" i="9" s="1"/>
  <c r="I313" i="9"/>
  <c r="K313" i="9" s="1"/>
  <c r="I314" i="9"/>
  <c r="K314" i="9" s="1"/>
  <c r="I315" i="9"/>
  <c r="K315" i="9" s="1"/>
  <c r="I316" i="9"/>
  <c r="K316" i="9" s="1"/>
  <c r="I317" i="9"/>
  <c r="K317" i="9" s="1"/>
  <c r="I318" i="9"/>
  <c r="K318" i="9" s="1"/>
  <c r="I319" i="9"/>
  <c r="K319" i="9" s="1"/>
  <c r="I320" i="9"/>
  <c r="K320" i="9" s="1"/>
  <c r="I321" i="9"/>
  <c r="K321" i="9" s="1"/>
  <c r="I322" i="9"/>
  <c r="K322" i="9" s="1"/>
  <c r="I323" i="9"/>
  <c r="K323" i="9" s="1"/>
  <c r="I324" i="9"/>
  <c r="K324" i="9" s="1"/>
  <c r="I325" i="9"/>
  <c r="K325" i="9" s="1"/>
  <c r="I326" i="9"/>
  <c r="K326" i="9" s="1"/>
  <c r="I327" i="9"/>
  <c r="K327" i="9" s="1"/>
  <c r="I328" i="9"/>
  <c r="K328" i="9" s="1"/>
  <c r="I329" i="9"/>
  <c r="K329" i="9" s="1"/>
  <c r="I330" i="9"/>
  <c r="K330" i="9" s="1"/>
  <c r="I332" i="9"/>
  <c r="K332" i="9" s="1"/>
  <c r="I333" i="9"/>
  <c r="K333" i="9" s="1"/>
  <c r="I334" i="9"/>
  <c r="K334" i="9" s="1"/>
  <c r="I335" i="9"/>
  <c r="K335" i="9" s="1"/>
  <c r="I336" i="9"/>
  <c r="K336" i="9" s="1"/>
  <c r="I337" i="9"/>
  <c r="K337" i="9" s="1"/>
  <c r="I338" i="9"/>
  <c r="K338" i="9" s="1"/>
  <c r="I339" i="9"/>
  <c r="K339" i="9" s="1"/>
  <c r="I340" i="9"/>
  <c r="K340" i="9" s="1"/>
  <c r="I341" i="9"/>
  <c r="K341" i="9" s="1"/>
  <c r="I342" i="9"/>
  <c r="K342" i="9" s="1"/>
  <c r="I343" i="9"/>
  <c r="K343" i="9" s="1"/>
  <c r="I344" i="9"/>
  <c r="K344" i="9" s="1"/>
  <c r="I345" i="9"/>
  <c r="K345" i="9" s="1"/>
  <c r="I346" i="9"/>
  <c r="K346" i="9" s="1"/>
  <c r="I347" i="9"/>
  <c r="K347" i="9" s="1"/>
  <c r="I348" i="9"/>
  <c r="K348" i="9" s="1"/>
  <c r="I349" i="9"/>
  <c r="K349" i="9" s="1"/>
  <c r="I350" i="9"/>
  <c r="K350" i="9" s="1"/>
  <c r="I351" i="9"/>
  <c r="K351" i="9" s="1"/>
  <c r="I352" i="9"/>
  <c r="K352" i="9" s="1"/>
  <c r="I353" i="9"/>
  <c r="K353" i="9" s="1"/>
  <c r="I354" i="9"/>
  <c r="K354" i="9" s="1"/>
  <c r="I355" i="9"/>
  <c r="K355" i="9" s="1"/>
  <c r="I356" i="9"/>
  <c r="K356" i="9" s="1"/>
  <c r="I357" i="9"/>
  <c r="K357" i="9" s="1"/>
  <c r="I358" i="9"/>
  <c r="K358" i="9" s="1"/>
  <c r="I359" i="9"/>
  <c r="K359" i="9" s="1"/>
  <c r="I360" i="9"/>
  <c r="K360" i="9" s="1"/>
  <c r="I361" i="9"/>
  <c r="K361" i="9" s="1"/>
  <c r="I362" i="9"/>
  <c r="K362" i="9" s="1"/>
  <c r="I363" i="9"/>
  <c r="K363" i="9" s="1"/>
  <c r="I364" i="9"/>
  <c r="K364" i="9" s="1"/>
  <c r="I365" i="9"/>
  <c r="K365" i="9" s="1"/>
  <c r="I366" i="9"/>
  <c r="K366" i="9" s="1"/>
  <c r="I367" i="9"/>
  <c r="K367" i="9" s="1"/>
  <c r="I368" i="9"/>
  <c r="K368" i="9" s="1"/>
  <c r="I369" i="9"/>
  <c r="K369" i="9" s="1"/>
  <c r="I370" i="9"/>
  <c r="K370" i="9" s="1"/>
  <c r="I371" i="9"/>
  <c r="K371" i="9" s="1"/>
  <c r="I372" i="9"/>
  <c r="K372" i="9" s="1"/>
  <c r="I373" i="9"/>
  <c r="K373" i="9" s="1"/>
  <c r="I374" i="9"/>
  <c r="K374" i="9" s="1"/>
  <c r="I375" i="9"/>
  <c r="K375" i="9" s="1"/>
  <c r="I376" i="9"/>
  <c r="K376" i="9" s="1"/>
  <c r="I377" i="9"/>
  <c r="K377" i="9" s="1"/>
  <c r="I378" i="9"/>
  <c r="K378" i="9" s="1"/>
  <c r="I379" i="9"/>
  <c r="K379" i="9" s="1"/>
  <c r="I380" i="9"/>
  <c r="K380" i="9" s="1"/>
  <c r="I381" i="9"/>
  <c r="K381" i="9" s="1"/>
  <c r="I382" i="9"/>
  <c r="K382" i="9" s="1"/>
  <c r="I383" i="9"/>
  <c r="K383" i="9" s="1"/>
  <c r="I384" i="9"/>
  <c r="K384" i="9" s="1"/>
  <c r="I385" i="9"/>
  <c r="K385" i="9" s="1"/>
  <c r="I386" i="9"/>
  <c r="K386" i="9" s="1"/>
  <c r="I387" i="9"/>
  <c r="K387" i="9" s="1"/>
  <c r="I388" i="9"/>
  <c r="K388" i="9" s="1"/>
  <c r="I389" i="9"/>
  <c r="K389" i="9" s="1"/>
  <c r="I390" i="9"/>
  <c r="K390" i="9" s="1"/>
  <c r="I391" i="9"/>
  <c r="K391" i="9" s="1"/>
  <c r="I392" i="9"/>
  <c r="K392" i="9" s="1"/>
  <c r="I393" i="9"/>
  <c r="K393" i="9" s="1"/>
  <c r="I394" i="9"/>
  <c r="K394" i="9" s="1"/>
  <c r="I395" i="9"/>
  <c r="K395" i="9" s="1"/>
  <c r="I396" i="9"/>
  <c r="K396" i="9" s="1"/>
  <c r="I397" i="9"/>
  <c r="K397" i="9" s="1"/>
  <c r="I398" i="9"/>
  <c r="K398" i="9" s="1"/>
  <c r="I399" i="9"/>
  <c r="K399" i="9" s="1"/>
  <c r="I400" i="9"/>
  <c r="K400" i="9" s="1"/>
  <c r="I401" i="9"/>
  <c r="K401" i="9" s="1"/>
  <c r="I402" i="9"/>
  <c r="K402" i="9" s="1"/>
  <c r="I403" i="9"/>
  <c r="K403" i="9" s="1"/>
  <c r="I404" i="9"/>
  <c r="K404" i="9" s="1"/>
  <c r="I405" i="9"/>
  <c r="K405" i="9" s="1"/>
  <c r="I406" i="9"/>
  <c r="K406" i="9" s="1"/>
  <c r="I407" i="9"/>
  <c r="K407" i="9" s="1"/>
  <c r="I408" i="9"/>
  <c r="K408" i="9" s="1"/>
  <c r="I409" i="9"/>
  <c r="K409" i="9" s="1"/>
  <c r="I410" i="9"/>
  <c r="K410" i="9" s="1"/>
  <c r="I411" i="9"/>
  <c r="K411" i="9" s="1"/>
  <c r="I412" i="9"/>
  <c r="K412" i="9" s="1"/>
  <c r="I413" i="9"/>
  <c r="K413" i="9" s="1"/>
  <c r="I414" i="9"/>
  <c r="K414" i="9" s="1"/>
  <c r="I415" i="9"/>
  <c r="K415" i="9" s="1"/>
  <c r="I416" i="9"/>
  <c r="K416" i="9" s="1"/>
  <c r="I417" i="9"/>
  <c r="K417" i="9" s="1"/>
  <c r="I418" i="9"/>
  <c r="K418" i="9" s="1"/>
  <c r="I419" i="9"/>
  <c r="K419" i="9" s="1"/>
  <c r="I420" i="9"/>
  <c r="K420" i="9" s="1"/>
  <c r="I421" i="9"/>
  <c r="K421" i="9" s="1"/>
  <c r="I422" i="9"/>
  <c r="K422" i="9" s="1"/>
  <c r="I423" i="9"/>
  <c r="K423" i="9" s="1"/>
  <c r="I424" i="9"/>
  <c r="K424" i="9" s="1"/>
  <c r="I425" i="9"/>
  <c r="K425" i="9" s="1"/>
  <c r="I426" i="9"/>
  <c r="K426" i="9" s="1"/>
  <c r="I427" i="9"/>
  <c r="K427" i="9" s="1"/>
  <c r="I428" i="9"/>
  <c r="K428" i="9" s="1"/>
  <c r="I429" i="9"/>
  <c r="K429" i="9" s="1"/>
  <c r="I430" i="9"/>
  <c r="K430" i="9" s="1"/>
  <c r="I431" i="9"/>
  <c r="K431" i="9" s="1"/>
  <c r="I432" i="9"/>
  <c r="K432" i="9" s="1"/>
  <c r="I433" i="9"/>
  <c r="K433" i="9" s="1"/>
  <c r="I434" i="9"/>
  <c r="K434" i="9" s="1"/>
  <c r="I435" i="9"/>
  <c r="K435" i="9" s="1"/>
  <c r="I436" i="9"/>
  <c r="K436" i="9" s="1"/>
  <c r="I437" i="9"/>
  <c r="K437" i="9" s="1"/>
  <c r="I438" i="9"/>
  <c r="K438" i="9" s="1"/>
  <c r="K15" i="20"/>
  <c r="G2" i="20"/>
  <c r="G1" i="20" s="1"/>
  <c r="K11" i="20"/>
  <c r="K12" i="20"/>
  <c r="K13" i="20"/>
  <c r="K14" i="20"/>
  <c r="K10" i="20"/>
  <c r="H5" i="9"/>
  <c r="E1" i="19"/>
  <c r="Z195" i="9"/>
  <c r="W86" i="9"/>
  <c r="S86" i="9" s="1"/>
  <c r="I86" i="9" s="1"/>
  <c r="K86" i="9" s="1"/>
  <c r="Q86" i="9"/>
  <c r="Z173" i="9"/>
  <c r="U173" i="9" s="1"/>
  <c r="O28" i="9"/>
  <c r="Y28" i="9" s="1"/>
  <c r="U18" i="9"/>
  <c r="Y86" i="9" l="1"/>
  <c r="U86" i="9"/>
  <c r="I195" i="9"/>
  <c r="K195" i="9" s="1"/>
  <c r="V60" i="9"/>
  <c r="U19" i="9"/>
  <c r="I1" i="20"/>
  <c r="K108" i="9"/>
  <c r="H2" i="9"/>
  <c r="M5" i="9"/>
  <c r="I28" i="9"/>
  <c r="K28" i="9" s="1"/>
  <c r="Q28" i="9"/>
  <c r="Q27" i="9"/>
  <c r="O27" i="9"/>
  <c r="S40" i="9"/>
  <c r="T40" i="9"/>
  <c r="U40" i="9"/>
  <c r="U89" i="9"/>
  <c r="R16" i="9"/>
  <c r="O89" i="9"/>
  <c r="S8" i="9"/>
  <c r="T8" i="9"/>
  <c r="U8" i="9"/>
  <c r="S9" i="9"/>
  <c r="T9" i="9"/>
  <c r="U9" i="9"/>
  <c r="T10" i="9"/>
  <c r="S11" i="9"/>
  <c r="T11" i="9"/>
  <c r="U11" i="9"/>
  <c r="S12" i="9"/>
  <c r="T12" i="9"/>
  <c r="U12" i="9"/>
  <c r="S13" i="9"/>
  <c r="T13" i="9"/>
  <c r="U13" i="9"/>
  <c r="S14" i="9"/>
  <c r="T14" i="9"/>
  <c r="U14" i="9"/>
  <c r="S15" i="9"/>
  <c r="T15" i="9"/>
  <c r="U15" i="9"/>
  <c r="S7" i="9"/>
  <c r="T7" i="9"/>
  <c r="U7" i="9"/>
  <c r="S4" i="9"/>
  <c r="T4" i="9"/>
  <c r="U4" i="9"/>
  <c r="T57" i="9"/>
  <c r="U57" i="9"/>
  <c r="Z22" i="9"/>
  <c r="U20" i="9"/>
  <c r="W16" i="9"/>
  <c r="W5" i="9" s="1"/>
  <c r="P5" i="9"/>
  <c r="D5" i="9"/>
  <c r="E5" i="9"/>
  <c r="F5" i="9"/>
  <c r="G5" i="9"/>
  <c r="U37" i="9"/>
  <c r="U136" i="9"/>
  <c r="S37" i="9"/>
  <c r="X16" i="9"/>
  <c r="X5" i="9" s="1"/>
  <c r="Q10" i="9"/>
  <c r="U10" i="9" s="1"/>
  <c r="O10" i="9"/>
  <c r="Z8" i="9"/>
  <c r="Z9" i="9"/>
  <c r="Z10" i="9"/>
  <c r="Z11" i="9"/>
  <c r="Z12" i="9"/>
  <c r="Z13" i="9"/>
  <c r="Z14" i="9"/>
  <c r="Z15" i="9"/>
  <c r="Z17" i="9"/>
  <c r="Z18" i="9"/>
  <c r="Z20" i="9"/>
  <c r="Z21" i="9"/>
  <c r="Z23" i="9"/>
  <c r="Z24" i="9"/>
  <c r="Z25" i="9"/>
  <c r="Z26" i="9"/>
  <c r="Z27" i="9"/>
  <c r="Z28" i="9"/>
  <c r="Z29" i="9"/>
  <c r="Z30" i="9"/>
  <c r="Z31" i="9"/>
  <c r="Z32" i="9"/>
  <c r="Z33" i="9"/>
  <c r="Z34" i="9"/>
  <c r="Z35" i="9"/>
  <c r="Z36" i="9"/>
  <c r="Z37" i="9"/>
  <c r="Z38" i="9"/>
  <c r="Z39" i="9"/>
  <c r="Z40" i="9"/>
  <c r="Z41" i="9"/>
  <c r="Z42" i="9"/>
  <c r="Z43" i="9"/>
  <c r="Z44" i="9"/>
  <c r="Z45" i="9"/>
  <c r="Z46" i="9"/>
  <c r="Z47" i="9"/>
  <c r="Z48" i="9"/>
  <c r="Z49" i="9"/>
  <c r="Z50" i="9"/>
  <c r="Z51" i="9"/>
  <c r="Z52" i="9"/>
  <c r="Z53" i="9"/>
  <c r="Z54" i="9"/>
  <c r="Z55" i="9"/>
  <c r="Z56" i="9"/>
  <c r="Z57" i="9"/>
  <c r="Z58" i="9"/>
  <c r="Z59" i="9"/>
  <c r="Z60" i="9"/>
  <c r="Z61" i="9"/>
  <c r="Z62" i="9"/>
  <c r="Z63" i="9"/>
  <c r="Z64" i="9"/>
  <c r="Z65" i="9"/>
  <c r="Z66" i="9"/>
  <c r="Z67" i="9"/>
  <c r="Z68" i="9"/>
  <c r="Z69" i="9"/>
  <c r="Z70" i="9"/>
  <c r="Z71" i="9"/>
  <c r="Z72" i="9"/>
  <c r="Z73" i="9"/>
  <c r="Z74" i="9"/>
  <c r="V74" i="9" s="1"/>
  <c r="Z75" i="9"/>
  <c r="Z76" i="9"/>
  <c r="Z77" i="9"/>
  <c r="Z78" i="9"/>
  <c r="Z79" i="9"/>
  <c r="Z80" i="9"/>
  <c r="Z81" i="9"/>
  <c r="Z82" i="9"/>
  <c r="Z83" i="9"/>
  <c r="Z84" i="9"/>
  <c r="Z85" i="9"/>
  <c r="Z86" i="9"/>
  <c r="Z87" i="9"/>
  <c r="Z88" i="9"/>
  <c r="Z89" i="9"/>
  <c r="Z90" i="9"/>
  <c r="Z91" i="9"/>
  <c r="Z92" i="9"/>
  <c r="Z93" i="9"/>
  <c r="Z94" i="9"/>
  <c r="Z95" i="9"/>
  <c r="Z96" i="9"/>
  <c r="Z97" i="9"/>
  <c r="V97" i="9" s="1"/>
  <c r="Z98" i="9"/>
  <c r="Z99" i="9"/>
  <c r="Z101" i="9"/>
  <c r="Z102" i="9"/>
  <c r="Z103" i="9"/>
  <c r="Z104" i="9"/>
  <c r="Z105" i="9"/>
  <c r="Z106" i="9"/>
  <c r="Z107" i="9"/>
  <c r="Z108" i="9"/>
  <c r="Z109" i="9"/>
  <c r="Z110" i="9"/>
  <c r="Z111" i="9"/>
  <c r="Z112" i="9"/>
  <c r="Z113" i="9"/>
  <c r="Z114" i="9"/>
  <c r="Z115" i="9"/>
  <c r="Z116" i="9"/>
  <c r="Z117" i="9"/>
  <c r="Z118" i="9"/>
  <c r="Z119" i="9"/>
  <c r="Z120" i="9"/>
  <c r="Z121" i="9"/>
  <c r="Z122" i="9"/>
  <c r="Z123" i="9"/>
  <c r="Z124" i="9"/>
  <c r="Z125" i="9"/>
  <c r="Z126" i="9"/>
  <c r="Z127" i="9"/>
  <c r="Z128" i="9"/>
  <c r="Z129" i="9"/>
  <c r="Z130" i="9"/>
  <c r="Z131" i="9"/>
  <c r="Z132" i="9"/>
  <c r="Z133" i="9"/>
  <c r="Z134" i="9"/>
  <c r="Z135" i="9"/>
  <c r="Z136" i="9"/>
  <c r="Z137" i="9"/>
  <c r="Z138" i="9"/>
  <c r="Z139" i="9"/>
  <c r="Z140" i="9"/>
  <c r="Z141" i="9"/>
  <c r="Z142" i="9"/>
  <c r="Z143" i="9"/>
  <c r="Z144" i="9"/>
  <c r="Z145" i="9"/>
  <c r="Z146" i="9"/>
  <c r="Z147" i="9"/>
  <c r="Z148" i="9"/>
  <c r="Z149" i="9"/>
  <c r="Z150" i="9"/>
  <c r="Z151" i="9"/>
  <c r="Z152" i="9"/>
  <c r="Z153" i="9"/>
  <c r="Z154" i="9"/>
  <c r="Z155" i="9"/>
  <c r="Z156" i="9"/>
  <c r="Z157" i="9"/>
  <c r="Z158" i="9"/>
  <c r="Z159" i="9"/>
  <c r="Z160" i="9"/>
  <c r="Z161" i="9"/>
  <c r="Z162" i="9"/>
  <c r="Z163" i="9"/>
  <c r="Z164" i="9"/>
  <c r="Z165" i="9"/>
  <c r="Z166" i="9"/>
  <c r="Z167" i="9"/>
  <c r="Z168" i="9"/>
  <c r="Z169" i="9"/>
  <c r="Z170" i="9"/>
  <c r="Z171" i="9"/>
  <c r="Z172" i="9"/>
  <c r="Z174" i="9"/>
  <c r="Z175" i="9"/>
  <c r="Z176" i="9"/>
  <c r="Z177" i="9"/>
  <c r="Z178" i="9"/>
  <c r="Z179" i="9"/>
  <c r="Z180" i="9"/>
  <c r="Z181" i="9"/>
  <c r="Z182" i="9"/>
  <c r="Z183" i="9"/>
  <c r="Z184" i="9"/>
  <c r="Z185" i="9"/>
  <c r="Z186" i="9"/>
  <c r="Z187" i="9"/>
  <c r="Z188" i="9"/>
  <c r="Z189" i="9"/>
  <c r="Z190" i="9"/>
  <c r="Z191" i="9"/>
  <c r="Z192" i="9"/>
  <c r="Z193" i="9"/>
  <c r="Z194" i="9"/>
  <c r="Z196" i="9"/>
  <c r="Z197" i="9"/>
  <c r="Z198" i="9"/>
  <c r="Z199" i="9"/>
  <c r="Z200" i="9"/>
  <c r="Z201" i="9"/>
  <c r="Z202" i="9"/>
  <c r="Z203" i="9"/>
  <c r="Z204" i="9"/>
  <c r="Z205" i="9"/>
  <c r="Z206" i="9"/>
  <c r="Z207" i="9"/>
  <c r="Z208" i="9"/>
  <c r="Z209" i="9"/>
  <c r="Z210" i="9"/>
  <c r="Z211" i="9"/>
  <c r="Z212" i="9"/>
  <c r="Z213" i="9"/>
  <c r="Z214" i="9"/>
  <c r="Z215" i="9"/>
  <c r="Z216" i="9"/>
  <c r="Z217" i="9"/>
  <c r="Z218" i="9"/>
  <c r="Z219" i="9"/>
  <c r="Z220" i="9"/>
  <c r="Z221" i="9"/>
  <c r="Z222" i="9"/>
  <c r="Z223" i="9"/>
  <c r="Z224" i="9"/>
  <c r="Z225" i="9"/>
  <c r="Z226" i="9"/>
  <c r="Z227" i="9"/>
  <c r="Z228" i="9"/>
  <c r="Z229" i="9"/>
  <c r="Z230" i="9"/>
  <c r="Z231" i="9"/>
  <c r="Z232" i="9"/>
  <c r="Z233" i="9"/>
  <c r="Z234" i="9"/>
  <c r="Z235" i="9"/>
  <c r="Z236" i="9"/>
  <c r="Z237" i="9"/>
  <c r="Z238" i="9"/>
  <c r="Z239" i="9"/>
  <c r="Z240" i="9"/>
  <c r="Z241" i="9"/>
  <c r="Z242" i="9"/>
  <c r="Z243" i="9"/>
  <c r="Z244" i="9"/>
  <c r="Z245" i="9"/>
  <c r="Z246" i="9"/>
  <c r="Z247" i="9"/>
  <c r="Z248" i="9"/>
  <c r="Z249" i="9"/>
  <c r="Z250" i="9"/>
  <c r="Z251" i="9"/>
  <c r="Z252" i="9"/>
  <c r="Z253" i="9"/>
  <c r="Z254" i="9"/>
  <c r="Z255" i="9"/>
  <c r="Z256" i="9"/>
  <c r="Z257" i="9"/>
  <c r="Z258" i="9"/>
  <c r="Z259" i="9"/>
  <c r="Z260" i="9"/>
  <c r="Z261" i="9"/>
  <c r="Z262" i="9"/>
  <c r="Z263" i="9"/>
  <c r="Z264" i="9"/>
  <c r="Z265" i="9"/>
  <c r="Z266" i="9"/>
  <c r="Z267" i="9"/>
  <c r="Z268" i="9"/>
  <c r="Z269" i="9"/>
  <c r="Z270" i="9"/>
  <c r="Z271" i="9"/>
  <c r="Z272" i="9"/>
  <c r="Z273" i="9"/>
  <c r="Z274" i="9"/>
  <c r="Z275" i="9"/>
  <c r="Z276" i="9"/>
  <c r="Z277" i="9"/>
  <c r="Z278" i="9"/>
  <c r="Z279" i="9"/>
  <c r="Z280" i="9"/>
  <c r="Z281" i="9"/>
  <c r="Z282" i="9"/>
  <c r="Z283" i="9"/>
  <c r="Z284" i="9"/>
  <c r="Z285" i="9"/>
  <c r="Z286" i="9"/>
  <c r="Z287" i="9"/>
  <c r="Z288" i="9"/>
  <c r="Z289" i="9"/>
  <c r="Z290" i="9"/>
  <c r="Z291" i="9"/>
  <c r="Z292" i="9"/>
  <c r="Z293" i="9"/>
  <c r="Z294" i="9"/>
  <c r="Z295" i="9"/>
  <c r="Z296" i="9"/>
  <c r="Z297" i="9"/>
  <c r="Z298" i="9"/>
  <c r="Z299" i="9"/>
  <c r="Z300" i="9"/>
  <c r="Z301" i="9"/>
  <c r="Z302" i="9"/>
  <c r="Z303" i="9"/>
  <c r="Z304" i="9"/>
  <c r="Z305" i="9"/>
  <c r="Z306" i="9"/>
  <c r="Z307" i="9"/>
  <c r="Z308" i="9"/>
  <c r="Z309" i="9"/>
  <c r="Z310" i="9"/>
  <c r="Z311" i="9"/>
  <c r="Z312" i="9"/>
  <c r="Z313" i="9"/>
  <c r="Z314" i="9"/>
  <c r="Z315" i="9"/>
  <c r="Z316" i="9"/>
  <c r="Z317" i="9"/>
  <c r="Z318" i="9"/>
  <c r="Z319" i="9"/>
  <c r="Z320" i="9"/>
  <c r="Z321" i="9"/>
  <c r="Z322" i="9"/>
  <c r="Z323" i="9"/>
  <c r="Z324" i="9"/>
  <c r="Z325" i="9"/>
  <c r="Z326" i="9"/>
  <c r="Z327" i="9"/>
  <c r="Z328" i="9"/>
  <c r="Z329" i="9"/>
  <c r="Z330" i="9"/>
  <c r="Z331" i="9"/>
  <c r="Z332" i="9"/>
  <c r="Z333" i="9"/>
  <c r="Z334" i="9"/>
  <c r="Z335" i="9"/>
  <c r="Z336" i="9"/>
  <c r="Z337" i="9"/>
  <c r="Z338" i="9"/>
  <c r="Z339" i="9"/>
  <c r="Z340" i="9"/>
  <c r="Z341" i="9"/>
  <c r="Z342" i="9"/>
  <c r="Z343" i="9"/>
  <c r="Z344" i="9"/>
  <c r="Z345" i="9"/>
  <c r="Z346" i="9"/>
  <c r="Z347" i="9"/>
  <c r="Z348" i="9"/>
  <c r="Z349" i="9"/>
  <c r="Z350" i="9"/>
  <c r="Z351" i="9"/>
  <c r="Z352" i="9"/>
  <c r="Z353" i="9"/>
  <c r="Z354" i="9"/>
  <c r="Z355" i="9"/>
  <c r="Z356" i="9"/>
  <c r="Z357" i="9"/>
  <c r="Z358" i="9"/>
  <c r="Z359" i="9"/>
  <c r="Z360" i="9"/>
  <c r="Z361" i="9"/>
  <c r="Z362" i="9"/>
  <c r="Z363" i="9"/>
  <c r="Z364" i="9"/>
  <c r="Z365" i="9"/>
  <c r="Z366" i="9"/>
  <c r="Z367" i="9"/>
  <c r="Z368" i="9"/>
  <c r="Z369" i="9"/>
  <c r="Z370" i="9"/>
  <c r="Z371" i="9"/>
  <c r="Z372" i="9"/>
  <c r="Z373" i="9"/>
  <c r="Z374" i="9"/>
  <c r="Z375" i="9"/>
  <c r="Z376" i="9"/>
  <c r="Z377" i="9"/>
  <c r="Z378" i="9"/>
  <c r="Z379" i="9"/>
  <c r="Z380" i="9"/>
  <c r="Z381" i="9"/>
  <c r="Z382" i="9"/>
  <c r="Z383" i="9"/>
  <c r="Z384" i="9"/>
  <c r="Z385" i="9"/>
  <c r="Z386" i="9"/>
  <c r="Z387" i="9"/>
  <c r="Z388" i="9"/>
  <c r="Z389" i="9"/>
  <c r="Z390" i="9"/>
  <c r="Z391" i="9"/>
  <c r="Z392" i="9"/>
  <c r="Z393" i="9"/>
  <c r="Z394" i="9"/>
  <c r="Z395" i="9"/>
  <c r="Z396" i="9"/>
  <c r="Z397" i="9"/>
  <c r="Z398" i="9"/>
  <c r="Z399" i="9"/>
  <c r="Z400" i="9"/>
  <c r="Z401" i="9"/>
  <c r="Z402" i="9"/>
  <c r="Z403" i="9"/>
  <c r="Z404" i="9"/>
  <c r="Z405" i="9"/>
  <c r="Z406" i="9"/>
  <c r="Z407" i="9"/>
  <c r="Z408" i="9"/>
  <c r="Z409" i="9"/>
  <c r="Z410" i="9"/>
  <c r="Z411" i="9"/>
  <c r="Z412" i="9"/>
  <c r="Z413" i="9"/>
  <c r="Z414" i="9"/>
  <c r="Z415" i="9"/>
  <c r="Z416" i="9"/>
  <c r="Z417" i="9"/>
  <c r="Z418" i="9"/>
  <c r="Z419" i="9"/>
  <c r="Z420" i="9"/>
  <c r="Z421" i="9"/>
  <c r="Z422" i="9"/>
  <c r="Z423" i="9"/>
  <c r="Z424" i="9"/>
  <c r="Z425" i="9"/>
  <c r="Z426" i="9"/>
  <c r="Z427" i="9"/>
  <c r="Z428" i="9"/>
  <c r="Z429" i="9"/>
  <c r="Z430" i="9"/>
  <c r="Z431" i="9"/>
  <c r="Z432" i="9"/>
  <c r="Z433" i="9"/>
  <c r="Z434" i="9"/>
  <c r="Z435" i="9"/>
  <c r="Z436" i="9"/>
  <c r="Z437" i="9"/>
  <c r="Z438" i="9"/>
  <c r="Z7" i="9"/>
  <c r="V230" i="9"/>
  <c r="R8" i="9"/>
  <c r="R9" i="9"/>
  <c r="R11" i="9"/>
  <c r="R12" i="9"/>
  <c r="R13" i="9"/>
  <c r="R14" i="9"/>
  <c r="R15" i="9"/>
  <c r="R17" i="9"/>
  <c r="R18" i="9"/>
  <c r="R19" i="9"/>
  <c r="R20" i="9"/>
  <c r="R21" i="9"/>
  <c r="R22" i="9"/>
  <c r="R23" i="9"/>
  <c r="R24" i="9"/>
  <c r="R25" i="9"/>
  <c r="R26" i="9"/>
  <c r="R29" i="9"/>
  <c r="R30" i="9"/>
  <c r="R31" i="9"/>
  <c r="R32" i="9"/>
  <c r="R33" i="9"/>
  <c r="R34" i="9"/>
  <c r="R35" i="9"/>
  <c r="U35" i="9" s="1"/>
  <c r="R36" i="9"/>
  <c r="R37" i="9"/>
  <c r="R38" i="9"/>
  <c r="R39" i="9"/>
  <c r="R40" i="9"/>
  <c r="R41" i="9"/>
  <c r="R42" i="9"/>
  <c r="R43" i="9"/>
  <c r="R44" i="9"/>
  <c r="R47" i="9"/>
  <c r="R48" i="9"/>
  <c r="R49" i="9"/>
  <c r="R50" i="9"/>
  <c r="R51" i="9"/>
  <c r="R52" i="9"/>
  <c r="R53" i="9"/>
  <c r="R54" i="9"/>
  <c r="R55" i="9"/>
  <c r="R56" i="9"/>
  <c r="R57" i="9"/>
  <c r="R58" i="9"/>
  <c r="R59" i="9"/>
  <c r="R60" i="9"/>
  <c r="R61" i="9"/>
  <c r="R62" i="9"/>
  <c r="R63" i="9"/>
  <c r="R64" i="9"/>
  <c r="R65" i="9"/>
  <c r="R66" i="9"/>
  <c r="R67" i="9"/>
  <c r="R68" i="9"/>
  <c r="R70" i="9"/>
  <c r="R71" i="9"/>
  <c r="R72" i="9"/>
  <c r="R73" i="9"/>
  <c r="R74" i="9"/>
  <c r="R75" i="9"/>
  <c r="R76" i="9"/>
  <c r="R77" i="9"/>
  <c r="R78" i="9"/>
  <c r="R79" i="9"/>
  <c r="R80" i="9"/>
  <c r="R81" i="9"/>
  <c r="R82" i="9"/>
  <c r="R83" i="9"/>
  <c r="R84" i="9"/>
  <c r="R86" i="9"/>
  <c r="V86" i="9" s="1"/>
  <c r="R87" i="9"/>
  <c r="R88" i="9"/>
  <c r="R90" i="9"/>
  <c r="R91" i="9"/>
  <c r="R92" i="9"/>
  <c r="R93" i="9"/>
  <c r="R94" i="9"/>
  <c r="V94" i="9" s="1"/>
  <c r="R95" i="9"/>
  <c r="R96" i="9"/>
  <c r="R97" i="9"/>
  <c r="R98" i="9"/>
  <c r="R99" i="9"/>
  <c r="R101" i="9"/>
  <c r="R102" i="9"/>
  <c r="R103" i="9"/>
  <c r="R104" i="9"/>
  <c r="R105" i="9"/>
  <c r="R106" i="9"/>
  <c r="R107" i="9"/>
  <c r="R108" i="9"/>
  <c r="R109" i="9"/>
  <c r="R110" i="9"/>
  <c r="R111" i="9"/>
  <c r="R112" i="9"/>
  <c r="R113" i="9"/>
  <c r="R114" i="9"/>
  <c r="R115" i="9"/>
  <c r="R116" i="9"/>
  <c r="R117" i="9"/>
  <c r="R118" i="9"/>
  <c r="R119" i="9"/>
  <c r="R120" i="9"/>
  <c r="R122" i="9"/>
  <c r="R123" i="9"/>
  <c r="R124" i="9"/>
  <c r="R125" i="9"/>
  <c r="R126" i="9"/>
  <c r="R127" i="9"/>
  <c r="R128" i="9"/>
  <c r="R129" i="9"/>
  <c r="R130" i="9"/>
  <c r="R131" i="9"/>
  <c r="R132" i="9"/>
  <c r="R133" i="9"/>
  <c r="R134" i="9"/>
  <c r="R135" i="9"/>
  <c r="R136" i="9"/>
  <c r="R137" i="9"/>
  <c r="R138" i="9"/>
  <c r="R139" i="9"/>
  <c r="R140" i="9"/>
  <c r="R141" i="9"/>
  <c r="R142" i="9"/>
  <c r="R143" i="9"/>
  <c r="R144" i="9"/>
  <c r="R145" i="9"/>
  <c r="R146" i="9"/>
  <c r="R147" i="9"/>
  <c r="R148" i="9"/>
  <c r="R149" i="9"/>
  <c r="R150" i="9"/>
  <c r="R151" i="9"/>
  <c r="R152" i="9"/>
  <c r="R153" i="9"/>
  <c r="R154" i="9"/>
  <c r="R155" i="9"/>
  <c r="R156" i="9"/>
  <c r="R157" i="9"/>
  <c r="R158" i="9"/>
  <c r="R159" i="9"/>
  <c r="R160" i="9"/>
  <c r="R161" i="9"/>
  <c r="R162" i="9"/>
  <c r="R163" i="9"/>
  <c r="R164" i="9"/>
  <c r="R165" i="9"/>
  <c r="R166" i="9"/>
  <c r="R167" i="9"/>
  <c r="R168" i="9"/>
  <c r="R169" i="9"/>
  <c r="R170" i="9"/>
  <c r="R171" i="9"/>
  <c r="R172" i="9"/>
  <c r="R173" i="9"/>
  <c r="R174" i="9"/>
  <c r="R175" i="9"/>
  <c r="R176" i="9"/>
  <c r="R177" i="9"/>
  <c r="R178" i="9"/>
  <c r="R179" i="9"/>
  <c r="R180" i="9"/>
  <c r="R181" i="9"/>
  <c r="R182" i="9"/>
  <c r="R183" i="9"/>
  <c r="R184" i="9"/>
  <c r="R185" i="9"/>
  <c r="R186" i="9"/>
  <c r="R187" i="9"/>
  <c r="R188" i="9"/>
  <c r="R189" i="9"/>
  <c r="R190" i="9"/>
  <c r="R191" i="9"/>
  <c r="R192" i="9"/>
  <c r="R193" i="9"/>
  <c r="R194" i="9"/>
  <c r="R195" i="9"/>
  <c r="R196" i="9"/>
  <c r="R197" i="9"/>
  <c r="R198" i="9"/>
  <c r="R199" i="9"/>
  <c r="R200" i="9"/>
  <c r="R202" i="9"/>
  <c r="R203" i="9"/>
  <c r="R204" i="9"/>
  <c r="R205" i="9"/>
  <c r="R206" i="9"/>
  <c r="R207" i="9"/>
  <c r="R208" i="9"/>
  <c r="R209" i="9"/>
  <c r="R210" i="9"/>
  <c r="R211" i="9"/>
  <c r="R212" i="9"/>
  <c r="R213" i="9"/>
  <c r="R214" i="9"/>
  <c r="R215" i="9"/>
  <c r="R216" i="9"/>
  <c r="R217" i="9"/>
  <c r="R218" i="9"/>
  <c r="R219" i="9"/>
  <c r="R220" i="9"/>
  <c r="R221" i="9"/>
  <c r="R222" i="9"/>
  <c r="R223" i="9"/>
  <c r="V223" i="9" s="1"/>
  <c r="R224" i="9"/>
  <c r="R225" i="9"/>
  <c r="R226" i="9"/>
  <c r="R227" i="9"/>
  <c r="R228" i="9"/>
  <c r="R229" i="9"/>
  <c r="R230" i="9"/>
  <c r="R231" i="9"/>
  <c r="R232" i="9"/>
  <c r="R233" i="9"/>
  <c r="R234" i="9"/>
  <c r="R235" i="9"/>
  <c r="R236" i="9"/>
  <c r="R237" i="9"/>
  <c r="R238" i="9"/>
  <c r="R239" i="9"/>
  <c r="R240" i="9"/>
  <c r="R241" i="9"/>
  <c r="R242" i="9"/>
  <c r="R243" i="9"/>
  <c r="R244" i="9"/>
  <c r="R245" i="9"/>
  <c r="R246" i="9"/>
  <c r="R247" i="9"/>
  <c r="R248" i="9"/>
  <c r="R249" i="9"/>
  <c r="R250" i="9"/>
  <c r="R251" i="9"/>
  <c r="R252" i="9"/>
  <c r="R253" i="9"/>
  <c r="R254" i="9"/>
  <c r="R255" i="9"/>
  <c r="R256" i="9"/>
  <c r="R257" i="9"/>
  <c r="R258" i="9"/>
  <c r="R259" i="9"/>
  <c r="R260" i="9"/>
  <c r="R261" i="9"/>
  <c r="R262" i="9"/>
  <c r="R263" i="9"/>
  <c r="R264" i="9"/>
  <c r="R265" i="9"/>
  <c r="R266" i="9"/>
  <c r="R267" i="9"/>
  <c r="R268" i="9"/>
  <c r="R269" i="9"/>
  <c r="R270" i="9"/>
  <c r="R271" i="9"/>
  <c r="R272" i="9"/>
  <c r="R273" i="9"/>
  <c r="R274" i="9"/>
  <c r="R275" i="9"/>
  <c r="R276" i="9"/>
  <c r="R277" i="9"/>
  <c r="R278" i="9"/>
  <c r="R279" i="9"/>
  <c r="R280" i="9"/>
  <c r="R281" i="9"/>
  <c r="R282" i="9"/>
  <c r="R283" i="9"/>
  <c r="R284" i="9"/>
  <c r="R285" i="9"/>
  <c r="R286" i="9"/>
  <c r="R287" i="9"/>
  <c r="R288" i="9"/>
  <c r="R289" i="9"/>
  <c r="R290" i="9"/>
  <c r="R291" i="9"/>
  <c r="R292" i="9"/>
  <c r="R293" i="9"/>
  <c r="R294" i="9"/>
  <c r="R295" i="9"/>
  <c r="R296" i="9"/>
  <c r="R297" i="9"/>
  <c r="R298" i="9"/>
  <c r="R299" i="9"/>
  <c r="R300" i="9"/>
  <c r="R301" i="9"/>
  <c r="R302" i="9"/>
  <c r="R303" i="9"/>
  <c r="R304" i="9"/>
  <c r="R305" i="9"/>
  <c r="R306" i="9"/>
  <c r="R307" i="9"/>
  <c r="R308" i="9"/>
  <c r="R309" i="9"/>
  <c r="R310" i="9"/>
  <c r="R311" i="9"/>
  <c r="R312" i="9"/>
  <c r="R313" i="9"/>
  <c r="R314" i="9"/>
  <c r="R315" i="9"/>
  <c r="R316" i="9"/>
  <c r="R317" i="9"/>
  <c r="R318" i="9"/>
  <c r="R319" i="9"/>
  <c r="R320" i="9"/>
  <c r="R321" i="9"/>
  <c r="R322" i="9"/>
  <c r="R323" i="9"/>
  <c r="R324" i="9"/>
  <c r="R325" i="9"/>
  <c r="R326" i="9"/>
  <c r="R327" i="9"/>
  <c r="R328" i="9"/>
  <c r="R329" i="9"/>
  <c r="R330" i="9"/>
  <c r="R331" i="9"/>
  <c r="R332" i="9"/>
  <c r="R333" i="9"/>
  <c r="R334" i="9"/>
  <c r="R335" i="9"/>
  <c r="R336" i="9"/>
  <c r="L336" i="9" s="1"/>
  <c r="N336" i="9" s="1"/>
  <c r="R337" i="9"/>
  <c r="R338" i="9"/>
  <c r="R339" i="9"/>
  <c r="R340" i="9"/>
  <c r="R341" i="9"/>
  <c r="R342" i="9"/>
  <c r="R343" i="9"/>
  <c r="R344" i="9"/>
  <c r="R345" i="9"/>
  <c r="R346" i="9"/>
  <c r="R347" i="9"/>
  <c r="R348" i="9"/>
  <c r="R349" i="9"/>
  <c r="R350" i="9"/>
  <c r="R351" i="9"/>
  <c r="R352" i="9"/>
  <c r="R353" i="9"/>
  <c r="R354" i="9"/>
  <c r="R355" i="9"/>
  <c r="R356" i="9"/>
  <c r="R357" i="9"/>
  <c r="R358" i="9"/>
  <c r="R359" i="9"/>
  <c r="R360" i="9"/>
  <c r="R361" i="9"/>
  <c r="R362" i="9"/>
  <c r="R363" i="9"/>
  <c r="R364" i="9"/>
  <c r="R365" i="9"/>
  <c r="R366" i="9"/>
  <c r="R367" i="9"/>
  <c r="R368" i="9"/>
  <c r="R369" i="9"/>
  <c r="R370" i="9"/>
  <c r="R371" i="9"/>
  <c r="R372" i="9"/>
  <c r="R373" i="9"/>
  <c r="R374" i="9"/>
  <c r="R375" i="9"/>
  <c r="R376" i="9"/>
  <c r="R377" i="9"/>
  <c r="R378" i="9"/>
  <c r="R379" i="9"/>
  <c r="R380" i="9"/>
  <c r="R381" i="9"/>
  <c r="R382" i="9"/>
  <c r="R383" i="9"/>
  <c r="R384" i="9"/>
  <c r="R385" i="9"/>
  <c r="R386" i="9"/>
  <c r="R387" i="9"/>
  <c r="R388" i="9"/>
  <c r="R389" i="9"/>
  <c r="R390" i="9"/>
  <c r="R391" i="9"/>
  <c r="R392" i="9"/>
  <c r="R393" i="9"/>
  <c r="R394" i="9"/>
  <c r="R395" i="9"/>
  <c r="R396" i="9"/>
  <c r="R397" i="9"/>
  <c r="R398" i="9"/>
  <c r="R399" i="9"/>
  <c r="R400" i="9"/>
  <c r="R401" i="9"/>
  <c r="R402" i="9"/>
  <c r="R403" i="9"/>
  <c r="R404" i="9"/>
  <c r="R405" i="9"/>
  <c r="R406" i="9"/>
  <c r="R407" i="9"/>
  <c r="R408" i="9"/>
  <c r="R409" i="9"/>
  <c r="R410" i="9"/>
  <c r="R411" i="9"/>
  <c r="R412" i="9"/>
  <c r="R413" i="9"/>
  <c r="R414" i="9"/>
  <c r="R415" i="9"/>
  <c r="R416" i="9"/>
  <c r="R417" i="9"/>
  <c r="R418" i="9"/>
  <c r="R419" i="9"/>
  <c r="R420" i="9"/>
  <c r="R421" i="9"/>
  <c r="R422" i="9"/>
  <c r="R423" i="9"/>
  <c r="R424" i="9"/>
  <c r="R425" i="9"/>
  <c r="R426" i="9"/>
  <c r="R427" i="9"/>
  <c r="R428" i="9"/>
  <c r="R429" i="9"/>
  <c r="R430" i="9"/>
  <c r="R431" i="9"/>
  <c r="R432" i="9"/>
  <c r="R433" i="9"/>
  <c r="R434" i="9"/>
  <c r="R435" i="9"/>
  <c r="R436" i="9"/>
  <c r="R437" i="9"/>
  <c r="R438" i="9"/>
  <c r="R7" i="9"/>
  <c r="T92" i="9"/>
  <c r="T48" i="9"/>
  <c r="U325" i="9"/>
  <c r="U222" i="9"/>
  <c r="U155" i="9"/>
  <c r="U121" i="9"/>
  <c r="U92" i="9"/>
  <c r="U69" i="9"/>
  <c r="U48" i="9"/>
  <c r="U46" i="9"/>
  <c r="U44" i="9"/>
  <c r="U16" i="9"/>
  <c r="U17" i="9"/>
  <c r="U21" i="9"/>
  <c r="U23" i="9"/>
  <c r="U24" i="9"/>
  <c r="U25" i="9"/>
  <c r="U26" i="9"/>
  <c r="U29" i="9"/>
  <c r="U30" i="9"/>
  <c r="U32" i="9"/>
  <c r="U33" i="9"/>
  <c r="U34" i="9"/>
  <c r="U36" i="9"/>
  <c r="U38" i="9"/>
  <c r="U39" i="9"/>
  <c r="U41" i="9"/>
  <c r="U42" i="9"/>
  <c r="U43" i="9"/>
  <c r="U45" i="9"/>
  <c r="U47" i="9"/>
  <c r="U49" i="9"/>
  <c r="U50" i="9"/>
  <c r="U51" i="9"/>
  <c r="U52" i="9"/>
  <c r="U53" i="9"/>
  <c r="U54" i="9"/>
  <c r="U55" i="9"/>
  <c r="U56" i="9"/>
  <c r="U58" i="9"/>
  <c r="U59" i="9"/>
  <c r="U61" i="9"/>
  <c r="U62" i="9"/>
  <c r="U63" i="9"/>
  <c r="U64" i="9"/>
  <c r="U65" i="9"/>
  <c r="U66" i="9"/>
  <c r="U67" i="9"/>
  <c r="U68" i="9"/>
  <c r="U70" i="9"/>
  <c r="U71" i="9"/>
  <c r="U72" i="9"/>
  <c r="U73" i="9"/>
  <c r="U76" i="9"/>
  <c r="U77" i="9"/>
  <c r="U78" i="9"/>
  <c r="U79" i="9"/>
  <c r="U80" i="9"/>
  <c r="U81" i="9"/>
  <c r="U82" i="9"/>
  <c r="U83" i="9"/>
  <c r="U84" i="9"/>
  <c r="U87" i="9"/>
  <c r="U88" i="9"/>
  <c r="U90" i="9"/>
  <c r="U91" i="9"/>
  <c r="U93" i="9"/>
  <c r="U95" i="9"/>
  <c r="U96" i="9"/>
  <c r="U98" i="9"/>
  <c r="U101" i="9"/>
  <c r="U102" i="9"/>
  <c r="U103" i="9"/>
  <c r="U104" i="9"/>
  <c r="U105" i="9"/>
  <c r="U106" i="9"/>
  <c r="U107" i="9"/>
  <c r="U108" i="9"/>
  <c r="U109" i="9"/>
  <c r="U110" i="9"/>
  <c r="U111" i="9"/>
  <c r="U112" i="9"/>
  <c r="U113" i="9"/>
  <c r="U114" i="9"/>
  <c r="U116" i="9"/>
  <c r="U117" i="9"/>
  <c r="U118" i="9"/>
  <c r="U119" i="9"/>
  <c r="U120" i="9"/>
  <c r="U122" i="9"/>
  <c r="U123" i="9"/>
  <c r="U124" i="9"/>
  <c r="U125" i="9"/>
  <c r="U126" i="9"/>
  <c r="U127" i="9"/>
  <c r="U128" i="9"/>
  <c r="U129" i="9"/>
  <c r="U130" i="9"/>
  <c r="U131" i="9"/>
  <c r="U132" i="9"/>
  <c r="U133" i="9"/>
  <c r="U134" i="9"/>
  <c r="U135" i="9"/>
  <c r="U137" i="9"/>
  <c r="U138" i="9"/>
  <c r="U139" i="9"/>
  <c r="U140" i="9"/>
  <c r="U141" i="9"/>
  <c r="U142" i="9"/>
  <c r="U143" i="9"/>
  <c r="U144" i="9"/>
  <c r="U145" i="9"/>
  <c r="U146" i="9"/>
  <c r="U147" i="9"/>
  <c r="U148" i="9"/>
  <c r="U149" i="9"/>
  <c r="U150" i="9"/>
  <c r="U151" i="9"/>
  <c r="U152" i="9"/>
  <c r="U153" i="9"/>
  <c r="U154" i="9"/>
  <c r="U156" i="9"/>
  <c r="U158" i="9"/>
  <c r="U160" i="9"/>
  <c r="U161" i="9"/>
  <c r="U162" i="9"/>
  <c r="U163" i="9"/>
  <c r="U164" i="9"/>
  <c r="U165" i="9"/>
  <c r="U166" i="9"/>
  <c r="U167" i="9"/>
  <c r="U168" i="9"/>
  <c r="U169" i="9"/>
  <c r="U170" i="9"/>
  <c r="U171" i="9"/>
  <c r="U172" i="9"/>
  <c r="U174" i="9"/>
  <c r="U175" i="9"/>
  <c r="U176" i="9"/>
  <c r="U177" i="9"/>
  <c r="U178" i="9"/>
  <c r="U179" i="9"/>
  <c r="U180" i="9"/>
  <c r="U181" i="9"/>
  <c r="U182" i="9"/>
  <c r="U183" i="9"/>
  <c r="U184" i="9"/>
  <c r="U185" i="9"/>
  <c r="U186" i="9"/>
  <c r="U187" i="9"/>
  <c r="U188" i="9"/>
  <c r="U189" i="9"/>
  <c r="U190" i="9"/>
  <c r="U191" i="9"/>
  <c r="U192" i="9"/>
  <c r="U193" i="9"/>
  <c r="U194" i="9"/>
  <c r="U195" i="9"/>
  <c r="U196" i="9"/>
  <c r="U197" i="9"/>
  <c r="U198" i="9"/>
  <c r="U199" i="9"/>
  <c r="U200" i="9"/>
  <c r="U201" i="9"/>
  <c r="U202" i="9"/>
  <c r="U203" i="9"/>
  <c r="U204" i="9"/>
  <c r="U205" i="9"/>
  <c r="U206" i="9"/>
  <c r="U207" i="9"/>
  <c r="U208" i="9"/>
  <c r="U209" i="9"/>
  <c r="U210" i="9"/>
  <c r="U211" i="9"/>
  <c r="U212" i="9"/>
  <c r="U213" i="9"/>
  <c r="U214" i="9"/>
  <c r="U215" i="9"/>
  <c r="U216" i="9"/>
  <c r="U217" i="9"/>
  <c r="U218" i="9"/>
  <c r="U219" i="9"/>
  <c r="U220" i="9"/>
  <c r="U224" i="9"/>
  <c r="U225" i="9"/>
  <c r="U226" i="9"/>
  <c r="U227" i="9"/>
  <c r="U228" i="9"/>
  <c r="U229" i="9"/>
  <c r="U231" i="9"/>
  <c r="U232" i="9"/>
  <c r="U233" i="9"/>
  <c r="U234" i="9"/>
  <c r="U235" i="9"/>
  <c r="U236" i="9"/>
  <c r="U237" i="9"/>
  <c r="U238" i="9"/>
  <c r="U239" i="9"/>
  <c r="U240" i="9"/>
  <c r="U241" i="9"/>
  <c r="U242" i="9"/>
  <c r="U243" i="9"/>
  <c r="U244" i="9"/>
  <c r="U245" i="9"/>
  <c r="U246" i="9"/>
  <c r="U247" i="9"/>
  <c r="U248" i="9"/>
  <c r="U249" i="9"/>
  <c r="U250" i="9"/>
  <c r="U251" i="9"/>
  <c r="U252" i="9"/>
  <c r="U253" i="9"/>
  <c r="U254" i="9"/>
  <c r="U255" i="9"/>
  <c r="U256" i="9"/>
  <c r="U257" i="9"/>
  <c r="U259" i="9"/>
  <c r="U260" i="9"/>
  <c r="U261" i="9"/>
  <c r="U262" i="9"/>
  <c r="U263" i="9"/>
  <c r="U264" i="9"/>
  <c r="U265" i="9"/>
  <c r="U266" i="9"/>
  <c r="U267" i="9"/>
  <c r="U268" i="9"/>
  <c r="U269" i="9"/>
  <c r="U270" i="9"/>
  <c r="U271" i="9"/>
  <c r="U272" i="9"/>
  <c r="U273" i="9"/>
  <c r="U274" i="9"/>
  <c r="U275" i="9"/>
  <c r="U276" i="9"/>
  <c r="U277" i="9"/>
  <c r="U278" i="9"/>
  <c r="U279" i="9"/>
  <c r="U280" i="9"/>
  <c r="U281" i="9"/>
  <c r="U282" i="9"/>
  <c r="U283" i="9"/>
  <c r="U284" i="9"/>
  <c r="U285" i="9"/>
  <c r="U286" i="9"/>
  <c r="U287" i="9"/>
  <c r="U288" i="9"/>
  <c r="U289" i="9"/>
  <c r="U290" i="9"/>
  <c r="U291" i="9"/>
  <c r="U292" i="9"/>
  <c r="U293" i="9"/>
  <c r="U294" i="9"/>
  <c r="U295" i="9"/>
  <c r="U296" i="9"/>
  <c r="U297" i="9"/>
  <c r="U298" i="9"/>
  <c r="U299" i="9"/>
  <c r="U300" i="9"/>
  <c r="U301" i="9"/>
  <c r="U302" i="9"/>
  <c r="U303" i="9"/>
  <c r="U304" i="9"/>
  <c r="U305" i="9"/>
  <c r="U306" i="9"/>
  <c r="U307" i="9"/>
  <c r="U308" i="9"/>
  <c r="U309" i="9"/>
  <c r="U310" i="9"/>
  <c r="U311" i="9"/>
  <c r="U312" i="9"/>
  <c r="U313" i="9"/>
  <c r="U314" i="9"/>
  <c r="U315" i="9"/>
  <c r="U316" i="9"/>
  <c r="U317" i="9"/>
  <c r="U318" i="9"/>
  <c r="U319" i="9"/>
  <c r="U320" i="9"/>
  <c r="U321" i="9"/>
  <c r="U322" i="9"/>
  <c r="U323" i="9"/>
  <c r="U324" i="9"/>
  <c r="U326" i="9"/>
  <c r="U327" i="9"/>
  <c r="U328" i="9"/>
  <c r="U329" i="9"/>
  <c r="U330" i="9"/>
  <c r="U331" i="9"/>
  <c r="U332" i="9"/>
  <c r="U333" i="9"/>
  <c r="U334" i="9"/>
  <c r="U335" i="9"/>
  <c r="U336" i="9"/>
  <c r="U337" i="9"/>
  <c r="U338" i="9"/>
  <c r="U339" i="9"/>
  <c r="U340" i="9"/>
  <c r="U341" i="9"/>
  <c r="U342" i="9"/>
  <c r="U343" i="9"/>
  <c r="U344" i="9"/>
  <c r="U345" i="9"/>
  <c r="U346" i="9"/>
  <c r="U347" i="9"/>
  <c r="U348" i="9"/>
  <c r="U349" i="9"/>
  <c r="U350" i="9"/>
  <c r="U351" i="9"/>
  <c r="U352" i="9"/>
  <c r="U353" i="9"/>
  <c r="U354" i="9"/>
  <c r="U355" i="9"/>
  <c r="U356" i="9"/>
  <c r="U357" i="9"/>
  <c r="U358" i="9"/>
  <c r="U359" i="9"/>
  <c r="U360" i="9"/>
  <c r="U361" i="9"/>
  <c r="U362" i="9"/>
  <c r="U363" i="9"/>
  <c r="U364" i="9"/>
  <c r="U365" i="9"/>
  <c r="U366" i="9"/>
  <c r="U367" i="9"/>
  <c r="U368" i="9"/>
  <c r="U369" i="9"/>
  <c r="U370" i="9"/>
  <c r="U371" i="9"/>
  <c r="U372" i="9"/>
  <c r="U373" i="9"/>
  <c r="U374" i="9"/>
  <c r="U375" i="9"/>
  <c r="U376" i="9"/>
  <c r="U377" i="9"/>
  <c r="U378" i="9"/>
  <c r="U379" i="9"/>
  <c r="U380" i="9"/>
  <c r="U381" i="9"/>
  <c r="U382" i="9"/>
  <c r="U383" i="9"/>
  <c r="U384" i="9"/>
  <c r="U385" i="9"/>
  <c r="U386" i="9"/>
  <c r="U387" i="9"/>
  <c r="U388" i="9"/>
  <c r="U389" i="9"/>
  <c r="U390" i="9"/>
  <c r="U391" i="9"/>
  <c r="U392" i="9"/>
  <c r="U393" i="9"/>
  <c r="U394" i="9"/>
  <c r="U395" i="9"/>
  <c r="U396" i="9"/>
  <c r="U397" i="9"/>
  <c r="U398" i="9"/>
  <c r="U399" i="9"/>
  <c r="U400" i="9"/>
  <c r="U401" i="9"/>
  <c r="U402" i="9"/>
  <c r="U403" i="9"/>
  <c r="U404" i="9"/>
  <c r="U405" i="9"/>
  <c r="U406" i="9"/>
  <c r="U407" i="9"/>
  <c r="U408" i="9"/>
  <c r="U409" i="9"/>
  <c r="U410" i="9"/>
  <c r="U411" i="9"/>
  <c r="U412" i="9"/>
  <c r="U413" i="9"/>
  <c r="U414" i="9"/>
  <c r="U415" i="9"/>
  <c r="U416" i="9"/>
  <c r="U417" i="9"/>
  <c r="U418" i="9"/>
  <c r="U419" i="9"/>
  <c r="U420" i="9"/>
  <c r="U421" i="9"/>
  <c r="U422" i="9"/>
  <c r="U423" i="9"/>
  <c r="U424" i="9"/>
  <c r="U425" i="9"/>
  <c r="U426" i="9"/>
  <c r="U427" i="9"/>
  <c r="U428" i="9"/>
  <c r="U429" i="9"/>
  <c r="U430" i="9"/>
  <c r="U431" i="9"/>
  <c r="U432" i="9"/>
  <c r="U433" i="9"/>
  <c r="U434" i="9"/>
  <c r="U435" i="9"/>
  <c r="U436" i="9"/>
  <c r="U437" i="9"/>
  <c r="U438" i="9"/>
  <c r="T17" i="9"/>
  <c r="T18" i="9"/>
  <c r="T21" i="9"/>
  <c r="T23" i="9"/>
  <c r="T24" i="9"/>
  <c r="T25" i="9"/>
  <c r="T26" i="9"/>
  <c r="T27" i="9"/>
  <c r="T28" i="9"/>
  <c r="T29" i="9"/>
  <c r="T30" i="9"/>
  <c r="T32" i="9"/>
  <c r="T33" i="9"/>
  <c r="T34" i="9"/>
  <c r="T36" i="9"/>
  <c r="T37" i="9"/>
  <c r="T38" i="9"/>
  <c r="T39" i="9"/>
  <c r="T41" i="9"/>
  <c r="T42" i="9"/>
  <c r="T43" i="9"/>
  <c r="T44" i="9"/>
  <c r="T45" i="9"/>
  <c r="T46" i="9"/>
  <c r="T47" i="9"/>
  <c r="T49" i="9"/>
  <c r="T50" i="9"/>
  <c r="T51" i="9"/>
  <c r="T52" i="9"/>
  <c r="T53" i="9"/>
  <c r="T54" i="9"/>
  <c r="T55" i="9"/>
  <c r="T56" i="9"/>
  <c r="T58" i="9"/>
  <c r="T59" i="9"/>
  <c r="T61" i="9"/>
  <c r="T62" i="9"/>
  <c r="T63" i="9"/>
  <c r="T64" i="9"/>
  <c r="T65" i="9"/>
  <c r="T66" i="9"/>
  <c r="T67" i="9"/>
  <c r="T68" i="9"/>
  <c r="T69" i="9"/>
  <c r="T70" i="9"/>
  <c r="T71" i="9"/>
  <c r="T72" i="9"/>
  <c r="T73" i="9"/>
  <c r="T76" i="9"/>
  <c r="T77" i="9"/>
  <c r="T78" i="9"/>
  <c r="T79" i="9"/>
  <c r="T80" i="9"/>
  <c r="T81" i="9"/>
  <c r="T82" i="9"/>
  <c r="T83" i="9"/>
  <c r="T84" i="9"/>
  <c r="T85" i="9"/>
  <c r="T87" i="9"/>
  <c r="T88" i="9"/>
  <c r="T89" i="9"/>
  <c r="T90" i="9"/>
  <c r="T91" i="9"/>
  <c r="T93" i="9"/>
  <c r="T95" i="9"/>
  <c r="T96" i="9"/>
  <c r="T98" i="9"/>
  <c r="T101" i="9"/>
  <c r="T102" i="9"/>
  <c r="T103" i="9"/>
  <c r="T104" i="9"/>
  <c r="T105" i="9"/>
  <c r="T106" i="9"/>
  <c r="T107" i="9"/>
  <c r="T108" i="9"/>
  <c r="T109" i="9"/>
  <c r="T110" i="9"/>
  <c r="T111" i="9"/>
  <c r="T112" i="9"/>
  <c r="T114" i="9"/>
  <c r="T115" i="9"/>
  <c r="T116" i="9"/>
  <c r="T117" i="9"/>
  <c r="T118" i="9"/>
  <c r="T119" i="9"/>
  <c r="T120" i="9"/>
  <c r="T121" i="9"/>
  <c r="T122" i="9"/>
  <c r="T123" i="9"/>
  <c r="T124" i="9"/>
  <c r="T125" i="9"/>
  <c r="T126" i="9"/>
  <c r="T127" i="9"/>
  <c r="T128" i="9"/>
  <c r="T129" i="9"/>
  <c r="T130" i="9"/>
  <c r="T131" i="9"/>
  <c r="T132" i="9"/>
  <c r="T133" i="9"/>
  <c r="T134" i="9"/>
  <c r="T135" i="9"/>
  <c r="T136" i="9"/>
  <c r="T137" i="9"/>
  <c r="T138" i="9"/>
  <c r="T139" i="9"/>
  <c r="T140" i="9"/>
  <c r="T141" i="9"/>
  <c r="T142" i="9"/>
  <c r="T143" i="9"/>
  <c r="T144" i="9"/>
  <c r="T145" i="9"/>
  <c r="T146" i="9"/>
  <c r="T147" i="9"/>
  <c r="T148" i="9"/>
  <c r="T149" i="9"/>
  <c r="T150" i="9"/>
  <c r="T151" i="9"/>
  <c r="T152" i="9"/>
  <c r="T153" i="9"/>
  <c r="T154" i="9"/>
  <c r="T155" i="9"/>
  <c r="T156" i="9"/>
  <c r="T158" i="9"/>
  <c r="T160" i="9"/>
  <c r="T161" i="9"/>
  <c r="T162" i="9"/>
  <c r="T163" i="9"/>
  <c r="T164" i="9"/>
  <c r="T165" i="9"/>
  <c r="T166" i="9"/>
  <c r="T167" i="9"/>
  <c r="T168" i="9"/>
  <c r="T169" i="9"/>
  <c r="T170" i="9"/>
  <c r="T171" i="9"/>
  <c r="T172" i="9"/>
  <c r="T174" i="9"/>
  <c r="T175" i="9"/>
  <c r="T176" i="9"/>
  <c r="T177" i="9"/>
  <c r="T178" i="9"/>
  <c r="T179" i="9"/>
  <c r="T180" i="9"/>
  <c r="T181" i="9"/>
  <c r="T182" i="9"/>
  <c r="T183" i="9"/>
  <c r="T184" i="9"/>
  <c r="T185" i="9"/>
  <c r="T186" i="9"/>
  <c r="T187" i="9"/>
  <c r="T188" i="9"/>
  <c r="T189" i="9"/>
  <c r="T190" i="9"/>
  <c r="T191" i="9"/>
  <c r="T192" i="9"/>
  <c r="T193" i="9"/>
  <c r="T194" i="9"/>
  <c r="T195" i="9"/>
  <c r="T196" i="9"/>
  <c r="T197" i="9"/>
  <c r="T198" i="9"/>
  <c r="T199" i="9"/>
  <c r="T200" i="9"/>
  <c r="T201" i="9"/>
  <c r="T202" i="9"/>
  <c r="T203" i="9"/>
  <c r="T204" i="9"/>
  <c r="T205" i="9"/>
  <c r="T206" i="9"/>
  <c r="T207" i="9"/>
  <c r="T208" i="9"/>
  <c r="T209" i="9"/>
  <c r="T210" i="9"/>
  <c r="T211" i="9"/>
  <c r="T212" i="9"/>
  <c r="T213" i="9"/>
  <c r="T214" i="9"/>
  <c r="T215" i="9"/>
  <c r="T216" i="9"/>
  <c r="T217" i="9"/>
  <c r="T218" i="9"/>
  <c r="T219" i="9"/>
  <c r="T220" i="9"/>
  <c r="T221" i="9"/>
  <c r="T222" i="9"/>
  <c r="T224" i="9"/>
  <c r="T225" i="9"/>
  <c r="T226" i="9"/>
  <c r="T227" i="9"/>
  <c r="T228" i="9"/>
  <c r="T229" i="9"/>
  <c r="T231" i="9"/>
  <c r="T232" i="9"/>
  <c r="T233" i="9"/>
  <c r="T234" i="9"/>
  <c r="T235" i="9"/>
  <c r="T236" i="9"/>
  <c r="T237" i="9"/>
  <c r="T238" i="9"/>
  <c r="T239" i="9"/>
  <c r="T240" i="9"/>
  <c r="T241" i="9"/>
  <c r="T242" i="9"/>
  <c r="T243" i="9"/>
  <c r="T244" i="9"/>
  <c r="T245" i="9"/>
  <c r="T246" i="9"/>
  <c r="T247" i="9"/>
  <c r="T248" i="9"/>
  <c r="T249" i="9"/>
  <c r="T250" i="9"/>
  <c r="T251" i="9"/>
  <c r="T252" i="9"/>
  <c r="T253" i="9"/>
  <c r="T254" i="9"/>
  <c r="T255" i="9"/>
  <c r="T256" i="9"/>
  <c r="T257" i="9"/>
  <c r="T258" i="9"/>
  <c r="T259" i="9"/>
  <c r="T260" i="9"/>
  <c r="T261" i="9"/>
  <c r="T262" i="9"/>
  <c r="T263" i="9"/>
  <c r="T264" i="9"/>
  <c r="T265" i="9"/>
  <c r="T266" i="9"/>
  <c r="T267" i="9"/>
  <c r="T268" i="9"/>
  <c r="T269" i="9"/>
  <c r="T270" i="9"/>
  <c r="T271" i="9"/>
  <c r="T272" i="9"/>
  <c r="T273" i="9"/>
  <c r="T274" i="9"/>
  <c r="T275" i="9"/>
  <c r="T276" i="9"/>
  <c r="T277" i="9"/>
  <c r="T278" i="9"/>
  <c r="T279" i="9"/>
  <c r="T280" i="9"/>
  <c r="T281" i="9"/>
  <c r="T282" i="9"/>
  <c r="T283" i="9"/>
  <c r="T284" i="9"/>
  <c r="T285" i="9"/>
  <c r="T286" i="9"/>
  <c r="T287" i="9"/>
  <c r="T288" i="9"/>
  <c r="T289" i="9"/>
  <c r="T290" i="9"/>
  <c r="T291" i="9"/>
  <c r="T292" i="9"/>
  <c r="T293" i="9"/>
  <c r="T294" i="9"/>
  <c r="T295" i="9"/>
  <c r="T296" i="9"/>
  <c r="T297" i="9"/>
  <c r="T298" i="9"/>
  <c r="T299" i="9"/>
  <c r="T300" i="9"/>
  <c r="T301" i="9"/>
  <c r="T302" i="9"/>
  <c r="T303" i="9"/>
  <c r="T304" i="9"/>
  <c r="T305" i="9"/>
  <c r="T306" i="9"/>
  <c r="T307" i="9"/>
  <c r="T308" i="9"/>
  <c r="T309" i="9"/>
  <c r="T310" i="9"/>
  <c r="T311" i="9"/>
  <c r="T312" i="9"/>
  <c r="T313" i="9"/>
  <c r="T314" i="9"/>
  <c r="T315" i="9"/>
  <c r="T316" i="9"/>
  <c r="T317" i="9"/>
  <c r="T318" i="9"/>
  <c r="T319" i="9"/>
  <c r="T320" i="9"/>
  <c r="T321" i="9"/>
  <c r="T322" i="9"/>
  <c r="T323" i="9"/>
  <c r="T324" i="9"/>
  <c r="T325" i="9"/>
  <c r="T326" i="9"/>
  <c r="T327" i="9"/>
  <c r="T328" i="9"/>
  <c r="T329" i="9"/>
  <c r="T330" i="9"/>
  <c r="T331" i="9"/>
  <c r="T332" i="9"/>
  <c r="T333" i="9"/>
  <c r="T334" i="9"/>
  <c r="T335" i="9"/>
  <c r="T336" i="9"/>
  <c r="T337" i="9"/>
  <c r="T338" i="9"/>
  <c r="T339" i="9"/>
  <c r="T340" i="9"/>
  <c r="T341" i="9"/>
  <c r="T342" i="9"/>
  <c r="T343" i="9"/>
  <c r="T344" i="9"/>
  <c r="T345" i="9"/>
  <c r="T346" i="9"/>
  <c r="T347" i="9"/>
  <c r="T348" i="9"/>
  <c r="T349" i="9"/>
  <c r="T350" i="9"/>
  <c r="T351" i="9"/>
  <c r="T352" i="9"/>
  <c r="T353" i="9"/>
  <c r="T354" i="9"/>
  <c r="T355" i="9"/>
  <c r="T356" i="9"/>
  <c r="T357" i="9"/>
  <c r="T358" i="9"/>
  <c r="T359" i="9"/>
  <c r="T360" i="9"/>
  <c r="T361" i="9"/>
  <c r="T362" i="9"/>
  <c r="T363" i="9"/>
  <c r="T364" i="9"/>
  <c r="T365" i="9"/>
  <c r="T366" i="9"/>
  <c r="T367" i="9"/>
  <c r="T368" i="9"/>
  <c r="T369" i="9"/>
  <c r="T370" i="9"/>
  <c r="T371" i="9"/>
  <c r="T372" i="9"/>
  <c r="T373" i="9"/>
  <c r="T374" i="9"/>
  <c r="T375" i="9"/>
  <c r="T376" i="9"/>
  <c r="T377" i="9"/>
  <c r="T378" i="9"/>
  <c r="T379" i="9"/>
  <c r="T380" i="9"/>
  <c r="T381" i="9"/>
  <c r="T382" i="9"/>
  <c r="T383" i="9"/>
  <c r="T384" i="9"/>
  <c r="T385" i="9"/>
  <c r="T386" i="9"/>
  <c r="T387" i="9"/>
  <c r="T388" i="9"/>
  <c r="T389" i="9"/>
  <c r="T390" i="9"/>
  <c r="T391" i="9"/>
  <c r="T392" i="9"/>
  <c r="T393" i="9"/>
  <c r="T394" i="9"/>
  <c r="T395" i="9"/>
  <c r="T396" i="9"/>
  <c r="T397" i="9"/>
  <c r="T398" i="9"/>
  <c r="T399" i="9"/>
  <c r="T400" i="9"/>
  <c r="T401" i="9"/>
  <c r="T402" i="9"/>
  <c r="T403" i="9"/>
  <c r="T404" i="9"/>
  <c r="T405" i="9"/>
  <c r="T406" i="9"/>
  <c r="T407" i="9"/>
  <c r="T408" i="9"/>
  <c r="T409" i="9"/>
  <c r="T410" i="9"/>
  <c r="T411" i="9"/>
  <c r="T412" i="9"/>
  <c r="T413" i="9"/>
  <c r="T414" i="9"/>
  <c r="T415" i="9"/>
  <c r="T416" i="9"/>
  <c r="T417" i="9"/>
  <c r="T418" i="9"/>
  <c r="T419" i="9"/>
  <c r="T420" i="9"/>
  <c r="T421" i="9"/>
  <c r="T422" i="9"/>
  <c r="T423" i="9"/>
  <c r="T424" i="9"/>
  <c r="T425" i="9"/>
  <c r="T426" i="9"/>
  <c r="T427" i="9"/>
  <c r="T428" i="9"/>
  <c r="T429" i="9"/>
  <c r="T430" i="9"/>
  <c r="T431" i="9"/>
  <c r="T432" i="9"/>
  <c r="T433" i="9"/>
  <c r="T434" i="9"/>
  <c r="T435" i="9"/>
  <c r="T436" i="9"/>
  <c r="T437" i="9"/>
  <c r="T438" i="9"/>
  <c r="S38" i="9"/>
  <c r="AC429" i="9"/>
  <c r="AC418" i="9"/>
  <c r="AC409" i="9"/>
  <c r="AC398" i="9"/>
  <c r="AC378" i="9"/>
  <c r="AC368" i="9"/>
  <c r="AC352" i="9"/>
  <c r="AC351" i="9"/>
  <c r="AC313" i="9"/>
  <c r="AC304" i="9"/>
  <c r="AC287" i="9"/>
  <c r="AC255" i="9"/>
  <c r="AC235" i="9"/>
  <c r="AC226" i="9"/>
  <c r="AC224" i="9"/>
  <c r="AC198" i="9"/>
  <c r="AC171" i="9"/>
  <c r="AC143" i="9"/>
  <c r="AC95" i="9"/>
  <c r="AC71" i="9"/>
  <c r="AC67" i="9"/>
  <c r="AC63" i="9"/>
  <c r="AC44" i="9"/>
  <c r="AC92" i="9"/>
  <c r="AN96" i="9"/>
  <c r="AN5" i="9" s="1"/>
  <c r="AC155" i="9"/>
  <c r="AC222" i="9"/>
  <c r="AC223" i="9"/>
  <c r="AC325" i="9"/>
  <c r="BB438" i="9"/>
  <c r="AC438" i="9"/>
  <c r="BB437" i="9"/>
  <c r="AC437" i="9"/>
  <c r="BB436" i="9"/>
  <c r="AC436" i="9"/>
  <c r="BB435" i="9"/>
  <c r="AC435" i="9"/>
  <c r="BB434" i="9"/>
  <c r="AC434" i="9"/>
  <c r="BB433" i="9"/>
  <c r="AC433" i="9"/>
  <c r="BB432" i="9"/>
  <c r="AC432" i="9"/>
  <c r="BB431" i="9"/>
  <c r="AC431" i="9"/>
  <c r="BB430" i="9"/>
  <c r="AC430" i="9"/>
  <c r="BB429" i="9"/>
  <c r="BB428" i="9"/>
  <c r="AC428" i="9"/>
  <c r="BB427" i="9"/>
  <c r="AC427" i="9"/>
  <c r="BB426" i="9"/>
  <c r="AC426" i="9"/>
  <c r="BB425" i="9"/>
  <c r="AC425" i="9"/>
  <c r="BB424" i="9"/>
  <c r="AC424" i="9"/>
  <c r="BB423" i="9"/>
  <c r="AC423" i="9"/>
  <c r="BB422" i="9"/>
  <c r="AC422" i="9"/>
  <c r="BB421" i="9"/>
  <c r="AC421" i="9"/>
  <c r="BB420" i="9"/>
  <c r="AC420" i="9"/>
  <c r="BB419" i="9"/>
  <c r="AC419" i="9"/>
  <c r="BB418" i="9"/>
  <c r="BB417" i="9"/>
  <c r="AC417" i="9"/>
  <c r="BB416" i="9"/>
  <c r="AC416" i="9"/>
  <c r="BB415" i="9"/>
  <c r="AC415" i="9"/>
  <c r="BB414" i="9"/>
  <c r="AC414" i="9"/>
  <c r="BB413" i="9"/>
  <c r="AC413" i="9"/>
  <c r="BB412" i="9"/>
  <c r="AC412" i="9"/>
  <c r="BB411" i="9"/>
  <c r="AC411" i="9"/>
  <c r="BB410" i="9"/>
  <c r="AC410" i="9"/>
  <c r="BB409" i="9"/>
  <c r="BB408" i="9"/>
  <c r="AC408" i="9"/>
  <c r="BB407" i="9"/>
  <c r="AC407" i="9"/>
  <c r="BB406" i="9"/>
  <c r="AC406" i="9"/>
  <c r="BB405" i="9"/>
  <c r="AC405" i="9"/>
  <c r="BB404" i="9"/>
  <c r="AC404" i="9"/>
  <c r="BB403" i="9"/>
  <c r="AC403" i="9"/>
  <c r="BB402" i="9"/>
  <c r="AC402" i="9"/>
  <c r="BB401" i="9"/>
  <c r="AC401" i="9"/>
  <c r="BB400" i="9"/>
  <c r="AC400" i="9"/>
  <c r="BB399" i="9"/>
  <c r="AC399" i="9"/>
  <c r="BB398" i="9"/>
  <c r="BB397" i="9"/>
  <c r="AC397" i="9"/>
  <c r="BB396" i="9"/>
  <c r="AC396" i="9"/>
  <c r="BB395" i="9"/>
  <c r="AC395" i="9"/>
  <c r="BB394" i="9"/>
  <c r="AC394" i="9"/>
  <c r="BB393" i="9"/>
  <c r="AC393" i="9"/>
  <c r="BB392" i="9"/>
  <c r="AC392" i="9"/>
  <c r="BB391" i="9"/>
  <c r="AC391" i="9"/>
  <c r="BB390" i="9"/>
  <c r="AC390" i="9"/>
  <c r="BB389" i="9"/>
  <c r="AC389" i="9"/>
  <c r="BB388" i="9"/>
  <c r="AC388" i="9"/>
  <c r="BB387" i="9"/>
  <c r="AC387" i="9"/>
  <c r="BB386" i="9"/>
  <c r="AC386" i="9"/>
  <c r="BB385" i="9"/>
  <c r="AC385" i="9"/>
  <c r="BB384" i="9"/>
  <c r="AC384" i="9"/>
  <c r="BB383" i="9"/>
  <c r="AC383" i="9"/>
  <c r="BB382" i="9"/>
  <c r="AC382" i="9"/>
  <c r="BB381" i="9"/>
  <c r="AC381" i="9"/>
  <c r="BB380" i="9"/>
  <c r="AC380" i="9"/>
  <c r="BB379" i="9"/>
  <c r="AC379" i="9"/>
  <c r="BB378" i="9"/>
  <c r="BB377" i="9"/>
  <c r="AC377" i="9"/>
  <c r="BB376" i="9"/>
  <c r="AC376" i="9"/>
  <c r="BB375" i="9"/>
  <c r="AC375" i="9"/>
  <c r="BB374" i="9"/>
  <c r="AC374" i="9"/>
  <c r="BB373" i="9"/>
  <c r="AC373" i="9"/>
  <c r="BB372" i="9"/>
  <c r="AC372" i="9"/>
  <c r="BB371" i="9"/>
  <c r="AC371" i="9"/>
  <c r="BB370" i="9"/>
  <c r="AC370" i="9"/>
  <c r="BB369" i="9"/>
  <c r="AC369" i="9"/>
  <c r="BB368" i="9"/>
  <c r="BB367" i="9"/>
  <c r="AC367" i="9"/>
  <c r="BB366" i="9"/>
  <c r="AC366" i="9"/>
  <c r="BB365" i="9"/>
  <c r="AC365" i="9"/>
  <c r="BB364" i="9"/>
  <c r="AC364" i="9"/>
  <c r="BB363" i="9"/>
  <c r="AC363" i="9"/>
  <c r="BB362" i="9"/>
  <c r="AC362" i="9"/>
  <c r="BB361" i="9"/>
  <c r="AC361" i="9"/>
  <c r="BB360" i="9"/>
  <c r="AC360" i="9"/>
  <c r="BB359" i="9"/>
  <c r="AC359" i="9"/>
  <c r="BB358" i="9"/>
  <c r="AC358" i="9"/>
  <c r="BB357" i="9"/>
  <c r="AC357" i="9"/>
  <c r="BB356" i="9"/>
  <c r="AC356" i="9"/>
  <c r="BB355" i="9"/>
  <c r="AC355" i="9"/>
  <c r="BB354" i="9"/>
  <c r="AC354" i="9"/>
  <c r="BB353" i="9"/>
  <c r="AC353" i="9"/>
  <c r="BB352" i="9"/>
  <c r="BB351" i="9"/>
  <c r="BB350" i="9"/>
  <c r="AC350" i="9"/>
  <c r="BB349" i="9"/>
  <c r="AC349" i="9"/>
  <c r="BB348" i="9"/>
  <c r="AC348" i="9"/>
  <c r="BB347" i="9"/>
  <c r="AC347" i="9"/>
  <c r="BB346" i="9"/>
  <c r="AC346" i="9"/>
  <c r="BB345" i="9"/>
  <c r="AC345" i="9"/>
  <c r="BB344" i="9"/>
  <c r="AC344" i="9"/>
  <c r="BB343" i="9"/>
  <c r="AC343" i="9"/>
  <c r="BB342" i="9"/>
  <c r="AC342" i="9"/>
  <c r="BB341" i="9"/>
  <c r="AC341" i="9"/>
  <c r="BB340" i="9"/>
  <c r="AC340" i="9"/>
  <c r="BB339" i="9"/>
  <c r="AC339" i="9"/>
  <c r="BB338" i="9"/>
  <c r="AC338" i="9"/>
  <c r="BB337" i="9"/>
  <c r="AC337" i="9"/>
  <c r="BB336" i="9"/>
  <c r="AC336" i="9"/>
  <c r="BB335" i="9"/>
  <c r="AC335" i="9"/>
  <c r="BB334" i="9"/>
  <c r="AC334" i="9"/>
  <c r="BB333" i="9"/>
  <c r="AC333" i="9"/>
  <c r="BB332" i="9"/>
  <c r="AC332" i="9"/>
  <c r="BB331" i="9"/>
  <c r="AC331" i="9"/>
  <c r="BB330" i="9"/>
  <c r="AC330" i="9"/>
  <c r="BB329" i="9"/>
  <c r="AC329" i="9"/>
  <c r="BB328" i="9"/>
  <c r="AC328" i="9"/>
  <c r="BB327" i="9"/>
  <c r="AC327" i="9"/>
  <c r="BB326" i="9"/>
  <c r="AC326" i="9"/>
  <c r="BB325" i="9"/>
  <c r="BB324" i="9"/>
  <c r="AC324" i="9"/>
  <c r="BB323" i="9"/>
  <c r="AC323" i="9"/>
  <c r="BB322" i="9"/>
  <c r="AC322" i="9"/>
  <c r="BB321" i="9"/>
  <c r="AC321" i="9"/>
  <c r="BB320" i="9"/>
  <c r="AC320" i="9"/>
  <c r="BB319" i="9"/>
  <c r="AC319" i="9"/>
  <c r="BB318" i="9"/>
  <c r="AC318" i="9"/>
  <c r="BB317" i="9"/>
  <c r="AC317" i="9"/>
  <c r="BB316" i="9"/>
  <c r="AC316" i="9"/>
  <c r="BB315" i="9"/>
  <c r="AC315" i="9"/>
  <c r="BB314" i="9"/>
  <c r="AC314" i="9"/>
  <c r="BB313" i="9"/>
  <c r="BB312" i="9"/>
  <c r="AC312" i="9"/>
  <c r="BB311" i="9"/>
  <c r="AC311" i="9"/>
  <c r="BB310" i="9"/>
  <c r="AC310" i="9"/>
  <c r="BB309" i="9"/>
  <c r="AC309" i="9"/>
  <c r="BB308" i="9"/>
  <c r="AC308" i="9"/>
  <c r="BB307" i="9"/>
  <c r="AC307" i="9"/>
  <c r="BB306" i="9"/>
  <c r="AC306" i="9"/>
  <c r="BB305" i="9"/>
  <c r="AC305" i="9"/>
  <c r="BB304" i="9"/>
  <c r="BB303" i="9"/>
  <c r="AC303" i="9"/>
  <c r="BB302" i="9"/>
  <c r="AC302" i="9"/>
  <c r="BB301" i="9"/>
  <c r="AC301" i="9"/>
  <c r="BB300" i="9"/>
  <c r="AC300" i="9"/>
  <c r="BB299" i="9"/>
  <c r="AC299" i="9"/>
  <c r="BB298" i="9"/>
  <c r="AC298" i="9"/>
  <c r="BB297" i="9"/>
  <c r="AC297" i="9"/>
  <c r="BB296" i="9"/>
  <c r="AC296" i="9"/>
  <c r="BB295" i="9"/>
  <c r="AC295" i="9"/>
  <c r="BB294" i="9"/>
  <c r="AC294" i="9"/>
  <c r="BB293" i="9"/>
  <c r="AC293" i="9"/>
  <c r="BB292" i="9"/>
  <c r="AC292" i="9"/>
  <c r="BB291" i="9"/>
  <c r="AC291" i="9"/>
  <c r="BB290" i="9"/>
  <c r="AC290" i="9"/>
  <c r="BB289" i="9"/>
  <c r="AC289" i="9"/>
  <c r="BB288" i="9"/>
  <c r="AC288" i="9"/>
  <c r="BB287" i="9"/>
  <c r="BB286" i="9"/>
  <c r="AC286" i="9"/>
  <c r="BB285" i="9"/>
  <c r="AC285" i="9"/>
  <c r="BB284" i="9"/>
  <c r="AC284" i="9"/>
  <c r="BB283" i="9"/>
  <c r="AC283" i="9"/>
  <c r="BB282" i="9"/>
  <c r="AC282" i="9"/>
  <c r="BB281" i="9"/>
  <c r="AC281" i="9"/>
  <c r="BB280" i="9"/>
  <c r="AC280" i="9"/>
  <c r="BB279" i="9"/>
  <c r="AC279" i="9"/>
  <c r="BB278" i="9"/>
  <c r="AC278" i="9"/>
  <c r="BB277" i="9"/>
  <c r="AC277" i="9"/>
  <c r="BB276" i="9"/>
  <c r="AC276" i="9"/>
  <c r="BB275" i="9"/>
  <c r="AC275" i="9"/>
  <c r="BB274" i="9"/>
  <c r="AC274" i="9"/>
  <c r="BB273" i="9"/>
  <c r="AC273" i="9"/>
  <c r="BB272" i="9"/>
  <c r="AC272" i="9"/>
  <c r="BB271" i="9"/>
  <c r="AC271" i="9"/>
  <c r="BB270" i="9"/>
  <c r="AC270" i="9"/>
  <c r="BB269" i="9"/>
  <c r="AC269" i="9"/>
  <c r="BB268" i="9"/>
  <c r="AC268" i="9"/>
  <c r="BB267" i="9"/>
  <c r="AC267" i="9"/>
  <c r="BB266" i="9"/>
  <c r="AC266" i="9"/>
  <c r="BB265" i="9"/>
  <c r="AC265" i="9"/>
  <c r="BB264" i="9"/>
  <c r="AC264" i="9"/>
  <c r="BB263" i="9"/>
  <c r="AC263" i="9"/>
  <c r="BB262" i="9"/>
  <c r="AC262" i="9"/>
  <c r="BB261" i="9"/>
  <c r="AC261" i="9"/>
  <c r="BB260" i="9"/>
  <c r="AC260" i="9"/>
  <c r="BB259" i="9"/>
  <c r="AC259" i="9"/>
  <c r="BB258" i="9"/>
  <c r="AC258" i="9"/>
  <c r="BB257" i="9"/>
  <c r="AC257" i="9"/>
  <c r="BB256" i="9"/>
  <c r="AC256" i="9"/>
  <c r="BB255" i="9"/>
  <c r="BB254" i="9"/>
  <c r="AC254" i="9"/>
  <c r="BB253" i="9"/>
  <c r="AC253" i="9"/>
  <c r="BB252" i="9"/>
  <c r="AC252" i="9"/>
  <c r="BB251" i="9"/>
  <c r="AC251" i="9"/>
  <c r="BB250" i="9"/>
  <c r="AC250" i="9"/>
  <c r="BB249" i="9"/>
  <c r="AC249" i="9"/>
  <c r="BB248" i="9"/>
  <c r="AC248" i="9"/>
  <c r="BB247" i="9"/>
  <c r="AC247" i="9"/>
  <c r="BB246" i="9"/>
  <c r="AC246" i="9"/>
  <c r="BB245" i="9"/>
  <c r="AC245" i="9"/>
  <c r="BB244" i="9"/>
  <c r="AC244" i="9"/>
  <c r="BB243" i="9"/>
  <c r="AC243" i="9"/>
  <c r="BB242" i="9"/>
  <c r="AC242" i="9"/>
  <c r="BB241" i="9"/>
  <c r="AC241" i="9"/>
  <c r="BB240" i="9"/>
  <c r="AC240" i="9"/>
  <c r="BB239" i="9"/>
  <c r="AC239" i="9"/>
  <c r="BB238" i="9"/>
  <c r="AC238" i="9"/>
  <c r="BB237" i="9"/>
  <c r="AC237" i="9"/>
  <c r="BB236" i="9"/>
  <c r="AC236" i="9"/>
  <c r="BB235" i="9"/>
  <c r="BB234" i="9"/>
  <c r="AC234" i="9"/>
  <c r="BB233" i="9"/>
  <c r="AC233" i="9"/>
  <c r="BB232" i="9"/>
  <c r="AC232" i="9"/>
  <c r="BB231" i="9"/>
  <c r="AC231" i="9"/>
  <c r="BB230" i="9"/>
  <c r="AS230" i="9"/>
  <c r="AC230" i="9"/>
  <c r="BB229" i="9"/>
  <c r="AC229" i="9"/>
  <c r="BB228" i="9"/>
  <c r="AC228" i="9"/>
  <c r="BB227" i="9"/>
  <c r="AC227" i="9"/>
  <c r="BB226" i="9"/>
  <c r="BB225" i="9"/>
  <c r="AC225" i="9"/>
  <c r="BB224" i="9"/>
  <c r="BB223" i="9"/>
  <c r="BB222" i="9"/>
  <c r="BB221" i="9"/>
  <c r="AC221" i="9"/>
  <c r="BB220" i="9"/>
  <c r="AC220" i="9"/>
  <c r="BB219" i="9"/>
  <c r="AC219" i="9"/>
  <c r="BB218" i="9"/>
  <c r="AC218" i="9"/>
  <c r="BB217" i="9"/>
  <c r="AC217" i="9"/>
  <c r="BB216" i="9"/>
  <c r="AC216" i="9"/>
  <c r="BB215" i="9"/>
  <c r="AC215" i="9"/>
  <c r="BB214" i="9"/>
  <c r="AC214" i="9"/>
  <c r="BB213" i="9"/>
  <c r="AC213" i="9"/>
  <c r="BB212" i="9"/>
  <c r="AC212" i="9"/>
  <c r="BB211" i="9"/>
  <c r="AC211" i="9"/>
  <c r="BB210" i="9"/>
  <c r="AC210" i="9"/>
  <c r="BB209" i="9"/>
  <c r="AC209" i="9"/>
  <c r="BB208" i="9"/>
  <c r="AC208" i="9"/>
  <c r="BB207" i="9"/>
  <c r="AC207" i="9"/>
  <c r="BB206" i="9"/>
  <c r="AC206" i="9"/>
  <c r="BB205" i="9"/>
  <c r="AC205" i="9"/>
  <c r="BB204" i="9"/>
  <c r="AC204" i="9"/>
  <c r="BB203" i="9"/>
  <c r="AC203" i="9"/>
  <c r="BB202" i="9"/>
  <c r="AC202" i="9"/>
  <c r="BB201" i="9"/>
  <c r="O201" i="9"/>
  <c r="BB200" i="9"/>
  <c r="AC200" i="9"/>
  <c r="BB199" i="9"/>
  <c r="AC199" i="9"/>
  <c r="BB198" i="9"/>
  <c r="BB197" i="9"/>
  <c r="AC197" i="9"/>
  <c r="BB196" i="9"/>
  <c r="AC196" i="9"/>
  <c r="BB195" i="9"/>
  <c r="BB194" i="9"/>
  <c r="AC194" i="9"/>
  <c r="BB193" i="9"/>
  <c r="AC193" i="9"/>
  <c r="BB192" i="9"/>
  <c r="AC192" i="9"/>
  <c r="BB191" i="9"/>
  <c r="AC191" i="9"/>
  <c r="BB190" i="9"/>
  <c r="AC190" i="9"/>
  <c r="BB189" i="9"/>
  <c r="AC189" i="9"/>
  <c r="BB188" i="9"/>
  <c r="AC188" i="9"/>
  <c r="BB187" i="9"/>
  <c r="AC187" i="9"/>
  <c r="BB186" i="9"/>
  <c r="AC186" i="9"/>
  <c r="BB185" i="9"/>
  <c r="AC185" i="9"/>
  <c r="BB184" i="9"/>
  <c r="AC184" i="9"/>
  <c r="BB183" i="9"/>
  <c r="AC183" i="9"/>
  <c r="BB182" i="9"/>
  <c r="AC182" i="9"/>
  <c r="BB181" i="9"/>
  <c r="AC181" i="9"/>
  <c r="BB180" i="9"/>
  <c r="AC180" i="9"/>
  <c r="BB179" i="9"/>
  <c r="AC179" i="9"/>
  <c r="BB178" i="9"/>
  <c r="AC178" i="9"/>
  <c r="BB177" i="9"/>
  <c r="AC177" i="9"/>
  <c r="BB176" i="9"/>
  <c r="AC176" i="9"/>
  <c r="BB175" i="9"/>
  <c r="AC175" i="9"/>
  <c r="BB174" i="9"/>
  <c r="AC174" i="9"/>
  <c r="BB173" i="9"/>
  <c r="AC173" i="9"/>
  <c r="Y5" i="9" s="1"/>
  <c r="BB172" i="9"/>
  <c r="AC172" i="9"/>
  <c r="BB171" i="9"/>
  <c r="BB170" i="9"/>
  <c r="AC170" i="9"/>
  <c r="BB169" i="9"/>
  <c r="AC169" i="9"/>
  <c r="BB168" i="9"/>
  <c r="AC168" i="9"/>
  <c r="BB167" i="9"/>
  <c r="AC167" i="9"/>
  <c r="BB166" i="9"/>
  <c r="AC166" i="9"/>
  <c r="BB165" i="9"/>
  <c r="AC165" i="9"/>
  <c r="BB164" i="9"/>
  <c r="AC164" i="9"/>
  <c r="BB163" i="9"/>
  <c r="AC163" i="9"/>
  <c r="BB162" i="9"/>
  <c r="AC162" i="9"/>
  <c r="BB161" i="9"/>
  <c r="AC161" i="9"/>
  <c r="BB160" i="9"/>
  <c r="AC160" i="9"/>
  <c r="BB159" i="9"/>
  <c r="AC159" i="9"/>
  <c r="BB158" i="9"/>
  <c r="AC158" i="9"/>
  <c r="BB157" i="9"/>
  <c r="AC157" i="9"/>
  <c r="BB156" i="9"/>
  <c r="AC156" i="9"/>
  <c r="BB155" i="9"/>
  <c r="BB154" i="9"/>
  <c r="AC154" i="9"/>
  <c r="BB153" i="9"/>
  <c r="AC153" i="9"/>
  <c r="BB152" i="9"/>
  <c r="AC152" i="9"/>
  <c r="BB151" i="9"/>
  <c r="AC151" i="9"/>
  <c r="BB150" i="9"/>
  <c r="AC150" i="9"/>
  <c r="BB149" i="9"/>
  <c r="AC149" i="9"/>
  <c r="BB148" i="9"/>
  <c r="AC148" i="9"/>
  <c r="BB147" i="9"/>
  <c r="AC147" i="9"/>
  <c r="BB146" i="9"/>
  <c r="AC146" i="9"/>
  <c r="BB145" i="9"/>
  <c r="AC145" i="9"/>
  <c r="BB144" i="9"/>
  <c r="AC144" i="9"/>
  <c r="BB143" i="9"/>
  <c r="BB142" i="9"/>
  <c r="AC142" i="9"/>
  <c r="BB141" i="9"/>
  <c r="AC141" i="9"/>
  <c r="BB140" i="9"/>
  <c r="AC140" i="9"/>
  <c r="BB139" i="9"/>
  <c r="AC139" i="9"/>
  <c r="BB138" i="9"/>
  <c r="AC138" i="9"/>
  <c r="BB137" i="9"/>
  <c r="AC137" i="9"/>
  <c r="BB136" i="9"/>
  <c r="AC136" i="9"/>
  <c r="BB135" i="9"/>
  <c r="AC135" i="9"/>
  <c r="BB134" i="9"/>
  <c r="AC134" i="9"/>
  <c r="BB133" i="9"/>
  <c r="AC133" i="9"/>
  <c r="BB132" i="9"/>
  <c r="AC132" i="9"/>
  <c r="BB131" i="9"/>
  <c r="AC131" i="9"/>
  <c r="BB130" i="9"/>
  <c r="AC130" i="9"/>
  <c r="BB129" i="9"/>
  <c r="AC129" i="9"/>
  <c r="BB128" i="9"/>
  <c r="AC128" i="9"/>
  <c r="BB127" i="9"/>
  <c r="AC127" i="9"/>
  <c r="BB126" i="9"/>
  <c r="AC126" i="9"/>
  <c r="BB125" i="9"/>
  <c r="AC125" i="9"/>
  <c r="BB124" i="9"/>
  <c r="AC124" i="9"/>
  <c r="BB123" i="9"/>
  <c r="AC123" i="9"/>
  <c r="BB122" i="9"/>
  <c r="AC122" i="9"/>
  <c r="BB121" i="9"/>
  <c r="O121" i="9"/>
  <c r="BB120" i="9"/>
  <c r="AC120" i="9"/>
  <c r="BB119" i="9"/>
  <c r="AC119" i="9"/>
  <c r="BB118" i="9"/>
  <c r="AC118" i="9"/>
  <c r="BB117" i="9"/>
  <c r="AC117" i="9"/>
  <c r="BB116" i="9"/>
  <c r="AC116" i="9"/>
  <c r="BB115" i="9"/>
  <c r="AC115" i="9"/>
  <c r="BB114" i="9"/>
  <c r="AC114" i="9"/>
  <c r="BB113" i="9"/>
  <c r="AC113" i="9"/>
  <c r="BB112" i="9"/>
  <c r="AC112" i="9"/>
  <c r="BB111" i="9"/>
  <c r="AC111" i="9"/>
  <c r="BB110" i="9"/>
  <c r="AC110" i="9"/>
  <c r="BB109" i="9"/>
  <c r="AC109" i="9"/>
  <c r="BB108" i="9"/>
  <c r="AC108" i="9"/>
  <c r="BB107" i="9"/>
  <c r="AC107" i="9"/>
  <c r="BB106" i="9"/>
  <c r="AC106" i="9"/>
  <c r="BB105" i="9"/>
  <c r="AC105" i="9"/>
  <c r="BB104" i="9"/>
  <c r="AC104" i="9"/>
  <c r="BB103" i="9"/>
  <c r="AC103" i="9"/>
  <c r="BB102" i="9"/>
  <c r="AC102" i="9"/>
  <c r="BB101" i="9"/>
  <c r="AC101" i="9"/>
  <c r="BB100" i="9"/>
  <c r="AC100" i="9"/>
  <c r="BB99" i="9"/>
  <c r="AC99" i="9"/>
  <c r="BB98" i="9"/>
  <c r="AC98" i="9"/>
  <c r="BB97" i="9"/>
  <c r="AC97" i="9"/>
  <c r="BB96" i="9"/>
  <c r="AC96" i="9"/>
  <c r="BB95" i="9"/>
  <c r="BB94" i="9"/>
  <c r="AC94" i="9"/>
  <c r="BB93" i="9"/>
  <c r="AC93" i="9"/>
  <c r="BB92" i="9"/>
  <c r="BB91" i="9"/>
  <c r="AC91" i="9"/>
  <c r="BB90" i="9"/>
  <c r="AC90" i="9"/>
  <c r="BB89" i="9"/>
  <c r="BB88" i="9"/>
  <c r="AC88" i="9"/>
  <c r="BB87" i="9"/>
  <c r="AC87" i="9"/>
  <c r="BB86" i="9"/>
  <c r="AC86" i="9"/>
  <c r="BB85" i="9"/>
  <c r="O85" i="9"/>
  <c r="BB84" i="9"/>
  <c r="AC84" i="9"/>
  <c r="BB83" i="9"/>
  <c r="AC83" i="9"/>
  <c r="BB82" i="9"/>
  <c r="AC82" i="9"/>
  <c r="BB81" i="9"/>
  <c r="AC81" i="9"/>
  <c r="BB80" i="9"/>
  <c r="AC80" i="9"/>
  <c r="BB79" i="9"/>
  <c r="AC79" i="9"/>
  <c r="BB78" i="9"/>
  <c r="AC78" i="9"/>
  <c r="BB77" i="9"/>
  <c r="AC77" i="9"/>
  <c r="BB76" i="9"/>
  <c r="AC76" i="9"/>
  <c r="BB75" i="9"/>
  <c r="AC75" i="9"/>
  <c r="BB74" i="9"/>
  <c r="AC74" i="9"/>
  <c r="BB73" i="9"/>
  <c r="AC73" i="9"/>
  <c r="BB72" i="9"/>
  <c r="AC72" i="9"/>
  <c r="BB71" i="9"/>
  <c r="BB70" i="9"/>
  <c r="AC70" i="9"/>
  <c r="BB69" i="9"/>
  <c r="O69" i="9"/>
  <c r="BB68" i="9"/>
  <c r="AC68" i="9"/>
  <c r="BB67" i="9"/>
  <c r="BB66" i="9"/>
  <c r="AT66" i="9"/>
  <c r="AS66" i="9"/>
  <c r="AC66" i="9"/>
  <c r="BB65" i="9"/>
  <c r="AC65" i="9"/>
  <c r="BB64" i="9"/>
  <c r="AC64" i="9"/>
  <c r="BB63" i="9"/>
  <c r="BB62" i="9"/>
  <c r="AC62" i="9"/>
  <c r="BB61" i="9"/>
  <c r="AC61" i="9"/>
  <c r="BB60" i="9"/>
  <c r="AC60" i="9"/>
  <c r="BB59" i="9"/>
  <c r="AC59" i="9"/>
  <c r="BB58" i="9"/>
  <c r="AC58" i="9"/>
  <c r="BB57" i="9"/>
  <c r="BB56" i="9"/>
  <c r="AC56" i="9"/>
  <c r="BB55" i="9"/>
  <c r="AC55" i="9"/>
  <c r="BB54" i="9"/>
  <c r="AC54" i="9"/>
  <c r="BB53" i="9"/>
  <c r="AC53" i="9"/>
  <c r="BB52" i="9"/>
  <c r="AC52" i="9"/>
  <c r="BB51" i="9"/>
  <c r="AC51" i="9"/>
  <c r="BB50" i="9"/>
  <c r="AC50" i="9"/>
  <c r="BB49" i="9"/>
  <c r="AC49" i="9"/>
  <c r="BB48" i="9"/>
  <c r="AC48" i="9"/>
  <c r="BB47" i="9"/>
  <c r="AC47" i="9"/>
  <c r="BB46" i="9"/>
  <c r="O46" i="9"/>
  <c r="BB45" i="9"/>
  <c r="O45" i="9"/>
  <c r="BB44" i="9"/>
  <c r="BB43" i="9"/>
  <c r="AC43" i="9"/>
  <c r="BB42" i="9"/>
  <c r="AC42" i="9"/>
  <c r="BB41" i="9"/>
  <c r="AC41" i="9"/>
  <c r="BB40" i="9"/>
  <c r="BB39" i="9"/>
  <c r="AC39" i="9"/>
  <c r="BB38" i="9"/>
  <c r="BB37" i="9"/>
  <c r="BB36" i="9"/>
  <c r="AC36" i="9"/>
  <c r="BB35" i="9"/>
  <c r="AC35" i="9"/>
  <c r="BB34" i="9"/>
  <c r="AC34" i="9"/>
  <c r="BB33" i="9"/>
  <c r="AC33" i="9"/>
  <c r="BB32" i="9"/>
  <c r="AC32" i="9"/>
  <c r="BB31" i="9"/>
  <c r="AC31" i="9"/>
  <c r="BB30" i="9"/>
  <c r="AC30" i="9"/>
  <c r="BB29" i="9"/>
  <c r="AC29" i="9"/>
  <c r="BB28" i="9"/>
  <c r="AC28" i="9"/>
  <c r="BB27" i="9"/>
  <c r="BB26" i="9"/>
  <c r="AC26" i="9"/>
  <c r="BB25" i="9"/>
  <c r="AC25" i="9"/>
  <c r="BB24" i="9"/>
  <c r="AC24" i="9"/>
  <c r="BB23" i="9"/>
  <c r="AC23" i="9"/>
  <c r="BB22" i="9"/>
  <c r="AC22" i="9"/>
  <c r="BB21" i="9"/>
  <c r="AC21" i="9"/>
  <c r="BB20" i="9"/>
  <c r="BB19" i="9"/>
  <c r="AC19" i="9"/>
  <c r="BB18" i="9"/>
  <c r="AC18" i="9"/>
  <c r="BB17" i="9"/>
  <c r="AC17" i="9"/>
  <c r="BB16" i="9"/>
  <c r="AS16" i="9"/>
  <c r="BB15" i="9"/>
  <c r="BB14" i="9"/>
  <c r="BB13" i="9"/>
  <c r="BB12" i="9"/>
  <c r="BB11" i="9"/>
  <c r="BB10" i="9"/>
  <c r="BB9" i="9"/>
  <c r="BB8" i="9"/>
  <c r="BB7" i="9"/>
  <c r="AR5" i="9"/>
  <c r="AP5" i="9"/>
  <c r="C5" i="9"/>
  <c r="V75" i="9" l="1"/>
  <c r="L75" i="9" s="1"/>
  <c r="N75" i="9" s="1"/>
  <c r="W3" i="9"/>
  <c r="L230" i="9"/>
  <c r="N230" i="9" s="1"/>
  <c r="AC69" i="9"/>
  <c r="I69" i="9"/>
  <c r="K69" i="9" s="1"/>
  <c r="AC8" i="9"/>
  <c r="I8" i="9"/>
  <c r="K8" i="9" s="1"/>
  <c r="AC38" i="9"/>
  <c r="I38" i="9"/>
  <c r="K38" i="9" s="1"/>
  <c r="AC37" i="9"/>
  <c r="I37" i="9"/>
  <c r="K37" i="9" s="1"/>
  <c r="AC13" i="9"/>
  <c r="I13" i="9"/>
  <c r="K13" i="9" s="1"/>
  <c r="AC89" i="9"/>
  <c r="I89" i="9"/>
  <c r="K89" i="9" s="1"/>
  <c r="AC121" i="9"/>
  <c r="I121" i="9"/>
  <c r="K121" i="9" s="1"/>
  <c r="AC85" i="9"/>
  <c r="I85" i="9"/>
  <c r="K85" i="9" s="1"/>
  <c r="AC201" i="9"/>
  <c r="I201" i="9"/>
  <c r="K201" i="9" s="1"/>
  <c r="AC12" i="9"/>
  <c r="I12" i="9"/>
  <c r="K12" i="9" s="1"/>
  <c r="AC11" i="9"/>
  <c r="I11" i="9"/>
  <c r="K11" i="9" s="1"/>
  <c r="AC27" i="9"/>
  <c r="I27" i="9"/>
  <c r="K27" i="9" s="1"/>
  <c r="AC40" i="9"/>
  <c r="I40" i="9"/>
  <c r="K40" i="9" s="1"/>
  <c r="AC7" i="9"/>
  <c r="I7" i="9"/>
  <c r="K7" i="9" s="1"/>
  <c r="AC45" i="9"/>
  <c r="I45" i="9"/>
  <c r="K45" i="9" s="1"/>
  <c r="AC15" i="9"/>
  <c r="I15" i="9"/>
  <c r="K15" i="9" s="1"/>
  <c r="AC46" i="9"/>
  <c r="I46" i="9"/>
  <c r="K46" i="9" s="1"/>
  <c r="AC9" i="9"/>
  <c r="I9" i="9"/>
  <c r="K9" i="9" s="1"/>
  <c r="AC57" i="9"/>
  <c r="I57" i="9"/>
  <c r="K57" i="9" s="1"/>
  <c r="AC14" i="9"/>
  <c r="I14" i="9"/>
  <c r="K14" i="9" s="1"/>
  <c r="V195" i="9"/>
  <c r="AD195" i="9" s="1"/>
  <c r="AE195" i="9" s="1"/>
  <c r="D2" i="9"/>
  <c r="V173" i="9"/>
  <c r="AD173" i="9" s="1"/>
  <c r="R27" i="9"/>
  <c r="V57" i="9"/>
  <c r="AD57" i="9" s="1"/>
  <c r="AE57" i="9" s="1"/>
  <c r="S10" i="9"/>
  <c r="AC10" i="9" s="1"/>
  <c r="AC20" i="9"/>
  <c r="T5" i="9"/>
  <c r="O5" i="9"/>
  <c r="V93" i="9"/>
  <c r="AD93" i="9" s="1"/>
  <c r="AE93" i="9" s="1"/>
  <c r="V88" i="9"/>
  <c r="AD88" i="9" s="1"/>
  <c r="AE88" i="9" s="1"/>
  <c r="V90" i="9"/>
  <c r="AD90" i="9" s="1"/>
  <c r="AE90" i="9" s="1"/>
  <c r="AD86" i="9"/>
  <c r="AE86" i="9" s="1"/>
  <c r="V91" i="9"/>
  <c r="AD91" i="9" s="1"/>
  <c r="AE91" i="9" s="1"/>
  <c r="V136" i="9"/>
  <c r="AD136" i="9" s="1"/>
  <c r="AE136" i="9" s="1"/>
  <c r="V37" i="9"/>
  <c r="L37" i="9" s="1"/>
  <c r="N37" i="9" s="1"/>
  <c r="V12" i="9"/>
  <c r="AD12" i="9" s="1"/>
  <c r="AE12" i="9" s="1"/>
  <c r="Z16" i="9"/>
  <c r="Z5" i="9" s="1"/>
  <c r="G4" i="9" s="1"/>
  <c r="AC16" i="9"/>
  <c r="R10" i="9"/>
  <c r="V7" i="9"/>
  <c r="AD7" i="9" s="1"/>
  <c r="AE7" i="9" s="1"/>
  <c r="V87" i="9"/>
  <c r="AD87" i="9" s="1"/>
  <c r="AE87" i="9" s="1"/>
  <c r="V145" i="9"/>
  <c r="AD145" i="9" s="1"/>
  <c r="AE145" i="9" s="1"/>
  <c r="V131" i="9"/>
  <c r="AD131" i="9" s="1"/>
  <c r="AE131" i="9" s="1"/>
  <c r="V116" i="9"/>
  <c r="AD116" i="9" s="1"/>
  <c r="AE116" i="9" s="1"/>
  <c r="V102" i="9"/>
  <c r="AD102" i="9" s="1"/>
  <c r="AE102" i="9" s="1"/>
  <c r="V89" i="9"/>
  <c r="V426" i="9"/>
  <c r="AD426" i="9" s="1"/>
  <c r="AE426" i="9" s="1"/>
  <c r="V398" i="9"/>
  <c r="AD398" i="9" s="1"/>
  <c r="AE398" i="9" s="1"/>
  <c r="V384" i="9"/>
  <c r="AD384" i="9" s="1"/>
  <c r="AE384" i="9" s="1"/>
  <c r="V356" i="9"/>
  <c r="AD356" i="9" s="1"/>
  <c r="AE356" i="9" s="1"/>
  <c r="V342" i="9"/>
  <c r="AD342" i="9" s="1"/>
  <c r="AE342" i="9" s="1"/>
  <c r="V314" i="9"/>
  <c r="AD314" i="9" s="1"/>
  <c r="AE314" i="9" s="1"/>
  <c r="V286" i="9"/>
  <c r="AD286" i="9" s="1"/>
  <c r="AE286" i="9" s="1"/>
  <c r="V258" i="9"/>
  <c r="AD258" i="9" s="1"/>
  <c r="AE258" i="9" s="1"/>
  <c r="V244" i="9"/>
  <c r="AD244" i="9" s="1"/>
  <c r="AE244" i="9" s="1"/>
  <c r="V341" i="9"/>
  <c r="AD341" i="9" s="1"/>
  <c r="AE341" i="9" s="1"/>
  <c r="V313" i="9"/>
  <c r="AD313" i="9" s="1"/>
  <c r="AE313" i="9" s="1"/>
  <c r="V243" i="9"/>
  <c r="AD243" i="9" s="1"/>
  <c r="AE243" i="9" s="1"/>
  <c r="V141" i="9"/>
  <c r="AD141" i="9" s="1"/>
  <c r="AE141" i="9" s="1"/>
  <c r="V127" i="9"/>
  <c r="AD127" i="9" s="1"/>
  <c r="AE127" i="9" s="1"/>
  <c r="V112" i="9"/>
  <c r="AD112" i="9" s="1"/>
  <c r="AE112" i="9" s="1"/>
  <c r="V98" i="9"/>
  <c r="AD98" i="9" s="1"/>
  <c r="AE98" i="9" s="1"/>
  <c r="AD97" i="9"/>
  <c r="AE97" i="9" s="1"/>
  <c r="AD230" i="9"/>
  <c r="AE230" i="9" s="1"/>
  <c r="V219" i="9"/>
  <c r="AD219" i="9" s="1"/>
  <c r="AE219" i="9" s="1"/>
  <c r="V205" i="9"/>
  <c r="AD205" i="9" s="1"/>
  <c r="AE205" i="9" s="1"/>
  <c r="V35" i="9"/>
  <c r="AD35" i="9" s="1"/>
  <c r="AE35" i="9" s="1"/>
  <c r="V21" i="9"/>
  <c r="AD21" i="9" s="1"/>
  <c r="AE21" i="9" s="1"/>
  <c r="V409" i="9"/>
  <c r="AD409" i="9" s="1"/>
  <c r="AE409" i="9" s="1"/>
  <c r="V395" i="9"/>
  <c r="AD395" i="9" s="1"/>
  <c r="AE395" i="9" s="1"/>
  <c r="V367" i="9"/>
  <c r="AD367" i="9" s="1"/>
  <c r="AE367" i="9" s="1"/>
  <c r="V339" i="9"/>
  <c r="AD339" i="9" s="1"/>
  <c r="AE339" i="9" s="1"/>
  <c r="V63" i="9"/>
  <c r="AD63" i="9" s="1"/>
  <c r="AE63" i="9" s="1"/>
  <c r="V49" i="9"/>
  <c r="AD49" i="9" s="1"/>
  <c r="AE49" i="9" s="1"/>
  <c r="V34" i="9"/>
  <c r="AD34" i="9" s="1"/>
  <c r="AE34" i="9" s="1"/>
  <c r="V20" i="9"/>
  <c r="AD20" i="9" s="1"/>
  <c r="AE20" i="9" s="1"/>
  <c r="V427" i="9"/>
  <c r="AD427" i="9" s="1"/>
  <c r="AE427" i="9" s="1"/>
  <c r="V399" i="9"/>
  <c r="AD399" i="9" s="1"/>
  <c r="AE399" i="9" s="1"/>
  <c r="V385" i="9"/>
  <c r="AD385" i="9" s="1"/>
  <c r="AE385" i="9" s="1"/>
  <c r="V357" i="9"/>
  <c r="AD357" i="9" s="1"/>
  <c r="AE357" i="9" s="1"/>
  <c r="V343" i="9"/>
  <c r="AD343" i="9" s="1"/>
  <c r="AE343" i="9" s="1"/>
  <c r="V315" i="9"/>
  <c r="AD315" i="9" s="1"/>
  <c r="AE315" i="9" s="1"/>
  <c r="V287" i="9"/>
  <c r="AD287" i="9" s="1"/>
  <c r="AE287" i="9" s="1"/>
  <c r="V259" i="9"/>
  <c r="AD259" i="9" s="1"/>
  <c r="AE259" i="9" s="1"/>
  <c r="V245" i="9"/>
  <c r="AD245" i="9" s="1"/>
  <c r="AE245" i="9" s="1"/>
  <c r="V216" i="9"/>
  <c r="AD216" i="9" s="1"/>
  <c r="AE216" i="9" s="1"/>
  <c r="V202" i="9"/>
  <c r="AD202" i="9" s="1"/>
  <c r="AE202" i="9" s="1"/>
  <c r="V188" i="9"/>
  <c r="AD188" i="9" s="1"/>
  <c r="AE188" i="9" s="1"/>
  <c r="V174" i="9"/>
  <c r="AD174" i="9" s="1"/>
  <c r="AE174" i="9" s="1"/>
  <c r="V160" i="9"/>
  <c r="AD160" i="9" s="1"/>
  <c r="AE160" i="9" s="1"/>
  <c r="V118" i="9"/>
  <c r="AD118" i="9" s="1"/>
  <c r="AE118" i="9" s="1"/>
  <c r="V104" i="9"/>
  <c r="AD104" i="9" s="1"/>
  <c r="AE104" i="9" s="1"/>
  <c r="V59" i="9"/>
  <c r="AD59" i="9" s="1"/>
  <c r="AE59" i="9" s="1"/>
  <c r="V79" i="9"/>
  <c r="AD79" i="9" s="1"/>
  <c r="AE79" i="9" s="1"/>
  <c r="V147" i="9"/>
  <c r="AD147" i="9" s="1"/>
  <c r="AE147" i="9" s="1"/>
  <c r="V133" i="9"/>
  <c r="AD133" i="9" s="1"/>
  <c r="AE133" i="9" s="1"/>
  <c r="V119" i="9"/>
  <c r="AD119" i="9" s="1"/>
  <c r="AE119" i="9" s="1"/>
  <c r="V105" i="9"/>
  <c r="AD105" i="9" s="1"/>
  <c r="AE105" i="9" s="1"/>
  <c r="V425" i="9"/>
  <c r="AD425" i="9" s="1"/>
  <c r="AE425" i="9" s="1"/>
  <c r="V397" i="9"/>
  <c r="AD397" i="9" s="1"/>
  <c r="AE397" i="9" s="1"/>
  <c r="V383" i="9"/>
  <c r="AD383" i="9" s="1"/>
  <c r="AE383" i="9" s="1"/>
  <c r="V241" i="9"/>
  <c r="AD241" i="9" s="1"/>
  <c r="AE241" i="9" s="1"/>
  <c r="V50" i="9"/>
  <c r="AD50" i="9" s="1"/>
  <c r="AE50" i="9" s="1"/>
  <c r="V211" i="9"/>
  <c r="AD211" i="9" s="1"/>
  <c r="AE211" i="9" s="1"/>
  <c r="V197" i="9"/>
  <c r="AD197" i="9" s="1"/>
  <c r="AE197" i="9" s="1"/>
  <c r="V183" i="9"/>
  <c r="AD183" i="9" s="1"/>
  <c r="AE183" i="9" s="1"/>
  <c r="V169" i="9"/>
  <c r="AD169" i="9" s="1"/>
  <c r="AE169" i="9" s="1"/>
  <c r="V154" i="9"/>
  <c r="AD154" i="9" s="1"/>
  <c r="AE154" i="9" s="1"/>
  <c r="V140" i="9"/>
  <c r="AD140" i="9" s="1"/>
  <c r="AE140" i="9" s="1"/>
  <c r="V126" i="9"/>
  <c r="AD126" i="9" s="1"/>
  <c r="AE126" i="9" s="1"/>
  <c r="V53" i="9"/>
  <c r="AD53" i="9" s="1"/>
  <c r="AE53" i="9" s="1"/>
  <c r="V16" i="9"/>
  <c r="L16" i="9" s="1"/>
  <c r="N16" i="9" s="1"/>
  <c r="V64" i="9"/>
  <c r="AD64" i="9" s="1"/>
  <c r="AE64" i="9" s="1"/>
  <c r="V111" i="9"/>
  <c r="AD111" i="9" s="1"/>
  <c r="AE111" i="9" s="1"/>
  <c r="V96" i="9"/>
  <c r="AD96" i="9" s="1"/>
  <c r="AE96" i="9" s="1"/>
  <c r="V217" i="9"/>
  <c r="AD217" i="9" s="1"/>
  <c r="AE217" i="9" s="1"/>
  <c r="V203" i="9"/>
  <c r="AD203" i="9" s="1"/>
  <c r="AE203" i="9" s="1"/>
  <c r="V189" i="9"/>
  <c r="AD189" i="9" s="1"/>
  <c r="AE189" i="9" s="1"/>
  <c r="V175" i="9"/>
  <c r="AD175" i="9" s="1"/>
  <c r="AE175" i="9" s="1"/>
  <c r="V161" i="9"/>
  <c r="AD161" i="9" s="1"/>
  <c r="AE161" i="9" s="1"/>
  <c r="V146" i="9"/>
  <c r="AD146" i="9" s="1"/>
  <c r="AE146" i="9" s="1"/>
  <c r="V132" i="9"/>
  <c r="AD132" i="9" s="1"/>
  <c r="AE132" i="9" s="1"/>
  <c r="V117" i="9"/>
  <c r="AD117" i="9" s="1"/>
  <c r="AE117" i="9" s="1"/>
  <c r="V103" i="9"/>
  <c r="AD103" i="9" s="1"/>
  <c r="AE103" i="9" s="1"/>
  <c r="V17" i="9"/>
  <c r="AD17" i="9" s="1"/>
  <c r="AE17" i="9" s="1"/>
  <c r="V73" i="9"/>
  <c r="AD73" i="9" s="1"/>
  <c r="AE73" i="9" s="1"/>
  <c r="V423" i="9"/>
  <c r="AD423" i="9" s="1"/>
  <c r="AE423" i="9" s="1"/>
  <c r="V381" i="9"/>
  <c r="AD381" i="9" s="1"/>
  <c r="AE381" i="9" s="1"/>
  <c r="V323" i="9"/>
  <c r="AD323" i="9" s="1"/>
  <c r="AE323" i="9" s="1"/>
  <c r="V309" i="9"/>
  <c r="AD309" i="9" s="1"/>
  <c r="AE309" i="9" s="1"/>
  <c r="V295" i="9"/>
  <c r="AD295" i="9" s="1"/>
  <c r="AE295" i="9" s="1"/>
  <c r="V281" i="9"/>
  <c r="AD281" i="9" s="1"/>
  <c r="AE281" i="9" s="1"/>
  <c r="V267" i="9"/>
  <c r="AD267" i="9" s="1"/>
  <c r="AE267" i="9" s="1"/>
  <c r="V253" i="9"/>
  <c r="AD253" i="9" s="1"/>
  <c r="AE253" i="9" s="1"/>
  <c r="V239" i="9"/>
  <c r="AD239" i="9" s="1"/>
  <c r="AE239" i="9" s="1"/>
  <c r="V224" i="9"/>
  <c r="AD224" i="9" s="1"/>
  <c r="AE224" i="9" s="1"/>
  <c r="V319" i="9"/>
  <c r="AD319" i="9" s="1"/>
  <c r="AE319" i="9" s="1"/>
  <c r="V305" i="9"/>
  <c r="AD305" i="9" s="1"/>
  <c r="AE305" i="9" s="1"/>
  <c r="V291" i="9"/>
  <c r="AD291" i="9" s="1"/>
  <c r="AE291" i="9" s="1"/>
  <c r="V277" i="9"/>
  <c r="AD277" i="9" s="1"/>
  <c r="AE277" i="9" s="1"/>
  <c r="V263" i="9"/>
  <c r="AD263" i="9" s="1"/>
  <c r="AE263" i="9" s="1"/>
  <c r="V249" i="9"/>
  <c r="AD249" i="9" s="1"/>
  <c r="AE249" i="9" s="1"/>
  <c r="V235" i="9"/>
  <c r="AD235" i="9" s="1"/>
  <c r="AE235" i="9" s="1"/>
  <c r="V220" i="9"/>
  <c r="AD220" i="9" s="1"/>
  <c r="AE220" i="9" s="1"/>
  <c r="V206" i="9"/>
  <c r="AD206" i="9" s="1"/>
  <c r="AE206" i="9" s="1"/>
  <c r="V192" i="9"/>
  <c r="AD192" i="9" s="1"/>
  <c r="AE192" i="9" s="1"/>
  <c r="V178" i="9"/>
  <c r="AD178" i="9" s="1"/>
  <c r="AE178" i="9" s="1"/>
  <c r="V164" i="9"/>
  <c r="AD164" i="9" s="1"/>
  <c r="AE164" i="9" s="1"/>
  <c r="V150" i="9"/>
  <c r="AD150" i="9" s="1"/>
  <c r="AE150" i="9" s="1"/>
  <c r="V122" i="9"/>
  <c r="AD122" i="9" s="1"/>
  <c r="AE122" i="9" s="1"/>
  <c r="V108" i="9"/>
  <c r="AD108" i="9" s="1"/>
  <c r="AE108" i="9" s="1"/>
  <c r="AD94" i="9"/>
  <c r="AE94" i="9" s="1"/>
  <c r="V311" i="9"/>
  <c r="AD311" i="9" s="1"/>
  <c r="AE311" i="9" s="1"/>
  <c r="V297" i="9"/>
  <c r="AD297" i="9" s="1"/>
  <c r="AE297" i="9" s="1"/>
  <c r="V269" i="9"/>
  <c r="AD269" i="9" s="1"/>
  <c r="AE269" i="9" s="1"/>
  <c r="V191" i="9"/>
  <c r="AD191" i="9" s="1"/>
  <c r="AE191" i="9" s="1"/>
  <c r="V177" i="9"/>
  <c r="AD177" i="9" s="1"/>
  <c r="AE177" i="9" s="1"/>
  <c r="V163" i="9"/>
  <c r="AD163" i="9" s="1"/>
  <c r="AE163" i="9" s="1"/>
  <c r="V149" i="9"/>
  <c r="AD149" i="9" s="1"/>
  <c r="AE149" i="9" s="1"/>
  <c r="V135" i="9"/>
  <c r="AD135" i="9" s="1"/>
  <c r="AE135" i="9" s="1"/>
  <c r="V121" i="9"/>
  <c r="V107" i="9"/>
  <c r="AD107" i="9" s="1"/>
  <c r="AE107" i="9" s="1"/>
  <c r="V31" i="9"/>
  <c r="AD31" i="9" s="1"/>
  <c r="AE31" i="9" s="1"/>
  <c r="V317" i="9"/>
  <c r="AD317" i="9" s="1"/>
  <c r="AE317" i="9" s="1"/>
  <c r="V303" i="9"/>
  <c r="AD303" i="9" s="1"/>
  <c r="AE303" i="9" s="1"/>
  <c r="V289" i="9"/>
  <c r="AD289" i="9" s="1"/>
  <c r="AE289" i="9" s="1"/>
  <c r="V275" i="9"/>
  <c r="AD275" i="9" s="1"/>
  <c r="V261" i="9"/>
  <c r="AD261" i="9" s="1"/>
  <c r="V247" i="9"/>
  <c r="AD247" i="9" s="1"/>
  <c r="V233" i="9"/>
  <c r="AD233" i="9" s="1"/>
  <c r="AE233" i="9" s="1"/>
  <c r="V218" i="9"/>
  <c r="AD218" i="9" s="1"/>
  <c r="AE218" i="9" s="1"/>
  <c r="V204" i="9"/>
  <c r="AD204" i="9" s="1"/>
  <c r="AE204" i="9" s="1"/>
  <c r="V190" i="9"/>
  <c r="AD190" i="9" s="1"/>
  <c r="AE190" i="9" s="1"/>
  <c r="V176" i="9"/>
  <c r="AD176" i="9" s="1"/>
  <c r="AE176" i="9" s="1"/>
  <c r="V162" i="9"/>
  <c r="AD162" i="9" s="1"/>
  <c r="AE162" i="9" s="1"/>
  <c r="V148" i="9"/>
  <c r="AD148" i="9" s="1"/>
  <c r="AE148" i="9" s="1"/>
  <c r="V134" i="9"/>
  <c r="AD134" i="9" s="1"/>
  <c r="AE134" i="9" s="1"/>
  <c r="V120" i="9"/>
  <c r="AD120" i="9" s="1"/>
  <c r="AE120" i="9" s="1"/>
  <c r="V106" i="9"/>
  <c r="AD106" i="9" s="1"/>
  <c r="AE106" i="9" s="1"/>
  <c r="V77" i="9"/>
  <c r="AD77" i="9" s="1"/>
  <c r="AE77" i="9" s="1"/>
  <c r="V45" i="9"/>
  <c r="V30" i="9"/>
  <c r="AD30" i="9" s="1"/>
  <c r="AD74" i="9"/>
  <c r="V72" i="9"/>
  <c r="AD72" i="9" s="1"/>
  <c r="AE72" i="9" s="1"/>
  <c r="V58" i="9"/>
  <c r="AD58" i="9" s="1"/>
  <c r="AE58" i="9" s="1"/>
  <c r="V437" i="9"/>
  <c r="AD437" i="9" s="1"/>
  <c r="AE437" i="9" s="1"/>
  <c r="V353" i="9"/>
  <c r="AD353" i="9" s="1"/>
  <c r="AE353" i="9" s="1"/>
  <c r="V283" i="9"/>
  <c r="AD283" i="9" s="1"/>
  <c r="AE283" i="9" s="1"/>
  <c r="V255" i="9"/>
  <c r="AD255" i="9" s="1"/>
  <c r="AE255" i="9" s="1"/>
  <c r="V436" i="9"/>
  <c r="AD436" i="9" s="1"/>
  <c r="AE436" i="9" s="1"/>
  <c r="V422" i="9"/>
  <c r="AD422" i="9" s="1"/>
  <c r="AE422" i="9" s="1"/>
  <c r="V408" i="9"/>
  <c r="AD408" i="9" s="1"/>
  <c r="V394" i="9"/>
  <c r="AD394" i="9" s="1"/>
  <c r="AE394" i="9" s="1"/>
  <c r="V380" i="9"/>
  <c r="AD380" i="9" s="1"/>
  <c r="AE380" i="9" s="1"/>
  <c r="V366" i="9"/>
  <c r="AD366" i="9" s="1"/>
  <c r="V352" i="9"/>
  <c r="AD352" i="9" s="1"/>
  <c r="AE352" i="9" s="1"/>
  <c r="V338" i="9"/>
  <c r="AD338" i="9" s="1"/>
  <c r="V324" i="9"/>
  <c r="AD324" i="9" s="1"/>
  <c r="AE324" i="9" s="1"/>
  <c r="V310" i="9"/>
  <c r="AD310" i="9" s="1"/>
  <c r="AE310" i="9" s="1"/>
  <c r="V296" i="9"/>
  <c r="AD296" i="9" s="1"/>
  <c r="AE296" i="9" s="1"/>
  <c r="V282" i="9"/>
  <c r="AD282" i="9" s="1"/>
  <c r="AE282" i="9" s="1"/>
  <c r="V268" i="9"/>
  <c r="AD268" i="9" s="1"/>
  <c r="AE268" i="9" s="1"/>
  <c r="V254" i="9"/>
  <c r="AD254" i="9" s="1"/>
  <c r="AE254" i="9" s="1"/>
  <c r="V240" i="9"/>
  <c r="AD240" i="9" s="1"/>
  <c r="AE240" i="9" s="1"/>
  <c r="V225" i="9"/>
  <c r="AD225" i="9" s="1"/>
  <c r="V155" i="9"/>
  <c r="AD155" i="9" s="1"/>
  <c r="AE155" i="9" s="1"/>
  <c r="V113" i="9"/>
  <c r="AD113" i="9" s="1"/>
  <c r="AE113" i="9" s="1"/>
  <c r="V99" i="9"/>
  <c r="AD99" i="9" s="1"/>
  <c r="AE99" i="9" s="1"/>
  <c r="V84" i="9"/>
  <c r="L84" i="9" s="1"/>
  <c r="N84" i="9" s="1"/>
  <c r="V70" i="9"/>
  <c r="L70" i="9" s="1"/>
  <c r="N70" i="9" s="1"/>
  <c r="V56" i="9"/>
  <c r="L56" i="9" s="1"/>
  <c r="N56" i="9" s="1"/>
  <c r="V41" i="9"/>
  <c r="AD41" i="9" s="1"/>
  <c r="AE41" i="9" s="1"/>
  <c r="V27" i="9"/>
  <c r="V325" i="9"/>
  <c r="AD325" i="9" s="1"/>
  <c r="AE325" i="9" s="1"/>
  <c r="V435" i="9"/>
  <c r="AD435" i="9" s="1"/>
  <c r="AE435" i="9" s="1"/>
  <c r="V421" i="9"/>
  <c r="AD421" i="9" s="1"/>
  <c r="AE421" i="9" s="1"/>
  <c r="V407" i="9"/>
  <c r="AD407" i="9" s="1"/>
  <c r="AE407" i="9" s="1"/>
  <c r="V393" i="9"/>
  <c r="L393" i="9" s="1"/>
  <c r="N393" i="9" s="1"/>
  <c r="V379" i="9"/>
  <c r="AD379" i="9" s="1"/>
  <c r="V365" i="9"/>
  <c r="AD365" i="9" s="1"/>
  <c r="V351" i="9"/>
  <c r="AD351" i="9" s="1"/>
  <c r="AE351" i="9" s="1"/>
  <c r="V337" i="9"/>
  <c r="AD337" i="9" s="1"/>
  <c r="V210" i="9"/>
  <c r="AD210" i="9" s="1"/>
  <c r="V196" i="9"/>
  <c r="AD196" i="9" s="1"/>
  <c r="V182" i="9"/>
  <c r="AD182" i="9" s="1"/>
  <c r="V168" i="9"/>
  <c r="AD168" i="9" s="1"/>
  <c r="AE168" i="9" s="1"/>
  <c r="V69" i="9"/>
  <c r="V55" i="9"/>
  <c r="AD55" i="9" s="1"/>
  <c r="AE55" i="9" s="1"/>
  <c r="V40" i="9"/>
  <c r="AD40" i="9" s="1"/>
  <c r="AE40" i="9" s="1"/>
  <c r="V26" i="9"/>
  <c r="AD26" i="9" s="1"/>
  <c r="AE26" i="9" s="1"/>
  <c r="V301" i="9"/>
  <c r="AD301" i="9" s="1"/>
  <c r="AE301" i="9" s="1"/>
  <c r="V273" i="9"/>
  <c r="AD273" i="9" s="1"/>
  <c r="AE273" i="9" s="1"/>
  <c r="V231" i="9"/>
  <c r="AD231" i="9" s="1"/>
  <c r="AE231" i="9" s="1"/>
  <c r="V434" i="9"/>
  <c r="AD434" i="9" s="1"/>
  <c r="AE434" i="9" s="1"/>
  <c r="V420" i="9"/>
  <c r="AD420" i="9" s="1"/>
  <c r="AE420" i="9" s="1"/>
  <c r="V406" i="9"/>
  <c r="L406" i="9" s="1"/>
  <c r="N406" i="9" s="1"/>
  <c r="V392" i="9"/>
  <c r="AD392" i="9" s="1"/>
  <c r="AE392" i="9" s="1"/>
  <c r="V378" i="9"/>
  <c r="L378" i="9" s="1"/>
  <c r="N378" i="9" s="1"/>
  <c r="V364" i="9"/>
  <c r="AD364" i="9" s="1"/>
  <c r="V350" i="9"/>
  <c r="AD350" i="9" s="1"/>
  <c r="AE350" i="9" s="1"/>
  <c r="AD336" i="9"/>
  <c r="AE336" i="9" s="1"/>
  <c r="V322" i="9"/>
  <c r="AD322" i="9" s="1"/>
  <c r="AE322" i="9" s="1"/>
  <c r="V308" i="9"/>
  <c r="AD308" i="9" s="1"/>
  <c r="V294" i="9"/>
  <c r="AD294" i="9" s="1"/>
  <c r="V280" i="9"/>
  <c r="AD280" i="9" s="1"/>
  <c r="AE280" i="9" s="1"/>
  <c r="V266" i="9"/>
  <c r="AD266" i="9" s="1"/>
  <c r="AE266" i="9" s="1"/>
  <c r="V252" i="9"/>
  <c r="L252" i="9" s="1"/>
  <c r="N252" i="9" s="1"/>
  <c r="V238" i="9"/>
  <c r="AD238" i="9" s="1"/>
  <c r="AD223" i="9"/>
  <c r="AE223" i="9" s="1"/>
  <c r="V209" i="9"/>
  <c r="AD209" i="9" s="1"/>
  <c r="AE209" i="9" s="1"/>
  <c r="V181" i="9"/>
  <c r="AD181" i="9" s="1"/>
  <c r="V167" i="9"/>
  <c r="AD167" i="9" s="1"/>
  <c r="V153" i="9"/>
  <c r="AD153" i="9" s="1"/>
  <c r="AE153" i="9" s="1"/>
  <c r="V139" i="9"/>
  <c r="AD139" i="9" s="1"/>
  <c r="AE139" i="9" s="1"/>
  <c r="V125" i="9"/>
  <c r="AD125" i="9" s="1"/>
  <c r="AE125" i="9" s="1"/>
  <c r="V413" i="9"/>
  <c r="AD413" i="9" s="1"/>
  <c r="AE413" i="9" s="1"/>
  <c r="V371" i="9"/>
  <c r="AD371" i="9" s="1"/>
  <c r="AE371" i="9" s="1"/>
  <c r="V329" i="9"/>
  <c r="AD329" i="9" s="1"/>
  <c r="AE329" i="9" s="1"/>
  <c r="V300" i="9"/>
  <c r="AD300" i="9" s="1"/>
  <c r="V272" i="9"/>
  <c r="AD272" i="9" s="1"/>
  <c r="AE272" i="9" s="1"/>
  <c r="V48" i="9"/>
  <c r="AD48" i="9" s="1"/>
  <c r="AE48" i="9" s="1"/>
  <c r="V433" i="9"/>
  <c r="AD433" i="9" s="1"/>
  <c r="AE433" i="9" s="1"/>
  <c r="V419" i="9"/>
  <c r="L419" i="9" s="1"/>
  <c r="N419" i="9" s="1"/>
  <c r="V405" i="9"/>
  <c r="L405" i="9" s="1"/>
  <c r="N405" i="9" s="1"/>
  <c r="V391" i="9"/>
  <c r="L391" i="9" s="1"/>
  <c r="N391" i="9" s="1"/>
  <c r="V377" i="9"/>
  <c r="AD377" i="9" s="1"/>
  <c r="AE377" i="9" s="1"/>
  <c r="V363" i="9"/>
  <c r="AD363" i="9" s="1"/>
  <c r="AE363" i="9" s="1"/>
  <c r="V349" i="9"/>
  <c r="AD349" i="9" s="1"/>
  <c r="AE349" i="9" s="1"/>
  <c r="V335" i="9"/>
  <c r="AD335" i="9" s="1"/>
  <c r="AE335" i="9" s="1"/>
  <c r="V321" i="9"/>
  <c r="AD321" i="9" s="1"/>
  <c r="AE321" i="9" s="1"/>
  <c r="V307" i="9"/>
  <c r="AD307" i="9" s="1"/>
  <c r="AE307" i="9" s="1"/>
  <c r="V293" i="9"/>
  <c r="AD293" i="9" s="1"/>
  <c r="AE293" i="9" s="1"/>
  <c r="V279" i="9"/>
  <c r="AD279" i="9" s="1"/>
  <c r="AE279" i="9" s="1"/>
  <c r="V265" i="9"/>
  <c r="L265" i="9" s="1"/>
  <c r="N265" i="9" s="1"/>
  <c r="V251" i="9"/>
  <c r="AD251" i="9" s="1"/>
  <c r="AE251" i="9" s="1"/>
  <c r="V237" i="9"/>
  <c r="AD237" i="9" s="1"/>
  <c r="AE237" i="9" s="1"/>
  <c r="V222" i="9"/>
  <c r="AD222" i="9" s="1"/>
  <c r="V208" i="9"/>
  <c r="AD208" i="9" s="1"/>
  <c r="AE208" i="9" s="1"/>
  <c r="V194" i="9"/>
  <c r="AD194" i="9" s="1"/>
  <c r="V180" i="9"/>
  <c r="AD180" i="9" s="1"/>
  <c r="AE180" i="9" s="1"/>
  <c r="V166" i="9"/>
  <c r="AD166" i="9" s="1"/>
  <c r="AE166" i="9" s="1"/>
  <c r="V152" i="9"/>
  <c r="AD152" i="9" s="1"/>
  <c r="AE152" i="9" s="1"/>
  <c r="V138" i="9"/>
  <c r="AD138" i="9" s="1"/>
  <c r="V124" i="9"/>
  <c r="AD124" i="9" s="1"/>
  <c r="V110" i="9"/>
  <c r="AD110" i="9" s="1"/>
  <c r="AE110" i="9" s="1"/>
  <c r="V81" i="9"/>
  <c r="L81" i="9" s="1"/>
  <c r="N81" i="9" s="1"/>
  <c r="V67" i="9"/>
  <c r="AD67" i="9" s="1"/>
  <c r="AE67" i="9" s="1"/>
  <c r="V24" i="9"/>
  <c r="AD24" i="9" s="1"/>
  <c r="AE24" i="9" s="1"/>
  <c r="V9" i="9"/>
  <c r="AD9" i="9" s="1"/>
  <c r="AE9" i="9" s="1"/>
  <c r="V412" i="9"/>
  <c r="AD412" i="9" s="1"/>
  <c r="AE412" i="9" s="1"/>
  <c r="V370" i="9"/>
  <c r="L370" i="9" s="1"/>
  <c r="N370" i="9" s="1"/>
  <c r="V328" i="9"/>
  <c r="L328" i="9" s="1"/>
  <c r="N328" i="9" s="1"/>
  <c r="V299" i="9"/>
  <c r="AD299" i="9" s="1"/>
  <c r="V285" i="9"/>
  <c r="AD285" i="9" s="1"/>
  <c r="AE285" i="9" s="1"/>
  <c r="V271" i="9"/>
  <c r="AD271" i="9" s="1"/>
  <c r="AE271" i="9" s="1"/>
  <c r="V257" i="9"/>
  <c r="AD257" i="9" s="1"/>
  <c r="AE257" i="9" s="1"/>
  <c r="V44" i="9"/>
  <c r="AD44" i="9" s="1"/>
  <c r="AE44" i="9" s="1"/>
  <c r="V92" i="9"/>
  <c r="AD92" i="9" s="1"/>
  <c r="AE92" i="9" s="1"/>
  <c r="V432" i="9"/>
  <c r="AD432" i="9" s="1"/>
  <c r="AE432" i="9" s="1"/>
  <c r="V418" i="9"/>
  <c r="AD418" i="9" s="1"/>
  <c r="AE418" i="9" s="1"/>
  <c r="V404" i="9"/>
  <c r="AD404" i="9" s="1"/>
  <c r="V390" i="9"/>
  <c r="AD390" i="9" s="1"/>
  <c r="V376" i="9"/>
  <c r="AD376" i="9" s="1"/>
  <c r="AE376" i="9" s="1"/>
  <c r="V362" i="9"/>
  <c r="AD362" i="9" s="1"/>
  <c r="V348" i="9"/>
  <c r="AD348" i="9" s="1"/>
  <c r="V334" i="9"/>
  <c r="AD334" i="9" s="1"/>
  <c r="V320" i="9"/>
  <c r="AD320" i="9" s="1"/>
  <c r="V306" i="9"/>
  <c r="AD306" i="9" s="1"/>
  <c r="AE306" i="9" s="1"/>
  <c r="V292" i="9"/>
  <c r="AD292" i="9" s="1"/>
  <c r="AE292" i="9" s="1"/>
  <c r="V278" i="9"/>
  <c r="AD278" i="9" s="1"/>
  <c r="AE278" i="9" s="1"/>
  <c r="V264" i="9"/>
  <c r="AD264" i="9" s="1"/>
  <c r="AE264" i="9" s="1"/>
  <c r="V250" i="9"/>
  <c r="AD250" i="9" s="1"/>
  <c r="AE250" i="9" s="1"/>
  <c r="V236" i="9"/>
  <c r="AD236" i="9" s="1"/>
  <c r="AE236" i="9" s="1"/>
  <c r="V221" i="9"/>
  <c r="AD221" i="9" s="1"/>
  <c r="AE221" i="9" s="1"/>
  <c r="V207" i="9"/>
  <c r="AD207" i="9" s="1"/>
  <c r="V193" i="9"/>
  <c r="AD193" i="9" s="1"/>
  <c r="V179" i="9"/>
  <c r="AD179" i="9" s="1"/>
  <c r="AE179" i="9" s="1"/>
  <c r="V165" i="9"/>
  <c r="L165" i="9" s="1"/>
  <c r="N165" i="9" s="1"/>
  <c r="V151" i="9"/>
  <c r="L151" i="9" s="1"/>
  <c r="N151" i="9" s="1"/>
  <c r="V137" i="9"/>
  <c r="L137" i="9" s="1"/>
  <c r="N137" i="9" s="1"/>
  <c r="V123" i="9"/>
  <c r="L123" i="9" s="1"/>
  <c r="N123" i="9" s="1"/>
  <c r="V109" i="9"/>
  <c r="AD109" i="9" s="1"/>
  <c r="AE109" i="9" s="1"/>
  <c r="V8" i="9"/>
  <c r="AD8" i="9" s="1"/>
  <c r="AE8" i="9" s="1"/>
  <c r="V411" i="9"/>
  <c r="AD411" i="9" s="1"/>
  <c r="AE411" i="9" s="1"/>
  <c r="V369" i="9"/>
  <c r="AD369" i="9" s="1"/>
  <c r="AE369" i="9" s="1"/>
  <c r="V355" i="9"/>
  <c r="L355" i="9" s="1"/>
  <c r="N355" i="9" s="1"/>
  <c r="V327" i="9"/>
  <c r="AD327" i="9" s="1"/>
  <c r="AE327" i="9" s="1"/>
  <c r="V95" i="9"/>
  <c r="AD95" i="9" s="1"/>
  <c r="AE95" i="9" s="1"/>
  <c r="V80" i="9"/>
  <c r="L80" i="9" s="1"/>
  <c r="N80" i="9" s="1"/>
  <c r="V66" i="9"/>
  <c r="AD66" i="9" s="1"/>
  <c r="V52" i="9"/>
  <c r="AD52" i="9" s="1"/>
  <c r="AE52" i="9" s="1"/>
  <c r="V23" i="9"/>
  <c r="L23" i="9" s="1"/>
  <c r="N23" i="9" s="1"/>
  <c r="V78" i="9"/>
  <c r="L78" i="9" s="1"/>
  <c r="N78" i="9" s="1"/>
  <c r="V429" i="9"/>
  <c r="AD429" i="9" s="1"/>
  <c r="V415" i="9"/>
  <c r="AD415" i="9" s="1"/>
  <c r="V401" i="9"/>
  <c r="AD401" i="9" s="1"/>
  <c r="AE401" i="9" s="1"/>
  <c r="V387" i="9"/>
  <c r="AD387" i="9" s="1"/>
  <c r="AE387" i="9" s="1"/>
  <c r="V373" i="9"/>
  <c r="L373" i="9" s="1"/>
  <c r="N373" i="9" s="1"/>
  <c r="V359" i="9"/>
  <c r="L359" i="9" s="1"/>
  <c r="N359" i="9" s="1"/>
  <c r="V345" i="9"/>
  <c r="L345" i="9" s="1"/>
  <c r="N345" i="9" s="1"/>
  <c r="V331" i="9"/>
  <c r="AD331" i="9" s="1"/>
  <c r="AE331" i="9" s="1"/>
  <c r="V83" i="9"/>
  <c r="AD83" i="9" s="1"/>
  <c r="V68" i="9"/>
  <c r="AD68" i="9" s="1"/>
  <c r="V36" i="9"/>
  <c r="AD36" i="9" s="1"/>
  <c r="AE36" i="9" s="1"/>
  <c r="V428" i="9"/>
  <c r="L428" i="9" s="1"/>
  <c r="N428" i="9" s="1"/>
  <c r="V414" i="9"/>
  <c r="L414" i="9" s="1"/>
  <c r="N414" i="9" s="1"/>
  <c r="V400" i="9"/>
  <c r="AD400" i="9" s="1"/>
  <c r="V386" i="9"/>
  <c r="L386" i="9" s="1"/>
  <c r="N386" i="9" s="1"/>
  <c r="V372" i="9"/>
  <c r="L372" i="9" s="1"/>
  <c r="N372" i="9" s="1"/>
  <c r="V358" i="9"/>
  <c r="AD358" i="9" s="1"/>
  <c r="V344" i="9"/>
  <c r="AD344" i="9" s="1"/>
  <c r="AE344" i="9" s="1"/>
  <c r="V330" i="9"/>
  <c r="AD330" i="9" s="1"/>
  <c r="V316" i="9"/>
  <c r="L316" i="9" s="1"/>
  <c r="N316" i="9" s="1"/>
  <c r="V302" i="9"/>
  <c r="L302" i="9" s="1"/>
  <c r="N302" i="9" s="1"/>
  <c r="V288" i="9"/>
  <c r="L288" i="9" s="1"/>
  <c r="N288" i="9" s="1"/>
  <c r="V274" i="9"/>
  <c r="L274" i="9" s="1"/>
  <c r="N274" i="9" s="1"/>
  <c r="V260" i="9"/>
  <c r="L260" i="9" s="1"/>
  <c r="N260" i="9" s="1"/>
  <c r="V246" i="9"/>
  <c r="AD246" i="9" s="1"/>
  <c r="AE246" i="9" s="1"/>
  <c r="V232" i="9"/>
  <c r="L232" i="9" s="1"/>
  <c r="N232" i="9" s="1"/>
  <c r="V76" i="9"/>
  <c r="L76" i="9" s="1"/>
  <c r="N76" i="9" s="1"/>
  <c r="V62" i="9"/>
  <c r="L62" i="9" s="1"/>
  <c r="N62" i="9" s="1"/>
  <c r="V47" i="9"/>
  <c r="AD47" i="9" s="1"/>
  <c r="V33" i="9"/>
  <c r="L33" i="9" s="1"/>
  <c r="N33" i="9" s="1"/>
  <c r="V19" i="9"/>
  <c r="AD19" i="9" s="1"/>
  <c r="AE19" i="9" s="1"/>
  <c r="V65" i="9"/>
  <c r="AD65" i="9" s="1"/>
  <c r="V61" i="9"/>
  <c r="L61" i="9" s="1"/>
  <c r="N61" i="9" s="1"/>
  <c r="V46" i="9"/>
  <c r="V32" i="9"/>
  <c r="AD32" i="9" s="1"/>
  <c r="AE32" i="9" s="1"/>
  <c r="V18" i="9"/>
  <c r="AD18" i="9" s="1"/>
  <c r="AE18" i="9" s="1"/>
  <c r="V11" i="9"/>
  <c r="AD11" i="9" s="1"/>
  <c r="V51" i="9"/>
  <c r="L51" i="9" s="1"/>
  <c r="N51" i="9" s="1"/>
  <c r="V229" i="9"/>
  <c r="AD229" i="9" s="1"/>
  <c r="AE229" i="9" s="1"/>
  <c r="V215" i="9"/>
  <c r="AD215" i="9" s="1"/>
  <c r="V201" i="9"/>
  <c r="V187" i="9"/>
  <c r="L187" i="9" s="1"/>
  <c r="N187" i="9" s="1"/>
  <c r="V159" i="9"/>
  <c r="AD159" i="9" s="1"/>
  <c r="AD60" i="9"/>
  <c r="AE60" i="9" s="1"/>
  <c r="V54" i="9"/>
  <c r="AD54" i="9" s="1"/>
  <c r="V228" i="9"/>
  <c r="AD228" i="9" s="1"/>
  <c r="V214" i="9"/>
  <c r="L214" i="9" s="1"/>
  <c r="N214" i="9" s="1"/>
  <c r="V200" i="9"/>
  <c r="AD200" i="9" s="1"/>
  <c r="AE200" i="9" s="1"/>
  <c r="V186" i="9"/>
  <c r="L186" i="9" s="1"/>
  <c r="N186" i="9" s="1"/>
  <c r="V172" i="9"/>
  <c r="AD172" i="9" s="1"/>
  <c r="V158" i="9"/>
  <c r="AD158" i="9" s="1"/>
  <c r="AE158" i="9" s="1"/>
  <c r="V144" i="9"/>
  <c r="L144" i="9" s="1"/>
  <c r="N144" i="9" s="1"/>
  <c r="V130" i="9"/>
  <c r="AD130" i="9" s="1"/>
  <c r="V15" i="9"/>
  <c r="AD15" i="9" s="1"/>
  <c r="V82" i="9"/>
  <c r="L82" i="9" s="1"/>
  <c r="N82" i="9" s="1"/>
  <c r="V22" i="9"/>
  <c r="L22" i="9" s="1"/>
  <c r="N22" i="9" s="1"/>
  <c r="V438" i="9"/>
  <c r="AD438" i="9" s="1"/>
  <c r="AE438" i="9" s="1"/>
  <c r="V424" i="9"/>
  <c r="AD424" i="9" s="1"/>
  <c r="AE424" i="9" s="1"/>
  <c r="V410" i="9"/>
  <c r="AD410" i="9" s="1"/>
  <c r="V396" i="9"/>
  <c r="L396" i="9" s="1"/>
  <c r="N396" i="9" s="1"/>
  <c r="V382" i="9"/>
  <c r="L382" i="9" s="1"/>
  <c r="N382" i="9" s="1"/>
  <c r="V368" i="9"/>
  <c r="AD368" i="9" s="1"/>
  <c r="AE368" i="9" s="1"/>
  <c r="V354" i="9"/>
  <c r="AD354" i="9" s="1"/>
  <c r="AE354" i="9" s="1"/>
  <c r="V340" i="9"/>
  <c r="AD340" i="9" s="1"/>
  <c r="AE340" i="9" s="1"/>
  <c r="V326" i="9"/>
  <c r="AD326" i="9" s="1"/>
  <c r="V312" i="9"/>
  <c r="L312" i="9" s="1"/>
  <c r="N312" i="9" s="1"/>
  <c r="V298" i="9"/>
  <c r="AD298" i="9" s="1"/>
  <c r="AE298" i="9" s="1"/>
  <c r="V284" i="9"/>
  <c r="L284" i="9" s="1"/>
  <c r="N284" i="9" s="1"/>
  <c r="V270" i="9"/>
  <c r="L270" i="9" s="1"/>
  <c r="N270" i="9" s="1"/>
  <c r="V256" i="9"/>
  <c r="L256" i="9" s="1"/>
  <c r="N256" i="9" s="1"/>
  <c r="V242" i="9"/>
  <c r="AD242" i="9" s="1"/>
  <c r="AE242" i="9" s="1"/>
  <c r="V227" i="9"/>
  <c r="AD227" i="9" s="1"/>
  <c r="AE227" i="9" s="1"/>
  <c r="V213" i="9"/>
  <c r="L213" i="9" s="1"/>
  <c r="N213" i="9" s="1"/>
  <c r="V199" i="9"/>
  <c r="L199" i="9" s="1"/>
  <c r="N199" i="9" s="1"/>
  <c r="V185" i="9"/>
  <c r="L185" i="9" s="1"/>
  <c r="N185" i="9" s="1"/>
  <c r="V171" i="9"/>
  <c r="AD171" i="9" s="1"/>
  <c r="AE171" i="9" s="1"/>
  <c r="V157" i="9"/>
  <c r="AD157" i="9" s="1"/>
  <c r="V143" i="9"/>
  <c r="AD143" i="9" s="1"/>
  <c r="V129" i="9"/>
  <c r="AD129" i="9" s="1"/>
  <c r="V115" i="9"/>
  <c r="AD115" i="9" s="1"/>
  <c r="V101" i="9"/>
  <c r="AD101" i="9" s="1"/>
  <c r="V43" i="9"/>
  <c r="AD43" i="9" s="1"/>
  <c r="AE43" i="9" s="1"/>
  <c r="V29" i="9"/>
  <c r="L29" i="9" s="1"/>
  <c r="N29" i="9" s="1"/>
  <c r="V14" i="9"/>
  <c r="L14" i="9" s="1"/>
  <c r="N14" i="9" s="1"/>
  <c r="V431" i="9"/>
  <c r="AD431" i="9" s="1"/>
  <c r="AE431" i="9" s="1"/>
  <c r="V417" i="9"/>
  <c r="L417" i="9" s="1"/>
  <c r="N417" i="9" s="1"/>
  <c r="V403" i="9"/>
  <c r="L403" i="9" s="1"/>
  <c r="N403" i="9" s="1"/>
  <c r="V389" i="9"/>
  <c r="L389" i="9" s="1"/>
  <c r="N389" i="9" s="1"/>
  <c r="V375" i="9"/>
  <c r="L375" i="9" s="1"/>
  <c r="N375" i="9" s="1"/>
  <c r="V361" i="9"/>
  <c r="AD361" i="9" s="1"/>
  <c r="AE361" i="9" s="1"/>
  <c r="V347" i="9"/>
  <c r="AD347" i="9" s="1"/>
  <c r="AE347" i="9" s="1"/>
  <c r="V333" i="9"/>
  <c r="AD333" i="9" s="1"/>
  <c r="V318" i="9"/>
  <c r="AD318" i="9" s="1"/>
  <c r="AE318" i="9" s="1"/>
  <c r="V304" i="9"/>
  <c r="L304" i="9" s="1"/>
  <c r="N304" i="9" s="1"/>
  <c r="V290" i="9"/>
  <c r="AD290" i="9" s="1"/>
  <c r="V276" i="9"/>
  <c r="L276" i="9" s="1"/>
  <c r="N276" i="9" s="1"/>
  <c r="V262" i="9"/>
  <c r="AD262" i="9" s="1"/>
  <c r="V248" i="9"/>
  <c r="L248" i="9" s="1"/>
  <c r="N248" i="9" s="1"/>
  <c r="V234" i="9"/>
  <c r="L234" i="9" s="1"/>
  <c r="N234" i="9" s="1"/>
  <c r="V39" i="9"/>
  <c r="AD39" i="9" s="1"/>
  <c r="AE39" i="9" s="1"/>
  <c r="V25" i="9"/>
  <c r="AD25" i="9" s="1"/>
  <c r="V226" i="9"/>
  <c r="AD226" i="9" s="1"/>
  <c r="V212" i="9"/>
  <c r="L212" i="9" s="1"/>
  <c r="N212" i="9" s="1"/>
  <c r="V198" i="9"/>
  <c r="AD198" i="9" s="1"/>
  <c r="AE198" i="9" s="1"/>
  <c r="V184" i="9"/>
  <c r="AD184" i="9" s="1"/>
  <c r="V170" i="9"/>
  <c r="AD170" i="9" s="1"/>
  <c r="V156" i="9"/>
  <c r="AD156" i="9" s="1"/>
  <c r="AE156" i="9" s="1"/>
  <c r="V142" i="9"/>
  <c r="AD142" i="9" s="1"/>
  <c r="V128" i="9"/>
  <c r="AD128" i="9" s="1"/>
  <c r="V114" i="9"/>
  <c r="AD114" i="9" s="1"/>
  <c r="V71" i="9"/>
  <c r="L71" i="9" s="1"/>
  <c r="N71" i="9" s="1"/>
  <c r="V42" i="9"/>
  <c r="L42" i="9" s="1"/>
  <c r="N42" i="9" s="1"/>
  <c r="V28" i="9"/>
  <c r="V13" i="9"/>
  <c r="L13" i="9" s="1"/>
  <c r="N13" i="9" s="1"/>
  <c r="V430" i="9"/>
  <c r="L430" i="9" s="1"/>
  <c r="N430" i="9" s="1"/>
  <c r="V416" i="9"/>
  <c r="AD416" i="9" s="1"/>
  <c r="AE416" i="9" s="1"/>
  <c r="V402" i="9"/>
  <c r="AD402" i="9" s="1"/>
  <c r="AE402" i="9" s="1"/>
  <c r="V388" i="9"/>
  <c r="AD388" i="9" s="1"/>
  <c r="AE388" i="9" s="1"/>
  <c r="V374" i="9"/>
  <c r="L374" i="9" s="1"/>
  <c r="N374" i="9" s="1"/>
  <c r="V360" i="9"/>
  <c r="L360" i="9" s="1"/>
  <c r="N360" i="9" s="1"/>
  <c r="V346" i="9"/>
  <c r="L346" i="9" s="1"/>
  <c r="N346" i="9" s="1"/>
  <c r="V332" i="9"/>
  <c r="AD332" i="9" s="1"/>
  <c r="V38" i="9"/>
  <c r="L38" i="9" s="1"/>
  <c r="N38" i="9" s="1"/>
  <c r="R201" i="9"/>
  <c r="R46" i="9"/>
  <c r="R45" i="9"/>
  <c r="R69" i="9"/>
  <c r="R121" i="9"/>
  <c r="Q85" i="9"/>
  <c r="AF51" i="9"/>
  <c r="AF61" i="9"/>
  <c r="AF102" i="9"/>
  <c r="AF111" i="9"/>
  <c r="AF112" i="9"/>
  <c r="AF114" i="9"/>
  <c r="AF66" i="9"/>
  <c r="AF127" i="9"/>
  <c r="AF129" i="9"/>
  <c r="AF8" i="9"/>
  <c r="AF128" i="9"/>
  <c r="AF76" i="9"/>
  <c r="AF132" i="9"/>
  <c r="AF17" i="9"/>
  <c r="AF133" i="9"/>
  <c r="AF81" i="9"/>
  <c r="AF141" i="9"/>
  <c r="AF27" i="9"/>
  <c r="AF142" i="9"/>
  <c r="AF31" i="9"/>
  <c r="AF93" i="9"/>
  <c r="AF32" i="9"/>
  <c r="AF146" i="9"/>
  <c r="AF101" i="9"/>
  <c r="AF147" i="9"/>
  <c r="AF62" i="9"/>
  <c r="AF28" i="9"/>
  <c r="AF96" i="9"/>
  <c r="AF43" i="9"/>
  <c r="AF77" i="9"/>
  <c r="AF11" i="9"/>
  <c r="AF29" i="9"/>
  <c r="AF47" i="9"/>
  <c r="AF64" i="9"/>
  <c r="AF79" i="9"/>
  <c r="AF97" i="9"/>
  <c r="AF130" i="9"/>
  <c r="AF144" i="9"/>
  <c r="AF13" i="9"/>
  <c r="AF30" i="9"/>
  <c r="AF49" i="9"/>
  <c r="AF65" i="9"/>
  <c r="AF80" i="9"/>
  <c r="AF98" i="9"/>
  <c r="AF116" i="9"/>
  <c r="AF131" i="9"/>
  <c r="AF145" i="9"/>
  <c r="AF118" i="9"/>
  <c r="AF19" i="9"/>
  <c r="AF33" i="9"/>
  <c r="AF53" i="9"/>
  <c r="AF68" i="9"/>
  <c r="AF83" i="9"/>
  <c r="AF103" i="9"/>
  <c r="AF119" i="9"/>
  <c r="AF134" i="9"/>
  <c r="AF148" i="9"/>
  <c r="AF82" i="9"/>
  <c r="AF34" i="9"/>
  <c r="AF54" i="9"/>
  <c r="AF70" i="9"/>
  <c r="AF84" i="9"/>
  <c r="AF104" i="9"/>
  <c r="AF120" i="9"/>
  <c r="AF135" i="9"/>
  <c r="AF149" i="9"/>
  <c r="AF21" i="9"/>
  <c r="AF35" i="9"/>
  <c r="AF55" i="9"/>
  <c r="AF87" i="9"/>
  <c r="AF105" i="9"/>
  <c r="AF122" i="9"/>
  <c r="AF136" i="9"/>
  <c r="AF150" i="9"/>
  <c r="AF50" i="9"/>
  <c r="AF36" i="9"/>
  <c r="AF56" i="9"/>
  <c r="AF72" i="9"/>
  <c r="AF106" i="9"/>
  <c r="AF123" i="9"/>
  <c r="AF137" i="9"/>
  <c r="AF151" i="9"/>
  <c r="AF26" i="9"/>
  <c r="AF117" i="9"/>
  <c r="AF23" i="9"/>
  <c r="AF37" i="9"/>
  <c r="AF73" i="9"/>
  <c r="AF108" i="9"/>
  <c r="AF124" i="9"/>
  <c r="AF138" i="9"/>
  <c r="AF152" i="9"/>
  <c r="AF24" i="9"/>
  <c r="AF39" i="9"/>
  <c r="AF58" i="9"/>
  <c r="AF74" i="9"/>
  <c r="AF90" i="9"/>
  <c r="AF109" i="9"/>
  <c r="AF125" i="9"/>
  <c r="AF139" i="9"/>
  <c r="AF153" i="9"/>
  <c r="AF7" i="9"/>
  <c r="AF25" i="9"/>
  <c r="AF41" i="9"/>
  <c r="AF59" i="9"/>
  <c r="AF75" i="9"/>
  <c r="AF91" i="9"/>
  <c r="AF110" i="9"/>
  <c r="AF126" i="9"/>
  <c r="AF140" i="9"/>
  <c r="AF154" i="9"/>
  <c r="L31" i="9" l="1"/>
  <c r="N31" i="9" s="1"/>
  <c r="L223" i="9"/>
  <c r="N223" i="9" s="1"/>
  <c r="L277" i="9"/>
  <c r="N277" i="9" s="1"/>
  <c r="L124" i="9"/>
  <c r="N124" i="9" s="1"/>
  <c r="L209" i="9"/>
  <c r="N209" i="9" s="1"/>
  <c r="L377" i="9"/>
  <c r="N377" i="9" s="1"/>
  <c r="L181" i="9"/>
  <c r="N181" i="9" s="1"/>
  <c r="L141" i="9"/>
  <c r="N141" i="9" s="1"/>
  <c r="L105" i="9"/>
  <c r="N105" i="9" s="1"/>
  <c r="L323" i="9"/>
  <c r="N323" i="9" s="1"/>
  <c r="L7" i="9"/>
  <c r="L83" i="9"/>
  <c r="N83" i="9" s="1"/>
  <c r="L311" i="9"/>
  <c r="N311" i="9" s="1"/>
  <c r="L244" i="9"/>
  <c r="N244" i="9" s="1"/>
  <c r="L73" i="9"/>
  <c r="N73" i="9" s="1"/>
  <c r="L413" i="9"/>
  <c r="N413" i="9" s="1"/>
  <c r="L291" i="9"/>
  <c r="N291" i="9" s="1"/>
  <c r="L152" i="9"/>
  <c r="N152" i="9" s="1"/>
  <c r="L307" i="9"/>
  <c r="N307" i="9" s="1"/>
  <c r="L322" i="9"/>
  <c r="N322" i="9" s="1"/>
  <c r="L392" i="9"/>
  <c r="N392" i="9" s="1"/>
  <c r="L285" i="9"/>
  <c r="N285" i="9" s="1"/>
  <c r="L111" i="9"/>
  <c r="N111" i="9" s="1"/>
  <c r="L337" i="9"/>
  <c r="N337" i="9" s="1"/>
  <c r="L74" i="9"/>
  <c r="N74" i="9" s="1"/>
  <c r="L99" i="9"/>
  <c r="N99" i="9" s="1"/>
  <c r="L25" i="9"/>
  <c r="N25" i="9" s="1"/>
  <c r="L258" i="9"/>
  <c r="N258" i="9" s="1"/>
  <c r="L217" i="9"/>
  <c r="N217" i="9" s="1"/>
  <c r="L191" i="9"/>
  <c r="N191" i="9" s="1"/>
  <c r="L27" i="9"/>
  <c r="N27" i="9" s="1"/>
  <c r="L305" i="9"/>
  <c r="N305" i="9" s="1"/>
  <c r="L431" i="9"/>
  <c r="N431" i="9" s="1"/>
  <c r="L334" i="9"/>
  <c r="N334" i="9" s="1"/>
  <c r="L166" i="9"/>
  <c r="N166" i="9" s="1"/>
  <c r="L321" i="9"/>
  <c r="N321" i="9" s="1"/>
  <c r="L350" i="9"/>
  <c r="N350" i="9" s="1"/>
  <c r="L30" i="9"/>
  <c r="N30" i="9" s="1"/>
  <c r="L126" i="9"/>
  <c r="N126" i="9" s="1"/>
  <c r="L338" i="9"/>
  <c r="N338" i="9" s="1"/>
  <c r="L133" i="9"/>
  <c r="N133" i="9" s="1"/>
  <c r="L269" i="9"/>
  <c r="N269" i="9" s="1"/>
  <c r="L41" i="9"/>
  <c r="N41" i="9" s="1"/>
  <c r="L384" i="9"/>
  <c r="N384" i="9" s="1"/>
  <c r="L245" i="9"/>
  <c r="N245" i="9" s="1"/>
  <c r="L77" i="9"/>
  <c r="N77" i="9" s="1"/>
  <c r="L17" i="9"/>
  <c r="N17" i="9" s="1"/>
  <c r="L109" i="9"/>
  <c r="N109" i="9" s="1"/>
  <c r="L180" i="9"/>
  <c r="N180" i="9" s="1"/>
  <c r="L363" i="9"/>
  <c r="N363" i="9" s="1"/>
  <c r="L167" i="9"/>
  <c r="N167" i="9" s="1"/>
  <c r="L364" i="9"/>
  <c r="N364" i="9" s="1"/>
  <c r="L127" i="9"/>
  <c r="N127" i="9" s="1"/>
  <c r="L60" i="9"/>
  <c r="N60" i="9" s="1"/>
  <c r="L309" i="9"/>
  <c r="N309" i="9" s="1"/>
  <c r="L366" i="9"/>
  <c r="N366" i="9" s="1"/>
  <c r="L68" i="9"/>
  <c r="N68" i="9" s="1"/>
  <c r="L297" i="9"/>
  <c r="N297" i="9" s="1"/>
  <c r="L330" i="9"/>
  <c r="N330" i="9" s="1"/>
  <c r="L259" i="9"/>
  <c r="N259" i="9" s="1"/>
  <c r="L348" i="9"/>
  <c r="N348" i="9" s="1"/>
  <c r="L349" i="9"/>
  <c r="N349" i="9" s="1"/>
  <c r="L224" i="9"/>
  <c r="N224" i="9" s="1"/>
  <c r="L408" i="9"/>
  <c r="N408" i="9" s="1"/>
  <c r="L140" i="9"/>
  <c r="N140" i="9" s="1"/>
  <c r="L394" i="9"/>
  <c r="N394" i="9" s="1"/>
  <c r="L362" i="9"/>
  <c r="N362" i="9" s="1"/>
  <c r="L280" i="9"/>
  <c r="N280" i="9" s="1"/>
  <c r="L215" i="9"/>
  <c r="N215" i="9" s="1"/>
  <c r="L154" i="9"/>
  <c r="N154" i="9" s="1"/>
  <c r="L86" i="9"/>
  <c r="N86" i="9" s="1"/>
  <c r="L113" i="9"/>
  <c r="N113" i="9" s="1"/>
  <c r="L286" i="9"/>
  <c r="N286" i="9" s="1"/>
  <c r="L357" i="9"/>
  <c r="N357" i="9" s="1"/>
  <c r="L79" i="9"/>
  <c r="N79" i="9" s="1"/>
  <c r="L294" i="9"/>
  <c r="N294" i="9" s="1"/>
  <c r="L267" i="9"/>
  <c r="N267" i="9" s="1"/>
  <c r="L314" i="9"/>
  <c r="N314" i="9" s="1"/>
  <c r="L371" i="9"/>
  <c r="N371" i="9" s="1"/>
  <c r="L426" i="9"/>
  <c r="N426" i="9" s="1"/>
  <c r="L222" i="9"/>
  <c r="N222" i="9" s="1"/>
  <c r="L15" i="9"/>
  <c r="N15" i="9" s="1"/>
  <c r="L283" i="9"/>
  <c r="N283" i="9" s="1"/>
  <c r="L147" i="9"/>
  <c r="N147" i="9" s="1"/>
  <c r="L120" i="9"/>
  <c r="N120" i="9" s="1"/>
  <c r="L178" i="9"/>
  <c r="N178" i="9" s="1"/>
  <c r="L351" i="9"/>
  <c r="N351" i="9" s="1"/>
  <c r="L339" i="9"/>
  <c r="N339" i="9" s="1"/>
  <c r="L57" i="9"/>
  <c r="N57" i="9" s="1"/>
  <c r="L220" i="9"/>
  <c r="N220" i="9" s="1"/>
  <c r="L192" i="9"/>
  <c r="N192" i="9" s="1"/>
  <c r="L194" i="9"/>
  <c r="N194" i="9" s="1"/>
  <c r="L96" i="9"/>
  <c r="N96" i="9" s="1"/>
  <c r="L205" i="9"/>
  <c r="N205" i="9" s="1"/>
  <c r="L365" i="9"/>
  <c r="N365" i="9" s="1"/>
  <c r="L367" i="9"/>
  <c r="N367" i="9" s="1"/>
  <c r="L72" i="9"/>
  <c r="N72" i="9" s="1"/>
  <c r="L132" i="9"/>
  <c r="N132" i="9" s="1"/>
  <c r="L114" i="9"/>
  <c r="N114" i="9" s="1"/>
  <c r="L235" i="9"/>
  <c r="N235" i="9" s="1"/>
  <c r="L125" i="9"/>
  <c r="N125" i="9" s="1"/>
  <c r="L434" i="9"/>
  <c r="N434" i="9" s="1"/>
  <c r="L275" i="9"/>
  <c r="N275" i="9" s="1"/>
  <c r="L155" i="9"/>
  <c r="N155" i="9" s="1"/>
  <c r="L119" i="9"/>
  <c r="N119" i="9" s="1"/>
  <c r="L39" i="9"/>
  <c r="N39" i="9" s="1"/>
  <c r="L87" i="9"/>
  <c r="N87" i="9" s="1"/>
  <c r="L160" i="9"/>
  <c r="N160" i="9" s="1"/>
  <c r="L401" i="9"/>
  <c r="N401" i="9" s="1"/>
  <c r="L249" i="9"/>
  <c r="N249" i="9" s="1"/>
  <c r="L139" i="9"/>
  <c r="N139" i="9" s="1"/>
  <c r="L67" i="9"/>
  <c r="N67" i="9" s="1"/>
  <c r="L66" i="9"/>
  <c r="N66" i="9" s="1"/>
  <c r="L197" i="9"/>
  <c r="N197" i="9" s="1"/>
  <c r="L261" i="9"/>
  <c r="N261" i="9" s="1"/>
  <c r="L55" i="9"/>
  <c r="N55" i="9" s="1"/>
  <c r="L174" i="9"/>
  <c r="N174" i="9" s="1"/>
  <c r="L387" i="9"/>
  <c r="N387" i="9" s="1"/>
  <c r="L281" i="9"/>
  <c r="N281" i="9" s="1"/>
  <c r="L43" i="9"/>
  <c r="N43" i="9" s="1"/>
  <c r="L398" i="9"/>
  <c r="N398" i="9" s="1"/>
  <c r="L122" i="9"/>
  <c r="N122" i="9" s="1"/>
  <c r="L433" i="9"/>
  <c r="N433" i="9" s="1"/>
  <c r="L325" i="9"/>
  <c r="N325" i="9" s="1"/>
  <c r="L263" i="9"/>
  <c r="N263" i="9" s="1"/>
  <c r="L208" i="9"/>
  <c r="N208" i="9" s="1"/>
  <c r="L237" i="9"/>
  <c r="N237" i="9" s="1"/>
  <c r="L153" i="9"/>
  <c r="N153" i="9" s="1"/>
  <c r="L98" i="9"/>
  <c r="N98" i="9" s="1"/>
  <c r="L310" i="9"/>
  <c r="N310" i="9" s="1"/>
  <c r="L317" i="9"/>
  <c r="N317" i="9" s="1"/>
  <c r="L202" i="9"/>
  <c r="N202" i="9" s="1"/>
  <c r="L203" i="9"/>
  <c r="N203" i="9" s="1"/>
  <c r="L415" i="9"/>
  <c r="N415" i="9" s="1"/>
  <c r="L58" i="9"/>
  <c r="N58" i="9" s="1"/>
  <c r="L59" i="9"/>
  <c r="N59" i="9" s="1"/>
  <c r="L254" i="9"/>
  <c r="N254" i="9" s="1"/>
  <c r="L399" i="9"/>
  <c r="N399" i="9" s="1"/>
  <c r="L282" i="9"/>
  <c r="N282" i="9" s="1"/>
  <c r="L128" i="9"/>
  <c r="N128" i="9" s="1"/>
  <c r="L332" i="9"/>
  <c r="N332" i="9" s="1"/>
  <c r="L48" i="9"/>
  <c r="N48" i="9" s="1"/>
  <c r="L404" i="9"/>
  <c r="N404" i="9" s="1"/>
  <c r="L169" i="9"/>
  <c r="N169" i="9" s="1"/>
  <c r="L175" i="9"/>
  <c r="N175" i="9" s="1"/>
  <c r="L200" i="9"/>
  <c r="N200" i="9" s="1"/>
  <c r="L326" i="9"/>
  <c r="N326" i="9" s="1"/>
  <c r="L229" i="9"/>
  <c r="N229" i="9" s="1"/>
  <c r="L353" i="9"/>
  <c r="N353" i="9" s="1"/>
  <c r="L272" i="9"/>
  <c r="N272" i="9" s="1"/>
  <c r="L402" i="9"/>
  <c r="N402" i="9" s="1"/>
  <c r="L243" i="9"/>
  <c r="N243" i="9" s="1"/>
  <c r="L257" i="9"/>
  <c r="N257" i="9" s="1"/>
  <c r="L195" i="9"/>
  <c r="N195" i="9" s="1"/>
  <c r="L218" i="9"/>
  <c r="N218" i="9" s="1"/>
  <c r="L368" i="9"/>
  <c r="N368" i="9" s="1"/>
  <c r="L300" i="9"/>
  <c r="N300" i="9" s="1"/>
  <c r="L107" i="9"/>
  <c r="N107" i="9" s="1"/>
  <c r="L63" i="9"/>
  <c r="N63" i="9" s="1"/>
  <c r="L264" i="9"/>
  <c r="N264" i="9" s="1"/>
  <c r="L34" i="9"/>
  <c r="N34" i="9" s="1"/>
  <c r="L210" i="9"/>
  <c r="N210" i="9" s="1"/>
  <c r="L420" i="9"/>
  <c r="N420" i="9" s="1"/>
  <c r="L268" i="9"/>
  <c r="N268" i="9" s="1"/>
  <c r="L313" i="9"/>
  <c r="N313" i="9" s="1"/>
  <c r="L303" i="9"/>
  <c r="N303" i="9" s="1"/>
  <c r="L196" i="9"/>
  <c r="N196" i="9" s="1"/>
  <c r="L422" i="9"/>
  <c r="N422" i="9" s="1"/>
  <c r="L299" i="9"/>
  <c r="N299" i="9" s="1"/>
  <c r="L289" i="9"/>
  <c r="N289" i="9" s="1"/>
  <c r="L198" i="9"/>
  <c r="N198" i="9" s="1"/>
  <c r="L395" i="9"/>
  <c r="N395" i="9" s="1"/>
  <c r="L116" i="9"/>
  <c r="N116" i="9" s="1"/>
  <c r="L88" i="9"/>
  <c r="N88" i="9" s="1"/>
  <c r="L287" i="9"/>
  <c r="N287" i="9" s="1"/>
  <c r="L47" i="9"/>
  <c r="N47" i="9" s="1"/>
  <c r="L177" i="9"/>
  <c r="N177" i="9" s="1"/>
  <c r="L221" i="9"/>
  <c r="N221" i="9" s="1"/>
  <c r="L193" i="9"/>
  <c r="N193" i="9" s="1"/>
  <c r="L11" i="9"/>
  <c r="N11" i="9" s="1"/>
  <c r="L26" i="9"/>
  <c r="N26" i="9" s="1"/>
  <c r="L170" i="9"/>
  <c r="N170" i="9" s="1"/>
  <c r="L319" i="9"/>
  <c r="N319" i="9" s="1"/>
  <c r="L278" i="9"/>
  <c r="N278" i="9" s="1"/>
  <c r="L50" i="9"/>
  <c r="N50" i="9" s="1"/>
  <c r="L251" i="9"/>
  <c r="N251" i="9" s="1"/>
  <c r="L19" i="9"/>
  <c r="N19" i="9" s="1"/>
  <c r="L296" i="9"/>
  <c r="N296" i="9" s="1"/>
  <c r="L341" i="9"/>
  <c r="N341" i="9" s="1"/>
  <c r="L344" i="9"/>
  <c r="N344" i="9" s="1"/>
  <c r="L331" i="9"/>
  <c r="N331" i="9" s="1"/>
  <c r="L211" i="9"/>
  <c r="N211" i="9" s="1"/>
  <c r="L407" i="9"/>
  <c r="N407" i="9" s="1"/>
  <c r="L8" i="9"/>
  <c r="N8" i="9" s="1"/>
  <c r="L327" i="9"/>
  <c r="N327" i="9" s="1"/>
  <c r="L409" i="9"/>
  <c r="N409" i="9" s="1"/>
  <c r="L131" i="9"/>
  <c r="N131" i="9" s="1"/>
  <c r="L103" i="9"/>
  <c r="N103" i="9" s="1"/>
  <c r="L301" i="9"/>
  <c r="N301" i="9" s="1"/>
  <c r="L318" i="9"/>
  <c r="N318" i="9" s="1"/>
  <c r="L101" i="9"/>
  <c r="N101" i="9" s="1"/>
  <c r="L376" i="9"/>
  <c r="N376" i="9" s="1"/>
  <c r="L115" i="9"/>
  <c r="N115" i="9" s="1"/>
  <c r="L390" i="9"/>
  <c r="N390" i="9" s="1"/>
  <c r="L134" i="9"/>
  <c r="N134" i="9" s="1"/>
  <c r="L172" i="9"/>
  <c r="N172" i="9" s="1"/>
  <c r="L148" i="9"/>
  <c r="N148" i="9" s="1"/>
  <c r="L176" i="9"/>
  <c r="N176" i="9" s="1"/>
  <c r="L427" i="9"/>
  <c r="N427" i="9" s="1"/>
  <c r="L418" i="9"/>
  <c r="N418" i="9" s="1"/>
  <c r="L161" i="9"/>
  <c r="N161" i="9" s="1"/>
  <c r="L340" i="9"/>
  <c r="N340" i="9" s="1"/>
  <c r="L236" i="9"/>
  <c r="N236" i="9" s="1"/>
  <c r="L233" i="9"/>
  <c r="N233" i="9" s="1"/>
  <c r="L219" i="9"/>
  <c r="N219" i="9" s="1"/>
  <c r="L49" i="9"/>
  <c r="N49" i="9" s="1"/>
  <c r="L379" i="9"/>
  <c r="N379" i="9" s="1"/>
  <c r="L184" i="9"/>
  <c r="N184" i="9" s="1"/>
  <c r="L45" i="9"/>
  <c r="N45" i="9" s="1"/>
  <c r="L136" i="9"/>
  <c r="N136" i="9" s="1"/>
  <c r="L333" i="9"/>
  <c r="N333" i="9" s="1"/>
  <c r="L94" i="9"/>
  <c r="N94" i="9" s="1"/>
  <c r="L292" i="9"/>
  <c r="N292" i="9" s="1"/>
  <c r="L64" i="9"/>
  <c r="N64" i="9" s="1"/>
  <c r="L35" i="9"/>
  <c r="N35" i="9" s="1"/>
  <c r="L238" i="9"/>
  <c r="N238" i="9" s="1"/>
  <c r="L21" i="9"/>
  <c r="N21" i="9" s="1"/>
  <c r="L324" i="9"/>
  <c r="N324" i="9" s="1"/>
  <c r="L369" i="9"/>
  <c r="N369" i="9" s="1"/>
  <c r="L20" i="9"/>
  <c r="N20" i="9" s="1"/>
  <c r="L225" i="9"/>
  <c r="N225" i="9" s="1"/>
  <c r="L421" i="9"/>
  <c r="N421" i="9" s="1"/>
  <c r="L24" i="9"/>
  <c r="N24" i="9" s="1"/>
  <c r="L227" i="9"/>
  <c r="N227" i="9" s="1"/>
  <c r="L423" i="9"/>
  <c r="N423" i="9" s="1"/>
  <c r="L410" i="9"/>
  <c r="N410" i="9" s="1"/>
  <c r="L145" i="9"/>
  <c r="N145" i="9" s="1"/>
  <c r="L342" i="9"/>
  <c r="N342" i="9" s="1"/>
  <c r="L117" i="9"/>
  <c r="N117" i="9" s="1"/>
  <c r="L315" i="9"/>
  <c r="N315" i="9" s="1"/>
  <c r="L92" i="9"/>
  <c r="N92" i="9" s="1"/>
  <c r="L106" i="9"/>
  <c r="N106" i="9" s="1"/>
  <c r="L416" i="9"/>
  <c r="N416" i="9" s="1"/>
  <c r="L12" i="9"/>
  <c r="N12" i="9" s="1"/>
  <c r="L118" i="9"/>
  <c r="N118" i="9" s="1"/>
  <c r="L298" i="9"/>
  <c r="N298" i="9" s="1"/>
  <c r="L158" i="9"/>
  <c r="N158" i="9" s="1"/>
  <c r="AD89" i="9"/>
  <c r="AE89" i="9" s="1"/>
  <c r="L89" i="9"/>
  <c r="N89" i="9" s="1"/>
  <c r="L162" i="9"/>
  <c r="N162" i="9" s="1"/>
  <c r="L129" i="9"/>
  <c r="N129" i="9" s="1"/>
  <c r="L204" i="9"/>
  <c r="N204" i="9" s="1"/>
  <c r="L156" i="9"/>
  <c r="N156" i="9" s="1"/>
  <c r="L388" i="9"/>
  <c r="N388" i="9" s="1"/>
  <c r="L432" i="9"/>
  <c r="N432" i="9" s="1"/>
  <c r="L354" i="9"/>
  <c r="N354" i="9" s="1"/>
  <c r="L93" i="9"/>
  <c r="N93" i="9" s="1"/>
  <c r="L18" i="9"/>
  <c r="N18" i="9" s="1"/>
  <c r="L182" i="9"/>
  <c r="N182" i="9" s="1"/>
  <c r="L171" i="9"/>
  <c r="N171" i="9" s="1"/>
  <c r="L102" i="9"/>
  <c r="N102" i="9" s="1"/>
  <c r="L121" i="9"/>
  <c r="N121" i="9" s="1"/>
  <c r="L69" i="9"/>
  <c r="N69" i="9" s="1"/>
  <c r="L150" i="9"/>
  <c r="N150" i="9" s="1"/>
  <c r="L347" i="9"/>
  <c r="N347" i="9" s="1"/>
  <c r="L108" i="9"/>
  <c r="N108" i="9" s="1"/>
  <c r="L306" i="9"/>
  <c r="N306" i="9" s="1"/>
  <c r="L279" i="9"/>
  <c r="N279" i="9" s="1"/>
  <c r="L352" i="9"/>
  <c r="N352" i="9" s="1"/>
  <c r="L397" i="9"/>
  <c r="N397" i="9" s="1"/>
  <c r="L400" i="9"/>
  <c r="N400" i="9" s="1"/>
  <c r="L36" i="9"/>
  <c r="N36" i="9" s="1"/>
  <c r="L239" i="9"/>
  <c r="N239" i="9" s="1"/>
  <c r="L435" i="9"/>
  <c r="N435" i="9" s="1"/>
  <c r="L383" i="9"/>
  <c r="N383" i="9" s="1"/>
  <c r="L358" i="9"/>
  <c r="N358" i="9" s="1"/>
  <c r="L241" i="9"/>
  <c r="N241" i="9" s="1"/>
  <c r="L437" i="9"/>
  <c r="N437" i="9" s="1"/>
  <c r="L228" i="9"/>
  <c r="N228" i="9" s="1"/>
  <c r="L424" i="9"/>
  <c r="N424" i="9" s="1"/>
  <c r="L159" i="9"/>
  <c r="N159" i="9" s="1"/>
  <c r="L356" i="9"/>
  <c r="N356" i="9" s="1"/>
  <c r="L329" i="9"/>
  <c r="N329" i="9" s="1"/>
  <c r="L135" i="9"/>
  <c r="N135" i="9" s="1"/>
  <c r="L247" i="9"/>
  <c r="N247" i="9" s="1"/>
  <c r="L436" i="9"/>
  <c r="N436" i="9" s="1"/>
  <c r="L179" i="9"/>
  <c r="N179" i="9" s="1"/>
  <c r="L290" i="9"/>
  <c r="N290" i="9" s="1"/>
  <c r="L32" i="9"/>
  <c r="N32" i="9" s="1"/>
  <c r="L104" i="9"/>
  <c r="N104" i="9" s="1"/>
  <c r="L142" i="9"/>
  <c r="N142" i="9" s="1"/>
  <c r="L231" i="9"/>
  <c r="N231" i="9" s="1"/>
  <c r="L183" i="9"/>
  <c r="N183" i="9" s="1"/>
  <c r="L190" i="9"/>
  <c r="N190" i="9" s="1"/>
  <c r="L143" i="9"/>
  <c r="N143" i="9" s="1"/>
  <c r="L246" i="9"/>
  <c r="N246" i="9" s="1"/>
  <c r="L168" i="9"/>
  <c r="N168" i="9" s="1"/>
  <c r="L189" i="9"/>
  <c r="N189" i="9" s="1"/>
  <c r="L157" i="9"/>
  <c r="N157" i="9" s="1"/>
  <c r="L250" i="9"/>
  <c r="N250" i="9" s="1"/>
  <c r="L240" i="9"/>
  <c r="N240" i="9" s="1"/>
  <c r="L271" i="9"/>
  <c r="N271" i="9" s="1"/>
  <c r="L381" i="9"/>
  <c r="N381" i="9" s="1"/>
  <c r="L273" i="9"/>
  <c r="N273" i="9" s="1"/>
  <c r="AD28" i="9"/>
  <c r="AE28" i="9" s="1"/>
  <c r="L28" i="9"/>
  <c r="N28" i="9" s="1"/>
  <c r="L46" i="9"/>
  <c r="N46" i="9" s="1"/>
  <c r="L201" i="9"/>
  <c r="N201" i="9" s="1"/>
  <c r="L164" i="9"/>
  <c r="N164" i="9" s="1"/>
  <c r="L361" i="9"/>
  <c r="N361" i="9" s="1"/>
  <c r="L320" i="9"/>
  <c r="N320" i="9" s="1"/>
  <c r="L95" i="9"/>
  <c r="N95" i="9" s="1"/>
  <c r="L293" i="9"/>
  <c r="N293" i="9" s="1"/>
  <c r="L65" i="9"/>
  <c r="N65" i="9" s="1"/>
  <c r="L266" i="9"/>
  <c r="N266" i="9" s="1"/>
  <c r="L53" i="9"/>
  <c r="N53" i="9" s="1"/>
  <c r="L380" i="9"/>
  <c r="N380" i="9" s="1"/>
  <c r="L425" i="9"/>
  <c r="N425" i="9" s="1"/>
  <c r="L52" i="9"/>
  <c r="N52" i="9" s="1"/>
  <c r="L253" i="9"/>
  <c r="N253" i="9" s="1"/>
  <c r="L411" i="9"/>
  <c r="N411" i="9" s="1"/>
  <c r="L54" i="9"/>
  <c r="N54" i="9" s="1"/>
  <c r="L255" i="9"/>
  <c r="N255" i="9" s="1"/>
  <c r="L242" i="9"/>
  <c r="N242" i="9" s="1"/>
  <c r="L438" i="9"/>
  <c r="N438" i="9" s="1"/>
  <c r="L173" i="9"/>
  <c r="N173" i="9" s="1"/>
  <c r="L146" i="9"/>
  <c r="N146" i="9" s="1"/>
  <c r="L343" i="9"/>
  <c r="N343" i="9" s="1"/>
  <c r="L149" i="9"/>
  <c r="N149" i="9" s="1"/>
  <c r="L163" i="9"/>
  <c r="N163" i="9" s="1"/>
  <c r="L206" i="9"/>
  <c r="N206" i="9" s="1"/>
  <c r="L207" i="9"/>
  <c r="N207" i="9" s="1"/>
  <c r="L138" i="9"/>
  <c r="N138" i="9" s="1"/>
  <c r="L335" i="9"/>
  <c r="N335" i="9" s="1"/>
  <c r="L110" i="9"/>
  <c r="N110" i="9" s="1"/>
  <c r="L308" i="9"/>
  <c r="N308" i="9" s="1"/>
  <c r="L112" i="9"/>
  <c r="N112" i="9" s="1"/>
  <c r="L40" i="9"/>
  <c r="N40" i="9" s="1"/>
  <c r="L90" i="9"/>
  <c r="N90" i="9" s="1"/>
  <c r="L91" i="9"/>
  <c r="N91" i="9" s="1"/>
  <c r="L97" i="9"/>
  <c r="N97" i="9" s="1"/>
  <c r="L295" i="9"/>
  <c r="N295" i="9" s="1"/>
  <c r="L226" i="9"/>
  <c r="N226" i="9" s="1"/>
  <c r="L130" i="9"/>
  <c r="N130" i="9" s="1"/>
  <c r="L44" i="9"/>
  <c r="N44" i="9" s="1"/>
  <c r="L9" i="9"/>
  <c r="N9" i="9" s="1"/>
  <c r="L216" i="9"/>
  <c r="N216" i="9" s="1"/>
  <c r="L412" i="9"/>
  <c r="N412" i="9" s="1"/>
  <c r="L188" i="9"/>
  <c r="N188" i="9" s="1"/>
  <c r="L385" i="9"/>
  <c r="N385" i="9" s="1"/>
  <c r="L262" i="9"/>
  <c r="N262" i="9" s="1"/>
  <c r="L429" i="9"/>
  <c r="N429" i="9" s="1"/>
  <c r="I10" i="9"/>
  <c r="K10" i="9" s="1"/>
  <c r="K5" i="9" s="1"/>
  <c r="K2" i="9" s="1"/>
  <c r="AD27" i="9"/>
  <c r="AE27" i="9" s="1"/>
  <c r="V10" i="9"/>
  <c r="AD10" i="9" s="1"/>
  <c r="AE10" i="9" s="1"/>
  <c r="S5" i="9"/>
  <c r="AC5" i="9"/>
  <c r="R85" i="9"/>
  <c r="Q5" i="9"/>
  <c r="AD16" i="9"/>
  <c r="AE16" i="9" s="1"/>
  <c r="AD69" i="9"/>
  <c r="AE69" i="9" s="1"/>
  <c r="AD45" i="9"/>
  <c r="AE45" i="9" s="1"/>
  <c r="AD201" i="9"/>
  <c r="AE201" i="9" s="1"/>
  <c r="AD121" i="9"/>
  <c r="AE121" i="9" s="1"/>
  <c r="AD393" i="9"/>
  <c r="AE393" i="9" s="1"/>
  <c r="AD212" i="9"/>
  <c r="AE212" i="9" s="1"/>
  <c r="AD185" i="9"/>
  <c r="AE185" i="9" s="1"/>
  <c r="AD214" i="9"/>
  <c r="AE214" i="9" s="1"/>
  <c r="AD302" i="9"/>
  <c r="AE302" i="9" s="1"/>
  <c r="AD288" i="9"/>
  <c r="AE288" i="9" s="1"/>
  <c r="AD81" i="9"/>
  <c r="AE81" i="9" s="1"/>
  <c r="AD430" i="9"/>
  <c r="AE430" i="9" s="1"/>
  <c r="AD375" i="9"/>
  <c r="AE375" i="9" s="1"/>
  <c r="AD382" i="9"/>
  <c r="AE382" i="9" s="1"/>
  <c r="AD345" i="9"/>
  <c r="AE345" i="9" s="1"/>
  <c r="AD13" i="9"/>
  <c r="AE13" i="9" s="1"/>
  <c r="AD316" i="9"/>
  <c r="AE316" i="9" s="1"/>
  <c r="AE65" i="9"/>
  <c r="AD46" i="9"/>
  <c r="AE46" i="9" s="1"/>
  <c r="AD234" i="9"/>
  <c r="AE234" i="9" s="1"/>
  <c r="AE159" i="9"/>
  <c r="AD248" i="9"/>
  <c r="AE248" i="9" s="1"/>
  <c r="AD14" i="9"/>
  <c r="AE14" i="9" s="1"/>
  <c r="AD22" i="9"/>
  <c r="AE22" i="9" s="1"/>
  <c r="AE173" i="9"/>
  <c r="AE415" i="9"/>
  <c r="AE410" i="9"/>
  <c r="AE358" i="9"/>
  <c r="AD42" i="9"/>
  <c r="AE42" i="9" s="1"/>
  <c r="AD38" i="9"/>
  <c r="AE38" i="9" s="1"/>
  <c r="AE262" i="9"/>
  <c r="AD187" i="9"/>
  <c r="AE187" i="9" s="1"/>
  <c r="AE47" i="9"/>
  <c r="AE429" i="9"/>
  <c r="AE320" i="9"/>
  <c r="AE299" i="9"/>
  <c r="AE194" i="9"/>
  <c r="AD391" i="9"/>
  <c r="AE391" i="9" s="1"/>
  <c r="AE167" i="9"/>
  <c r="AE364" i="9"/>
  <c r="AE182" i="9"/>
  <c r="AD56" i="9"/>
  <c r="AE56" i="9" s="1"/>
  <c r="AE338" i="9"/>
  <c r="AE74" i="9"/>
  <c r="AE247" i="9"/>
  <c r="AD29" i="9"/>
  <c r="AE29" i="9" s="1"/>
  <c r="AE294" i="9"/>
  <c r="AE114" i="9"/>
  <c r="AE15" i="9"/>
  <c r="AD137" i="9"/>
  <c r="AE137" i="9" s="1"/>
  <c r="AD405" i="9"/>
  <c r="AE405" i="9" s="1"/>
  <c r="AD378" i="9"/>
  <c r="AE378" i="9" s="1"/>
  <c r="AD403" i="9"/>
  <c r="AE403" i="9" s="1"/>
  <c r="AD389" i="9"/>
  <c r="AE389" i="9" s="1"/>
  <c r="AD346" i="9"/>
  <c r="AE346" i="9" s="1"/>
  <c r="AE128" i="9"/>
  <c r="AE290" i="9"/>
  <c r="AE215" i="9"/>
  <c r="AD414" i="9"/>
  <c r="AE414" i="9" s="1"/>
  <c r="AE348" i="9"/>
  <c r="AD419" i="9"/>
  <c r="AE419" i="9" s="1"/>
  <c r="AE210" i="9"/>
  <c r="AD360" i="9"/>
  <c r="AE360" i="9" s="1"/>
  <c r="AE142" i="9"/>
  <c r="AD304" i="9"/>
  <c r="AE304" i="9" s="1"/>
  <c r="AE115" i="9"/>
  <c r="AD312" i="9"/>
  <c r="AE312" i="9" s="1"/>
  <c r="AD144" i="9"/>
  <c r="AE144" i="9" s="1"/>
  <c r="AD232" i="9"/>
  <c r="AE232" i="9" s="1"/>
  <c r="AD428" i="9"/>
  <c r="AE428" i="9" s="1"/>
  <c r="AD37" i="9"/>
  <c r="AE37" i="9" s="1"/>
  <c r="AE362" i="9"/>
  <c r="AE337" i="9"/>
  <c r="AD328" i="9"/>
  <c r="AE328" i="9" s="1"/>
  <c r="AD71" i="9"/>
  <c r="AE71" i="9" s="1"/>
  <c r="AD165" i="9"/>
  <c r="AE165" i="9" s="1"/>
  <c r="AD406" i="9"/>
  <c r="AE406" i="9" s="1"/>
  <c r="AE226" i="9"/>
  <c r="AE25" i="9"/>
  <c r="AE330" i="9"/>
  <c r="AE308" i="9"/>
  <c r="AE332" i="9"/>
  <c r="AD276" i="9"/>
  <c r="AE276" i="9" s="1"/>
  <c r="AD284" i="9"/>
  <c r="AE284" i="9" s="1"/>
  <c r="AE334" i="9"/>
  <c r="AE196" i="9"/>
  <c r="AE30" i="9"/>
  <c r="AE101" i="9"/>
  <c r="AE366" i="9"/>
  <c r="AD374" i="9"/>
  <c r="AE374" i="9" s="1"/>
  <c r="AE129" i="9"/>
  <c r="AE326" i="9"/>
  <c r="AD51" i="9"/>
  <c r="AE51" i="9" s="1"/>
  <c r="AD370" i="9"/>
  <c r="AE370" i="9" s="1"/>
  <c r="AD82" i="9"/>
  <c r="AE82" i="9" s="1"/>
  <c r="AD33" i="9"/>
  <c r="AE33" i="9" s="1"/>
  <c r="AD355" i="9"/>
  <c r="AE355" i="9" s="1"/>
  <c r="AD123" i="9"/>
  <c r="AE123" i="9" s="1"/>
  <c r="AD70" i="9"/>
  <c r="AE70" i="9" s="1"/>
  <c r="AE228" i="9"/>
  <c r="AE124" i="9"/>
  <c r="AE54" i="9"/>
  <c r="AE138" i="9"/>
  <c r="AE400" i="9"/>
  <c r="AE181" i="9"/>
  <c r="AE261" i="9"/>
  <c r="AE130" i="9"/>
  <c r="AE222" i="9"/>
  <c r="AE275" i="9"/>
  <c r="AD417" i="9"/>
  <c r="AE417" i="9" s="1"/>
  <c r="AE170" i="9"/>
  <c r="AE333" i="9"/>
  <c r="AE143" i="9"/>
  <c r="AE172" i="9"/>
  <c r="AE11" i="9"/>
  <c r="AD260" i="9"/>
  <c r="AE260" i="9" s="1"/>
  <c r="AE68" i="9"/>
  <c r="AE66" i="9"/>
  <c r="AE193" i="9"/>
  <c r="AE390" i="9"/>
  <c r="AD265" i="9"/>
  <c r="AE265" i="9" s="1"/>
  <c r="AE238" i="9"/>
  <c r="AE365" i="9"/>
  <c r="AE408" i="9"/>
  <c r="AD76" i="9"/>
  <c r="AE76" i="9" s="1"/>
  <c r="AD199" i="9"/>
  <c r="AE199" i="9" s="1"/>
  <c r="AD256" i="9"/>
  <c r="AE256" i="9" s="1"/>
  <c r="AD61" i="9"/>
  <c r="AE61" i="9" s="1"/>
  <c r="AD372" i="9"/>
  <c r="AE372" i="9" s="1"/>
  <c r="AD359" i="9"/>
  <c r="AE359" i="9" s="1"/>
  <c r="AD151" i="9"/>
  <c r="AE151" i="9" s="1"/>
  <c r="AD84" i="9"/>
  <c r="AE84" i="9" s="1"/>
  <c r="AD396" i="9"/>
  <c r="AE396" i="9" s="1"/>
  <c r="AD78" i="9"/>
  <c r="AE78" i="9" s="1"/>
  <c r="AE184" i="9"/>
  <c r="AE157" i="9"/>
  <c r="AD186" i="9"/>
  <c r="AE186" i="9" s="1"/>
  <c r="AD274" i="9"/>
  <c r="AE274" i="9" s="1"/>
  <c r="AE83" i="9"/>
  <c r="AD80" i="9"/>
  <c r="AE80" i="9" s="1"/>
  <c r="AE207" i="9"/>
  <c r="AE404" i="9"/>
  <c r="AE300" i="9"/>
  <c r="AD252" i="9"/>
  <c r="AE252" i="9" s="1"/>
  <c r="AE379" i="9"/>
  <c r="AE225" i="9"/>
  <c r="AD62" i="9"/>
  <c r="AE62" i="9" s="1"/>
  <c r="AD213" i="9"/>
  <c r="AE213" i="9" s="1"/>
  <c r="AD270" i="9"/>
  <c r="AE270" i="9" s="1"/>
  <c r="AD75" i="9"/>
  <c r="AE75" i="9" s="1"/>
  <c r="AD386" i="9"/>
  <c r="AE386" i="9" s="1"/>
  <c r="AD373" i="9"/>
  <c r="AE373" i="9" s="1"/>
  <c r="AD23" i="9"/>
  <c r="AE23" i="9" s="1"/>
  <c r="U85" i="9"/>
  <c r="U5" i="9" s="1"/>
  <c r="C1" i="3"/>
  <c r="F1" i="3"/>
  <c r="B1" i="3"/>
  <c r="I5" i="9" l="1"/>
  <c r="N7" i="9"/>
  <c r="R5" i="9"/>
  <c r="S2" i="9" s="1"/>
  <c r="L10" i="9"/>
  <c r="N10" i="9" s="1"/>
  <c r="V85" i="9"/>
  <c r="L85" i="9" s="1"/>
  <c r="N85" i="9" s="1"/>
  <c r="L5" i="9" l="1"/>
  <c r="N5" i="9"/>
  <c r="AD85" i="9"/>
  <c r="AE85" i="9" s="1"/>
  <c r="V5" i="9"/>
  <c r="AD100" i="9" l="1"/>
  <c r="AE100" i="9" l="1"/>
  <c r="AE5" i="9" s="1"/>
  <c r="AD5"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tc={CE696AD1-16A4-4AC6-BB73-5E39D05F771E}</author>
  </authors>
  <commentList>
    <comment ref="L20" authorId="0" shapeId="0" xr:uid="{CE696AD1-16A4-4AC6-BB73-5E39D05F771E}">
      <text>
        <t>[Threaded comment]
Your version of Excel allows you to read this threaded comment; however, any edits to it will get removed if the file is opened in a newer version of Excel. Learn more: https://go.microsoft.com/fwlink/?linkid=870924
Comment:
    Perla lo vio directamente con Alejandra quien realizará el reembolso con prioridad por indicación de Jorge Reyes</t>
      </text>
    </comment>
  </commentList>
</comments>
</file>

<file path=xl/sharedStrings.xml><?xml version="1.0" encoding="utf-8"?>
<sst xmlns="http://schemas.openxmlformats.org/spreadsheetml/2006/main" count="24577" uniqueCount="2848">
  <si>
    <t>PENALIZACION NIVEL DE SERVICIO ENE - AGO 2025</t>
  </si>
  <si>
    <t>Autorizado por direcciones comerciales</t>
  </si>
  <si>
    <t>Forma de contacto proveedor</t>
  </si>
  <si>
    <t>Proveedor</t>
  </si>
  <si>
    <t>Cargo Publicado en Portal</t>
  </si>
  <si>
    <t>IEPS</t>
  </si>
  <si>
    <t>IVA</t>
  </si>
  <si>
    <t>Penalizacion con Imptos</t>
  </si>
  <si>
    <t>Aplicado en cuenta de proveedor (incluye imptos)</t>
  </si>
  <si>
    <t>total por aplicar (antes imptos)</t>
  </si>
  <si>
    <t>Reembolso (antes imptos)</t>
  </si>
  <si>
    <t>Final (antes imptos)</t>
  </si>
  <si>
    <t>total por aplicar (inlcuye imtpos)</t>
  </si>
  <si>
    <t>Reembolso con Imptos</t>
  </si>
  <si>
    <t>Final con imptos</t>
  </si>
  <si>
    <t>Aceptado (antes impto)</t>
  </si>
  <si>
    <t>IEPS aceptado</t>
  </si>
  <si>
    <t>IVA aceptado</t>
  </si>
  <si>
    <t>Aceptado con Imptos</t>
  </si>
  <si>
    <t>Pendiente (antes impto)</t>
  </si>
  <si>
    <t>IEPS pendiente</t>
  </si>
  <si>
    <t>IVA pendiente</t>
  </si>
  <si>
    <t>Pendiente con Imptos</t>
  </si>
  <si>
    <t>Soportado (no procede antes impto)</t>
  </si>
  <si>
    <t>IEPS no procede</t>
  </si>
  <si>
    <t>IVA no procede</t>
  </si>
  <si>
    <t>Soportado con Imptos</t>
  </si>
  <si>
    <t>NS 2020-2024 antes de impuestos</t>
  </si>
  <si>
    <t>Tipo Proveedor</t>
  </si>
  <si>
    <t>TOTAL (antes impto)</t>
  </si>
  <si>
    <t>TOTAL (con impto)</t>
  </si>
  <si>
    <t>dif</t>
  </si>
  <si>
    <t>Parcialidad</t>
  </si>
  <si>
    <t>Accionable</t>
  </si>
  <si>
    <t>Avisos en Portal</t>
  </si>
  <si>
    <t>Correos de seguimiento</t>
  </si>
  <si>
    <t>Observación actual</t>
  </si>
  <si>
    <t>contacto</t>
  </si>
  <si>
    <t>ESTATUS_1</t>
  </si>
  <si>
    <t>Asignación</t>
  </si>
  <si>
    <t>Importe reclama proveedor</t>
  </si>
  <si>
    <t>Solicita Proveedor en aclaración</t>
  </si>
  <si>
    <t>Folios en aclaración</t>
  </si>
  <si>
    <t>Soporte en poratl</t>
  </si>
  <si>
    <t>Fecha Contacto</t>
  </si>
  <si>
    <t>Fecha se envió detalle</t>
  </si>
  <si>
    <t>Confirmacion recibo</t>
  </si>
  <si>
    <t>Fecha reunión</t>
  </si>
  <si>
    <t>Comentarios</t>
  </si>
  <si>
    <t>ESTATUS</t>
  </si>
  <si>
    <t>Aclaracion Portal</t>
  </si>
  <si>
    <t>Correo auditor</t>
  </si>
  <si>
    <t>Comercial</t>
  </si>
  <si>
    <t>Observacion</t>
  </si>
  <si>
    <t>Liga contacto</t>
  </si>
  <si>
    <t>MONDELEZ MEXICO S DE RL DE CV</t>
  </si>
  <si>
    <t>TOP - Aclaracion</t>
  </si>
  <si>
    <t>Revisión</t>
  </si>
  <si>
    <t>Proveedor indica se validará con Dirección el saldo de esta Auditoria.</t>
  </si>
  <si>
    <t>CON CONTACTO</t>
  </si>
  <si>
    <t>DEFINICION FINANZAS</t>
  </si>
  <si>
    <t>Perla</t>
  </si>
  <si>
    <t>En validaciòn por parte de Proveedor, se tiene programada reuniòn el 26 de enero, en espera de confirmaciòn de horario. Negativa de proveedor.</t>
  </si>
  <si>
    <t>En validaciòn por parte de Proveedor, se tiene programada reuniòn  el 26 de enero, en espera de confirmaciòn de horario.</t>
  </si>
  <si>
    <t>FRABEL S.A. DE C.V.</t>
  </si>
  <si>
    <t>Tema interno</t>
  </si>
  <si>
    <t>NEGATIVA ACLARACIONES</t>
  </si>
  <si>
    <t>Raul</t>
  </si>
  <si>
    <t>DETALLE DE LOS CARGOS EN EL PORTAL</t>
  </si>
  <si>
    <t>Se le aclara a proveedor el periodo de revisión</t>
  </si>
  <si>
    <t>Casos abiertos( En proceso)</t>
  </si>
  <si>
    <t>X</t>
  </si>
  <si>
    <t>GRISI HNOS SA DE CV</t>
  </si>
  <si>
    <t>Aplicar</t>
  </si>
  <si>
    <t>20-feb-2026 se comparte con proveedor saldo improcedente por 688K de acuerdo con soportes validados, en espera de soportes y respuesta del saldo restante (proveedor manda correo a Dir Comercial con la afectación al margen en caso de que se cobre el saldo)</t>
  </si>
  <si>
    <t>PDTE POR PROVEEDOR</t>
  </si>
  <si>
    <t>Samuel</t>
  </si>
  <si>
    <t>SOLICITA DETALLE DE 3 RAZONES QUE MANEJA (GRISI,COMBE,DIGRIMEX)</t>
  </si>
  <si>
    <t>Proveedor pide prorroga</t>
  </si>
  <si>
    <t>Se revisan evidencias enviadas por proveedor, pero no soportan la imprcedencia del saldo</t>
  </si>
  <si>
    <t>BDF MEXICO S.A DE C.V</t>
  </si>
  <si>
    <t>Cerrado/Aplicar</t>
  </si>
  <si>
    <t>CERRADO</t>
  </si>
  <si>
    <t>Yessenia</t>
  </si>
  <si>
    <t>Proveedor acepta parte del monto $18,022,712.44 y quedado es espera de soporte de no aceptado de $29,823.79</t>
  </si>
  <si>
    <t>Casos cerrados</t>
  </si>
  <si>
    <t>correo compartido por Ambriz Ruiz Jair Alejandro &lt;jairar@soriana.com&gt;</t>
  </si>
  <si>
    <t>NEWELL BRANDS DE MEXICO SA DE CV</t>
  </si>
  <si>
    <t>TOP - Sin aclaracion</t>
  </si>
  <si>
    <t>Sin comentarios del proveedor.</t>
  </si>
  <si>
    <t>SIN ACLARACION</t>
  </si>
  <si>
    <t>Olfi</t>
  </si>
  <si>
    <t>Se le manda correo al proveedor, informandole sobre la auditoria del 2025</t>
  </si>
  <si>
    <t>ESSITY HIGIENE Y SALUD MEXICO SA DE</t>
  </si>
  <si>
    <t>Luis</t>
  </si>
  <si>
    <t>Proveedor se contacta con Ana Ruth/Ruben/Tere para solicitar prórroga de los saldos publicados en portal</t>
  </si>
  <si>
    <t>VISION COMERCIAL DEPORTIVA SA DE CV</t>
  </si>
  <si>
    <t>Proveedor menciona tiene reunión con dirección comercial Soriana el 19 de febrero. Al dia de hoy sin comentarios o soportes por parte del proveedor.</t>
  </si>
  <si>
    <t>CARGOS YA APLICADOS ANTERIORMENTE (CARGO IMPROCEDENTE)</t>
  </si>
  <si>
    <t>En validación de información, proveedor solicita reunión 28-ene-26. Proveedor argumenta que los cargos no proceden porque le han hecho otros cargos improcedentes.</t>
  </si>
  <si>
    <t>Proveedor se contacta con Ruben/Tere para solicitar prórroga de los saldos publicados en portal</t>
  </si>
  <si>
    <t>MIDEA MEXICO S DE RL DE CV</t>
  </si>
  <si>
    <t>03 Contactos
28 ene: correo de contacto inicial
04 feb: reunión vía TEAMS
06 feb  El proveedor envia soportes que desestima $2,541 incluido impuesto. Proveedor solicita 10 días adicionales para recabar el monto $5,740 incluido impuestos. El Proveedor copia área Comercial solicitando apoyo en los 10 días</t>
  </si>
  <si>
    <t>Andrea</t>
  </si>
  <si>
    <t>ERROR EN EL CALCULO DEL CARGO SOLICTA EL REEMBOLSO</t>
  </si>
  <si>
    <t>Se envía correo informando que el comunicado de cargo NS correspondiente al periodo de enero a agosto de 2025 ya se encuentra publicado en el Portal. El detalle del mismo también está disponible desglosado en el Portal. Se adjunta manual de visualizacion de Cargos.//03 FEB el area de Aclaraciones envia correo, se contacta al Proveedor y se realizara reunion el dia 04 feb para revisar el detalle que presenta diferencias y confirmar el monto a favor de Soriana.//04 feb se realiza reunion con Equipo de Midea, quienes presentan diferencias en unidades pedidas segun su sistema, hacemos el ejercicio de revisar puntualmente 5 Ordenes de compra e identifcamos que la cantidad que tiene en su archivo Midea es la real Facturada, por lo que validaran internamente el restante de las ordenes de compra.// 05 feb El proveedor envió correos informando que los camiones permanecieron en el CEDI por más de 30 horas sin que se les pudiera recibir. Asimismo, compartieron un correo con el equipo Comercial de Soriana notificando esta situación y solicitando, por favor, que las órdenes de compra (OC) fueran excluidas de la penalización por nivel de servicio (NS). Proveedor relaciona en excel el valor de $2,541,233.37 pero solo envia soportes de $1,742,928.70// 06 feb El proveedor correo soporte de dos ordenes de compra adicional, por lo tanto no procede el monto de $2.541.233.37 impuestos incluidos.</t>
  </si>
  <si>
    <t>Hershey Mexico SA de CV</t>
  </si>
  <si>
    <t>Jessica</t>
  </si>
  <si>
    <t>Proveedor acepto de manera parcial, envio soportes para su validacion</t>
  </si>
  <si>
    <t>En reunión proveedor nos comenta que ya descargo la información del portal sin embargo requiere la fecha pedido</t>
  </si>
  <si>
    <t>HEINZ MEXICO SA DE CV</t>
  </si>
  <si>
    <t>Sin comentarios del proveedor.(1 correo seguimiento)</t>
  </si>
  <si>
    <t>Yessica</t>
  </si>
  <si>
    <t>Se envia Manual y detalle NS 2025</t>
  </si>
  <si>
    <t>MALTA TEXO DE MEXICO SA DE CV</t>
  </si>
  <si>
    <t>Proveedor quedó en compartir evidencia adicional esta semana 23-feb-2026, aprobacion de compras Soriana de omisión de cobros.</t>
  </si>
  <si>
    <t>PINSA COMERCIAL SA DE CV</t>
  </si>
  <si>
    <t>CARVAJAL EDUCACION S.A. DE C.V.</t>
  </si>
  <si>
    <t>03-03-2026 - En reunión presencial con el proveedor, este presenta soportes que disminuyen el valor de la diferencia presentada - se hace recalculo y se vuelve a enviar al proveedor para su aceptación
16-feb-2026 se informa a proveedor que el soporte que envia (Oleaje, resurtidos) no especicifa los pedidos publicados.</t>
  </si>
  <si>
    <t>Marcela</t>
  </si>
  <si>
    <t>REEMBOLSO DEL CARGO</t>
  </si>
  <si>
    <t>Proveedor comparte soportes del no cobro de NS</t>
  </si>
  <si>
    <t>ABSORMEX CMPC TISSUE SA DE CV</t>
  </si>
  <si>
    <r>
      <rPr>
        <b/>
        <u val="singleAccounting"/>
        <sz val="11"/>
        <color theme="1"/>
        <rFont val="Aptos Narrow"/>
        <family val="2"/>
        <scheme val="minor"/>
      </rPr>
      <t>08 contactos</t>
    </r>
    <r>
      <rPr>
        <sz val="11"/>
        <color theme="1"/>
        <rFont val="Aptos Narrow"/>
        <family val="2"/>
        <scheme val="minor"/>
      </rPr>
      <t xml:space="preserve">
 29 ene: Agenda de reunion via TEAMs
03 feb: reunion via TEAMS donde se deja claro que el tiempo estimado para NS2025 no se mueve.
04 feb: Proveedor indica que la metodologia de liquidacion presenta diferencias.Se solicita compartir el detalle.
10 feb : Proveedor envia detalle
18-feb-2026 se aclaró con proveedor la metodología del calculo y se solicitó enviar evidencias.
25 feb: Se envia correo al Proveedor solicitando la revisión e informando que debemos cerrar en febrero 2026.
27 feb 2026: El proveedor envia correo informando que esta revisando que le demos al finalizar la próxima semana
27 feb 2026: Auditoria envia correo solicitando nos compartan las revisiones que ya tengan listas, dado que se otorgo una prorroga al 04 de marzo para cerrar.</t>
    </r>
  </si>
  <si>
    <t>29 ene 2026: el proveedor envia correo informando que esta revisando el detalle y requiere una plazo de 30 dias. Auditoria envia respuesta informando que no es posible ampliar el plazo dado que es un proceso a nivel institucional, no obstante estamos en disposición de apoyar en cualquier inquietud, duda o información adicional.//03 feb reunión con Proveedor se informo que el plazo no se puede extender y quedaron de enviar soportes en la tarde/</t>
  </si>
  <si>
    <t>SI</t>
  </si>
  <si>
    <t>Se acercó el proveedor con Andrea solicitando el detalle correspondiente.</t>
  </si>
  <si>
    <t>LA MADRILENA, S.A.</t>
  </si>
  <si>
    <t>Se envìo correo el  20-feb-26 nitificando el resultado despues de realizar la revisión de la inforamación recibida,se solicto soportes del saldo pendiente
S informa al proveedor el importe pendiente de soportes con el resultado final del analisis segun información recibida, se obtienes respuesta de su parte confirmando la información recibida</t>
  </si>
  <si>
    <t>Si</t>
  </si>
  <si>
    <t>Se le manda correo al proveedor, informandole sobre la auditoria del 2025
Se revisa soportes recibidos los cuales no son procedentes, se soliciat soportes que validen el archivo adjunto y se vuelve a enviar la información
Proveedor envia estado de cuenta donde se visualizan los pedidos con pagos aplicados de lo que se reclaman, se realiza cruce de archivo de salida con soporte y se descarga el resultado de SAP para cotejar la información</t>
  </si>
  <si>
    <t>FERRERO DE MEXICO SA DE CV</t>
  </si>
  <si>
    <t>05 de marzo - se envia correo de seguimiento al proveedor, solicitando respuesta, e informado que de no recibir respuesta se aplicará el cargo
24 de febrero - se envia al proveedor detalle del importe publicado
20 de febrero Carmen de aclaraciones solicita nos acerquemos con proveedor para compartir detalle de pedidos, se manda información a proveedor información el 24 de febrero</t>
  </si>
  <si>
    <t>PDTE POR AUDITORIA</t>
  </si>
  <si>
    <t>28 de enero: Se envía correo con información de detalle de ns. 23 de febereo 2026: proveedor revisa con depto. de servicio a proveedores algunas aclaraciones y solicitó detalle del cargo publicado e ingreso el 19 de febrero folios de aclaración.</t>
  </si>
  <si>
    <t>PRODUCTOS INTERNACIONALES MABE S.A.</t>
  </si>
  <si>
    <t>08 contactos
 29 ene: Agenda de reunion via TEAMs
03 feb: reunion via TEAMS donde se deja claro que el tiempo estimado para NS2025 no se mueve.
04 feb: Proveedor indica que la metodologia de liquidacion presenta diferencias.Se solicita compartir el detalle.
10 feb : Proveedor envia detalle
18-feb-2026 se aclaró con proveedor la metodología del calculo y se solicitó enviar evidencias.
25 feb: Se envia correo al Proveedor solicitando la revisión e informando que debemos cerrar en febrero 2026.
27 feb 2026: El proveedor envia correo informando que esta revisando que le demos al finalizar la próxima semana
27 feb 2026: Auditoria envia correo solicitando nos compartan las revisiones que ya tengan listas, dado que se otorgo una prorroga al 04 de marzo para cerrar.</t>
  </si>
  <si>
    <t>Sareé</t>
  </si>
  <si>
    <t>Se le manda correo al proveedor, informandole sobre la auditoria del 2025// 29 ene 2026: el proveedor envia correo informando que esta revisando el detalle y requiere una plazo de 30 dias. Auditoria envia respuesta informando que no es posible ampliar el plazo dado que es un proceso a nivel institucional, no obstante estamos en disposición de apoyar en cualquier inquietud, duda o información adicional.//03 feb reunión con Proveedor se informo que el plazo no se puede extender y quedaron de enviar soportes en la tarde./04 feb : el proveedor envia correo informando que presenta diferencia en la metodologia y que tiene un valor de $868k de ordenes no canceladas y $263K cantidad cancelada menor a la que se reclama. El proveedor solicita el detalle que indique lo que no se entrego. Auditoria envia el archivo de NS ene- ago 2025 de NS donde se detalla por OC la penalizacion y se solicita coloque una columna donde marque las incidencias y otra columna donde realice el calculo segun su metodologia.</t>
  </si>
  <si>
    <t>CHURCH &amp; DWIGHT,S. DE R.L. DE C.V.</t>
  </si>
  <si>
    <t xml:space="preserve"> 29 ene: Agenda de reunion via TEAMs</t>
  </si>
  <si>
    <t>Francisco</t>
  </si>
  <si>
    <t>Proveedor se acercò a revisar la Auditoria 20-24 y solicitar lo que respecta al 2025, se encuentra en validaciòn. 20feb2026 Lo esta haciendo a nivel pedido.</t>
  </si>
  <si>
    <t>Proveedor se acercò a revisar la Auditoria 20-24 y solicitar lo que respecta al 2025, se encuentra en validaciòn</t>
  </si>
  <si>
    <t>REGALOS SIGLO XXI</t>
  </si>
  <si>
    <t>03 feb: reunion via TEAMS donde se deja claro que el tiempo estimado para NS2025 no se mueve.</t>
  </si>
  <si>
    <t>EDGEWELL PERSONAL CARE MEXICO</t>
  </si>
  <si>
    <t>06 Marzo. Proveedor indica no cuenta con dudas respecto al cargo de la Auditoria por NS 2025.</t>
  </si>
  <si>
    <t>Mario</t>
  </si>
  <si>
    <t>Se tuvo reuniòn con Proveedor para revisar la parte del 20-24 y se presentò lo del 2025, se encuentran en proceso de descarga de los pedidos penalziados.</t>
  </si>
  <si>
    <t>3M MEXICO SA DE CV</t>
  </si>
  <si>
    <t>Proveedor envía soporte de lo no procedente y se confirma por parte de la Auditoria el resultado aceptaod.</t>
  </si>
  <si>
    <t>EL PEDIDO FUE CANCELADO EN TIEMPO, NO PROCEDE</t>
  </si>
  <si>
    <t>EN validaciòn de soporte</t>
  </si>
  <si>
    <t>LINGERIX SA DE CV</t>
  </si>
  <si>
    <t>18-feb-2026 se aclaró con proveedor la metodología del calculo y se solicitó enviar evidencias.</t>
  </si>
  <si>
    <t>29-01-2026</t>
  </si>
  <si>
    <t>PROVEEDOR CONFIRMA RECIBIDO  Y  SOLICITÓ AMPLIACION DE PLAZO</t>
  </si>
  <si>
    <t>NATURASOL S.A. DE C.V.</t>
  </si>
  <si>
    <t>25 feb: Se envia correo al Proveedor solicitando la revisión e informando que debemos cerrar en febrero 2026.</t>
  </si>
  <si>
    <t>PEDRO DOMECQ SA DE CV</t>
  </si>
  <si>
    <t>27 feb 2026: El proveedor envia correo informando que esta revisando que le demos al finalizar la próxima semana</t>
  </si>
  <si>
    <t>Belem</t>
  </si>
  <si>
    <t>HENKEL CAPITAL SA DE CV</t>
  </si>
  <si>
    <t>27 feb 2026: Auditoria envia correo solicitando nos compartan las revisiones que ya tengan listas, dado que se otorgo una prorroga al 04 de marzo para cerrar.</t>
  </si>
  <si>
    <t>raul</t>
  </si>
  <si>
    <t>1 contacto se le informa de la auditoria</t>
  </si>
  <si>
    <t>MARINDUSTRIAS S.A. DE C.V.</t>
  </si>
  <si>
    <t xml:space="preserve"> 6 - feb -2026, Sin respuesta al dia hoy, se le solicito los soportes de cancelacion (1 correos de Seguimiento)</t>
  </si>
  <si>
    <t xml:space="preserve">REEMBOLOS DEBIDO A QUE EL PEDIDO NUCA SE VIO REFLEJADO </t>
  </si>
  <si>
    <t>compartió soportes que no justifican la improcedencia, se le informo sus soportes no son validos. Sin respuesta.</t>
  </si>
  <si>
    <t>HALEON CONSUMER HEALTHCARE MEXICO</t>
  </si>
  <si>
    <t xml:space="preserve">Reunión con proveedor 24 feb 26, menciona saldo procedente, y confirmación de soportes que amparan improcedencia de 110K antes de imp, se dieron 3 seguimiento, una reunión presencial y una sesión </t>
  </si>
  <si>
    <t>Se envía correo con información de detalle de ns</t>
  </si>
  <si>
    <t>BARDAHL DE MEXICO S. A. DE C. V.</t>
  </si>
  <si>
    <t>Proveedor no mandas soportes de improcedencia se tuvo un contacto en correo el 28 de enero en el que se compartió la información de pedidos, en seguimiento del 2020-2024 proveedor hace una llamada el 20 de febrero pero no menciona nada con relación al ejercicio 2025</t>
  </si>
  <si>
    <t>DETERGENTES Y JABONES SASIL SAPI SA</t>
  </si>
  <si>
    <t>Se enviò correo el 17-feb-26 indicando que se requiere la autorización del area comercial para desestimar unos pedidos que indican que se realizó una solicitud de configuración</t>
  </si>
  <si>
    <t>Proveedor solicito detalle y se le hizo llegar
Se Indica que es necesario la solicitud de la autorización del area comercial para el tema de configuración de unos pedidos, proveedor tiene un seguimiento de esta solicitud</t>
  </si>
  <si>
    <t>Raul Castillo recibio correo en cuenta soriana</t>
  </si>
  <si>
    <t>BEBIDAS INTERNACIONALES BEPENSA SA</t>
  </si>
  <si>
    <t>En revisión OC restantes</t>
  </si>
  <si>
    <t>Proveedor envía soporte de OC ya cobradas</t>
  </si>
  <si>
    <t>4E GLOBAL SAPI DE CV</t>
  </si>
  <si>
    <t>NISSIN FOODS DE MEXICO SA DE CV</t>
  </si>
  <si>
    <t>Proveedor comparte evidencia de OC ya cobradas por sistema.</t>
  </si>
  <si>
    <t>Se contactó con Raúl vía correo solicitando el detalle</t>
  </si>
  <si>
    <t>Se envía correo informando que el comunicado de cargo NS correspondiente al periodo de enero a agosto de 2025 ya se encuentra publicado en el Portal. El detalle del mismo también está disponible desglosado en el Portal. Se adjunta manual de visualizacion de Cargos.// 29 ene 2026: el proveedor envia correo informando que esta revisando el detalle y requiere una plazo de 30 dias. Auditoria envia respuesta informando que no es posible ampliar el plazo dado que es un proceso a nivel institucional, no obstante estamos en disposición de apoyar en cualquier inquietud, duda o información adicional.//03 feb reunión con Proveedor se informo que el plazo no se puede extender y quedaron de enviar soportes en la tarde./04 feb : el proveedor envia correo informando que presenta diferencia en la metodologia y que tiene un valor de $868k de ordenes no canceladas y $263K cantidad cancelada menor a la que se reclama. El proveedor solicita el detalle que indique lo que no se entrego. Auditoria envia el archivo de NS ene- ago 2025 de NS donde se detalla por OC la penalizacion y se solicita coloque una columna donde marque las incidencias y otra columna donde realice el calculo segun su metodologia.</t>
  </si>
  <si>
    <t>Sales del Istmo SA de CV</t>
  </si>
  <si>
    <t>NO</t>
  </si>
  <si>
    <t>Proveedor comparte el resultado de su revisión</t>
  </si>
  <si>
    <t>Se tiene reunión con Marco y comenta que  el dia 29 de Enero dara un avance</t>
  </si>
  <si>
    <t>PRODUCTOS ALIMENTICIOS LA MODERNA S</t>
  </si>
  <si>
    <t>28 de enero se envió correo de que se tenian 15 días para la revisión no se ha recibido respuesta</t>
  </si>
  <si>
    <t>Proveedor requiere prorroga para terminar de valdiar informaciòn.</t>
  </si>
  <si>
    <t>RB HEALTH MEXICO SA DE CV</t>
  </si>
  <si>
    <t>Se envio ultima notificación el 20 de feb con el resultado del analisis y se solicito soportes de lo que esta pendiente</t>
  </si>
  <si>
    <t xml:space="preserve">Se tiene junta con proveedor,  pendiente envio de bitacora. Se solicitó soportes a proveedor, aun sin respuesta, solo responde sobre un excel no adjunta evidencias.
Se envia solicitud nuevamente de soportes de lo que no tiene evidencias </t>
  </si>
  <si>
    <t>x</t>
  </si>
  <si>
    <t>PASTEURIZADORA MAULEC SA DE CV</t>
  </si>
  <si>
    <t>Proveedor otorga soporte de descatalogaciòn de SKU.</t>
  </si>
  <si>
    <t>H.U.T. INTERNACIONAL S.A. DE C.V.</t>
  </si>
  <si>
    <t>NO APLICA EL CARGO DE NIVEL DE SERVICIO</t>
  </si>
  <si>
    <t>28-01-2026</t>
  </si>
  <si>
    <t>Proveedor -acepta cargo despues de analisis de documentacion presentada
 argumenta no procede cargo porque cumplio a nivel orden de compra, se le aclaro el calculo es por codigo.</t>
  </si>
  <si>
    <t xml:space="preserve">ENVIA DCOUMENTOS CON  SOPORTES	se tiene reunion con Se le informa que aquellos pedidos que indican no son proceden lo estan haciendo por el total de la orden de compra mas no el total del pedido - se tiene docuemnto detalle con comentarios </t>
  </si>
  <si>
    <t>HOME TEXTILE DESIGNS SA DE CV</t>
  </si>
  <si>
    <t>28-ene-2026 , se solicitó a proveedor los folios de aportacion del pago y evidencia de la omisión del cobro de otros pedidos. Sin respuesta al dia de hoy 23feb2026</t>
  </si>
  <si>
    <t>Proveedor argumenta haber pagado por Aportaciones algunos pedidos. Otros soportes son Cancelación y ampliación de pedidos. No se identifica autorizacion por parte del área comercial, en espera de soporte firmado por parte del proveedor.</t>
  </si>
  <si>
    <t>MARINTER, SA DE C.V</t>
  </si>
  <si>
    <t>Mando soportes de productos descatalogados, no se ha identificado confirmacion del área comercial. el proveedor acepta monto por valor de $82,743.28</t>
  </si>
  <si>
    <t>PEPSICO STRAUSS FRESH DIPS &amp; SPREAD</t>
  </si>
  <si>
    <t>Sin contacto de proveedor</t>
  </si>
  <si>
    <t>Auditoría ha enviado correo la información correspondiente para su confirmación de recibo</t>
  </si>
  <si>
    <t>KOBLENZ ELECTRICA SA DE CV</t>
  </si>
  <si>
    <t>1 contacto se le informa de la publicación de pedidos en el portal</t>
  </si>
  <si>
    <t>Erika</t>
  </si>
  <si>
    <t>ABBOTT LABORATORIES DE MEXICO SA DE</t>
  </si>
  <si>
    <t>Soporte incompleto no justifica la no entrega, no esta autorizado por comercial.</t>
  </si>
  <si>
    <t>proveedor envia correos soportes donde Se revisó la conciliación y varios soportes no son válidos por falta de firma del área Comercial, por lo que las penalizaciones siguen procedentes. También se solicita evidencia de entrega para los casos donde se indica que la mercancía fue recibida al 100%.</t>
  </si>
  <si>
    <t>Correo directo a cuenta del auditor</t>
  </si>
  <si>
    <t>RAGASA INDUSTRIAS SA DE CV</t>
  </si>
  <si>
    <t>19-feb-2026 Correo de área comercial Soriana, no está de acuerdo con los margenes del sistema y del cálculo.</t>
  </si>
  <si>
    <t>Proveedor argumenta margenes diferentes a lo pactado, formato cocina no aplica NS y 4 pedidos cobrados por el sistema en automatico</t>
  </si>
  <si>
    <t>CORPORACION BEKAX SA DE CV</t>
  </si>
  <si>
    <t>CUETARA DISTRIBUCION SA DE CV</t>
  </si>
  <si>
    <t>CIA SHERWIN WILLIAMS SA DE CV</t>
  </si>
  <si>
    <t>CLOROX DE MEXICO S DE RL DE CV</t>
  </si>
  <si>
    <r>
      <rPr>
        <b/>
        <sz val="11"/>
        <color theme="1"/>
        <rFont val="Aptos Narrow"/>
        <family val="2"/>
        <scheme val="minor"/>
      </rPr>
      <t>01 contacto:</t>
    </r>
    <r>
      <rPr>
        <sz val="11"/>
        <color theme="1"/>
        <rFont val="Aptos Narrow"/>
        <family val="2"/>
        <scheme val="minor"/>
      </rPr>
      <t xml:space="preserve"> envio de correo incial informando el detalle y adjuntando manual</t>
    </r>
  </si>
  <si>
    <t>Se envía correo informando que el comunicado de cargo NS correspondiente al periodo de enero a agosto de 2025 ya se encuentra publicado en el Portal. El detalle del mismo también está disponible desglosado en el Portal. Se adjunta manual de visualizacion de Cargos.</t>
  </si>
  <si>
    <t>SCHETTINO HERMANOS S DE RL DE CV</t>
  </si>
  <si>
    <t>En revisión OC que se cobran 100%</t>
  </si>
  <si>
    <t>Se envían comentarios de auditoría para la parte restante</t>
  </si>
  <si>
    <t>SPECTRUM BRANDS DE MEXICO SA DE CV</t>
  </si>
  <si>
    <t>Proveedor no da respuesta, no presenta soportes, un seguimiento con la notificación del importe</t>
  </si>
  <si>
    <t>COMPA¥IA COMERCIALIZADORA PRODIN CE</t>
  </si>
  <si>
    <t>1 contacto, se le informa al proveedor de la auditoria, proveedor comenta que si tiene alguna duda nos contacta.</t>
  </si>
  <si>
    <t>COMARKET S.A. DE C.V.</t>
  </si>
  <si>
    <t>Aplicado</t>
  </si>
  <si>
    <t>NO PROCEDE EL CARGO DEBIDO A QUE EL PROVEEDOR PIDIO LA AMPLIACION DEL PEDIDO</t>
  </si>
  <si>
    <t xml:space="preserve">presenta folio de aclaraiones de todos los importes , donde de los soportes presnetados no proceden 15,335.45 con impuestos incluidos, el resto se solicito soporte contundente </t>
  </si>
  <si>
    <t>CAPICO DISTRIBUCION S.A. DE C.V.</t>
  </si>
  <si>
    <t>Proveedor información no contundente, dice tener un convenio actualizado de no negociación de FR se solicitó y aún no lo envía</t>
  </si>
  <si>
    <t>Proveedor otorga convenio en donde indica cancelaciòn, se esta validando la informaciòn</t>
  </si>
  <si>
    <t>Proveedor se contacta para ver la Auditoria del 2020 -2024, posterior a esto se notifica la diferencia del ejercicio 2025.</t>
  </si>
  <si>
    <t>NOVELTY CORP.DE MEXICO S.A. DE C.V.</t>
  </si>
  <si>
    <t>Proveedor no presenta soportes de improcedenica, ultima fecha de seguimiento 20 de febrero 2026, tres correos de seguimiento</t>
  </si>
  <si>
    <t>Proveedor se encuentra en revisión del saldo compartido</t>
  </si>
  <si>
    <t>Correo compartido por Ambriz Ruiz Jair Alejandro &lt;jairar@soriana.com&gt;</t>
  </si>
  <si>
    <t>PRODUCTORA MEXICANA DE ARROZ SAPI</t>
  </si>
  <si>
    <t>ALTA EXTRACCION SA DE CV</t>
  </si>
  <si>
    <t>CINSA SA DE CV</t>
  </si>
  <si>
    <t>Se le informa a proveedor sobre el comunicado dentro del portal</t>
  </si>
  <si>
    <t>CU FOUNDATIONS SA DE CV</t>
  </si>
  <si>
    <t>Proveedor solicito detalle y se le hizo llegar</t>
  </si>
  <si>
    <t>NO SABE FALLAR S.A DE C.V.</t>
  </si>
  <si>
    <t>SIN CONTACTO</t>
  </si>
  <si>
    <t>US COTTON MEXICO S DE RL DE CV</t>
  </si>
  <si>
    <t>NO ES TOP</t>
  </si>
  <si>
    <t>Sin acercamiento por parte del proveedor, actualmente pendiente auditoria del 2020-2024</t>
  </si>
  <si>
    <t>PRONUA S.A. DE C.V.</t>
  </si>
  <si>
    <t>CARGOS ERRONEOS, DEBIDO A QUE SI CANCELARON LA CITA</t>
  </si>
  <si>
    <t xml:space="preserve">Proveedor solicito detalle y se le hizo llegar. Validado comparte soportes de 3 OC </t>
  </si>
  <si>
    <t>REPUBLIC NAIL SA DE CV</t>
  </si>
  <si>
    <t>GS ALIMENTOS DE MEXICO SA DE CV</t>
  </si>
  <si>
    <t>ALIMENTOS TRES G SA DE CV</t>
  </si>
  <si>
    <t>GIFAN INTERNACIONAL S. DE R.L. DE C</t>
  </si>
  <si>
    <t>Proveedor no presenta soportes de improcedencia, ultima fecha de seguimiento 16 de febrero 2026</t>
  </si>
  <si>
    <t>COMERCIALIZADORA CANTU SA DE CV</t>
  </si>
  <si>
    <t>10 contactos, se involucra Ana Ruth, proveedor informa que no tiene como absorber el saldo pendiente, los demas convenios los acepta</t>
  </si>
  <si>
    <t>VINUX DE MEXICO SA DE CV</t>
  </si>
  <si>
    <t>Proveedor manda soporte de evidencia de solicitud de omisión , en validación de confirmación, se tuvo 4 correos de seguimiento</t>
  </si>
  <si>
    <t>Proveedor autoriza 94 mil pesos. Argumenta entregó lo que se le publico. Proveedor manda soporte de memo de cancelacion pero son pedidos diferentes a los publicados.</t>
  </si>
  <si>
    <t>TOALLERA POPULAR SA DE CV</t>
  </si>
  <si>
    <t>Proveedor solo ha respondido por diferencias del 20-24</t>
  </si>
  <si>
    <t>COMERCIAL IMPORTADORA S DE RL DE CV</t>
  </si>
  <si>
    <t>APOLO TEXTIL SA DE CV</t>
  </si>
  <si>
    <t>CUBETAS Y BA¥OS S.A. DE C.V.</t>
  </si>
  <si>
    <t>DISTRIBUIDORA DE TEXTILES AVANTE S.</t>
  </si>
  <si>
    <t>sin comentarios del proveedor</t>
  </si>
  <si>
    <t>EMPACADORA LA MERCED SA DE CV</t>
  </si>
  <si>
    <t>DISTRIBUIDORA KROMA SA DE CV</t>
  </si>
  <si>
    <t>PHILIPS MEXICO COMMERCIAL SA DE CV</t>
  </si>
  <si>
    <t>ORGANIZACION REYNERA SA DE CV</t>
  </si>
  <si>
    <t>SUNSTAR AMERICAS MEXICO S. de R.L.</t>
  </si>
  <si>
    <t>Autorizado por Proveedor</t>
  </si>
  <si>
    <t>03 FEB: el area de Aclaraciones envia correo solicitando atender al Proveedor.// 04 feb Auditoria envia correo invitando a reunion, sin embargo Julio Richardson KAM de Sunstar se comunica telefónicamente e informa que ha revisado el monto mas alto y esta de acuerdo, solo que no ha finalizado, se genero la aclaracion en el Portal, por un error para visualizar las partidas que ya solucionaron. Compartira un correo con el resultado. // 04 FEB Proveedor solicita agenda para el jueve 05 feb 3:00 pm se envia invitación por TEAMS.//05 feb : reunion con el Proveedor donde se explica el detalle de la diferencia y se comparte el archivo en excel, el Proveedor informa que tiene unos casos donde el monto del pedido es bajo y no puede despachar que esta informacion la entregro a Comercial en su momento pero explicaron que deben revisar la parametrizacion del Sistema para que no genere pedidos por montos bajos. el Proveedor revisara y enviara el detalle//05 feb: El proveedor comparte correo informando que esta de acuerdo con el monto de $678,432.55 impuestos incluidos, y no autoriza $46,119.60 incluido impuestos porque indica que estos pedidos se publican de manera erronea, solo reciben pedidos los lunes y miercoles y por el monto bajo no es rentable el envio. Envia correo.</t>
  </si>
  <si>
    <t>IMPULSORA CAMPIRANO SA DE CV</t>
  </si>
  <si>
    <t>Compras envía soporte de cancelación de Omisión de NS con fecha de Mayo 2025.</t>
  </si>
  <si>
    <t>Envío de manual para validación de ajustes en Portal. Proveedor envìa soporte de cancelaciòn, en proceso de validaciòn.</t>
  </si>
  <si>
    <t>PERNOD RICARD MEXICO, S.A. DE C.V.</t>
  </si>
  <si>
    <t>CANADIA DISTRIBUIDORES SA DE CV</t>
  </si>
  <si>
    <t>STEREN PRODUCTO EMPACADO,S.A. DE C.</t>
  </si>
  <si>
    <t>Cerrado/Aplicar parcialidad</t>
  </si>
  <si>
    <r>
      <rPr>
        <b/>
        <sz val="11"/>
        <color theme="1"/>
        <rFont val="Aptos Narrow"/>
        <family val="2"/>
        <scheme val="minor"/>
      </rPr>
      <t>03 contactos</t>
    </r>
    <r>
      <rPr>
        <sz val="11"/>
        <color theme="1"/>
        <rFont val="Aptos Narrow"/>
        <family val="2"/>
        <scheme val="minor"/>
      </rPr>
      <t xml:space="preserve">
23 feb: reunión con el proveedor se encuentra revisando.
24 feb: el proveedor informa que no coincide PVP, por lo que enviara detalle esta tarde.
25 feb: envia correo informando que procede el cargo de NS ene -ago 2025 por un monto de $667,449.58 incluido imp</t>
    </r>
  </si>
  <si>
    <t>EMPACADORA THERBAL S.A. DE C.V.</t>
  </si>
  <si>
    <t>Sin acercamiento por parte del proveedor</t>
  </si>
  <si>
    <t>PLO POP SA DE CV</t>
  </si>
  <si>
    <t>1 contacto, proveedor solicita reunión sin embargo no da fecha</t>
  </si>
  <si>
    <t>Proveedor solicita reunión se le confirma disponibilidad</t>
  </si>
  <si>
    <t>CONAGRA FOODS MEXICO SA DE CV</t>
  </si>
  <si>
    <t>DISTRIBUIDORA COLOSO INTERNACIONAL</t>
  </si>
  <si>
    <t>LETICIA PAMMY SA DE CV</t>
  </si>
  <si>
    <t>Aplicado/Reembolsar</t>
  </si>
  <si>
    <t>Reembolsar $372,005.78</t>
  </si>
  <si>
    <t>LABORATORIOS AVANT S.A. DE C.V.</t>
  </si>
  <si>
    <t>AJEMEX SA DE CV</t>
  </si>
  <si>
    <t>si</t>
  </si>
  <si>
    <t>Proveedor solicita el detalle y se le comparte 
Proveedor indica que esta en validación de la información,en espera de soportes</t>
  </si>
  <si>
    <t>Sin soporte de proveedor para el ejercicio 2025</t>
  </si>
  <si>
    <t>GRUPO HB PS S.A. DE C.V.</t>
  </si>
  <si>
    <t>20-feb-2026 el proveedor informa y autoriza en reunion por teams el importe de $118,07.45 1 (4  correos de Seguimiento)</t>
  </si>
  <si>
    <t>proveedor acepta importe  Se envió la información al proveedor para su validación; quedamos pendientes de recibir la documentación presentada en la reunión.</t>
  </si>
  <si>
    <t>FREUDENBERG PRODUCTOS DEL HOGAR SA</t>
  </si>
  <si>
    <t>cierre con el importe marcado</t>
  </si>
  <si>
    <t>Proveedor acepto de manera parcial,  validacion por su parte del monto pendiente</t>
  </si>
  <si>
    <t>ARTSANA MEXICO SA DE CV</t>
  </si>
  <si>
    <t>STAR DEL NORTE S.A. DE C.V.</t>
  </si>
  <si>
    <t>GRUPO INDUSTRIAL CREYSI S.A. DE C.V</t>
  </si>
  <si>
    <t>PRODUCTOS VERDE VALLE, S.A. DE C.V.</t>
  </si>
  <si>
    <t>sin comentarios adicionales del proveedor - ultimo correo 27/1/2026</t>
  </si>
  <si>
    <t>Se comparte información a proveedor para su validación</t>
  </si>
  <si>
    <t>INDUSTRIAS LAVIN DE MEXICO SA DE CV</t>
  </si>
  <si>
    <t>sin acercamiento por parte de proveedor</t>
  </si>
  <si>
    <t>DISTRIBUIDORA DE ROPA VIVA S.A. DE</t>
  </si>
  <si>
    <t>Cerrado Eliminar cargo</t>
  </si>
  <si>
    <t>No procede la Auditoria</t>
  </si>
  <si>
    <t>Soporte confirmado por el comprador</t>
  </si>
  <si>
    <t>Se le comenta al proveedor que los ajustes corresponden a pedidos diferentes.</t>
  </si>
  <si>
    <t>No se ha pronunciado Proveedor sobre este número de Proveedor.</t>
  </si>
  <si>
    <t>Raul Castillo y Luis Mtz recibio correo en cuenta soriana</t>
  </si>
  <si>
    <t>GRUPO INDUSTRIAL VIDA SA DE CV</t>
  </si>
  <si>
    <t>PUIG MEXICO S.A.DEC.V.</t>
  </si>
  <si>
    <t>Sin acercamiento por parte de proveedor</t>
  </si>
  <si>
    <t>COSMETICA SA DE CV</t>
  </si>
  <si>
    <t>VESTIDOS PINKY S.A.</t>
  </si>
  <si>
    <t>The Klass Company SA de CV</t>
  </si>
  <si>
    <t xml:space="preserve">5 contactos, pendiente evidencia por parte de proveedor, ya se ha recalculado </t>
  </si>
  <si>
    <t xml:space="preserve">SE LE COMPARTE A PROVEEDOR EL DETALLE DEL 2025 </t>
  </si>
  <si>
    <t>proveedor comparte detalle en pdf de pedidos que solicitarón la cancelación</t>
  </si>
  <si>
    <t>Se tiene reunión con el proveedor de lo pendiente del 2020 al 2024 y aprovecha para solicitar el detalle del 2025</t>
  </si>
  <si>
    <t>VIRUTEXILKO SA DE CV</t>
  </si>
  <si>
    <t>INDUSTRIAL NOHRA SA DE CV</t>
  </si>
  <si>
    <t>Reembolsar $430,724.66</t>
  </si>
  <si>
    <t>Proveedor envió correo copiando al equipo de aclaraciones, con un resultado.</t>
  </si>
  <si>
    <t>PACTIV FOODSERVICE MEXICO S DE RL D</t>
  </si>
  <si>
    <t>Proveedor se acerca con Ana Ruth para solicicitar mas tiempo</t>
  </si>
  <si>
    <t>Se le manda el detalle al proveedor</t>
  </si>
  <si>
    <t>COMERCIALIZADORA IH SA DE CV</t>
  </si>
  <si>
    <t>JUGOS Y BEBIDAS DEL VALLE DE MEXICO</t>
  </si>
  <si>
    <t>TRESMONTES LUCCHETTI MEXICO SA DE C</t>
  </si>
  <si>
    <t>NEGOCIOS REAL DE CORTEZ SA DE CV</t>
  </si>
  <si>
    <t>DISTRIBUIDORA GRUPO ROSY SA DE CV</t>
  </si>
  <si>
    <t>Proveedor envìa soporte de cancelaciòn,  queda el monto de  $ 78,028.71</t>
  </si>
  <si>
    <t>20-ene-26 Se envía manual para revisión de ajustes dgrosybra@hotmail.com  Proveedor envìa soporte de cancelaciòn, en proceso de validaciòn. 21-ene-26 Proveedor envia información para aclara parte del monto enviado, se revisa y valida para dar respuesta. 30-ene-26 Se valida y se verifica que los soportes enviado son correctos y se le envia solciitud para que de respuesta del monto restante, el proveedor envia mail aceptando el saldo restante .</t>
  </si>
  <si>
    <t>INTIME LINGERIE S. DE R. L.</t>
  </si>
  <si>
    <t>CEREALES Y PASTAS SA DE CV</t>
  </si>
  <si>
    <t>TA-PI-TA MAGICAL SA DE CV</t>
  </si>
  <si>
    <t>MEXEX MEXICANA DE IMPORTACIONES Y E</t>
  </si>
  <si>
    <t>SC JOHNSON S DE RL DE CV</t>
  </si>
  <si>
    <t>GENERAL DE SOLUBLES SA</t>
  </si>
  <si>
    <t>EMPACADOS SA DE CV</t>
  </si>
  <si>
    <t>ALIMENTOS GOURMET PARA ANIMALES</t>
  </si>
  <si>
    <t>Se envió detalle de penalización y no se ha recibido respuesta</t>
  </si>
  <si>
    <t>Se envìa informaciòn a Proveedor sobre la los pedidos en donde se confirma no se encuentran duplicados. Todos los cargos aplicados de enero a agosto pertenecen a otros pedidos</t>
  </si>
  <si>
    <t>GRUPO CORPORATIVO PAPELERA SA DE CV</t>
  </si>
  <si>
    <t>HFC PRESTIGE INTERNATIONAL S DE RL</t>
  </si>
  <si>
    <t>BEAM SUNTORY MEXICO S DE RL DE CV</t>
  </si>
  <si>
    <t>GENOMMA LAB INTERNACIONAL S.A.B. DE</t>
  </si>
  <si>
    <t>CAFE EL MARINO SA DE CV</t>
  </si>
  <si>
    <t>PROTEINAS Y OLEICOS SA DE CV</t>
  </si>
  <si>
    <t>proveedor con tema del 2020 al 2024 por la clausula</t>
  </si>
  <si>
    <t>DETERGENTES Y JABONES SASIL SA PI</t>
  </si>
  <si>
    <t xml:space="preserve">Se envio correo el 17-feb-26 solicitando las evidencias </t>
  </si>
  <si>
    <t>Proveedor solicito detalle y se le hizo llegar
Se contacto pero no ha enviado soportes para validar</t>
  </si>
  <si>
    <t>CREMERIA SAN JOSE SA DE CV</t>
  </si>
  <si>
    <t>GRUPO PREMIER DE OCCIDENTE SA DE CV</t>
  </si>
  <si>
    <t>HOCKEY EXPORTPRINT SA DE CV</t>
  </si>
  <si>
    <t>PILGRIMS PRIDE S DE RL DE CV</t>
  </si>
  <si>
    <t xml:space="preserve">NO PROCEDE DEBIDO A QUE EXISTE UN ERRO EN EL CALCULO </t>
  </si>
  <si>
    <t>COMBE DE MEXICO S DE RL DE CV</t>
  </si>
  <si>
    <t>Se  le comparte el detalle al proveedor</t>
  </si>
  <si>
    <t>JUGOS DEL VALLE SAPI DE CV</t>
  </si>
  <si>
    <t>se le comparte la información a proveedor 1 contacto</t>
  </si>
  <si>
    <t>ACH FOODS MEXICO S DE RL DE CV</t>
  </si>
  <si>
    <t>Henkel Capital, S.A. de C.V</t>
  </si>
  <si>
    <t>sin acercamiento por proveedor</t>
  </si>
  <si>
    <t>INDUSTRIAS TUK SA DE CV</t>
  </si>
  <si>
    <t>UNIVERSAL WIPES S.A. DE C.V.</t>
  </si>
  <si>
    <t>PRODUCTOS MEDELLIN SA DE CV</t>
  </si>
  <si>
    <t>PRODUCTOS ALIMENTICIOS Y DIETETICOS</t>
  </si>
  <si>
    <t>VALLE REDONDO S. A. DE C. V.</t>
  </si>
  <si>
    <t>SOLICTA EL REEMBOLSO DEBIDO A QUE ESTOS PEDIDOS FUERON REPORTADOS CON EL COMPRADOR</t>
  </si>
  <si>
    <t>Proveedor envia correos soportes donde solicita la ampliacion de los pedidos uno por bajo volumen y otro por fallas en el sistema en las remisiones, solicita la ampliacion de los dos pedidos, sin embargo no se tiene respuesta por parte de Soriana, se envia respuesta el 5/Feb/26 comentando que la diferencia reclamada es procedente al no tener la confirmacion interna.  Proveedor envia correo nuevamente solicitando apoyo al comprador para confirmar la omision de cobro.</t>
  </si>
  <si>
    <t xml:space="preserve"> </t>
  </si>
  <si>
    <t>TAURUS - ESPA¥A SA DE CV</t>
  </si>
  <si>
    <t>GRUPO CONVERMEX S.A. DE C.V.</t>
  </si>
  <si>
    <t>MAXIVA SA de CV</t>
  </si>
  <si>
    <t>COMERCIALIZADORA INTEGRAL DE BELLEZ</t>
  </si>
  <si>
    <t>Pe¤afiel Bebidas SA de CV</t>
  </si>
  <si>
    <t>BLANCOS PILESO,S.A. DE C.V.</t>
  </si>
  <si>
    <t>4 parcialidades</t>
  </si>
  <si>
    <t>Proveedor confirma diferencia, requiere 4 parcialidades. Se informa a Proveedor no se pueden generar las parcialidades y se ajusta de acuerdo al saldo.</t>
  </si>
  <si>
    <t>Se envía manual para validación del desglose de ajuste. Proveedor confirma diferencia, requiere 4 parcialidades.</t>
  </si>
  <si>
    <t>SALSAS CASTILLOS SA DE CV</t>
  </si>
  <si>
    <t>AQUA BEAUTY SA DE CV</t>
  </si>
  <si>
    <t>Proveedor acepta parte del monto</t>
  </si>
  <si>
    <t>GRUPO COMERCIAL DISEVEN S DE RL</t>
  </si>
  <si>
    <t>PRODUCTOS PECUARIOS ESPECIALIZADOS</t>
  </si>
  <si>
    <t>GONHERMEX S.A. DE C.V.</t>
  </si>
  <si>
    <t>COCO COLIMA SA DE CV</t>
  </si>
  <si>
    <t>FUEGO ENVASADO S.A. DE C.V.</t>
  </si>
  <si>
    <t>TRAMONTINA SA DE CV</t>
  </si>
  <si>
    <t>REIVAX INTERNACIONAL SA DE CV</t>
  </si>
  <si>
    <t>1 contacto se le comparte la información</t>
  </si>
  <si>
    <t>ALIMENTOS PROFUSA S.A. DE C.V.</t>
  </si>
  <si>
    <t>COHEVI GLOBAL MARKET SA DE CV</t>
  </si>
  <si>
    <t>DETALLE DE LOS CARGOS Y OC EN EL PORTAL</t>
  </si>
  <si>
    <t>PREMIUM BEERS GROUP SAPI DE CV</t>
  </si>
  <si>
    <t>Sin respuesta</t>
  </si>
  <si>
    <t>ENVASADORA LA SUPREMA SA DE CV</t>
  </si>
  <si>
    <t>UNIVERSAL WIPES SA DE CV</t>
  </si>
  <si>
    <t>DKT DE MEXICO SA DE CV</t>
  </si>
  <si>
    <t>ORGANIZACION LIBER SA DE CV</t>
  </si>
  <si>
    <t>JOHNSON CONTROLS ENTERPRISES MEXICO</t>
  </si>
  <si>
    <t>SAUCEDO JAIME GUILLERMO JAVIER</t>
  </si>
  <si>
    <t>Proveedor envía soporte por dupicado de pedido, se dio seguimiento en tres correos</t>
  </si>
  <si>
    <t xml:space="preserve">CARGOS MAL APLICADOS DEBIDO A QUE ESTOS SI FUERON ENTREGADOS </t>
  </si>
  <si>
    <t>Se comparte información a proveedor con el detalle del folio solicitado</t>
  </si>
  <si>
    <t>TOWEL SA DE CV</t>
  </si>
  <si>
    <t>CESARFER S.A. DE C.V.</t>
  </si>
  <si>
    <t xml:space="preserve">Se le manda soporte a proveedor </t>
  </si>
  <si>
    <t>SANTUL HERRAMIENTA SA DE CV</t>
  </si>
  <si>
    <t>CEYS MEXICANA S.A. DE C.V.</t>
  </si>
  <si>
    <t>LOOK FASHION SA DE CV</t>
  </si>
  <si>
    <t>MEXICANA DE INDUSTRIAS Y</t>
  </si>
  <si>
    <t>GRUPO AGUAVIENTO, S.A. DE C.V.</t>
  </si>
  <si>
    <t xml:space="preserve">2 contactos, pendiente validar margen </t>
  </si>
  <si>
    <t>RECKITT BENCKISER MEXICO SA DE CV</t>
  </si>
  <si>
    <t xml:space="preserve">2 contactos, proveedor comparte carta en donde menciona que no debe penalizarse el NS para la cat de higiene </t>
  </si>
  <si>
    <t>Proveedor comparte contrato actualizado donde no aplica nivel de servicio</t>
  </si>
  <si>
    <t>CORPORACION WEGAR SA DE CV</t>
  </si>
  <si>
    <t>ICSITUM SA DE CV</t>
  </si>
  <si>
    <t>DEGASA S.A. DE C.V.</t>
  </si>
  <si>
    <t>PASTEURIZADORA AGUASCALIENTES, S.A.</t>
  </si>
  <si>
    <t>CREMERIA AMERICANA SAPI DE CV</t>
  </si>
  <si>
    <t>CERVEZA MINERVA  SA DE CV</t>
  </si>
  <si>
    <t>INDUSTRIAS CAMPO FRESCO SA DE CV</t>
  </si>
  <si>
    <t>KRAZY KOLA LOKA SA DE CV</t>
  </si>
  <si>
    <t>PRODUCTOS RICH S.A. DE C.V.</t>
  </si>
  <si>
    <t>EMPACADORA SAN MARCOS S.A. DE  C.V.</t>
  </si>
  <si>
    <t>INTELIGENCIA COMERCIAL Y DE MERCADO</t>
  </si>
  <si>
    <t>PRODUCTOS DASS SA DE CV</t>
  </si>
  <si>
    <t>17-feb-26 - El proveedor envió su última respuesta indicando que los soportes enviados proceden. Sin embargo, mencionan que aún no cuentan con una confirmación por parte del área Comercial, por lo que el caso permanece en validación interna. Proveedor corresponde a la familia de Soriana.</t>
  </si>
  <si>
    <t>Se atiende a proveedor con los soportes, donde solo se procede a la cancelacion del importe de 25,063.86, quedando en espera de los soportes (Confirmacion Area Comercia) del resto del importe 130,896.48.</t>
  </si>
  <si>
    <t xml:space="preserve">La improcedencia del monto se esta evaluando debido a que las confirmaciones se realizaban por via telefonica </t>
  </si>
  <si>
    <t>LASTUR SA DE CV</t>
  </si>
  <si>
    <t>La Anita Condimentos y Salsas S.A.</t>
  </si>
  <si>
    <t>ZUCARMEX SA DE CV</t>
  </si>
  <si>
    <t>THE RESPECT COMPANY SA DE CV</t>
  </si>
  <si>
    <t>PRODUCTORA DE ALIMENTOS MEXICANOS</t>
  </si>
  <si>
    <t>PRODUCTOS CHATA SA DE CV</t>
  </si>
  <si>
    <t>Proveedor manda evidencia de pedidos no procedentes debido a productos reportados como descatalogados.</t>
  </si>
  <si>
    <t>PRODUCTOS DE UVA S.A DE C.V.</t>
  </si>
  <si>
    <t>TECNO BROST LINE SA DE CV</t>
  </si>
  <si>
    <t>CONTROLADORA MABE SA DE CV</t>
  </si>
  <si>
    <t>18-02-2026, Sin respuesta al dia hoy, se le solicito los soportes de cancelacion (4 correos de Seguimiento)</t>
  </si>
  <si>
    <t>Reunion Presencial. Proveedor quedó en compartir nuevo acuerdo comercial donde no esta pactada la clausula de NS</t>
  </si>
  <si>
    <t>Se llevó a cabo una reunión presencial con el proveedor el 22 de enero. Durante la sesión, el proveedor informó que validará la información internamente para posteriormente proporcionar sus comentarios y los soportes correspondientes, ya que, de acuerdo con su revisión preliminar, considera que la observación no procede.</t>
  </si>
  <si>
    <t>LABORATORIOS ZELL SA DE CV</t>
  </si>
  <si>
    <t>CONFECCIONES MODA PIEL SA DE CV</t>
  </si>
  <si>
    <t>MONTEVERDE CONGELADOS SA DE CV</t>
  </si>
  <si>
    <t>XWIFT SA DE CV</t>
  </si>
  <si>
    <t>BONMORO S.A DE C.V.</t>
  </si>
  <si>
    <t>Notificación de la Auditoria con la información, sin respuesta por parte del Proveedor.</t>
  </si>
  <si>
    <t>CORAL INTERNACIONAL SA DE CV</t>
  </si>
  <si>
    <t>FOTORAMA DE MEXICO S.A. DE C.V.</t>
  </si>
  <si>
    <t>COMERCIALIZADORA MACMA  SAPI DE CV</t>
  </si>
  <si>
    <t>GRUPO ACUARIO LOMAS SA DE CV</t>
  </si>
  <si>
    <t>Ediciones Larousse SA de CV</t>
  </si>
  <si>
    <t>Laboratorio Boniquet de Mxico S.A.</t>
  </si>
  <si>
    <t>CORPORACION IMPRESORA SA DE CV</t>
  </si>
  <si>
    <t>CAFES ESPECIALIZADOS Y SUSTENTABLES</t>
  </si>
  <si>
    <t>UNIFOODS, S.A. DE C.V.</t>
  </si>
  <si>
    <t xml:space="preserve">Aplicar </t>
  </si>
  <si>
    <t>24-feb-2026, sin respuesta al dia de hoy ,  se notifico a proveedor que debido aque no se  envio el soporte de  cancelacion lo solicitado, se procedera con analisis interno para su aplicacion.</t>
  </si>
  <si>
    <t xml:space="preserve">Presenta informacion aclaraciones, pero no contundente para la cancelacion y solicita informacion </t>
  </si>
  <si>
    <t>PRODUCTOS SALAZAR SA DE CV</t>
  </si>
  <si>
    <t>Proveedor autoriza importe de nivel de servicio</t>
  </si>
  <si>
    <t>DIGRIMEX SA DE CV</t>
  </si>
  <si>
    <t>9 - feb -2026, Sin respuesta al dia de hoy, se le solicito los soportes de cancelacion (4 correos de Seguimiento)</t>
  </si>
  <si>
    <t>Se manda correo 29 de enero con la infromación a detalle a proveedor, de acuerdo con solicitud en correo</t>
  </si>
  <si>
    <t>Se acercó el proveedor con Raul solicitando el detalle correspondiente.</t>
  </si>
  <si>
    <t>UNION KIDS SA DE CV</t>
  </si>
  <si>
    <t>17 - feb -2026, Sin respuesta al dia de hoy, se le solicito los soportes de cancelacion, solomente indico que recabaria la informacion en conjunto con el area comercial (6 correos de Seguimiento)</t>
  </si>
  <si>
    <t>Proveedor menciona esta revisando la información.</t>
  </si>
  <si>
    <t>Se acercó el proveedor Jonathan Huerta (jonathan.huerta@unionkids.com.mx) vía correo electrónico solicitando información, ya que identificó en su cuenta la aplicación de un cargo por fill rate y pidió el detalle correspondiente.</t>
  </si>
  <si>
    <t>PLASTICOS LA ARDILLA SA DE CV</t>
  </si>
  <si>
    <t>VCT &amp; DG MEXICO SA DE CV</t>
  </si>
  <si>
    <t>OFFICE PRODUCTS AND PERIPHERIALS SA</t>
  </si>
  <si>
    <t>DAIMAX SA DE CV</t>
  </si>
  <si>
    <t>ENERGIZER MEXICO S DE RL DE CV</t>
  </si>
  <si>
    <t>DISTRIBUIDORA LIMBELL SA DE CV</t>
  </si>
  <si>
    <t>Proveedor comparte evidencia de improcedencia de ambos numeros y del caso Ruben esta enterado</t>
  </si>
  <si>
    <t>MONTIOGSS SA DE CV</t>
  </si>
  <si>
    <t>LABORATORIOS EXPANSCIENCE MEXICO,S.</t>
  </si>
  <si>
    <t>EMPACOND SA DE CV</t>
  </si>
  <si>
    <t>CANELS, S.A. DE C.V.</t>
  </si>
  <si>
    <t>CHANTILLY S.A. DE C.V.</t>
  </si>
  <si>
    <t>En respuesta para el cierre con Proveedor.</t>
  </si>
  <si>
    <t xml:space="preserve">NO APLICA EL CRAGO DEBIDO A QUE SE ENTREGO COMPLETO </t>
  </si>
  <si>
    <t>AGROINDUSTRIAS QUESADA S DE RL DE</t>
  </si>
  <si>
    <t>TERANA S.A.</t>
  </si>
  <si>
    <t>GEMEPLAS SA DE CV</t>
  </si>
  <si>
    <t>SALUTARE SA DE CV</t>
  </si>
  <si>
    <t>KARCHER MEXICO SA DE CV</t>
  </si>
  <si>
    <t>INDUSTRIAS OVARB S.A. DE C.V.</t>
  </si>
  <si>
    <t>GRAN MARK,S.A.</t>
  </si>
  <si>
    <t>GUVAL FOODS S.A. DE C.V.</t>
  </si>
  <si>
    <t>VINOS VI¥EDOS Y BODEGAS S.A. DE C.V</t>
  </si>
  <si>
    <t>Se envie el detalle, se envia por correo en analisis y manual de descarga</t>
  </si>
  <si>
    <t>Llega correo de parte de proveedor a correo t_belemmn</t>
  </si>
  <si>
    <t>CORPORACION GAIRET SA DE CV</t>
  </si>
  <si>
    <t>HBS DELLI RETAIL SA DE CV</t>
  </si>
  <si>
    <t>COMERCIALIZADORA DE MOTOCICLETAS DE</t>
  </si>
  <si>
    <t>NATURASOL S A DE CV</t>
  </si>
  <si>
    <t>CHOBANI MEXICO S DE RL DE CV</t>
  </si>
  <si>
    <t>Proveedor no presenta soportes de improcedencia, ultima fecha de seguimiento 20 de febrero 2026, dos correos de seguimiento</t>
  </si>
  <si>
    <t>Se envia información a la cuenta de proveedor que se contactó por medio de aclaraciones</t>
  </si>
  <si>
    <t>IMPORTACIONES Y DISTRIBUCIONES INTE</t>
  </si>
  <si>
    <t>HOUSEHOLD EXPRESS SA DE CV</t>
  </si>
  <si>
    <t>BINNEY &amp; SMITH MEXICO SA DE CV</t>
  </si>
  <si>
    <t>Comercio Mexicano Internacional S d</t>
  </si>
  <si>
    <t>COMTEC IMPORTS SA DE CV</t>
  </si>
  <si>
    <t>HAPPY TEE SA DE CV</t>
  </si>
  <si>
    <t>DESDE EL CORAZON DEL FRUTO SA DE CV</t>
  </si>
  <si>
    <t>BROCHAS Y PRODUCTOS S. DE R.L. DE C</t>
  </si>
  <si>
    <t>RODINIA INTERNACIONALSA DE CV</t>
  </si>
  <si>
    <t>23-Feb-26 Solicitamos respuesta a proveedor, quedo de darla el 06 de Febrero</t>
  </si>
  <si>
    <t xml:space="preserve">NO PROCEDE EL CARGO DEBIDO A QUE EL PROVEEDOR INFORMO QUE NO SE ENTREGARIA </t>
  </si>
  <si>
    <t>SINAX CORPORATION SA DE CV</t>
  </si>
  <si>
    <t>LINARES Y TALANCON FERNANDO</t>
  </si>
  <si>
    <t>GRESMEX SA DE CV</t>
  </si>
  <si>
    <t>IBALMA SA DE CV</t>
  </si>
  <si>
    <t>PRODUCTOS INFANTILES SELECTOS, S.A.</t>
  </si>
  <si>
    <t>GRUPO PISCIMEX SA DE CV</t>
  </si>
  <si>
    <t>DISTRIBUIDORA EXCEL SA DE CV</t>
  </si>
  <si>
    <t>TCL ELECTRONICS DE MEXICO S DE RL</t>
  </si>
  <si>
    <t>CORAL INTERNACIONAL S.A. DE C.V.</t>
  </si>
  <si>
    <t>FARMACUTICA RACEL S.A. DE C.V.</t>
  </si>
  <si>
    <t>INDUSTRIAS H24 SA DE CV</t>
  </si>
  <si>
    <t>TAPETES Y PISOS MODERNOS SA DE CV</t>
  </si>
  <si>
    <t>En validación de parte de auditoría los soportes enviados por proveedor, trescorreos de seguimiento y una reunión</t>
  </si>
  <si>
    <t>BEMIS DE MEXICO SA DE CV</t>
  </si>
  <si>
    <r>
      <rPr>
        <b/>
        <sz val="11"/>
        <color theme="1"/>
        <rFont val="Aptos Narrow"/>
        <family val="2"/>
        <scheme val="minor"/>
      </rPr>
      <t>02 contactos</t>
    </r>
    <r>
      <rPr>
        <sz val="11"/>
        <color theme="1"/>
        <rFont val="Aptos Narrow"/>
        <family val="2"/>
        <scheme val="minor"/>
      </rPr>
      <t xml:space="preserve">
22 ene : Se envia Manual para visualizar Detalle de NS -Proveedo confirma
28 ene : se envia correo de cierre de aclaración</t>
    </r>
  </si>
  <si>
    <t xml:space="preserve">28 ene 2026: Se envia correo, informando que concluimos la aclaracion con la información enviada. </t>
  </si>
  <si>
    <t>PARAMOUNT FARMS MEXICO S DE RL DE C</t>
  </si>
  <si>
    <t>INDUSTRIAL TECNICA DE PINTURAS S A</t>
  </si>
  <si>
    <t>Conveniencia Internacional SA DE CV</t>
  </si>
  <si>
    <t>TOSTADORES Y MOLINOS S.A. DE C.V.</t>
  </si>
  <si>
    <t>PRODUCTOS PIELUX SA DE CV</t>
  </si>
  <si>
    <t>ALIMENTOS SR NATURAL SAPI DE CV</t>
  </si>
  <si>
    <t>EQUIPOS DE SEGURIDAD PARA LA</t>
  </si>
  <si>
    <t>FINPRE SA DE CV</t>
  </si>
  <si>
    <t>MOLINOS AZTECA DE CHALCO S.A. DE C.</t>
  </si>
  <si>
    <t>GARCIA GONZALEZ LUIS EDUARDO</t>
  </si>
  <si>
    <t>SKN IMAGEN Y BELLEZA S.A. DE C.V.</t>
  </si>
  <si>
    <t>PRODUCTOS IMPORTADOS HECYMAR SA DE</t>
  </si>
  <si>
    <t>Unidal Mexico Sa de Cv</t>
  </si>
  <si>
    <t>LA ITALIANA S.A. DE C.V.</t>
  </si>
  <si>
    <t>SALMI DEL SURESTE SA DE CV</t>
  </si>
  <si>
    <t>SUGAR FOODS DE MEXICO S. DE R.L. DE</t>
  </si>
  <si>
    <t>TRUPER SA DE CV</t>
  </si>
  <si>
    <t>AMBIENTAIR MEXICO S DE RL DE CV</t>
  </si>
  <si>
    <t>JOY TECNICA PLASTICA SA DE CV</t>
  </si>
  <si>
    <t>1 contacto, se le comparta el archivo al proveedor</t>
  </si>
  <si>
    <t>NO RECONOCE EL CARGO APLICADO</t>
  </si>
  <si>
    <t>GLICERIDOS Y DERIVADOS S.A DE C.V</t>
  </si>
  <si>
    <t>BEBIDAS PURIFICADAS S DE RL DE CV</t>
  </si>
  <si>
    <t>MERCANTIL DE PRODUCTOS MORELOS</t>
  </si>
  <si>
    <t>FABRICA NACIONAL DE LIJA SA DE CV</t>
  </si>
  <si>
    <t>BODEGAS SANTO TOMAS SA DE CV</t>
  </si>
  <si>
    <t>ORIGINAL CASTILLO SA DE CV</t>
  </si>
  <si>
    <t>GRUPO COMERCIAL SIDER, S.A. DE C.V.</t>
  </si>
  <si>
    <t>FGX LATIN AMERICA S DEL RL DE CV</t>
  </si>
  <si>
    <t>GUTIERREZ MARTINEZ GABRIELA</t>
  </si>
  <si>
    <t>BEAUTIFUL WISH SA DE CV</t>
  </si>
  <si>
    <t>J.M.VENTAS SA DE CV</t>
  </si>
  <si>
    <t>GRUPO FUNSAM SA CV</t>
  </si>
  <si>
    <t>YOUNGEST SA DE CV</t>
  </si>
  <si>
    <t>COMPA¥IA LA CENTRAL SA DE CV</t>
  </si>
  <si>
    <t>MOBI MODA PARA EL HOGAR  SA DE CV</t>
  </si>
  <si>
    <t>sin respuesta del proveedor a detalle enviado</t>
  </si>
  <si>
    <t>CALCULO DEL PORCENTAJE DE NIVEL DE SERVICIO</t>
  </si>
  <si>
    <t>Se le comparte proceso para visualizar el detalle en portal</t>
  </si>
  <si>
    <t>Se le comparte el detalle al proveedor</t>
  </si>
  <si>
    <t>BOMUCA SA DE CV</t>
  </si>
  <si>
    <t>MAYA FUERTE SA DE CV</t>
  </si>
  <si>
    <t>LALLEMAND MEXICO, S.A. DE C.V.</t>
  </si>
  <si>
    <t>FRIMEX ALIMENTOS SA DE CV</t>
  </si>
  <si>
    <t>SOLANUM S. DE R.L. DE C.V.</t>
  </si>
  <si>
    <t>COMERCIALIZADORA MAYORISTA DEL GOLF</t>
  </si>
  <si>
    <t>Se envió detalle de pedidos penalizados  el 4 de febrero y no ha contestado el proveedor</t>
  </si>
  <si>
    <t>Se envió le detalle de los pedidos ya que no podia visualizarlos en el Portal</t>
  </si>
  <si>
    <t>INNOVACIONES SMART LINCE S DE RL DE</t>
  </si>
  <si>
    <t>LAFON LAUNAY COSMETICS SA DE CV</t>
  </si>
  <si>
    <t>ESPEJOS INTELIGENTES SA DE CV</t>
  </si>
  <si>
    <t>CAFES FINOS DE CORDOBA SA DE CV</t>
  </si>
  <si>
    <t>COMERGALV SA DE CV</t>
  </si>
  <si>
    <t>KONEKTE MANUFACTURAS S.A. DE C.V.</t>
  </si>
  <si>
    <t>SOC COOP TRABAJADORES DE PASCUAL SC</t>
  </si>
  <si>
    <t>INDUSTRIAS ILSA FRIGO SA DE CV</t>
  </si>
  <si>
    <t>VITELY SA DE CV</t>
  </si>
  <si>
    <t>OQUIMEX SA DE CV</t>
  </si>
  <si>
    <t>BETONE SA DE CV</t>
  </si>
  <si>
    <t>GOGA FARMACEUTICA SA DE CV</t>
  </si>
  <si>
    <t>Se envia correo el 9 de feb con el  resultado del análisis,se solicitan soportes para lo pendiente</t>
  </si>
  <si>
    <t xml:space="preserve">RECHAZO DEL CEDIS SI ENTREGO EN TIEMPO </t>
  </si>
  <si>
    <t>Se envia análisis y resultado del monto reclamado</t>
  </si>
  <si>
    <t>IMPULSORA EURO SA DE CV</t>
  </si>
  <si>
    <t xml:space="preserve">Se envía correo con respuesta sobre el margen solictado por proveedor, posterirmente proveedor da respuesta y acepta el difencial </t>
  </si>
  <si>
    <t>PLASTICOS CANTABRIA SA DE CV</t>
  </si>
  <si>
    <t>PRODUCTOS BODYCARE S.A. DE C.V.</t>
  </si>
  <si>
    <t>PROVEEDOR DE SOLUCIONES COYMAN</t>
  </si>
  <si>
    <t>FABRICA DE PAPEL SAN FRANCISCO SA D</t>
  </si>
  <si>
    <t>Se le comparte Manual, sin respuesta todavia, 1 solo contacto</t>
  </si>
  <si>
    <t>Envío de manual para validación de ajustes en Portal.</t>
  </si>
  <si>
    <t>COMERCIALIZADORA NAREMO S.A. DE C.V</t>
  </si>
  <si>
    <t>MERCANTIL CUAUTITLAN SA DE CV</t>
  </si>
  <si>
    <t>HELEN OF TROY DE MEXICO S DE RL DE</t>
  </si>
  <si>
    <t>SPORTECH SA DE CV</t>
  </si>
  <si>
    <t>cepillera dental monterrey sa de cv</t>
  </si>
  <si>
    <t>CORPORACION MILENIUM S DE RL DE CV</t>
  </si>
  <si>
    <t>HARINAS SA DE CV</t>
  </si>
  <si>
    <t>Cerrado</t>
  </si>
  <si>
    <t>Proveedor envió soporte de que el Cedis le devolvio la mercancía como sobrante</t>
  </si>
  <si>
    <t>Validaciòn de soporte.</t>
  </si>
  <si>
    <t>INDUSTRIAS LA POPULAR .A. DE C.V.</t>
  </si>
  <si>
    <t>HEARTBEST S DE RL DE CV</t>
  </si>
  <si>
    <t>CORPORACION COSMETICA MEXICANA</t>
  </si>
  <si>
    <t>SPIN MASTER MEXICO SA DE CV</t>
  </si>
  <si>
    <t>PRODUCTOS CHACHITOS SA DE CV</t>
  </si>
  <si>
    <t>NICO DE MEXICO SA DE CV</t>
  </si>
  <si>
    <t>SALES DEL VALLE SA DE CV</t>
  </si>
  <si>
    <t>OPERADORA GILA S.A. DE C.V.</t>
  </si>
  <si>
    <t>CAMISAS IMPERIAL SA DE CV</t>
  </si>
  <si>
    <t>ALIMENTOS SUSALIA S.A. DE C.V.</t>
  </si>
  <si>
    <t>EXEL DE MONTERREY SA DE CV</t>
  </si>
  <si>
    <t>CVA SERVICIOS CORPORATIVOS SA DE CV</t>
  </si>
  <si>
    <t>PRODUCTOS CAREY SA DE CV</t>
  </si>
  <si>
    <t>VALLELOZA SA DE CV</t>
  </si>
  <si>
    <t>EL YUCATECO SALSAS Y CONDIMENTOS S.</t>
  </si>
  <si>
    <t>POLLOS VIDAURRI, S.A. DE C.V.</t>
  </si>
  <si>
    <t>GLICERIDOS Y DERIVADOS SA DE CV</t>
  </si>
  <si>
    <t>CREACIONES D'SEN,S.A. DE C.V.</t>
  </si>
  <si>
    <t>sin respuesta</t>
  </si>
  <si>
    <t>Cera y Forma SA de CV</t>
  </si>
  <si>
    <t>ALOE JAUMAVE SA DE CV</t>
  </si>
  <si>
    <t>DELIPRIME ALIMENTO S.A DE C.V</t>
  </si>
  <si>
    <t>DDI BATTERIES MEXICO S DE RL DE CV</t>
  </si>
  <si>
    <t>EMPACADORA ALANIS S.A. DE C.V.</t>
  </si>
  <si>
    <t>UNIVERSAL DISTRIBUTION S.A. DE C.V.</t>
  </si>
  <si>
    <t>COMMERSHIP GROUP SA DE CV</t>
  </si>
  <si>
    <t>PRODUCTOS EL PATO VALVITA SAPI DE C</t>
  </si>
  <si>
    <t>GRUPO UNITOPS.A. DE C.V.</t>
  </si>
  <si>
    <t>VOLCLAY DE MXICO S.A. DE C.V.</t>
  </si>
  <si>
    <t>LAKE MICHIGAN FEATHERS AND DOWN S.A</t>
  </si>
  <si>
    <t>DART DE MEXICO S DE RL DE CV</t>
  </si>
  <si>
    <t>BEDACOM S.A DE C.V</t>
  </si>
  <si>
    <t>MARCO TIRADO GABILONDO</t>
  </si>
  <si>
    <t>GLOBAL LICENSE STICHD GROUP MEXICO</t>
  </si>
  <si>
    <t>EMBOTELLADORA EL JAROCHO S.A DE C.V</t>
  </si>
  <si>
    <t>INDUSTRIAL DE LUBRICANTES</t>
  </si>
  <si>
    <t>TOROSQUI SA DE CV</t>
  </si>
  <si>
    <t>PINZAS MEXICO S.A DE C.V</t>
  </si>
  <si>
    <t>TENIS Y SANDALIAS, S.A. DE C.V.</t>
  </si>
  <si>
    <t>SARA COSMETICS SA DE CV</t>
  </si>
  <si>
    <t>NENUCO, S. A. DE C. V.</t>
  </si>
  <si>
    <t>NUTRITION FACT DE MEXICO SAPI DE CV</t>
  </si>
  <si>
    <t>RISH SA DE CV</t>
  </si>
  <si>
    <t>COMERCIAL DOS COSTAS SA DE CV</t>
  </si>
  <si>
    <t>GRUPO COMERCIAL PLASVIC S A DE C V</t>
  </si>
  <si>
    <t>NORJAL DISTRIBUIDORA Y COMERCIALI</t>
  </si>
  <si>
    <t>GRUPO TEXTIL PIMA S.A. DE C.V</t>
  </si>
  <si>
    <t>ENVOLTURAS SIGLO XXI SA DE CV</t>
  </si>
  <si>
    <t>JERMEX S.A DE C.V</t>
  </si>
  <si>
    <t>INDUSTRIAS GUACAMAYA SA DE CV</t>
  </si>
  <si>
    <t>PRODUCTOS DE PLASTICO CARCAL S.A. D</t>
  </si>
  <si>
    <t>DIATRIBUIDORA ALIMENTICIA DE BC S.A</t>
  </si>
  <si>
    <t>GRUPO IDALIMENTOS SA DE CV</t>
  </si>
  <si>
    <t>SOUTH WEST INTERNATIONAL S.A. DE C.</t>
  </si>
  <si>
    <t>COMERCIALIZADORA ISABEL S.A. DE C.V</t>
  </si>
  <si>
    <t>SIBAU SA DE CV</t>
  </si>
  <si>
    <t>TOTAL LOOK SA DE CV</t>
  </si>
  <si>
    <t>MUNDO SALSA S DE RL DE CV</t>
  </si>
  <si>
    <t>INTERNATIONAL HOUSEWARE SOLUTIONS</t>
  </si>
  <si>
    <t>CERVECERIA ARTESANAL DE COLIMA SAPI</t>
  </si>
  <si>
    <t>GRUPO COMERCIAL ALCO, S.A. DE C.V.</t>
  </si>
  <si>
    <t>JORAS INTERNACIONAL CORPORATION S</t>
  </si>
  <si>
    <t>OTTO DISTRIBUCION S.A. DE C.V.</t>
  </si>
  <si>
    <t>ELIZABETH JACOBSON AVILA</t>
  </si>
  <si>
    <t>CONOS PARA NIEVE PURITY SA DE CV</t>
  </si>
  <si>
    <t>DISE¥OS MARAVILLA SA DE CV</t>
  </si>
  <si>
    <t>201 OFICIAL,S.A. DE C.V.</t>
  </si>
  <si>
    <t>NARTEX LABORATORIOS HOMEOPATICOS SA</t>
  </si>
  <si>
    <t>CHAPA INDUSTRIAS SA DE CV</t>
  </si>
  <si>
    <t>DE LA CRUZ TORRES YESENIA</t>
  </si>
  <si>
    <t>GRUPO BEBEELE SA DE CV</t>
  </si>
  <si>
    <t>PRODUCTOS DE LECHE SAN PABLO, S.A.</t>
  </si>
  <si>
    <t>PRODUCTOS FESTIVOSS.A. DEC.V.</t>
  </si>
  <si>
    <t>PROVEEDORA NADER SA DE CV</t>
  </si>
  <si>
    <t>PRO VENTA S.A. DE C.V.</t>
  </si>
  <si>
    <t>SYBEL S. A. DE C. V.</t>
  </si>
  <si>
    <t>SPRAYLAB SA DE CV</t>
  </si>
  <si>
    <t>Proquimia Laboratorios S.A de C.V.</t>
  </si>
  <si>
    <t>LOGISTICA ARTERGO SAPI DE CV</t>
  </si>
  <si>
    <t>CHOCOLATERA DE NAYARIT S.A. DE C.V.</t>
  </si>
  <si>
    <t>CONCEPTOS PERSONALES SA CV</t>
  </si>
  <si>
    <t>AVA-CLEAN SA DE CV</t>
  </si>
  <si>
    <t>SAFLOSA INDUSTRIA REAL S.A. DE C.V.</t>
  </si>
  <si>
    <t>GRUPO TAIFELD'S SA DE CV</t>
  </si>
  <si>
    <t>INDUSTRIAS UNIDAS DE PIEL S.A. DE C</t>
  </si>
  <si>
    <t>PRODUCTOS AMI ROM SC DE RL DE CV</t>
  </si>
  <si>
    <t>PRODUCTOS UVAVI¥A S.A. DE C.V.</t>
  </si>
  <si>
    <t>GUANTES ALTEX S DE RL DE CV</t>
  </si>
  <si>
    <t>LYNCOTT ALIMENTARIA SAPI DE CV</t>
  </si>
  <si>
    <t>SEMILLAS Y CEREALES SAN JUANICO SA</t>
  </si>
  <si>
    <t>CONSORCIO ULMARD SA DE CV</t>
  </si>
  <si>
    <t>KTB COMERCIALIZADORA DE MEXICO</t>
  </si>
  <si>
    <t>VICENTE REY SA DE CV</t>
  </si>
  <si>
    <t>ORIGINALES D YALY S.A. DE C.V.</t>
  </si>
  <si>
    <t>COMERCIALIZADORA CURTIS SA DE CV</t>
  </si>
  <si>
    <t>BELARA SA DE CV</t>
  </si>
  <si>
    <t>MOLINO HARINERO SAN BLAS SA DE CV</t>
  </si>
  <si>
    <t>HARI MASA SA DE CV</t>
  </si>
  <si>
    <t>LCARE MEXICANA S DE R.L. DE C.V.</t>
  </si>
  <si>
    <t>BELTRAN CHAMU JUAN</t>
  </si>
  <si>
    <t/>
  </si>
  <si>
    <t>Count Proveedor</t>
  </si>
  <si>
    <t>Publicado en Portal</t>
  </si>
  <si>
    <t>Aceptado (antes_impto)</t>
  </si>
  <si>
    <t>Pendiente (antes_impto)</t>
  </si>
  <si>
    <t>Soportado (no procede antes_impto)</t>
  </si>
  <si>
    <t>Penalizacion_con Imptos</t>
  </si>
  <si>
    <t>Aceptado_con Imptos</t>
  </si>
  <si>
    <t>Pendiente_con Imptos</t>
  </si>
  <si>
    <t>Soportado_con Imptos</t>
  </si>
  <si>
    <t>Grand Total</t>
  </si>
  <si>
    <t>Document Number</t>
  </si>
  <si>
    <t>Account</t>
  </si>
  <si>
    <t>Document Type</t>
  </si>
  <si>
    <t>Document Date</t>
  </si>
  <si>
    <t>Amount in local currency</t>
  </si>
  <si>
    <t>Local Currency</t>
  </si>
  <si>
    <t>Clearing Document</t>
  </si>
  <si>
    <t>aplicado</t>
  </si>
  <si>
    <t>Text</t>
  </si>
  <si>
    <t>Payment Block</t>
  </si>
  <si>
    <t>Clearing date</t>
  </si>
  <si>
    <t>Net due date</t>
  </si>
  <si>
    <t>Reference</t>
  </si>
  <si>
    <t>Reference Key 3</t>
  </si>
  <si>
    <t>Company Code</t>
  </si>
  <si>
    <t>Reference Key 2</t>
  </si>
  <si>
    <t>Reference Key 1</t>
  </si>
  <si>
    <t>Payment Method</t>
  </si>
  <si>
    <t>Assignment</t>
  </si>
  <si>
    <t>User name</t>
  </si>
  <si>
    <t>RA</t>
  </si>
  <si>
    <t>MXN</t>
  </si>
  <si>
    <t>AUD PRGX NIVEL SERVICIO 2025</t>
  </si>
  <si>
    <t>ZD33</t>
  </si>
  <si>
    <t>BOT_CARGOPRO</t>
  </si>
  <si>
    <t>PROGRAMACION 2302</t>
  </si>
  <si>
    <t>ZD34</t>
  </si>
  <si>
    <t>PROGRAMACION 0303</t>
  </si>
  <si>
    <t>PROGRAMACION 2303</t>
  </si>
  <si>
    <t>PROGRAMACION 0903</t>
  </si>
  <si>
    <t>PROGRAMACION 1703</t>
  </si>
  <si>
    <t>ZM33</t>
  </si>
  <si>
    <t>M</t>
  </si>
  <si>
    <t>PROGRAMACION2 0203</t>
  </si>
  <si>
    <t>PROGRAMACION 2502</t>
  </si>
  <si>
    <t>PROGRAMACION NS</t>
  </si>
  <si>
    <t>NS PARCIALIDAD 5</t>
  </si>
  <si>
    <t>NS PARCIALIDAD 4</t>
  </si>
  <si>
    <t>NS PARCIALIDAD 7</t>
  </si>
  <si>
    <t>por compensar</t>
  </si>
  <si>
    <t>NS PARCIALIDAD 6</t>
  </si>
  <si>
    <t>NS PARCIALIDAD 1</t>
  </si>
  <si>
    <t>COMPENSACION</t>
  </si>
  <si>
    <t>NS PARCIALIDAD 2</t>
  </si>
  <si>
    <t>KR</t>
  </si>
  <si>
    <t>13.02.2026</t>
  </si>
  <si>
    <t>19.02.2026</t>
  </si>
  <si>
    <t>COMPENSACION 0</t>
  </si>
  <si>
    <t>NS PARCIALIDAD 3</t>
  </si>
  <si>
    <t>PROGRAMACION1 0203</t>
  </si>
  <si>
    <t>PROGRAMACION 0203</t>
  </si>
  <si>
    <t>PROGRAMACION 1602</t>
  </si>
  <si>
    <t>24.02.2026</t>
  </si>
  <si>
    <t>26.02.2026</t>
  </si>
  <si>
    <t>PROGRAMACION 2702</t>
  </si>
  <si>
    <t>AUD PRGX NIVEL SERVICIO 1900</t>
  </si>
  <si>
    <t>Nombre</t>
  </si>
  <si>
    <t>Aplicado con Impto</t>
  </si>
  <si>
    <t>Debe aplicar</t>
  </si>
  <si>
    <t>Total reembolsar</t>
  </si>
  <si>
    <t>subtotal</t>
  </si>
  <si>
    <t>tasa IEPS</t>
  </si>
  <si>
    <t>tasa IVA</t>
  </si>
  <si>
    <t>enviado a contraloria</t>
  </si>
  <si>
    <t>Auditor</t>
  </si>
  <si>
    <t>comentario auditoria</t>
  </si>
  <si>
    <t>Monto no procedente informado el 19 de febrero 2026</t>
  </si>
  <si>
    <t>Monto no procedente informado el 03 de marzo 2026</t>
  </si>
  <si>
    <t>proveedor mandó soporte después del cargo</t>
  </si>
  <si>
    <t>Saree</t>
  </si>
  <si>
    <t>Olfi/Raul</t>
  </si>
  <si>
    <t>sistema STIBO errores de captura en unidades de medida INNER PACK y Master PACK</t>
  </si>
  <si>
    <t>Posterior al aviso, se enviaron los soportes correspondientes y se realizó la revisión de la información en conjunto con Controladuría y el área Comercial.</t>
  </si>
  <si>
    <t>Se duplicaron pedidos</t>
  </si>
  <si>
    <t>Proveedor escalado, se reabrió la auditoría, proveedor manda soportes que ampara la improcedencia del saldo</t>
  </si>
  <si>
    <t xml:space="preserve">Posterior al aviso, se enviaron los soportes correspondientes y se realizó la revisión de la información </t>
  </si>
  <si>
    <t>Proveedor comparte evidencia, en donde se informa sobre articulos inactivos, comercial esta enterado</t>
  </si>
  <si>
    <t>Después del aviso, el proveedor envió los soportes correspondientes, los cuales se consideran viables para la cancelación del saldo.</t>
  </si>
  <si>
    <t>Posterior al aviso, se enviaron los soportes el area comercila es memo de un pedido</t>
  </si>
  <si>
    <t>Se recibieron soportes de improcedencia posterior  al aviso de cargo</t>
  </si>
  <si>
    <t>Row Labels</t>
  </si>
  <si>
    <t>Sum of subtotal</t>
  </si>
  <si>
    <t>Sum of Total reembolsar</t>
  </si>
  <si>
    <t>Reembolsos Nivel de servicio Enero - Agosto 2025</t>
  </si>
  <si>
    <t>12 de mayo 2026</t>
  </si>
  <si>
    <t>Subtotal</t>
  </si>
  <si>
    <t xml:space="preserve"> Aceptado (antes impto) </t>
  </si>
  <si>
    <t xml:space="preserve"> Pendiente (antes impto) </t>
  </si>
  <si>
    <t xml:space="preserve"> Soportado (no procede antes impto) </t>
  </si>
  <si>
    <t>Observación</t>
  </si>
  <si>
    <t>Acción</t>
  </si>
  <si>
    <t>Aplicar antes Imptos</t>
  </si>
  <si>
    <t>Aplicar con Imptos</t>
  </si>
  <si>
    <t>comentario</t>
  </si>
  <si>
    <t xml:space="preserve"> Compensado </t>
  </si>
  <si>
    <t xml:space="preserve"> Liberado </t>
  </si>
  <si>
    <t xml:space="preserve"> Bloqueado </t>
  </si>
  <si>
    <t xml:space="preserve"> -   </t>
  </si>
  <si>
    <t xml:space="preserve"> CARTA PROVEEDOR </t>
  </si>
  <si>
    <t xml:space="preserve"> CON CONTACTO </t>
  </si>
  <si>
    <t xml:space="preserve"> NEGATIVA  </t>
  </si>
  <si>
    <t xml:space="preserve"> SOLICITA PRORROGA </t>
  </si>
  <si>
    <t>20-feb-2026 se informa a proveedor los soportes no son válidos. A reserva de recibir correo de cierre o soportes adicional.</t>
  </si>
  <si>
    <t xml:space="preserve"> CONTACTO 28-Ene-2026 </t>
  </si>
  <si>
    <t xml:space="preserve"> CARTA OMISION  </t>
  </si>
  <si>
    <t>06-feb-2026 proveedor queda en compartir informacion adicional</t>
  </si>
  <si>
    <t>16-feb-2026 se informa a proveedor que el soporte que envia (Oleaje, resurtidos) no especicifa los pedidos publicados.</t>
  </si>
  <si>
    <t xml:space="preserve"> Solicita Prorroga </t>
  </si>
  <si>
    <t xml:space="preserve"> CONTACTO 28-Ene-2026 SOLICITA 30 DIAS PRORROGA </t>
  </si>
  <si>
    <t>20-feb-2026 se aclara con proveedor la metodologia del calculo. Proveedor hace calculo a nivel pedido en lugar de hacerlo a nivel material.</t>
  </si>
  <si>
    <t xml:space="preserve"> CONTACTO 21-Ene-2026 </t>
  </si>
  <si>
    <t xml:space="preserve"> CONTACTO 29-Ene-2026 </t>
  </si>
  <si>
    <t xml:space="preserve"> SIN CONTACTO </t>
  </si>
  <si>
    <t xml:space="preserve"> CONTACTO 06-Feb-2026 </t>
  </si>
  <si>
    <t xml:space="preserve"> CONTACTO 27-Ene-2026 </t>
  </si>
  <si>
    <t xml:space="preserve"> 4 parcialidades </t>
  </si>
  <si>
    <t>Avisos Portal</t>
  </si>
  <si>
    <t>Correos seguimiento</t>
  </si>
  <si>
    <t>Observacion actual</t>
  </si>
  <si>
    <t>Compensado</t>
  </si>
  <si>
    <t>Liberado</t>
  </si>
  <si>
    <t>Bloqueado</t>
  </si>
  <si>
    <t>validacion</t>
  </si>
  <si>
    <t>Total_seguimientos_contactos_correos</t>
  </si>
  <si>
    <t>CARTA PROVEEDOR</t>
  </si>
  <si>
    <t xml:space="preserve">NEGATIVA </t>
  </si>
  <si>
    <t>SOLICITA PRORROGA</t>
  </si>
  <si>
    <t>CONTACTO 28-Ene-2026</t>
  </si>
  <si>
    <t xml:space="preserve">CARTA OMISION </t>
  </si>
  <si>
    <t>03 Contactos
28 ene: correo de contacto inicial
04 feb: reunión vía TEAMS
06 feb  El proveedor envia soportes que desestima $2,541 incluido impuesto. Proveedor solicita 10 días adicionales para recabar el monto $5,740 incluido impuestos. El Proveedor copi</t>
  </si>
  <si>
    <t>Solicita Prorroga</t>
  </si>
  <si>
    <t>CONTACTO 28-Ene-2026 SOLICITA 30 DIAS PRORROGA</t>
  </si>
  <si>
    <t>Se envìo correo el  20-feb-26 nitificando el resultado despues de realizar la revisión de la inforamación recibida,se solicto soportes del saldo pendiente</t>
  </si>
  <si>
    <t>20 de febrero Carmen de aclaraciones solicita nos acerquemos con proveedor para compartir detalle de pedidos, se manda información a proveedor información el 24 de febrero</t>
  </si>
  <si>
    <t>No aplicar todavía el proveedor está dando seguimiento para lass auditorías 2020-2024 y 2025. 20-feb-2026 se aclara con proveedor la metodologia del calculo. Proveedor hace calculo a nivel pedido en lugar de hacerlo a nivel material.</t>
  </si>
  <si>
    <t>seguimiento se da semanal en conjunto con el tema del 2024, aun sin avance alguno</t>
  </si>
  <si>
    <t>20-Feb-26 Se le envio información que solicitó. En espera de su respuesta.</t>
  </si>
  <si>
    <t xml:space="preserve"> 3- feb -2026, Sin respuesta al dia hoy, se le solicito los soportes de cancelacion (1 correos de Seguimiento)</t>
  </si>
  <si>
    <t>1 contacto, se le informa al proveedor de la auditoria</t>
  </si>
  <si>
    <t>Proveedor no mandas soportes de improcedencia se tuvo un contacto en correo el 28 de enero en el que se compartió la información de pedidos, en seguimiento del 2020-2024 proveedor hace una llamada el 20 de febrero pero no menciona nada con relación al eje</t>
  </si>
  <si>
    <t>05 contactos
 29 ene: Agenda de reunion via TEAMs
03 feb: reunion via TEAMS donde se deja claro que el tiempo estimado para NS2025 no se mueve.
04 feb: Proveedor indica que la metodologia de liquidacion presenta diferencias.Se solicita compartir el detall</t>
  </si>
  <si>
    <t>CONTACTO 21-Ene-2026</t>
  </si>
  <si>
    <t>CONTACTO 29-Ene-2026</t>
  </si>
  <si>
    <t>01 contacto: envio de correo incial informando el detalle y adjuntando manual</t>
  </si>
  <si>
    <t xml:space="preserve">Solo proceden $ 900 esperando confirmación del proveedor </t>
  </si>
  <si>
    <t>02 contactos
23 feb: reunión con el proveedor se encuentra revisando.
24 feb: el proveedor informa que no coincide PVP, por lo que enviara detalle esta tarde.</t>
  </si>
  <si>
    <t>CONTACTO 06-Feb-2026</t>
  </si>
  <si>
    <t xml:space="preserve">20-feb-2026 el proveedor informa y autoriza en reunion por teams el importe de $118,07.45 1 </t>
  </si>
  <si>
    <t>CONTACTO 27-Ene-2026</t>
  </si>
  <si>
    <t>17-feb-26 - El proveedor envió su última respuesta indicando que los soportes enviados proceden. Sin embargo, mencionan que aún no cuentan con una confirmación por parte del área Comercial, por lo que el caso permanece en validación interna. Proveedor cor</t>
  </si>
  <si>
    <t xml:space="preserve"> 27- ene -2026, Sin respuesta al dia hoy, se le solicito los soportes de cancelacion (2 correos de Seguimiento)</t>
  </si>
  <si>
    <t>02 contactos
22 ene : Se envia Manual para visualizar Detalle de NS -Proveedo confirma
28 ene : se envia correo de cierre de aclaración</t>
  </si>
  <si>
    <t>Se envia correo el 9 de feb con el  resultado del análisis,se solcitan soportes para lo pendiente</t>
  </si>
  <si>
    <t>Sigue en revisión</t>
  </si>
  <si>
    <t>Manual. Negociaciones comerciales.</t>
  </si>
  <si>
    <t>Si alcanza a descargar información.</t>
  </si>
  <si>
    <t>Por tema de carga si se puede compartir a un nivel(Detalle Excel).</t>
  </si>
  <si>
    <t>Confirmar que reciba el detalle, una vez que se tiene el detalle, dar tiempo para enviar respuesta.</t>
  </si>
  <si>
    <t>Confirmar el cierre con aclaraciones.</t>
  </si>
  <si>
    <t>Confirmar contactos.</t>
  </si>
  <si>
    <t>Cantidad de Proveedores</t>
  </si>
  <si>
    <t>Reuniones.</t>
  </si>
  <si>
    <t>Valor de cargos registrados</t>
  </si>
  <si>
    <t>23 de enero</t>
  </si>
  <si>
    <t>Cantidad de Proveedores de aclaraciones</t>
  </si>
  <si>
    <t>28 de enero</t>
  </si>
  <si>
    <t>Importe aclaración</t>
  </si>
  <si>
    <t>30 de enero</t>
  </si>
  <si>
    <t>Cantidad de aclaraciones</t>
  </si>
  <si>
    <t>Fecha entrega a PRGX</t>
  </si>
  <si>
    <t>Recordatorio de NS día 21 de Enero</t>
  </si>
  <si>
    <t xml:space="preserve"> Penalizacion 20-24 antes de impuestos </t>
  </si>
  <si>
    <t xml:space="preserve"> Cargos 2020-Nov 2025 </t>
  </si>
  <si>
    <t xml:space="preserve"> Tipo </t>
  </si>
  <si>
    <t xml:space="preserve"> Soriana </t>
  </si>
  <si>
    <t>City</t>
  </si>
  <si>
    <t>Soriana</t>
  </si>
  <si>
    <t>Procede</t>
  </si>
  <si>
    <t>Memo de Cancelación</t>
  </si>
  <si>
    <t>Asignaciòn</t>
  </si>
  <si>
    <t>Notificado</t>
  </si>
  <si>
    <t>FRUIT OF THE LOOM DE MEXICO SA DE C</t>
  </si>
  <si>
    <t xml:space="preserve"> Sin cargo </t>
  </si>
  <si>
    <t xml:space="preserve"> Con Cargo </t>
  </si>
  <si>
    <t>Raùl</t>
  </si>
  <si>
    <t>FRABEL, S.A. DE C.V    DIV.COSMETIC</t>
  </si>
  <si>
    <t>COMPA¥IA COMERCIAL HERDEZ SA DE CV</t>
  </si>
  <si>
    <t>BROWN-FORMAN TEQUILA MEXICO S DE RL</t>
  </si>
  <si>
    <t>FABRICA DE JABN LA CORONA</t>
  </si>
  <si>
    <t>HASBRO DE MEXICO</t>
  </si>
  <si>
    <t>VF-DILTEX S. DE R.L. DE C.V.</t>
  </si>
  <si>
    <t>DISTRIBUIDORA DE LACTEOS ALGIL SA D</t>
  </si>
  <si>
    <t xml:space="preserve"> Si </t>
  </si>
  <si>
    <t>Frigorizados La Huerta S.A. de C.V.</t>
  </si>
  <si>
    <t>MARCAS NESTL S.A DE C.V.</t>
  </si>
  <si>
    <t>MABE SA DE CV</t>
  </si>
  <si>
    <t>REVLON S.A. DE C.V.</t>
  </si>
  <si>
    <t>RINPLAY S DE RL DE CV</t>
  </si>
  <si>
    <t>SAMSUNG ELECTRONICS MEXICO, S.A. DE</t>
  </si>
  <si>
    <t>CERVECERIA MODELO DE MEXICO S DE RL</t>
  </si>
  <si>
    <t xml:space="preserve"> Reembolso </t>
  </si>
  <si>
    <t>FOOD SOLUTIONS S.A. DE C.V.</t>
  </si>
  <si>
    <t>LG ELETRONICS SA DE CV</t>
  </si>
  <si>
    <t>LABORATORIOS PISA SA DE CV</t>
  </si>
  <si>
    <t>MAQUILADORA MINIARA SA DE CV</t>
  </si>
  <si>
    <t>Terminado</t>
  </si>
  <si>
    <t>HERDEZ S.A. DE C.V.</t>
  </si>
  <si>
    <t>WHIRLPOOL MEXICO S DE RL DE CV</t>
  </si>
  <si>
    <t>DISTRIBUIDORA FRUIT OF THE LOOM</t>
  </si>
  <si>
    <t>SANOFI AVENTIS WINTHROP SA DE CV</t>
  </si>
  <si>
    <t>Samuela</t>
  </si>
  <si>
    <t>GROUPE SEB MEXICO SA DE CV</t>
  </si>
  <si>
    <t>QUIMICA GONCAL SA DE CV</t>
  </si>
  <si>
    <t>Perla/Fabian</t>
  </si>
  <si>
    <t xml:space="preserve"> SI </t>
  </si>
  <si>
    <t>CANOFIL S.A. DE C.V.</t>
  </si>
  <si>
    <t>MOET HENNESSY DE MEXICO S.A. DE C.V</t>
  </si>
  <si>
    <t>GRUPO VASCONIA SAB</t>
  </si>
  <si>
    <t>COMERCIALIZADORA PORCICOLA MEXICANA</t>
  </si>
  <si>
    <t>UNDER ZGA S.A DE C.V</t>
  </si>
  <si>
    <t>SANCHEZ Y MARTIN, S.A. DE C.V.</t>
  </si>
  <si>
    <t>GRUPO JMG S.A. DE C.V.</t>
  </si>
  <si>
    <t>VICKY FORM S.A. PI.DE CV</t>
  </si>
  <si>
    <t>BRITISH AMERICAN TOBACCO MEXICO COM</t>
  </si>
  <si>
    <t>QUALAMEX SA DE CV</t>
  </si>
  <si>
    <t>LM TRADE ELECTRONICS SA DE CV</t>
  </si>
  <si>
    <t>EMPACADORA BONNACARNE SA DE CV</t>
  </si>
  <si>
    <t>OCEAN BLUE SEAFOOD SA DE CV</t>
  </si>
  <si>
    <t>FRIGORIFICA SONORENSE DJ SA DE CV</t>
  </si>
  <si>
    <t>REPRESENTACIONES NYJISA S. A. de C.</t>
  </si>
  <si>
    <t>EXCLUSIVAS JADE INTERNACIONAL, S.A.</t>
  </si>
  <si>
    <t>EFFEM MEXICO INC Y COMPA¥IA S EN NC</t>
  </si>
  <si>
    <t>WENDYS FRUITS &amp; BEGGIES FARM</t>
  </si>
  <si>
    <t>S2G MEXICO LLC</t>
  </si>
  <si>
    <t>GARCOMEX SA DE CV</t>
  </si>
  <si>
    <t>MGA ENTERTAIMENT MEXICO S DE RL DE</t>
  </si>
  <si>
    <t>MAREL DE MEXICO S.A. DE C.V.</t>
  </si>
  <si>
    <t>BOEHRINGER INGELHEIM MEXICO SA DE C</t>
  </si>
  <si>
    <t>DACE APPLIANCES NORTH AMERICA SAPI</t>
  </si>
  <si>
    <t>PACTECH RETAIL S DE RL DE CV</t>
  </si>
  <si>
    <t>COMERCIALIZADORA SANBIA SA DE CV</t>
  </si>
  <si>
    <t>PACTIV FOODSERVICE MEXICO S DE RL</t>
  </si>
  <si>
    <t>GRUPO CREA AK S DE RL DE CV</t>
  </si>
  <si>
    <t>MISURA AMERICAS SRL DE CV</t>
  </si>
  <si>
    <t xml:space="preserve"> NO </t>
  </si>
  <si>
    <t>EMPACADORA NOR-VER SA DE CV</t>
  </si>
  <si>
    <t>FARMACEUTICA PH SA DE CV</t>
  </si>
  <si>
    <t>HANSEATIK SA DE CV</t>
  </si>
  <si>
    <t>GARCOMEX S A DE C V</t>
  </si>
  <si>
    <t>ALCEDA S. A. DE C. V.</t>
  </si>
  <si>
    <t>INDUSTRIA AGRICOLA CARREDANA S.A. D</t>
  </si>
  <si>
    <t>AIRES DE CAMPO S.A. DE C.V.</t>
  </si>
  <si>
    <t>MAPED SILCO, S.A. DE C.V.</t>
  </si>
  <si>
    <t>FRITURAS Y CONDIMENTOS SELECTOS SA</t>
  </si>
  <si>
    <t>ANTIBIOTICOS DE MEXICO SA DE CV</t>
  </si>
  <si>
    <t>Comercializadora Cantu SA de CV</t>
  </si>
  <si>
    <t>COMERCIALIZADORA INTERNACIONAL</t>
  </si>
  <si>
    <t>ARENA Y COMPA¥IA SA DE CV</t>
  </si>
  <si>
    <t>PRODUCTOS RICOLINO SAPI DE CV</t>
  </si>
  <si>
    <t>TECNISPICE S.A. DE C.V.</t>
  </si>
  <si>
    <t>AYVI, SA. DE C.V.</t>
  </si>
  <si>
    <t>LABORATORIOS SERRAL SA DE CV</t>
  </si>
  <si>
    <t>COMERCIAL HISPANA, S DE RL</t>
  </si>
  <si>
    <t>PRODUCTOS DE TRIGO SA DE CV</t>
  </si>
  <si>
    <t>NOTCO S DE RL DE CV</t>
  </si>
  <si>
    <t>COALIMEXSA ALIMENTOS MEXICANOS SA D</t>
  </si>
  <si>
    <t>MATERIAS PRIMAS JV SA DE CV</t>
  </si>
  <si>
    <t>BIO PAPPEL SCRIBE SA DE CV</t>
  </si>
  <si>
    <t>PASTEURIZADORA DE LEON S.A. DE C.V.</t>
  </si>
  <si>
    <t>EMPRESAS TAJIN, S.A. DE C.V.</t>
  </si>
  <si>
    <t>WEBER STEPHEN PRODUCTS SA DE CV</t>
  </si>
  <si>
    <t>Distribuidora Simplot de Alimentos</t>
  </si>
  <si>
    <t>Alen del Norte S.A. de C.V.</t>
  </si>
  <si>
    <t>SUPER LUSTRE, S.A. DE C.V.</t>
  </si>
  <si>
    <t>COMERCIALIZADOR CBR SA DE CV</t>
  </si>
  <si>
    <t>GRUPO COFRA SA DE CV</t>
  </si>
  <si>
    <t>AMERICAN BEEF SA DE CV</t>
  </si>
  <si>
    <t>NATUREGANIX SAPI DE CV</t>
  </si>
  <si>
    <t>GRUPO VERMONT SA DE CV</t>
  </si>
  <si>
    <t>LA PUERTA DEL SOL SA DE CV</t>
  </si>
  <si>
    <t>LABORATORIOS LE ROY S.A. DE C.V.</t>
  </si>
  <si>
    <t>TECNOSOCKS SA DE CV</t>
  </si>
  <si>
    <t>BANDAI CORPORACION MEXICO SA DE CV</t>
  </si>
  <si>
    <t>DISTRIBUIDORA DE TE SA DE CV</t>
  </si>
  <si>
    <t>PASTAS MOLISABA, S.A. DE C.V.</t>
  </si>
  <si>
    <t>SALCHICHAS Y JAMONES DE MEXICO SA D</t>
  </si>
  <si>
    <t>FRESA MEX CARLOS GUTIERREZ SA DE CV</t>
  </si>
  <si>
    <t>PRODUCTOS ALIMENTICIOS DULCEREL,S.A</t>
  </si>
  <si>
    <t>GRUPO DAFNA S A DE C V</t>
  </si>
  <si>
    <t>ALTO PERFIL ALIMENTARIO SA DE CV</t>
  </si>
  <si>
    <t>MOLINOS AZTECA S.A. DE C.V.</t>
  </si>
  <si>
    <t>MEGA ALIMENTOS S.A. DE C.V.</t>
  </si>
  <si>
    <t>PERFETTI VAN MALLE MEXICO SA DE CV</t>
  </si>
  <si>
    <t>GRUPO JOSEG SA DE CV</t>
  </si>
  <si>
    <t>GRUPO EMPRESARIAL RODRIGUEZ S.A DE</t>
  </si>
  <si>
    <t>MAFALDA SA DE CV</t>
  </si>
  <si>
    <t>MAYWARE S.A. DE C.V.</t>
  </si>
  <si>
    <t>MOVIS SA DE CV</t>
  </si>
  <si>
    <t>CAMPI ALIMENTOS S.A DE C.V.</t>
  </si>
  <si>
    <t>FABRICAS SELECTAS DEL CENTRO SA DE</t>
  </si>
  <si>
    <t>GIPSYINT DE MEXICO SA DE CV</t>
  </si>
  <si>
    <t>Manufacturas Power SA De CV</t>
  </si>
  <si>
    <t>BONETERA MONTERREY SA DE CV</t>
  </si>
  <si>
    <t>Bunzl de Mexico S.A. de C.V.</t>
  </si>
  <si>
    <t>GENA AGROPECUARIA SA DE CV</t>
  </si>
  <si>
    <t>PSICOFARMA SA DE CV</t>
  </si>
  <si>
    <t>COMERC. DE PESC. Y MARISC. EL CHARA</t>
  </si>
  <si>
    <t>DYSAL SA DE CV</t>
  </si>
  <si>
    <t>EVEREST WINE AND SPIRITS SA DE CV</t>
  </si>
  <si>
    <t>ABASTECEDORA DE PRODUCTOS MARINO DE</t>
  </si>
  <si>
    <t>LABORATORIOS ALPHARMA SA DE CV</t>
  </si>
  <si>
    <t>MEGO IMPORTACIONES, S.A. DE C.V.</t>
  </si>
  <si>
    <t>ALIMENTOS KAY SA DE CV</t>
  </si>
  <si>
    <t>SOME FARMS SA DE CV</t>
  </si>
  <si>
    <t>AIRPAC SA DE CV</t>
  </si>
  <si>
    <t>JOHNSON &amp; JOHNSON, S.A. DE C.V.</t>
  </si>
  <si>
    <t>CARNES FINAS MATEHUALA SA DE CV</t>
  </si>
  <si>
    <t>DISTRIBUIDORA LIBSA S DE RL DE CV</t>
  </si>
  <si>
    <t>RD AMERIMEX DISTRIBUTION S DE RL DE</t>
  </si>
  <si>
    <t>SONORA AGROPECUARIA SA DE CV</t>
  </si>
  <si>
    <t>ROYAL COUNTY SA DE CV</t>
  </si>
  <si>
    <t>GRUPO SAN JACINTO SA E CV</t>
  </si>
  <si>
    <t>BUSLA TRADING SA DE CV</t>
  </si>
  <si>
    <t>TUTSI SA DE CV</t>
  </si>
  <si>
    <t>PLASTIC TRENDS SAPI DE CV</t>
  </si>
  <si>
    <t>INDUSTRIA DE REFRESCOS S DE RL DE C</t>
  </si>
  <si>
    <t>CONSORCIO DIPCEN SA DE CV</t>
  </si>
  <si>
    <t>QUIMICA ANFA SA DE CV</t>
  </si>
  <si>
    <t>FACTOR PESCA SA DE CV</t>
  </si>
  <si>
    <t>PROPLASTEC SA DE CV</t>
  </si>
  <si>
    <t>GRUPO MANROD SA DE CV</t>
  </si>
  <si>
    <t>MAIZORO S DE RL DE CV</t>
  </si>
  <si>
    <t>DISE¥OS DE MUEBLES ANFFER S.A. DE C</t>
  </si>
  <si>
    <t>SALCHICHONERIA GUNTER SA DE CV</t>
  </si>
  <si>
    <t>TEQUILERA CORRALEJO SA DE CV</t>
  </si>
  <si>
    <t>BACHOCO COMERCIAL SA DE CV</t>
  </si>
  <si>
    <t>CONGELADOS ALYSA SA DE CV</t>
  </si>
  <si>
    <t>PRODUCTOS ARAMO S DE RL DE CV</t>
  </si>
  <si>
    <t>PROMOTORA COMERCIAL ALPROS S DE RL</t>
  </si>
  <si>
    <t>INDELPA SA DE CV</t>
  </si>
  <si>
    <t>DESHUMIDIFICADORES Y DESECANTES RAC</t>
  </si>
  <si>
    <t>PASTEURIZADORA AGUASCALIENTES SA</t>
  </si>
  <si>
    <t>TRICORP INVESTMENTS SAPI DE CV</t>
  </si>
  <si>
    <t>LEGO MEXICO SA DE CV</t>
  </si>
  <si>
    <t>CAFES DE ESPECIALIDAD DE CHIAPAS</t>
  </si>
  <si>
    <t>ALEX &amp; TONY SA de CV</t>
  </si>
  <si>
    <t>RENFRO MEXICO SA DE CV</t>
  </si>
  <si>
    <t>DISTRIBUIDORA TAMARIZ SAPI DE CV</t>
  </si>
  <si>
    <t>PROCESAMIENTO ESPECIALIZADO</t>
  </si>
  <si>
    <t>EXCEL SPAIN DE MEXICO SA DE CV</t>
  </si>
  <si>
    <t>BEST CONSUMER DE MEXICO SA DE CV</t>
  </si>
  <si>
    <t>QUESERIA DOS LAGUNAS, S. DE P.R.</t>
  </si>
  <si>
    <t>ALUM STAR S.A. DE C.V.</t>
  </si>
  <si>
    <t>KLICHES MONTERREY SA DE CV</t>
  </si>
  <si>
    <t>MERCADO DE ALIMENTOS SELECTOS SA DE</t>
  </si>
  <si>
    <t>LINDT &amp; SPRUNGLI DE MEXICO SA DE CV</t>
  </si>
  <si>
    <t>GRUPO ZARPAT SA DE CV</t>
  </si>
  <si>
    <t>FRITURAS VALLECANO SA DE CV</t>
  </si>
  <si>
    <t>KRAMO ALIMENTOS S.A. DE C.V.</t>
  </si>
  <si>
    <t>OMRON HEALTHCARE MEXICO SA DE CV</t>
  </si>
  <si>
    <t>GRUPO COMERCIAL MODERMO SA DE CV</t>
  </si>
  <si>
    <t>BASITEX SA DE CV</t>
  </si>
  <si>
    <t>Productos Quimicos La Anita SA de C</t>
  </si>
  <si>
    <t>DAWN MIXCO INTERNACIONAL S.A. DE C.</t>
  </si>
  <si>
    <t>SUDAMERICANA DE PRODUCTOS ESCOLARES</t>
  </si>
  <si>
    <t>MIZARI ENTERPRISES, S. DE RL DE CV</t>
  </si>
  <si>
    <t>JACK MILLER S.A. DE C.V.</t>
  </si>
  <si>
    <t>NOVEDADES MONTECARLO SA DE CV</t>
  </si>
  <si>
    <t>FOOD SPECIALITIES DE MEXICO SA DE C</t>
  </si>
  <si>
    <t>DAVATTA GROUP SAPI DE CV</t>
  </si>
  <si>
    <t>BIOSCENTS SC DE RL DE CV</t>
  </si>
  <si>
    <t>TEQUILA CARRERA SA DE CV</t>
  </si>
  <si>
    <t>VIMA MEXICANA SA DE CV</t>
  </si>
  <si>
    <t>TYSON MEXICO TRADING COMPANY</t>
  </si>
  <si>
    <t>PREFERRED POPCORN DE MEXICO S DE</t>
  </si>
  <si>
    <t>INDUSTRIAS CITRICOLAS DE MONTEMOREL</t>
  </si>
  <si>
    <t>PRODUCTOS ZAM FRE SA DE CV</t>
  </si>
  <si>
    <t>COMERCIALIZADORA Y ABASTECEDORA</t>
  </si>
  <si>
    <t>KALTEX HOME S.A. DE C.V.</t>
  </si>
  <si>
    <t>LA IDEAL DE MEXICO, S.A. DE C.V.</t>
  </si>
  <si>
    <t>ALIMENTOS PREFORMADOS SA DE CV</t>
  </si>
  <si>
    <t>TEQUILA SAN MATIAS DE JALISCO SA DE</t>
  </si>
  <si>
    <t>LEVI STRAUSS DE MEXICO SA DE CV</t>
  </si>
  <si>
    <t>COMPANY OF PEOPLE DE MEXICO</t>
  </si>
  <si>
    <t>DISTRIBUIDORA DE LA ROSA S.A DE C.V</t>
  </si>
  <si>
    <t>CARBONERAMONTERREY SA DE CV</t>
  </si>
  <si>
    <t>INDUSTRIAS SALCOM SA DE CV</t>
  </si>
  <si>
    <t>SKYGLOBALFOOD INTERNATIONAL SA DE</t>
  </si>
  <si>
    <t>COMERCIAL ATOCPAN SC.DE R.L. DE CV</t>
  </si>
  <si>
    <t>COCKTAIL COLLECTION S.A. DE C.V</t>
  </si>
  <si>
    <t>SABORES ESPECIES Y CONDIMENTOS GREE</t>
  </si>
  <si>
    <t>EMPACADORA NOR VER SA DE CV</t>
  </si>
  <si>
    <t>ACOPIADORA COMERCIAL Y AGROINDUST</t>
  </si>
  <si>
    <t>KIDS-II US MEXICO S.A. DE C.V.</t>
  </si>
  <si>
    <t>DISTRIBUCIONES PICACHOS SA DE CV</t>
  </si>
  <si>
    <t>SOGNERO DESCANSO S DE RL DE CV</t>
  </si>
  <si>
    <t>LOEFFLER S.A DE C.V.</t>
  </si>
  <si>
    <t>INTERDELI SAPI DE CV</t>
  </si>
  <si>
    <t>BEST GIRL MEXICO SA DE CV</t>
  </si>
  <si>
    <t>LADY MODA SA DE CV</t>
  </si>
  <si>
    <t>JM DISTRIBUIDORES SA DE CV</t>
  </si>
  <si>
    <t>FRESH SEASONS SA DE CV</t>
  </si>
  <si>
    <t>OPERADORA DE PRODUCTOS BEST HEALTH</t>
  </si>
  <si>
    <t>INDUSTRIAS STERN SA DE CV</t>
  </si>
  <si>
    <t>DISTRIBUIDORA Y COMERCIALIZADORA SA</t>
  </si>
  <si>
    <t>MODA Y CONFECCION TEXTIL PLANETA, S</t>
  </si>
  <si>
    <t>ALIMENTOS LA SANITARIA SA DE CV</t>
  </si>
  <si>
    <t>MAR BRAN SA DE CV</t>
  </si>
  <si>
    <t>AGROS SERVICIOS INTEGRALES SA DE CV</t>
  </si>
  <si>
    <t>BODEGAS LA NEGRITA S A DE C V</t>
  </si>
  <si>
    <t>MEAD JOHNSON NUTRICIONALES DE MEXIC</t>
  </si>
  <si>
    <t>PRODUCTOS SAN FRANCISCO S.A. DE C.V</t>
  </si>
  <si>
    <t>IMPORT A&amp;C SA DE CV</t>
  </si>
  <si>
    <t>PROCESADORA Y DERIVADOS ALIMENTICIO</t>
  </si>
  <si>
    <t>ALIMENTOS Y BEBIDAS INCREIBLES</t>
  </si>
  <si>
    <t>EXPORTADORA Y COMERCIALIZADORA DEL</t>
  </si>
  <si>
    <t>BUENO ALIMENTOS SA DE CV</t>
  </si>
  <si>
    <t>ecm de vinos sa de cv</t>
  </si>
  <si>
    <t>LA EMPRESA DE LOS 100 A¥OS, S.A. DE</t>
  </si>
  <si>
    <t>JRL SUPPLIERS S DE R.L DE CV</t>
  </si>
  <si>
    <t>IMPORTADORA MIZCO SA DE CV</t>
  </si>
  <si>
    <t>JACOBS DOUWE EGBERTS MX S DE RL DE</t>
  </si>
  <si>
    <t>TENDENZZA PISOS Y RECUBRIMIENTOS</t>
  </si>
  <si>
    <t>SEDERIA LA NUEVA S.A. DE C.V.</t>
  </si>
  <si>
    <t>JK TORNEL SA DE CV</t>
  </si>
  <si>
    <t>GOLDEN CROWN INTERNATIONAL</t>
  </si>
  <si>
    <t>COMERCIALIZADORA DEL VALLE DE LERMA</t>
  </si>
  <si>
    <t>VINOMEX SA DE CV</t>
  </si>
  <si>
    <t>GREENOBA QUIMICA S DE R L  DE CV</t>
  </si>
  <si>
    <t>INDUSTRIAS VELOZ SA DE CV</t>
  </si>
  <si>
    <t>VITIVINICOLA VALBUENA SA DE CV</t>
  </si>
  <si>
    <t>INNOVACION DEL VESTIR D76 SA DE CV</t>
  </si>
  <si>
    <t>COLECCION INTIMA S.A. DE C.V.</t>
  </si>
  <si>
    <t>DETERSOL S.A. DE C.V.</t>
  </si>
  <si>
    <t>ALIMENTOS Y DERIVADOS PARRIMEX SAS</t>
  </si>
  <si>
    <t>POLIMEROS ADHESIVOS Y DERIVADOS SA</t>
  </si>
  <si>
    <t>INSUM SAPI DE CV</t>
  </si>
  <si>
    <t>COMERCIALIZADORA OREL SA DE CV</t>
  </si>
  <si>
    <t>PAMPA FOODS SA DE CV</t>
  </si>
  <si>
    <t>GRUPO FARMACEUTICO DE TIJUANA SA DE</t>
  </si>
  <si>
    <t>PAGASA SA DE CV</t>
  </si>
  <si>
    <t>BOLSAS Y PAPELES MORYSAN S.A. DE C.</t>
  </si>
  <si>
    <t>LEDVANCE SA DE CV</t>
  </si>
  <si>
    <t>EXERTREC SA DE CV</t>
  </si>
  <si>
    <t>EVA GREEN SA DE CV</t>
  </si>
  <si>
    <t>LAMBI S.A DE C.V.</t>
  </si>
  <si>
    <t>COMPA¥IA GENERAL DE VIVERES S.A. de</t>
  </si>
  <si>
    <t>IMPULSORA ARRA S.A. DE C.V.</t>
  </si>
  <si>
    <t>PRODUCTOS NATURALES DE LA REGION MA</t>
  </si>
  <si>
    <t>CARETAS REV SA DE CV</t>
  </si>
  <si>
    <t>NUTRITION SYSTEM SA DE CV</t>
  </si>
  <si>
    <t>SINBIOTIK PHARMA SA DE CV</t>
  </si>
  <si>
    <t>ESCALERAS S DE RL DE CV</t>
  </si>
  <si>
    <t>THE FARM FOOD COMPANY SA DE CV</t>
  </si>
  <si>
    <t>OPERADORA RUZ SA DE CV</t>
  </si>
  <si>
    <t>Meibi Corporation SAPI de CV</t>
  </si>
  <si>
    <t>GRUPO KENMIA SA DE CV</t>
  </si>
  <si>
    <t>VALLE REDONDO SA DE CV</t>
  </si>
  <si>
    <t>HAPPY FLOWER MEXICANA,S.A.C.V.</t>
  </si>
  <si>
    <t>CAFE TOSTADO DE EXPORTACION SA</t>
  </si>
  <si>
    <t>TEQUILA ORENDAIN DE JALISCO SA DE C</t>
  </si>
  <si>
    <t>SAUCES DRESSINGS AND CONDIMENTS FOO</t>
  </si>
  <si>
    <t>MATTEL DE MEXICO, S.A. DE C.V.</t>
  </si>
  <si>
    <t>RED BULL S DE RL DE CV</t>
  </si>
  <si>
    <t>VI¥EDOS DON LEO SA DE CV</t>
  </si>
  <si>
    <t>SANDALIAS TROPICALIA S.A. DE C.V.</t>
  </si>
  <si>
    <t>DEGORT'S CHEMICAL SA DE CV</t>
  </si>
  <si>
    <t>COMERCIALIZADORA INTCOMEX</t>
  </si>
  <si>
    <t>Productos Alimenticios Super S. de</t>
  </si>
  <si>
    <t>CERVANTES GUAJARDO MARIEL</t>
  </si>
  <si>
    <t>EATICS SA DE CV</t>
  </si>
  <si>
    <t>Francisco Javier Rodriguez Gonzalez</t>
  </si>
  <si>
    <t>Comercializadora Rodriguez Ibarra S</t>
  </si>
  <si>
    <t>DOKSURI SA DE CV</t>
  </si>
  <si>
    <t>BOTANAS Y DERIVADOS SA DE CV</t>
  </si>
  <si>
    <t>D M MEXICANA S.A DE C.V</t>
  </si>
  <si>
    <t>LACTEOS MENONITAS DE CHIHUAHUA SA D</t>
  </si>
  <si>
    <t>IMPORTACIONES INTERAMERICANA SA DE</t>
  </si>
  <si>
    <t>TEQUILA CENTINELA, S.A. DE C.V.</t>
  </si>
  <si>
    <t>PAN BUENO SA DE CV</t>
  </si>
  <si>
    <t>ENICOM SA DE CV</t>
  </si>
  <si>
    <t>ALFA SPORT SA DE CV</t>
  </si>
  <si>
    <t>LACTEOS INDUSTRIALIZADOS DEL NOREST</t>
  </si>
  <si>
    <t>UNIMAT DE MEXICO SA DE CV</t>
  </si>
  <si>
    <t>SIGNIFY MEXICO SA DE CV</t>
  </si>
  <si>
    <t>Margen Aroma y Desarrollo SA de CV</t>
  </si>
  <si>
    <t>BOTANAS CHE CHE CHE SA DE CV</t>
  </si>
  <si>
    <t>GRUPO CLARASOL SA DE CV</t>
  </si>
  <si>
    <t>IMPORTACIONES HNOS CANTU SA DE CV</t>
  </si>
  <si>
    <t>MILKETELI, S.A. DE C.V</t>
  </si>
  <si>
    <t>ALTA TECNOLOGIA EN MEDITACION SA DE</t>
  </si>
  <si>
    <t>VECTOR DELTA S DE RL DE CV</t>
  </si>
  <si>
    <t>COMERCIALIZADORA FRAGOLA SA DE CV</t>
  </si>
  <si>
    <t>OXAL S.A. de C.V.</t>
  </si>
  <si>
    <t>ALIMENTOS KOWI,S.A.DE C.V.</t>
  </si>
  <si>
    <t>COMERCIAL ROCHE S.A. DE C.V.</t>
  </si>
  <si>
    <t>REGIOMASANO SA DE CV</t>
  </si>
  <si>
    <t>COTT EMBOTELLADORES DE MEXICO SA DE</t>
  </si>
  <si>
    <t>COMERCIAL EMANA SA DE CV</t>
  </si>
  <si>
    <t>PHOENIX PACKAGING MEXICO SA DE CV</t>
  </si>
  <si>
    <t>ITALIAN GROUPE SA DE CV</t>
  </si>
  <si>
    <t>JANEL S.A. DE C.V.</t>
  </si>
  <si>
    <t>HILOS IRIS, S.A. DE C.V.</t>
  </si>
  <si>
    <t>INDUSTRIAS NOTESA, S.A. DE C.V.</t>
  </si>
  <si>
    <t>FERRER Y ASOCIADOS S.A. DE C.V</t>
  </si>
  <si>
    <t>KARABE SA DE CV</t>
  </si>
  <si>
    <t>HARINERA LOS PIRINEOS SA DE CV</t>
  </si>
  <si>
    <t>LA NUIT S.A. DE C.V.</t>
  </si>
  <si>
    <t>BRIDGESTONE DE MEXICO SA DE CV</t>
  </si>
  <si>
    <t>MDR PHARMA SAPI DE CV</t>
  </si>
  <si>
    <t>INDUSTRIAS TEBI, S. A. DE C. V.</t>
  </si>
  <si>
    <t>Harinera de Ma¡z de Jalisco.S.A.</t>
  </si>
  <si>
    <t>PROVEEDORA SEMILLAS DE MEXICOSPR DE</t>
  </si>
  <si>
    <t>LIBBEY MEXICO S DE RL DE CV</t>
  </si>
  <si>
    <t>GRUPO CARMI, S.A. DE C.V.</t>
  </si>
  <si>
    <t>SERVICIOS INTERNACIONALES DE COMERC</t>
  </si>
  <si>
    <t>DGL LATAM SA DE CV</t>
  </si>
  <si>
    <t>VALYGRA SA DE CV</t>
  </si>
  <si>
    <t>EMOCIONES INTIMAS S.A. DE C.V.</t>
  </si>
  <si>
    <t>EMPACADORA KACER, S.A. DE C.V.</t>
  </si>
  <si>
    <t>TR DERIVADOS DE MAIZ SA DE CV</t>
  </si>
  <si>
    <t>ANITA ALIMENTOS MTY. S-.A. DE C.V.</t>
  </si>
  <si>
    <t>ALIMENTOS AL PUNTO SA DE CV</t>
  </si>
  <si>
    <t>UNISON BRANDS SA DE CV</t>
  </si>
  <si>
    <t>INDUSTRIAS FERRE S.A DE C.V.</t>
  </si>
  <si>
    <t>SUCABRITO SA DE CV</t>
  </si>
  <si>
    <t>PRODUCTOS ALIMENTICIOS DO¥A PA</t>
  </si>
  <si>
    <t>INDUSTRIAS MAN DE MXICO S.A DE C.V</t>
  </si>
  <si>
    <t>CONSORCIO INTERNACIONAL DE CARNES S</t>
  </si>
  <si>
    <t>DATILERA DEL DESIERTO S DE RL DE CV</t>
  </si>
  <si>
    <t>TERRAFERTIL MEXICO SAPI DE CV</t>
  </si>
  <si>
    <t>MISSION FOODS MEXICO S DE RL DE CV</t>
  </si>
  <si>
    <t>NEXT VEGETALES SA DE CV</t>
  </si>
  <si>
    <t>COMERCIAL TEIFAROS S DE RL</t>
  </si>
  <si>
    <t>Kenney Manufacturing Mexico S de RL</t>
  </si>
  <si>
    <t>INDUSTRIAS DEL ALUMINIO ELSI SA DE</t>
  </si>
  <si>
    <t>SUPERALIMENTOS Y ORGANICOS SA DE CV</t>
  </si>
  <si>
    <t>TBC DE MEXICO SA DE CV</t>
  </si>
  <si>
    <t>INDUSTRIAS LA PALOMERA SA DE CV</t>
  </si>
  <si>
    <t>HOLATINA S.A. DE C.V.</t>
  </si>
  <si>
    <t>BIOTRADE S.A DE C.V</t>
  </si>
  <si>
    <t>QUESO PORTALES SA DE CV</t>
  </si>
  <si>
    <t>ON TWELFTH SA DE CV</t>
  </si>
  <si>
    <t>IMPORTACIONES BB VINO SA DE CV</t>
  </si>
  <si>
    <t>FORRA MEX  S. DE R.L. DE C.V.</t>
  </si>
  <si>
    <t>Tibi Desarrollos SAPI de CV</t>
  </si>
  <si>
    <t>SANDALIAS Y PANTUFLAS DE MEXICO, S.</t>
  </si>
  <si>
    <t>INDUSTRIAL LA FAMA SA DE CV</t>
  </si>
  <si>
    <t>GIEM GRUPO IMPORTADOR Y EXPORTAD</t>
  </si>
  <si>
    <t>CAFE CUMBRE SA DE CV</t>
  </si>
  <si>
    <t>AUSTRAL TRADING MEXICO SA DE CV</t>
  </si>
  <si>
    <t>MONTECARLO SPR DE RL DE CV</t>
  </si>
  <si>
    <t>CASA TEQUILERA ALCARDAN. K</t>
  </si>
  <si>
    <t>FABRICA DE DULCES GOMEZ SA DE CV</t>
  </si>
  <si>
    <t>LPI DE MEXICO S. DE R.L. DE C.V.</t>
  </si>
  <si>
    <t>LACTEOS INDUSTRIALIZADOS Y POSTRES</t>
  </si>
  <si>
    <t>LEONALI S. DE R.L. DE C.V.</t>
  </si>
  <si>
    <t>QUALTIA ALIMENTOS OPERACIONES S. DE</t>
  </si>
  <si>
    <t>Wilson Sporting Goods Co de Mexico</t>
  </si>
  <si>
    <t>GRUPO VERMEX SA DE CV</t>
  </si>
  <si>
    <t>PANAMERICANA ABARROTERA S.A. DE C.V</t>
  </si>
  <si>
    <t>COMERCIALIZADORA REGIOMONTANA HACHI</t>
  </si>
  <si>
    <t>DULCERIA ITALIANA S. DE R.L. DE C.V</t>
  </si>
  <si>
    <t>PRODUCTOS DIETRIX, S.A. DE C.V.</t>
  </si>
  <si>
    <t>SISTEMA DE DESCANSO LORD SA DE CV</t>
  </si>
  <si>
    <t>AGROPECUARIA ASTURIANA SA DE CV</t>
  </si>
  <si>
    <t>JESSY INTERNACIONAL S.A. DE C.V.</t>
  </si>
  <si>
    <t>CREOLE QUEEN SUGAR S DE RL DE CV</t>
  </si>
  <si>
    <t>FREIXENET DE MEXICO SA DE CV</t>
  </si>
  <si>
    <t>TEKA MEXICANA, S.A. DE C.V.</t>
  </si>
  <si>
    <t>CHILCHOTA ALIMENTOS SA DE CV</t>
  </si>
  <si>
    <t>COCOLADE DE MEXICO SA DE CV</t>
  </si>
  <si>
    <t>GARDU¥O CORONA ADELA</t>
  </si>
  <si>
    <t>DELICATESSEN INTERNACIONAL SA DE CV</t>
  </si>
  <si>
    <t>CAVAS DE DON MAX SA DE CV</t>
  </si>
  <si>
    <t>VERDE LIMON TRAIDING COMPANY</t>
  </si>
  <si>
    <t>LIFE WORKS TC MX SA DE CV</t>
  </si>
  <si>
    <t>MG ALIMENTOS SA DE CV</t>
  </si>
  <si>
    <t>CONGO BRANDS MEXICO S DE RL DE CV</t>
  </si>
  <si>
    <t>BLANCOS Y DERIVADOS CASAL SA DE CV</t>
  </si>
  <si>
    <t>HARINERA DE VERACRUZ S.A. DE C.V.</t>
  </si>
  <si>
    <t>ALIMENTOS DEL ALTIPLANO S DE PR DE</t>
  </si>
  <si>
    <t>ENVASES PRIMO CUEVAS SA DE CV</t>
  </si>
  <si>
    <t>LA RISUENA, S.A. DE C.V.</t>
  </si>
  <si>
    <t>TECHNISEARCH, S.A. DE C.V.</t>
  </si>
  <si>
    <t>SCHREIBER MXICO SA DE CV</t>
  </si>
  <si>
    <t>EMPACADORA ROSARITO S.A DEC.V</t>
  </si>
  <si>
    <t>GRUPO RELAX SA DE CV</t>
  </si>
  <si>
    <t>HONGOS DE MEXICO S.A. DE C.V</t>
  </si>
  <si>
    <t>LA TORRE DE BABEL COMERCIALIZACION</t>
  </si>
  <si>
    <t>MERCANTIL DE ALIMENTOS DEL MAR SA D</t>
  </si>
  <si>
    <t>GDL SMART DEVELOPMENT SAPI DE CV</t>
  </si>
  <si>
    <t>MERCANCIAS SALUBRES SA DE CV</t>
  </si>
  <si>
    <t>DISTRIBUIDORA DON GUSTAVO SA DE CV</t>
  </si>
  <si>
    <t>GRUPO COMERCIAL TABI SA DE CV</t>
  </si>
  <si>
    <t>EL OSO SA DE CV</t>
  </si>
  <si>
    <t>GRUPO JOSEPH ROBERTS JV</t>
  </si>
  <si>
    <t>CENTRO INTERNACIONAL DE COSMIATRIA</t>
  </si>
  <si>
    <t>Marcas Extraordinarias SA de CV</t>
  </si>
  <si>
    <t>ILUMINACION ESPECIALIZADA DE OCCIDE</t>
  </si>
  <si>
    <t>SALSA HUICHOL S DE RL DE CV</t>
  </si>
  <si>
    <t>PARAGUAS DE MEXICO S A DE C V</t>
  </si>
  <si>
    <t>MENTHOLATUM DE MEXICO S.A. DE C.V.</t>
  </si>
  <si>
    <t>LA HEREDERA HOME TEXTILES SA DE CV</t>
  </si>
  <si>
    <t>PROCESADORA DE ALIMENTOS LA</t>
  </si>
  <si>
    <t>CREMERIA LA PREFERIDA SA DE CV</t>
  </si>
  <si>
    <t>BOSHEN INTERNACIONAL MEXICO SA DE C</t>
  </si>
  <si>
    <t>PRODUCTORES AGRICOLAS DE JACONA</t>
  </si>
  <si>
    <t>HOLDING J.J INTERNACIONAL SA DE CV</t>
  </si>
  <si>
    <t>CG SOLUCIONES EN DISTRIBUCION, SA D</t>
  </si>
  <si>
    <t>PULIDO ALONSO MARISOL</t>
  </si>
  <si>
    <t>PASTA ARTESANAL SA DE CV</t>
  </si>
  <si>
    <t>APG LABS DE MEXICO S DE RL DE CV</t>
  </si>
  <si>
    <t>LABORATORIOS PAROMEX SA DE CV</t>
  </si>
  <si>
    <t>EMBASSY IMPORTS S. DE R.L. DE C.V.</t>
  </si>
  <si>
    <t>AVANT PROJECTS SA DE CV</t>
  </si>
  <si>
    <t>CONGELADORA NINO SA DE CV</t>
  </si>
  <si>
    <t>VINITECK SA DE CV</t>
  </si>
  <si>
    <t>SOLFISH SA DE CV</t>
  </si>
  <si>
    <t>MAKITA MEXICO SA DE CV</t>
  </si>
  <si>
    <t>VELADORAS AZUCENA S DE RL DE CV</t>
  </si>
  <si>
    <t>SONATA S.A. DE C.V.</t>
  </si>
  <si>
    <t>IOTZONE SA DE CV</t>
  </si>
  <si>
    <t>TIA OFILIA SAPI DE CV</t>
  </si>
  <si>
    <t>ROYAL SOFT S.A. DE C.V.</t>
  </si>
  <si>
    <t>JKL SOLUCIONES INTEGRALES</t>
  </si>
  <si>
    <t>DISTRIBUIDORA DE PRODUCTOS ARAMO</t>
  </si>
  <si>
    <t>ORESTIA SA DE CV</t>
  </si>
  <si>
    <t>FABRICA DE JABON LA REINERA SA</t>
  </si>
  <si>
    <t>COMER SETTI SA DE CV</t>
  </si>
  <si>
    <t>ALIMENTOS CAROL S.A. DE C.V.</t>
  </si>
  <si>
    <t>JARDIN ALEMAN S.A. DE C.V.</t>
  </si>
  <si>
    <t>GRUPO INDUSTRIAL SACSA S.A. DE C.V.</t>
  </si>
  <si>
    <t>KPS COMERCIALIZADORA SA DE CV</t>
  </si>
  <si>
    <t>RADIOMIZE SA DE CV</t>
  </si>
  <si>
    <t>SALSA TAMAZULA S.A. DE C.V.</t>
  </si>
  <si>
    <t>FULFILMENT S.A. DE C.V.</t>
  </si>
  <si>
    <t>NEGOCIOS AVANTE SA DE CV</t>
  </si>
  <si>
    <t>SUIZ SA DE CV</t>
  </si>
  <si>
    <t>LATAMEL DISTRIBUIDORA S DE RL DE CV</t>
  </si>
  <si>
    <t>AGROPRODUCTORA COMERCIAL DEL</t>
  </si>
  <si>
    <t>SESAJAL SA DE CV</t>
  </si>
  <si>
    <t>KSMV CAPITAL SAPI DE CV</t>
  </si>
  <si>
    <t>OFFIHO S.A DE C.V</t>
  </si>
  <si>
    <t>PRODUCTOS SELECTOS Y NOVEDADES SA D</t>
  </si>
  <si>
    <t>SERVICIOS ALIMENTICIOS AVANZADOS SA</t>
  </si>
  <si>
    <t>PARALLEL 42 VENTURES SRL DE CV</t>
  </si>
  <si>
    <t>ALIMENTOS INTEGRONATURALES S.A.</t>
  </si>
  <si>
    <t>COMERCIALIZADORA LINVAL SA DE CV</t>
  </si>
  <si>
    <t>CROWN BACCARA DE MEXICO SA DE CV</t>
  </si>
  <si>
    <t>INDUSTRIALIZADORA OLEOFINOS S.A. DE</t>
  </si>
  <si>
    <t>MORALES MENDOZA HECTOR MANUEL</t>
  </si>
  <si>
    <t>COMERCIALIZADORA DE OCCIDENTE</t>
  </si>
  <si>
    <t>LA CASA DE LA EDUCADORA SA DE CV</t>
  </si>
  <si>
    <t>CENTURY SNACKS OWNER MX1</t>
  </si>
  <si>
    <t>FABRICAS SELECTAS S.A. DE C.V.</t>
  </si>
  <si>
    <t>LE MOULIN BAKERY S DE RL DE CV</t>
  </si>
  <si>
    <t>VANDEN HASS DE MEXICO SA DE CV</t>
  </si>
  <si>
    <t>GONHERRPLAST SA DE CV</t>
  </si>
  <si>
    <t>DISTRIBUIDORA SEVIMEX S.A. DE C.V.</t>
  </si>
  <si>
    <t>DISTRIBUIDORA CORONADO SA</t>
  </si>
  <si>
    <t>GRUPO FEROMO SA DE CV</t>
  </si>
  <si>
    <t>Comercializadora Copamex SA de CV</t>
  </si>
  <si>
    <t>LUZ ETERNA SA DE CV</t>
  </si>
  <si>
    <t>PANADIS S.A. DE C.V.</t>
  </si>
  <si>
    <t>GOODYEAR SERVICIOS COMERCIALES S DE</t>
  </si>
  <si>
    <t>DISTRIBUIDORA CASAM S.A. DE C.V.</t>
  </si>
  <si>
    <t>ABK ALIMENTOS SA DE CV</t>
  </si>
  <si>
    <t>SEDA PURE INTERNACIONAL SA DE CV</t>
  </si>
  <si>
    <t>SEDANO BANNINGER ALEJANDRA</t>
  </si>
  <si>
    <t>CAMPO REAL VINICOLA SAPI DE CV</t>
  </si>
  <si>
    <t>HUERTAS GUADALUPE DEL NOROESTE SA D</t>
  </si>
  <si>
    <t>SANTO MADERO S.A DE C.V.</t>
  </si>
  <si>
    <t>LUCECO MEXICO S DE RL DE CV</t>
  </si>
  <si>
    <t>HUHTAMAKI MEXICANA</t>
  </si>
  <si>
    <t>INDUSTRIA FARMACEUTICA ANDROMACO</t>
  </si>
  <si>
    <t>ARTICULOS ELASTICOS CAMPEON S.A. DE</t>
  </si>
  <si>
    <t>MIS ZAPATITOS SA DE CV</t>
  </si>
  <si>
    <t>BELSKIN S DE RL DE CV</t>
  </si>
  <si>
    <t>TEGA NATURAL ENLIGHTENMENT FOODS</t>
  </si>
  <si>
    <t>MINSA COMERCIAL SA DE CV</t>
  </si>
  <si>
    <t>PLASTITRIM SA DE CV</t>
  </si>
  <si>
    <t>HERMES HONEY SA DE CV</t>
  </si>
  <si>
    <t>EMPACADORA EL FRESNO S.A. DE C.V.</t>
  </si>
  <si>
    <t>PLASTICOS Y VINILOS REV S.A. DE C.V</t>
  </si>
  <si>
    <t>STARLIGHT FOODS SA DE CV</t>
  </si>
  <si>
    <t>RTDS DE MEXICO SAPI DE CV</t>
  </si>
  <si>
    <t>IMPORTACIONES DE MEXICO Y LATINO</t>
  </si>
  <si>
    <t>PANIFICADORA INTEGRAL PLF SA DE CV</t>
  </si>
  <si>
    <t>HACES DE UNANUE JOSE ALBERTO</t>
  </si>
  <si>
    <t>NAOS SKIN CARE MEXICO S DE RL DE CV</t>
  </si>
  <si>
    <t>SEAMLESS GLOBAL SOLUTIONS SA DE CV</t>
  </si>
  <si>
    <t>MGP SUPPLIER SA DE CV</t>
  </si>
  <si>
    <t>TOYSICLE, S.A. DE C.V.</t>
  </si>
  <si>
    <t>COMERCIALIZADORA SALANI SA DE CV</t>
  </si>
  <si>
    <t>OLEOALIMENTOS SA DE CV</t>
  </si>
  <si>
    <t>ALIMENTOS Y SALSAS DE MEXICO S.A. D</t>
  </si>
  <si>
    <t>POLYCHEM S.A. DE C.V.</t>
  </si>
  <si>
    <t>GRUPO MADIVI SA DE CV</t>
  </si>
  <si>
    <t>TJ DISTRIBUTION COMPANY S DE RL DE</t>
  </si>
  <si>
    <t>NAVARRETE MERLOS JOSE DAVID</t>
  </si>
  <si>
    <t>ALFERTEX SA DE CV</t>
  </si>
  <si>
    <t>HOUSE AND BEAUTY CARE MEXICO SA DE</t>
  </si>
  <si>
    <t>CARTERS BRANDS SA DE CV</t>
  </si>
  <si>
    <t>COMERCILIZADORA HILDA SA DE CV</t>
  </si>
  <si>
    <t>FILTROS Y MALLAS INDUSTRIALES</t>
  </si>
  <si>
    <t>MSAL SA DE CV</t>
  </si>
  <si>
    <t>COMERCIAL DE ALIMENTOS COMALSA SA</t>
  </si>
  <si>
    <t>MERRY TECH INTERNACIONAL SA DE CV</t>
  </si>
  <si>
    <t>GALERIA DEL CHOCOLATE S DE RL DE CV</t>
  </si>
  <si>
    <t>NACIONAL DE ALIMENTOS Y HELADOS S.A</t>
  </si>
  <si>
    <t>O FRUT SA DE CV</t>
  </si>
  <si>
    <t>KW MEXICO SA DE CV</t>
  </si>
  <si>
    <t>ECOSHELL SA DE CV</t>
  </si>
  <si>
    <t>GREENSIDE SA DE CV</t>
  </si>
  <si>
    <t>CAFE TOSTADO DE EXPORTACION SA DE C</t>
  </si>
  <si>
    <t>CORPORATIVO SOBARZO SA DE CV</t>
  </si>
  <si>
    <t>PROCESADORA DE ALIMENTOS MARROQUIN</t>
  </si>
  <si>
    <t>VIGO REP MEXICO SA DE CV</t>
  </si>
  <si>
    <t>FOOD EXPRESS DE MEXICO S.A DE C.V</t>
  </si>
  <si>
    <t>MA. DEL CARMEN GARDEA DUARTE</t>
  </si>
  <si>
    <t>GRUPO LUMIMEXICO SA DE CV</t>
  </si>
  <si>
    <t>GALEN MEDICAL SA DE CV</t>
  </si>
  <si>
    <t>LENOVO MEXICO S DE RL DE CV</t>
  </si>
  <si>
    <t>COLOIDALES DUCHE SA DE CV</t>
  </si>
  <si>
    <t>ATTEXCO SA DE CV</t>
  </si>
  <si>
    <t>AGAVE TRADING MEXICO S DE RL DE CV</t>
  </si>
  <si>
    <t>MOLTO BABY S.A. DE C.V.</t>
  </si>
  <si>
    <t>TZUB S.A. DE C.V.</t>
  </si>
  <si>
    <t>BUK INC SA DE CV</t>
  </si>
  <si>
    <t>MILLERKEY SA DE CV</t>
  </si>
  <si>
    <t>EL PARIENTE ALIMENTOS SA DE CV</t>
  </si>
  <si>
    <t>STEVIASON SA DE CV</t>
  </si>
  <si>
    <t>ALMAGIFA SA DE CV</t>
  </si>
  <si>
    <t>DIAZ VICTORIA</t>
  </si>
  <si>
    <t>COMERCIAL ENCANTO SA DE CV</t>
  </si>
  <si>
    <t>ALIMENTOS DAILY FOODS SA DE CV</t>
  </si>
  <si>
    <t>VALUE ORIENTATED PRODUCTS VOP S</t>
  </si>
  <si>
    <t>EPSON MEXICO SA DE CV</t>
  </si>
  <si>
    <t>A TU SALUD SA DE CV</t>
  </si>
  <si>
    <t>GOPLAS SA DE CV</t>
  </si>
  <si>
    <t>SUAVE Y FACIL, S.A. DE C.V.</t>
  </si>
  <si>
    <t>ISON AMKIE SARA</t>
  </si>
  <si>
    <t>DOS RIOS ORBE COMERCIAL SA DE CV</t>
  </si>
  <si>
    <t>WONG PRODUCTS SA DE CV</t>
  </si>
  <si>
    <t>SAL DE AQUI MEXICO SAPI DE CV</t>
  </si>
  <si>
    <t>GRUPO MAGMEDSI SA DE CV</t>
  </si>
  <si>
    <t>OPERADORA CARLSBERG MEXICO SAPI</t>
  </si>
  <si>
    <t>COMERCIALIZADORA PONAN S.A. DE C.V.</t>
  </si>
  <si>
    <t>CAMISAS AFRODITA SA DE CV</t>
  </si>
  <si>
    <t>GRUPO AMERICAN WEAR SA DE CV</t>
  </si>
  <si>
    <t>SAMSONITE MEXICO, S.A. DE C.V.</t>
  </si>
  <si>
    <t>PLASTICOS ARIES SA DE CV</t>
  </si>
  <si>
    <t>MEX BROKER, S.A. DE C.V.</t>
  </si>
  <si>
    <t>Ambienta Tus Momentos S de RL De CV</t>
  </si>
  <si>
    <t>EZRA EMPRENDEDORES DE MODA SA DE CV</t>
  </si>
  <si>
    <t>CUARZO COSMETICS SA DE CV</t>
  </si>
  <si>
    <t>ATTEXCO, SA DE CV</t>
  </si>
  <si>
    <t>ESCOBERA SUPREMA S.A DE C.V</t>
  </si>
  <si>
    <t>LABORATORIOS LACAMI SA DE CV</t>
  </si>
  <si>
    <t>NOVEDADES PLASTICAS MAYTON S.A. DE</t>
  </si>
  <si>
    <t>COMERCIALIZADORA PAIF SA DE CV</t>
  </si>
  <si>
    <t>MERKANO SA DE CV</t>
  </si>
  <si>
    <t>BIORGANIMEX SA DE CV</t>
  </si>
  <si>
    <t>TOSTADORA DE CAFE LA FUENTE SA DE C</t>
  </si>
  <si>
    <t>PROVEEDORA DE AZUCAR DEL NORTE S.A.</t>
  </si>
  <si>
    <t>W.A. CARTER,S.A. DE C.V.</t>
  </si>
  <si>
    <t>MUTUALIDAD DE AVICULTORES DE ALLEND</t>
  </si>
  <si>
    <t>INFANTILES DINAMITA SA DE CV</t>
  </si>
  <si>
    <t>ALCORSA S.A. DE C.V.</t>
  </si>
  <si>
    <t>APICOLA DE ALLENDE S.A. DE C.V.</t>
  </si>
  <si>
    <t>ABNI S.A. DE C.V.</t>
  </si>
  <si>
    <t>DOOBALO S.A DE C.V</t>
  </si>
  <si>
    <t>COMERCIALIZADORA DE TEQUILAS</t>
  </si>
  <si>
    <t>DEC HOGAR S.A. DE C.V.</t>
  </si>
  <si>
    <t>ANTERA SA DE CV</t>
  </si>
  <si>
    <t>FIBRAS FIX SA DE CV</t>
  </si>
  <si>
    <t>INDUSTRIAL TECNICA DE PINTURAS SA</t>
  </si>
  <si>
    <t>EXPORTACIONES DBR S DE RL DE CV</t>
  </si>
  <si>
    <t>DIGITAL GURU SA</t>
  </si>
  <si>
    <t>CAFIVER SA DE CV</t>
  </si>
  <si>
    <t>COMERCIAL SALINERA ROCHE SA DE CV</t>
  </si>
  <si>
    <t>MOLINO LA ROSALEDA SA DE CV</t>
  </si>
  <si>
    <t>LA TIA TRINI SA DE CV</t>
  </si>
  <si>
    <t>ACOSTA VELAZQUEZ GERARDO</t>
  </si>
  <si>
    <t>MONROE CHEMICAL C.O. DE MEXICO,S.A.</t>
  </si>
  <si>
    <t>WILD BRANDS MEXICO SAPI DE CV</t>
  </si>
  <si>
    <t>BEBIDAS PURIFICADAS DE TEHUACAN</t>
  </si>
  <si>
    <t>JANOME MEXICO SEVICIOS LIMITADA S</t>
  </si>
  <si>
    <t>LABORATORIOS SANFER SA DE CV</t>
  </si>
  <si>
    <t>POLISIGMA SA</t>
  </si>
  <si>
    <t>ERMA ALIMENTOS  SA DE CV</t>
  </si>
  <si>
    <t>EMPACADORA SILVA SA DE CV</t>
  </si>
  <si>
    <t>HUT INTERNACIONAL SA DE CV</t>
  </si>
  <si>
    <t>TALCOMAX SA DE CV</t>
  </si>
  <si>
    <t>MERCHANDISING SERVICES S DE R L DE</t>
  </si>
  <si>
    <t>CHOC &amp; LATTE SA DE CV</t>
  </si>
  <si>
    <t>FRESH JAMAICA, S.A DE C.V.</t>
  </si>
  <si>
    <t>GRUPO ZUMITAM SA DE CV</t>
  </si>
  <si>
    <t>LA LIGA DE LA CERVEZA S DE RL DE CV</t>
  </si>
  <si>
    <t>MARNA PLASTICA,S.A. DE C.V.</t>
  </si>
  <si>
    <t>MULTISERVICIOS 2001  S.A. DE C.V.</t>
  </si>
  <si>
    <t>BODEGAS COPA DE ORO SA DE CV</t>
  </si>
  <si>
    <t>MORENO SUAREZ CRISTINA DOLORES</t>
  </si>
  <si>
    <t>GENERAL SOLE S SA DE CV</t>
  </si>
  <si>
    <t>CARNIVAL DE MEXICO SA DE CV</t>
  </si>
  <si>
    <t>COMERCIALIZADORA IMPORTADORA Y EXPO</t>
  </si>
  <si>
    <t>MARIA DE LOS ANGELES RAMIREZ MELGAR</t>
  </si>
  <si>
    <t>Industrias T.TAIO S.A. de C.V.</t>
  </si>
  <si>
    <t>COMERCIALIZADORA INTERPLUS, S.A. DE</t>
  </si>
  <si>
    <t>INDUSTRIAS KOLA LOKA, S.A. DE C.V.</t>
  </si>
  <si>
    <t>ZUZU SALOME Y CIA SA DE CV</t>
  </si>
  <si>
    <t>IMPCO S. DE R.L. DE C.V.</t>
  </si>
  <si>
    <t>LENOMEX, S.A. DE C.V.</t>
  </si>
  <si>
    <t>DISTRIBUIDORA FRUIT OF THE LOOM SA</t>
  </si>
  <si>
    <t>MICHEMIX S.A. DE C.V.</t>
  </si>
  <si>
    <t>SHOLT DE MEXICO S.A DE C.V</t>
  </si>
  <si>
    <t>PROMAQUILA DE COCULA SA DE CV</t>
  </si>
  <si>
    <t>PORTA SA DE CV</t>
  </si>
  <si>
    <t>COMERCIALIZADORA ISDAHU SA DE CV</t>
  </si>
  <si>
    <t>CAVA SAN JOSE SA DE CV</t>
  </si>
  <si>
    <t>ORBIS MEXICANA SA DE CV</t>
  </si>
  <si>
    <t>TECNICA MEXICANA DE ALIMENTACION S.</t>
  </si>
  <si>
    <t>PLASTIC SPECIALTY EPS SA DE CV</t>
  </si>
  <si>
    <t>NEB S.A. DE C.V.</t>
  </si>
  <si>
    <t>PENINSULA ORIENTAL S.A. DE C.V.</t>
  </si>
  <si>
    <t>FABRICA DE CERILLOS Y FOSFOROS LA</t>
  </si>
  <si>
    <t>CONFECCIONES LUNAMAR S.A. DE C.V.</t>
  </si>
  <si>
    <t>ENCANTOS ARTE MAGICO DE MEXICO S.A.</t>
  </si>
  <si>
    <t>PROMOTORA DE PRODUCTOS Y MERCADOS M</t>
  </si>
  <si>
    <t>ALBEA SA DE CV</t>
  </si>
  <si>
    <t>ASIENTOS SANITARIOS NACIONALES S.A.</t>
  </si>
  <si>
    <t>BENSI IMPORT SAPI DE CV</t>
  </si>
  <si>
    <t>CHIAMAPU S.A DE C.V.</t>
  </si>
  <si>
    <t>EMPACADORA OBERTAL S.DE R.L DE C.V</t>
  </si>
  <si>
    <t>CERAPIL DE SAN LUIS S. DE R.L.</t>
  </si>
  <si>
    <t>DISTRIBUIDORA MEDICA HOME CARE SA D</t>
  </si>
  <si>
    <t>CREACIONES E INNOVACIONES</t>
  </si>
  <si>
    <t>DISTRIBUIDORA MONTECARLO SA DE CV</t>
  </si>
  <si>
    <t>FRUIT OF THE LOOM DE MEXICO, S.A. D</t>
  </si>
  <si>
    <t>SINBIOTIK INTERNACIONAL SA DE CV</t>
  </si>
  <si>
    <t>COMPA¥IA CYRNOS SA DE CV</t>
  </si>
  <si>
    <t>GRUPO AGROINDUSTRIAL SAN MIGUEL, S.</t>
  </si>
  <si>
    <t>COMFORT SOLUTIONS S.A DE C.V</t>
  </si>
  <si>
    <t>MADERAS UTILES SUCSRS SA DE CV</t>
  </si>
  <si>
    <t>DENTILAB SA DE CV</t>
  </si>
  <si>
    <t>PRODUCTOS CIERVO SA DE CV</t>
  </si>
  <si>
    <t>ROYAL GARDEN S.A DE C.V</t>
  </si>
  <si>
    <t>ORTEGA MELENDEZ MARIA ELVIRA</t>
  </si>
  <si>
    <t>SEN DEPORTES SA DE CV</t>
  </si>
  <si>
    <t>MINSA,S.A. DE C.V.</t>
  </si>
  <si>
    <t>GRUPO COMERCIALIZADOR EDLB S DE RL</t>
  </si>
  <si>
    <t>CHOCOLATERA MOCTEZUMA, SA DE CV</t>
  </si>
  <si>
    <t>APICOLA AZAHAR DE ALLENDE S DE RL D</t>
  </si>
  <si>
    <t>LICORES Y DESTILADOS DE LA PENINSUL</t>
  </si>
  <si>
    <t>DISE¥OS OSCESA SA DE CV</t>
  </si>
  <si>
    <t>ARCONAL S.A DE C.V</t>
  </si>
  <si>
    <t>ONTOP NUTRITION SA DE CV</t>
  </si>
  <si>
    <t>LA CUNA ENCANTADA SA DE CV</t>
  </si>
  <si>
    <t>VISION MONTERREY SA DE CV</t>
  </si>
  <si>
    <t>ALTAMODA CERVINO SA DE CV</t>
  </si>
  <si>
    <t>LABORATORIOS AZTECA SA DE CV</t>
  </si>
  <si>
    <t>HARINERA DE YUCATAN SA DE CV</t>
  </si>
  <si>
    <t>EL MANANTIAL SA DE CV</t>
  </si>
  <si>
    <t>CHARRO BREWING COMPANY SAPI DE CV</t>
  </si>
  <si>
    <t>GUTIERREZ CORONA GB S DE RL DE CV</t>
  </si>
  <si>
    <t>EL QUIJOTE INNOVACION DE EVENTOS</t>
  </si>
  <si>
    <t>MAX AND UNI SERVICIOS Y</t>
  </si>
  <si>
    <t>KISS INTERNACIONAL SC DE RL DE CV</t>
  </si>
  <si>
    <t>OMEGA DISTRIBUIDORA DE HILOS S.A DE</t>
  </si>
  <si>
    <t>BAG CITY SOLUTIONS SA DE CV</t>
  </si>
  <si>
    <t>GRUPO PARADIGMA DE MEXICO SA DE CV</t>
  </si>
  <si>
    <t>VINOS JUGUETES SA DE CV</t>
  </si>
  <si>
    <t>GOSTECH S.A DE C.V</t>
  </si>
  <si>
    <t>MANUFACTURERA SANDAREY SA DE CV</t>
  </si>
  <si>
    <t>COMERCIALIZADORA TRIZALET SA DE CV</t>
  </si>
  <si>
    <t>YAKULT S.A DE C.V.</t>
  </si>
  <si>
    <t>PRODUCTORA DE BOCADOS CARNICOS SA D</t>
  </si>
  <si>
    <t>QUALITY BEDS S.A. DE C.V.</t>
  </si>
  <si>
    <t>CALE FASHION S. A. DE C. V.</t>
  </si>
  <si>
    <t>4HABITAT.COM S.A. DE C.V</t>
  </si>
  <si>
    <t>TROPICOSMETICOS SA DE CV</t>
  </si>
  <si>
    <t>HAPPY KITCHENWARE SA DE CV</t>
  </si>
  <si>
    <t>Bukrisa Comercio Internacional S.A.</t>
  </si>
  <si>
    <t>COPER PLASTIC SA DE CV</t>
  </si>
  <si>
    <t>ANTIGUO MASSTO DONTE SA DE CV</t>
  </si>
  <si>
    <t>SHAPELY SA DE CV</t>
  </si>
  <si>
    <t>INTERNATIONAL TEX TRADING SA DE CV</t>
  </si>
  <si>
    <t>DAMACO CORPORATIVO SA DE CV</t>
  </si>
  <si>
    <t>PRACTIPLASTICOS QUALITY SA DE CV</t>
  </si>
  <si>
    <t>COMERCIALIZADORA Y DISTRIBUCION DE</t>
  </si>
  <si>
    <t>ELECTRICIDAD Y TECNOLOGIA SA DE CV</t>
  </si>
  <si>
    <t>BIO TISSUE SA DE CV</t>
  </si>
  <si>
    <t>LIFE 180 BIENESTAR Y SALUD SA DE CV</t>
  </si>
  <si>
    <t>LIDERNOVA SA DE CV</t>
  </si>
  <si>
    <t>KAR FRI INTERNACIONAL SA DE CV</t>
  </si>
  <si>
    <t>APACHE BRANDS CO SA DE CV</t>
  </si>
  <si>
    <t>VIDRIERA SANTOS SA DE CV</t>
  </si>
  <si>
    <t>DISTRIBUIDORA PERFECT SA DE CV</t>
  </si>
  <si>
    <t>PEREZ TREVI¥O ROBERTO</t>
  </si>
  <si>
    <t>COMERCIALIZADORA PONAN SA DE CV SOR</t>
  </si>
  <si>
    <t>VPET DE MEXICO S.A. DE C.V.</t>
  </si>
  <si>
    <t>COMERCIALIZADORA Y DISTRIBUIDORA</t>
  </si>
  <si>
    <t>SPECTRUM BRANDS DE MEXICO</t>
  </si>
  <si>
    <t>COMERCIALIZADORA VALCHAP SA DE CV</t>
  </si>
  <si>
    <t>LANERA TEXTIL, S.A. DE C.V.</t>
  </si>
  <si>
    <t>TOKAI DE MEXICO, S. A. DE C. V.</t>
  </si>
  <si>
    <t>ARTESANIA Y DISE¥O ICK DE RL DE CV</t>
  </si>
  <si>
    <t>SERSANO ALIMENTOS SA DE CV</t>
  </si>
  <si>
    <t>LIMPIN SA DE CV</t>
  </si>
  <si>
    <t>GRUPO BETREL S.A. DE C.V.</t>
  </si>
  <si>
    <t>STUFFACTORY SA DE CV</t>
  </si>
  <si>
    <t>PSM COMERCIALIZADORA SA DE CV</t>
  </si>
  <si>
    <t>IMPULSORA DEPORTIVA EKIP SA DE CV</t>
  </si>
  <si>
    <t>SKYTEX MEXICO SA DE CV</t>
  </si>
  <si>
    <t>AGUA CRYSTAL DEL BAJIO S.A. DE C.V.</t>
  </si>
  <si>
    <t>RABITO SA DE CV</t>
  </si>
  <si>
    <t>FUMAKILLA AMERICA SA DE CV</t>
  </si>
  <si>
    <t>PANTUFLAS MEXICANAS SA DE CV</t>
  </si>
  <si>
    <t>EMPAQUES ESPECIALIZADOS DEL CENTRO</t>
  </si>
  <si>
    <t>EL ANFITRION,S.A. DE C.V.</t>
  </si>
  <si>
    <t>PRODUCTORA Y DISTRIBUIDORA GASTRONO</t>
  </si>
  <si>
    <t>CAFE TRES FAMILIAS SA DE CV</t>
  </si>
  <si>
    <t>URREA HERRAMIENTAS PROFESIONALES S.</t>
  </si>
  <si>
    <t>GRUPO CARTIR SA DE CV</t>
  </si>
  <si>
    <t>PRODUCTOS PALEY DE CHIHUAHUA SA DE</t>
  </si>
  <si>
    <t>BERRUETA SORIANO RAFAEL</t>
  </si>
  <si>
    <t>INDUSTRIAS ZUCO, S.A. DE C.V.</t>
  </si>
  <si>
    <t>BEST BOX S.A. DE C.V.</t>
  </si>
  <si>
    <t>CERO HUMEDAD S. DE R.L. DE C.V.</t>
  </si>
  <si>
    <t>ALIMENTOS NATURALES SABROZA SA DE C</t>
  </si>
  <si>
    <t>GASILEM SA DE CV</t>
  </si>
  <si>
    <t>Num_Proveedor</t>
  </si>
  <si>
    <t>Contacto</t>
  </si>
  <si>
    <t>Correo</t>
  </si>
  <si>
    <t>Puesto</t>
  </si>
  <si>
    <t>Correo2</t>
  </si>
  <si>
    <t>Antonio Tomas Caballero Garza</t>
  </si>
  <si>
    <t>acaballero@ragasa.com.mx</t>
  </si>
  <si>
    <t>Representante Comercial</t>
  </si>
  <si>
    <t>Arcelia Ramon /Alma Delia Rangel</t>
  </si>
  <si>
    <t xml:space="preserve">AlmaDelia.Rangel@conagra.com </t>
  </si>
  <si>
    <t xml:space="preserve">arcelia.ramon@conagra.com </t>
  </si>
  <si>
    <t>Jorge Armando Mendoza / Eduardo Cruz</t>
  </si>
  <si>
    <t>jorge.armando@pascual.com.mx</t>
  </si>
  <si>
    <t>eduardo.cruz@pascual.com.mx</t>
  </si>
  <si>
    <t>UNILEVER DE MEXICO S DE RL DE CV</t>
  </si>
  <si>
    <t>Gabriela Gonzalez</t>
  </si>
  <si>
    <t>Gabriela.m.Gonzalez@unilever.com</t>
  </si>
  <si>
    <t>Jesus Villaseñor</t>
  </si>
  <si>
    <t>jesus@materiasprimasjv.com</t>
  </si>
  <si>
    <t>Thomas Eduardo Ogden Camors</t>
  </si>
  <si>
    <t>thomas.ogden@alen.com.mx</t>
  </si>
  <si>
    <t>maria.aguirre@alen.com.mx</t>
  </si>
  <si>
    <t>Loreto Zalapa</t>
  </si>
  <si>
    <t>loreto.zalapa@henkel.com</t>
  </si>
  <si>
    <t>roberto.calderon@genommalab.com</t>
  </si>
  <si>
    <t>SUKARNE S.A. DE C.V.</t>
  </si>
  <si>
    <t xml:space="preserve"> María Sol Tafur Carrete</t>
  </si>
  <si>
    <t>mariatafurc@sukarne.com</t>
  </si>
  <si>
    <t>MERCADO MK, S. DE R.L. DE C.V.</t>
  </si>
  <si>
    <t>Gustavo Bartolon</t>
  </si>
  <si>
    <t>cobranzas1@mercadomk.com</t>
  </si>
  <si>
    <t>Armando Aguilar</t>
  </si>
  <si>
    <t xml:space="preserve">armandoaguilar@comarket.com.mx </t>
  </si>
  <si>
    <t>Rebeca Guzman Santiago</t>
  </si>
  <si>
    <t>rguzmans@italika.com.mx</t>
  </si>
  <si>
    <t>Alfonso de Pedro</t>
  </si>
  <si>
    <t>alfonso.depedro@mattel.com</t>
  </si>
  <si>
    <t>GANADEROS PRODUCTORES DE LECHE PURA</t>
  </si>
  <si>
    <t>Omar Alejandro Martinez Mendoza</t>
  </si>
  <si>
    <t>omar.martinez@alpura.com</t>
  </si>
  <si>
    <t>SANTA CLARA MERCANTIL DE PACHUCA SA</t>
  </si>
  <si>
    <t>David Cuevas/Miguel Angel García</t>
  </si>
  <si>
    <t>dcuevas@@coca-cola.com</t>
  </si>
  <si>
    <t>ventasgcc@pascual.com.mx</t>
  </si>
  <si>
    <t>DANONE DE MEXICO S,A DE C.V</t>
  </si>
  <si>
    <t>Horacio Bortolotti /Soraya Garcia</t>
  </si>
  <si>
    <t>BORTOLOTTI Horacio &lt;horacio.bortolotti@danone.com</t>
  </si>
  <si>
    <t>soraya.garcia@danone.com</t>
  </si>
  <si>
    <t>BONAFONT SA DE CV</t>
  </si>
  <si>
    <t>Horacio Bortolotti/Soraya Garcia</t>
  </si>
  <si>
    <t>ENVASADORAS DE AGUAS EN MEXICO S DE</t>
  </si>
  <si>
    <t>COMPAÑIA GENERAL DE AGUAS S DE RL D</t>
  </si>
  <si>
    <t>Victor Manuel Flores Galicia</t>
  </si>
  <si>
    <t>victormanuel.flores@lge.com</t>
  </si>
  <si>
    <t>SC JOHNSON</t>
  </si>
  <si>
    <t>PAOLA MARÍA CANTÚ ESCUDERO</t>
  </si>
  <si>
    <t>pmcantu@scj.com</t>
  </si>
  <si>
    <t xml:space="preserve">MONTECARLO SPR DE RL DE CV     </t>
  </si>
  <si>
    <t>Elva Martha Rodriguez Perez</t>
  </si>
  <si>
    <t>elva.r@revuelta.com.mx</t>
  </si>
  <si>
    <t>Irais Quiroga</t>
  </si>
  <si>
    <t>irais.quiroga@softys.com</t>
  </si>
  <si>
    <t>Laura Irene Alvarado Navarro</t>
  </si>
  <si>
    <t>laura.alvarado@wella.com</t>
  </si>
  <si>
    <t>Allien Rangel</t>
  </si>
  <si>
    <t>erangel@alimentoscazerola.com</t>
  </si>
  <si>
    <t>SWTS DIRECT S DE RL DE CV</t>
  </si>
  <si>
    <t>Jorge Saldua Gonzalez</t>
  </si>
  <si>
    <t>jorge.saldua@hyundaitechnology.com</t>
  </si>
  <si>
    <t>DIAGEO MEXICO SA DE CV</t>
  </si>
  <si>
    <t>Daniela Acosta</t>
  </si>
  <si>
    <t>daniela.acosta@diageo.com</t>
  </si>
  <si>
    <t>MARGARITA GUADALUPE GONZALEZ LEAL</t>
  </si>
  <si>
    <t>MARGARITAGUADALUPE.GONZALEZ@RECKITT.COM</t>
  </si>
  <si>
    <t>LORENZO ANTONIO LEDESMA BADILLO</t>
  </si>
  <si>
    <t>lorenzol@maulec.com.mx</t>
  </si>
  <si>
    <t>SABORMEX SAPI DE CV</t>
  </si>
  <si>
    <t>FIDELIA COBOS GALLARDO</t>
  </si>
  <si>
    <t>FCOBOS@SABORMEX.COM.MX</t>
  </si>
  <si>
    <t>INDUSTRIAS DE MARISCOS MEXICANOS SA</t>
  </si>
  <si>
    <t>Daniel Peñaloza Martinez</t>
  </si>
  <si>
    <t>operaciones@industriasmariscos.mx</t>
  </si>
  <si>
    <t>JOAQUIN VELAZQUEZ LEON</t>
  </si>
  <si>
    <t>joaquin.velazquez@mabe.com.mx</t>
  </si>
  <si>
    <t>INDUSTRIAL PATRONA S.A. DE C.V.</t>
  </si>
  <si>
    <t>Lic. Carlos Omar De Castro Duran</t>
  </si>
  <si>
    <t>autoservicio@patrona.com.mx</t>
  </si>
  <si>
    <t>ERIKA YADIRA SILVA MORALES</t>
  </si>
  <si>
    <t>esilva@4eglobal.com</t>
  </si>
  <si>
    <t>DIANA ALVAREZ</t>
  </si>
  <si>
    <t>diana.alvarez@revlon.com</t>
  </si>
  <si>
    <t>AGROPECUARIA EL HUIZACHE SA DE CV</t>
  </si>
  <si>
    <t>JESUS GERARDO GONZALEZ</t>
  </si>
  <si>
    <t>gerardo.gonzalez@agropecuariaelhuizache.com</t>
  </si>
  <si>
    <t>RANCHO EL 17 SA DE CV</t>
  </si>
  <si>
    <t>IBRAHIM MARTINEZ MIRANDA</t>
  </si>
  <si>
    <t>imartinez@ranchoel17.com</t>
  </si>
  <si>
    <t>Alejandra Ibáñez Almaguer</t>
  </si>
  <si>
    <t>gerencia_comercial2@indnohra.com</t>
  </si>
  <si>
    <t>UNILEVER DE MEXICO S. DE R.L. DE C.</t>
  </si>
  <si>
    <t>Gilberto Sanchez</t>
  </si>
  <si>
    <t>gilberto.sanchez@unilever.com</t>
  </si>
  <si>
    <t>VICTOR SANCHEZ BECERRIL</t>
  </si>
  <si>
    <t>victorsanchez@wsports.mx</t>
  </si>
  <si>
    <t>ABASTECEDORA DE CARNES SAN GABRIEL</t>
  </si>
  <si>
    <t xml:space="preserve">KAREN FLORES GARCIA </t>
  </si>
  <si>
    <t>karen.flores@sangabriel.mx</t>
  </si>
  <si>
    <t>MARCO ANTONIO HEREDIA FERNANDEZ</t>
  </si>
  <si>
    <t>marco.heredia@midea.com</t>
  </si>
  <si>
    <t>Jesus Davila Sanchez</t>
  </si>
  <si>
    <t>jesus@dcoloso.com.mx</t>
  </si>
  <si>
    <t>PRODUCTOS BGA SA DE CV</t>
  </si>
  <si>
    <t>GERARDO JAIME LLANO</t>
  </si>
  <si>
    <t>gllano@pbga.mx</t>
  </si>
  <si>
    <t xml:space="preserve">ROXANA MARIEL AGUILAR </t>
  </si>
  <si>
    <t>RAGUILAR@ZUCARMEX.COM</t>
  </si>
  <si>
    <t>PROXIMO NATAL SAPI DE CV</t>
  </si>
  <si>
    <t>MARCO ANTONIO CUESTA CERVANTES</t>
  </si>
  <si>
    <t>mcuesta@cuervo.com.mx</t>
  </si>
  <si>
    <t>MARCHAMS SA DE CV</t>
  </si>
  <si>
    <t>CARLOS GIBRAN MORALES SANTIAGO</t>
  </si>
  <si>
    <t>carlos.morales@groupchams.com</t>
  </si>
  <si>
    <t xml:space="preserve">Alberto Saenz Rodríguez </t>
  </si>
  <si>
    <t>alberto.saenz@grisi.com</t>
  </si>
  <si>
    <t>FABRICA DE PAPEL SAN FRANCISCO SA</t>
  </si>
  <si>
    <t>Sergio Alanis Hernández</t>
  </si>
  <si>
    <t>sergio.alanis@papelsanfrancisco.com</t>
  </si>
  <si>
    <t>Alberto Moreno</t>
  </si>
  <si>
    <t>alberto.moreno@hasbro.com</t>
  </si>
  <si>
    <t>Jorge Armando Rojas Félix</t>
  </si>
  <si>
    <t>jorge.rojas@sym.com.mx</t>
  </si>
  <si>
    <t>Juan Ignacio Carzo García</t>
  </si>
  <si>
    <t>juanignacio@bonmoro.com</t>
  </si>
  <si>
    <t>GIOVANI ANGELES MARTINEZ</t>
  </si>
  <si>
    <t>g.angeles@lastur.com.mx</t>
  </si>
  <si>
    <t>IMPORT Y EXPORT DE FTAS Y LEG DE ME</t>
  </si>
  <si>
    <t xml:space="preserve">Jorge Meza Duarte </t>
  </si>
  <si>
    <t>jmduarte@importadoraexportadora.com</t>
  </si>
  <si>
    <t>Alberto Hernández</t>
  </si>
  <si>
    <t>alberto.hernandez2@unilever.com</t>
  </si>
  <si>
    <t>PRODUCTORA NACIONAL DE HUEVO SA DE</t>
  </si>
  <si>
    <t>RUBEN LARA VILLANUEVA</t>
  </si>
  <si>
    <t>rlara@crio.com.mx</t>
  </si>
  <si>
    <t>CLAUDIA MARIBEL MORALES CARREON</t>
  </si>
  <si>
    <t>claudia.morales@essity.com</t>
  </si>
  <si>
    <t xml:space="preserve">Antonio Palacios Gonzalez </t>
  </si>
  <si>
    <t>antonio.palacios@essity.com</t>
  </si>
  <si>
    <t>Marisela Soto</t>
  </si>
  <si>
    <t>msoto@hut.com.mx</t>
  </si>
  <si>
    <t>SELECTA DEL CAMPO SA DE CV</t>
  </si>
  <si>
    <t>SARAI LEONIDES BARROSO</t>
  </si>
  <si>
    <t>administracion@selectadelcampo.com</t>
  </si>
  <si>
    <t>GENAPRO SA DE CV</t>
  </si>
  <si>
    <t>GERARDO ROCHA GARCIA</t>
  </si>
  <si>
    <t>gerardo.rocha@genapro.com.mx</t>
  </si>
  <si>
    <t>PROCTER &amp; GAMBLE MEXICO S DE RL DE</t>
  </si>
  <si>
    <t>Francisco Becerril Vargas</t>
  </si>
  <si>
    <t>becerril.f@pg.com</t>
  </si>
  <si>
    <t xml:space="preserve">Raúl Cantú González </t>
  </si>
  <si>
    <t>rcantu@lacorona.com.mx</t>
  </si>
  <si>
    <t>MARCELY NICOL SERRANO MEZA</t>
  </si>
  <si>
    <t>marcely.serrano@carnesjc.com</t>
  </si>
  <si>
    <t>UPFIELD MEXICO S DE RL DE CV</t>
  </si>
  <si>
    <t xml:space="preserve">Juan Reynaldo Fraga Castro </t>
  </si>
  <si>
    <t>reynaldo.fraga@florafg.com</t>
  </si>
  <si>
    <t>Humberto Arturo Varela Ochoa</t>
  </si>
  <si>
    <t>humberto.varela@oetker.com</t>
  </si>
  <si>
    <t>KELLOGG COMPANY MEXICO S DE RL DE C</t>
  </si>
  <si>
    <t xml:space="preserve">Alejandro Yaoquetzal Peña </t>
  </si>
  <si>
    <t>alejandro.peña@kellanova.com</t>
  </si>
  <si>
    <t>Javier Hernandez Nevarez</t>
  </si>
  <si>
    <t>jfhernandez@qdl.com.mx</t>
  </si>
  <si>
    <t>Daniel Rodrigo Alonso Monteverde</t>
  </si>
  <si>
    <t>danielrodrigo.alonso@ferrero.com</t>
  </si>
  <si>
    <t>CARMEN MARIA ARAGON GONZALEZ</t>
  </si>
  <si>
    <t>CARMEN.ARAGON@DAWNFOODS.COM</t>
  </si>
  <si>
    <t>VERONICA ARRATIA ANAYA</t>
  </si>
  <si>
    <t>varratia@vfdiltex.com</t>
  </si>
  <si>
    <t>GRUPO GUSI SPR DE RL DE CV</t>
  </si>
  <si>
    <t>Jorge Olmos Belman</t>
  </si>
  <si>
    <t>jorge.olmos@grupogusi.com</t>
  </si>
  <si>
    <t>Sergio Alejandro Rangel Mendoza</t>
  </si>
  <si>
    <t>sergiorangel@proanorte.com</t>
  </si>
  <si>
    <t>INDUSTRIAS FRIGORIFICAS  SA DE CV</t>
  </si>
  <si>
    <t>Angel Villalobos // Abel Josué Maldonado</t>
  </si>
  <si>
    <t>angel.villalobos@hussmann.com // abeljosue.maldonado@hussmann.com</t>
  </si>
  <si>
    <t>Karla Suárez</t>
  </si>
  <si>
    <t>karla.suarez@unilever.com</t>
  </si>
  <si>
    <t>Santiago Cervantes</t>
  </si>
  <si>
    <t>scervantes@australtrading.com</t>
  </si>
  <si>
    <t>CARGILL MEAT SOLUTIONS CORPORATION</t>
  </si>
  <si>
    <t>OCTAVIO TORRES</t>
  </si>
  <si>
    <t>octavio_torres@cargill.com</t>
  </si>
  <si>
    <t>MONICA LOPEZ</t>
  </si>
  <si>
    <t>mlopez@s2ginternational.com</t>
  </si>
  <si>
    <t>ANTONIO GABRIEL ROJAS ORTIZ</t>
  </si>
  <si>
    <t>g.rojas@samsung.com</t>
  </si>
  <si>
    <t>COLLINS CO LTD</t>
  </si>
  <si>
    <t>SARA RAMOS</t>
  </si>
  <si>
    <t>collinsmxsara@gmail.com // collinsmto@gmail.com</t>
  </si>
  <si>
    <t>NORA NELI VERA LOPEZ</t>
  </si>
  <si>
    <t>nora.vera@pactechretail.com.mx</t>
  </si>
  <si>
    <t xml:space="preserve">JORGE EDUARDO LOPEZ </t>
  </si>
  <si>
    <t>jorge_eduardo_lopez1@whirlpool.com</t>
  </si>
  <si>
    <t>OJAI ALIMENTOS SA DE CV</t>
  </si>
  <si>
    <t>Angel Herbey Gámez Barrelleza</t>
  </si>
  <si>
    <t>angel.gamez@grupoojai.mx</t>
  </si>
  <si>
    <t>CEDRAL GREENHOUSE SA DE CV</t>
  </si>
  <si>
    <t>JOSE ERNESTO ESPARZA ZAMARRIPA</t>
  </si>
  <si>
    <t>ernestoez@cedralgreenhouse.com</t>
  </si>
  <si>
    <t>Alma Gabriela Gomez Tejeda</t>
  </si>
  <si>
    <t>almagabriela.gomez@clorox.com</t>
  </si>
  <si>
    <t>COMERC. DE PESC. Y MARISC. EL CHARAL</t>
  </si>
  <si>
    <t>VIRGINIA APONTE PONCE  / CARLOS ALBERTO ZAMARRIPA GARZA</t>
  </si>
  <si>
    <t>vaponte@charal.com.mx / carlos@charal.com.mx</t>
  </si>
  <si>
    <t>Ignacio Roel Berlanga</t>
  </si>
  <si>
    <t>ignacio.roelberlanga@hanes.com</t>
  </si>
  <si>
    <t>IMPULSORA DE SERVICIOS Y AZUCAR SA</t>
  </si>
  <si>
    <t>Xóchitl Hernández Camacho</t>
  </si>
  <si>
    <t>xochitlvolcanes@hotmail.com</t>
  </si>
  <si>
    <t>OIRLAT SA</t>
  </si>
  <si>
    <t>Hernan Reich</t>
  </si>
  <si>
    <t>hernan.reich@orilat.com</t>
  </si>
  <si>
    <t>BROWN-FORMAN TEQUILA MEXICO S DE RL DE CV</t>
  </si>
  <si>
    <t>Marcela Muñoz / Norma Zamora</t>
  </si>
  <si>
    <t>marcela_munoz@b-f.com</t>
  </si>
  <si>
    <t>norma_zamora@b-f.com</t>
  </si>
  <si>
    <t>EMBOTELLADORA NIAGARA DE MEXICO</t>
  </si>
  <si>
    <t>JOSE MARIA ROSALES ALFARO</t>
  </si>
  <si>
    <t>jrosales@niagarawater.com</t>
  </si>
  <si>
    <t>ALIMENTOS CALIDAD OPTIMA SA DE CV</t>
  </si>
  <si>
    <t>HECTOR RENE HERNANDEZ MEDELLIN</t>
  </si>
  <si>
    <t>hector.hernandez@alco.mx</t>
  </si>
  <si>
    <t xml:space="preserve">Federico Carlos Rodríguez Sánchez </t>
  </si>
  <si>
    <t>federico.rodriguez@cremeria-americana.com.mx</t>
  </si>
  <si>
    <t>Alejandro López Vazquez</t>
  </si>
  <si>
    <t>alopezva@gruma.com</t>
  </si>
  <si>
    <t>Horacio Peralta Velazquez</t>
  </si>
  <si>
    <t>hperalta@grupomar.mx</t>
  </si>
  <si>
    <t>DISTRIBUIDORA ARCA CONTINENTAL S DE</t>
  </si>
  <si>
    <t>Esteban Amezquita Balderrama</t>
  </si>
  <si>
    <t>esteban.amezquita@arcacontal.com</t>
  </si>
  <si>
    <t>NAVAFRUT SA DE CV</t>
  </si>
  <si>
    <t>JUAN CARLOS REBUELTA DIEZ</t>
  </si>
  <si>
    <t>jcrgnf@netra.net</t>
  </si>
  <si>
    <t>EMBUTIDOS CORONA S.A. DE C.V.</t>
  </si>
  <si>
    <t>MARCO ANTONIO GONZALEZ CARDENAS</t>
  </si>
  <si>
    <t>marco@embutidoscorona.com.mx</t>
  </si>
  <si>
    <t>JESUS GUTIERREZ</t>
  </si>
  <si>
    <t>jesus.gutierrez@fotlinc.com</t>
  </si>
  <si>
    <t>JUGOS DEL VALLE</t>
  </si>
  <si>
    <t>DANIEL RODRIGUEZ</t>
  </si>
  <si>
    <t>danielrodriguez02@coca-cola.com</t>
  </si>
  <si>
    <t xml:space="preserve">PROTEINA ANIMAL </t>
  </si>
  <si>
    <t>Isidro Avila</t>
  </si>
  <si>
    <t>isidro.avila@proan.com</t>
  </si>
  <si>
    <t>ALEJANDRO LOPEZ VAZQUEZ</t>
  </si>
  <si>
    <t>RICARDO ESPINOSA</t>
  </si>
  <si>
    <t>respin12@kenvue.com</t>
  </si>
  <si>
    <t>ILSE LORENA CEDILLO LOPEZ</t>
  </si>
  <si>
    <t>lcedillo@pinsa.com</t>
  </si>
  <si>
    <t>EMPACADORA CAMPO FRIO SA DE CV</t>
  </si>
  <si>
    <t>LEONARDO ROJAS RAMIREZ</t>
  </si>
  <si>
    <t>leonardo.rojas@penaranda.com.mx</t>
  </si>
  <si>
    <t>IMPULSORA DE BIENES ALAMEDA SA</t>
  </si>
  <si>
    <t>CLAUDIA CECILIA AMADOR ROMAN</t>
  </si>
  <si>
    <t>cecilia.amador@carnesmuma.com.mx</t>
  </si>
  <si>
    <t>ARTURO MANCILLA M.</t>
  </si>
  <si>
    <t>amancilla@campofresco.com.mx</t>
  </si>
  <si>
    <t>CRISA LIBBEY MEXICO S DE RL DE CV</t>
  </si>
  <si>
    <t>TANIA BAEZ VIERA</t>
  </si>
  <si>
    <t>TBAEZ@LIBBEY.COM</t>
  </si>
  <si>
    <t>PERFUPLAZA SA DE CV</t>
  </si>
  <si>
    <t>Carolina Venegas Chavez</t>
  </si>
  <si>
    <t>cvenegas@perfumegallery.com.mx</t>
  </si>
  <si>
    <t>Marco Antonio Cordero Martínez</t>
  </si>
  <si>
    <t>marco.cordero@lyncott.mx</t>
  </si>
  <si>
    <t>PATRONOUM S.A DE C.V</t>
  </si>
  <si>
    <t>ISIDRO LOPEZ BORREGO</t>
  </si>
  <si>
    <t>chilolopbo@gmail.com</t>
  </si>
  <si>
    <t>Alfonso Martín Casana</t>
  </si>
  <si>
    <t>martin.casana@fotlinc.com</t>
  </si>
  <si>
    <t>ARIANNA AVILES RETANA</t>
  </si>
  <si>
    <t>aaviles@lamoderna.com.mx</t>
  </si>
  <si>
    <t>PRODUCTOS LACTEOS POMAS S.A. DE C.V</t>
  </si>
  <si>
    <t>CARLOS OCTAVIO VAZQUEZ RUIZ</t>
  </si>
  <si>
    <t>ventas@pomas.mx</t>
  </si>
  <si>
    <t>MENESES GUTIERREZ HUEMAN</t>
  </si>
  <si>
    <t>HUEMAN MENESES GUTIERREZ</t>
  </si>
  <si>
    <t>huemanmeneses@hotmail.com</t>
  </si>
  <si>
    <t xml:space="preserve">Luis Javier Le Vinson Garduño y Carlos Alberto Rosales Sanchez </t>
  </si>
  <si>
    <t>llg@herdez.com, carosaless@herdez.com</t>
  </si>
  <si>
    <t>COMERCIALIZADORA ELORO SA</t>
  </si>
  <si>
    <t>Daniel Alejandro Hinojosa Valero</t>
  </si>
  <si>
    <t>dhinojosav@jumex.com.mx</t>
  </si>
  <si>
    <t>Alejandro Jactthar Reyes</t>
  </si>
  <si>
    <t>alejandro.jactthar@kdrp.com</t>
  </si>
  <si>
    <t>CENTRAL HARINERA,S.A. DE C.V.</t>
  </si>
  <si>
    <t>GERMAN BERMUDEZ CARDENAS</t>
  </si>
  <si>
    <t>GBERMUDEZ@molineramx.com</t>
  </si>
  <si>
    <t>FRUTAS Y VERDURAS SAN MIGUEL S.A. D</t>
  </si>
  <si>
    <t>JUAN CARLOS PEREZ MORAN</t>
  </si>
  <si>
    <t>jc@fyvsanmiguel.com</t>
  </si>
  <si>
    <t>Carolina Guadian Valencia</t>
  </si>
  <si>
    <t>cguadian@tornel.com.mx</t>
  </si>
  <si>
    <t>Alfredo Castañeda Chagolla</t>
  </si>
  <si>
    <t>alfredo.castanedachagolla@gepp.com</t>
  </si>
  <si>
    <t>ACEITES GRASAS Y DERIVADOS S.A. DE</t>
  </si>
  <si>
    <t>LUIS A NAVARRO CORTES</t>
  </si>
  <si>
    <t>lnavarro@agydsa.net</t>
  </si>
  <si>
    <t>Lisseth Meza Miranda</t>
  </si>
  <si>
    <t>lmeza@rich.com</t>
  </si>
  <si>
    <t>Marlon Salomón Lara Valdez</t>
  </si>
  <si>
    <t>mlara@qualtia.com</t>
  </si>
  <si>
    <t>Eduardo Ezequiel Zatarain Delgado</t>
  </si>
  <si>
    <t>eduardo.zatarain@pilgrims.com</t>
  </si>
  <si>
    <t>ISRAEL MARTINEZ MENDEZ</t>
  </si>
  <si>
    <t>israel.martinez@keken.com.mx</t>
  </si>
  <si>
    <t>Alejandro Pichardo</t>
  </si>
  <si>
    <t>alejandro.pichardo@bln.com.mx</t>
  </si>
  <si>
    <t>TRANSPORTES UNIDOS DE MORELOS SA DE</t>
  </si>
  <si>
    <t>Rafael Mora Rodriguez</t>
  </si>
  <si>
    <t>rafaelmora@tumsa.com.mx</t>
  </si>
  <si>
    <t>CASA MARZAM SA DE CV</t>
  </si>
  <si>
    <t xml:space="preserve">HABANA DURAN JUAN CARLOS </t>
  </si>
  <si>
    <t>jhabana@marzam.com.mx</t>
  </si>
  <si>
    <t>DISTRIBUIDORA DE CERVEZAS DEL PITIC</t>
  </si>
  <si>
    <t xml:space="preserve">SERGIO  RAMIREZ FLORES </t>
  </si>
  <si>
    <t>sergio.ramirez@heineken.com</t>
  </si>
  <si>
    <t>COMERCIALIZADORA PEPSICO MEXICO S D</t>
  </si>
  <si>
    <t>Rodrigo Uraga</t>
  </si>
  <si>
    <t>rodrigof.uraga@pepsico.com</t>
  </si>
  <si>
    <t>FRONTERRA AVOCADOS SA DE CV</t>
  </si>
  <si>
    <t>DANIEL EDUARDO HERNANDEZ</t>
  </si>
  <si>
    <t>d.hernandez@peninsulaoriental.mx</t>
  </si>
  <si>
    <t>COMPA¥IA EMBOTELLADORA DEL FUERTE S</t>
  </si>
  <si>
    <t>ALFONSO ENTEBI YEDID</t>
  </si>
  <si>
    <t>alfonsoy@tebi.com.mx</t>
  </si>
  <si>
    <t>KIMBERLY CLARK DE MEXICO S A B DE C</t>
  </si>
  <si>
    <t>Gerardo Garza</t>
  </si>
  <si>
    <t>pablo.garza@kcc.com</t>
  </si>
  <si>
    <t>CE NORTH AMERICA LLC</t>
  </si>
  <si>
    <t>Marco Iturralde</t>
  </si>
  <si>
    <t>marco.iturralde@cemglobal.com</t>
  </si>
  <si>
    <t>Paola Martinez</t>
  </si>
  <si>
    <t>paola.martinez@loreal.com</t>
  </si>
  <si>
    <t>DÉBORA ESTEFANIATAMEZ LUCIO</t>
  </si>
  <si>
    <t>debora.tamez@pepsico.com</t>
  </si>
  <si>
    <t>Guillermo Wolfskill Davila Garibi</t>
  </si>
  <si>
    <t>guillermowd@verdevalle.com</t>
  </si>
  <si>
    <t>MALTA TEXO DE MEXICO</t>
  </si>
  <si>
    <t>Oscar Daniel Rios Garcia</t>
  </si>
  <si>
    <t>PRODUCTORES Y COMERCIALIZADORES AGROPECUARIOS RANCHO LAS MARAVILLAS SA DE CV</t>
  </si>
  <si>
    <t>EDUARDO ALVAREZ CID</t>
  </si>
  <si>
    <t>eduardo.alvarez@fcbeef.com.mx</t>
  </si>
  <si>
    <t>Javier Hernando Rodríguez Pérez</t>
  </si>
  <si>
    <t>javierhernando.rodriguez@softys.com</t>
  </si>
  <si>
    <t>CONSERVAS LA COSTEÑA SA</t>
  </si>
  <si>
    <t xml:space="preserve"> JORGE NAVARRO</t>
  </si>
  <si>
    <t xml:space="preserve">jorge.navarro@lacostena.com.mx </t>
  </si>
  <si>
    <t>VASCONIA BRANDS S.A de C.V.</t>
  </si>
  <si>
    <t>Fernando Elizondo Moran</t>
  </si>
  <si>
    <t>felizondo@vasconiabrands.com</t>
  </si>
  <si>
    <t>QUASAR CAP SA DE CV</t>
  </si>
  <si>
    <t>DAJIXA OCHOA CARRASCO</t>
  </si>
  <si>
    <t>dajixa.oc@quasarberries.com</t>
  </si>
  <si>
    <t>MANUEL ESPINOSA ALVAREZ</t>
  </si>
  <si>
    <t>Manuel Espinosa Alvarez</t>
  </si>
  <si>
    <t>manuel.tapaya@hotmail.com</t>
  </si>
  <si>
    <t>Representante comercial</t>
  </si>
  <si>
    <t>PROMEXSEL SA DE CV</t>
  </si>
  <si>
    <t>Enrique Sierra Paramo</t>
  </si>
  <si>
    <t>enrique@promexsel.com.mx</t>
  </si>
  <si>
    <t>GUTIERREZ MERCADO FRANCISCO</t>
  </si>
  <si>
    <t>frutierrez_comp@yahoo.com.mx</t>
  </si>
  <si>
    <t>MOLINERA DE MEXICO, S.A. DE C.V.</t>
  </si>
  <si>
    <t>ALEX RAMIREZ CAZAREZ</t>
  </si>
  <si>
    <t>alex.ramirez@oleico.com</t>
  </si>
  <si>
    <t>RANCHO SAN LUIS PGMX SA DE CV</t>
  </si>
  <si>
    <t>Porfirio González Sosa</t>
  </si>
  <si>
    <t>porfirio.gonzalez@rsl.com.mx</t>
  </si>
  <si>
    <t>OSCAR CARDOSO SANCHEZ</t>
  </si>
  <si>
    <t>Oscar.CardosoSanchez@reckitt.com</t>
  </si>
  <si>
    <t>Jose Luis Barajas Reyes</t>
  </si>
  <si>
    <t>jbarajas@idiriunite.com</t>
  </si>
  <si>
    <t>ANDREA ESPINOSA CRUZ</t>
  </si>
  <si>
    <t>aespinosacruz@mmm.com</t>
  </si>
  <si>
    <t>PRADERAS HUASTECAS SPR DE RL</t>
  </si>
  <si>
    <t xml:space="preserve">Oscar Hernandez </t>
  </si>
  <si>
    <t>ohernandez@praderashuastecas.com</t>
  </si>
  <si>
    <t>Logistica/Facturación</t>
  </si>
  <si>
    <t>jfigueroa@praderashuastecas.com</t>
  </si>
  <si>
    <t>PROVEEDORA DE FRUTAS CAVI SA DE CV</t>
  </si>
  <si>
    <t>Ivan Guevara</t>
  </si>
  <si>
    <t>ivanguevara@frutascavi.com</t>
  </si>
  <si>
    <t>Cuentas por cobrar</t>
  </si>
  <si>
    <t>alejandrovidal@frutascavi.com</t>
  </si>
  <si>
    <t>CHAMPIÑONES MONTEBLANCO S DE RL DE CV</t>
  </si>
  <si>
    <t>José Alberto Del Razo Espíndola</t>
  </si>
  <si>
    <t>adelrazo@monteblanco.com.mx</t>
  </si>
  <si>
    <t>QUALIMENTOS S DE RL DE CV</t>
  </si>
  <si>
    <t>Lorena Moreno</t>
  </si>
  <si>
    <t>lamoreno@grupoquadrum.com.mx</t>
  </si>
  <si>
    <t>Gerente Comercial</t>
  </si>
  <si>
    <t>ONUS COMERCIAL SA DE CV</t>
  </si>
  <si>
    <t>María Valeria Samaniego Espelosin</t>
  </si>
  <si>
    <t>mvsamaniego@bafar.com.mx</t>
  </si>
  <si>
    <t>0</t>
  </si>
  <si>
    <t>Marcas Nestle S.A. de C.V.</t>
  </si>
  <si>
    <t>Gabriela García Ramírez</t>
  </si>
  <si>
    <t>gabriela.garcia3@mx.nestle.com</t>
  </si>
  <si>
    <t>EMPACADORA DE CARNES NUEVO LEON SA DE CV</t>
  </si>
  <si>
    <t>CINDY DENISSE FUENTES LEAL</t>
  </si>
  <si>
    <t>empacadora735@hotmail.com</t>
  </si>
  <si>
    <t>I &amp;C DE PRODUCTOS DEL CAMPO SA DE C</t>
  </si>
  <si>
    <t>CONSEPCION RAVANALES DE LA ROSA</t>
  </si>
  <si>
    <t>iceproductos.delcampo@gmail.com</t>
  </si>
  <si>
    <t>PROCESADORA DE ALIMENTOS MEXICANO S A DE CV</t>
  </si>
  <si>
    <t>Ana Elena Muñoz Moreno</t>
  </si>
  <si>
    <t>ventasgdl2020@hotmail.com</t>
  </si>
  <si>
    <t>JUGUETES FAMOSA. S.A. DE CV..</t>
  </si>
  <si>
    <t>JOSE MANUEL HURTADO DE LA LUZ</t>
  </si>
  <si>
    <t>jmhurtado@famosa.es</t>
  </si>
  <si>
    <t>ABBOTT LABORATORIES DE MEXICO SA DE CV</t>
  </si>
  <si>
    <t xml:space="preserve">Angel Ariel Becerra </t>
  </si>
  <si>
    <t>angelariel.becerra@abbott.com</t>
  </si>
  <si>
    <t>COMERCIALIZADORA DE LACTEOS Y DERIVADOS S.A D</t>
  </si>
  <si>
    <t>Enrique Leon Hermosillo</t>
  </si>
  <si>
    <t>enrique.leon@grupolala.com</t>
  </si>
  <si>
    <t>COLIMAN FRUTAS FINAS S DE RL DE CV</t>
  </si>
  <si>
    <t>LEISLY YASMIN SANCHEZ MENDIVIL</t>
  </si>
  <si>
    <t>leisly.sanchez@coliman.com</t>
  </si>
  <si>
    <t>Comercializadora Ikal S de RL DE CV</t>
  </si>
  <si>
    <t xml:space="preserve">Adriana Valadez Ricalde </t>
  </si>
  <si>
    <t>valadez.adriana@ikalc.com</t>
  </si>
  <si>
    <t>BACARDI Y COMPANIA S.A. DE C.V.</t>
  </si>
  <si>
    <t>Carlos Francisco Cruz Mata</t>
  </si>
  <si>
    <t>ccruzm@bacardi.com</t>
  </si>
  <si>
    <t>BARCEL  S.A. DE C.V.</t>
  </si>
  <si>
    <t>Roberto Cavazos Guzman</t>
  </si>
  <si>
    <t>roberto.cavazoz@grupobimbo.com</t>
  </si>
  <si>
    <t>PROPIMEX S DE RL DE CV</t>
  </si>
  <si>
    <t>Paulina de Jesús González Ramírez</t>
  </si>
  <si>
    <t>paulina.gonzalez@kof.com</t>
  </si>
  <si>
    <t>GRANJAS ORESPI S.A. DE C.V.</t>
  </si>
  <si>
    <t>Lic. Natividad Lopez Reyes</t>
  </si>
  <si>
    <t>natividad.lopez@orespi.com.mx</t>
  </si>
  <si>
    <t>COLGATE PALMOLIVE,S.A. DE C.V.</t>
  </si>
  <si>
    <t>SERGIO PEREIRA</t>
  </si>
  <si>
    <t>sergio_pereira@colpal.com</t>
  </si>
  <si>
    <t>HARINERA DE MAIZ DE MEXICALI S.A. D E C.V.</t>
  </si>
  <si>
    <t>Jose de Anda Villar</t>
  </si>
  <si>
    <t>jdeanda@gruma.com</t>
  </si>
  <si>
    <t>BIMBO, S.A. DE C.V.</t>
  </si>
  <si>
    <t>POLLO INDUSTRIALIZADO DE MEXICO SA DE CV</t>
  </si>
  <si>
    <t>DETERGENTES Y JABONES SASIL, S.A DE</t>
  </si>
  <si>
    <t>Erika Escamilla</t>
  </si>
  <si>
    <t>eescamilla@sasil.mx</t>
  </si>
  <si>
    <t>FRIGORIZADOS LA HUERTA S.A. DE C.V.</t>
  </si>
  <si>
    <t>Alfonso Erick Garibay Cervantes</t>
  </si>
  <si>
    <t>erick.garibay@lahuerta.com.mx</t>
  </si>
  <si>
    <t>COMERCIALIZADORA COPAMEX SA DE CV</t>
  </si>
  <si>
    <t>Héctor Machado Saucedo</t>
  </si>
  <si>
    <t>hector.machado@copamex.com</t>
  </si>
  <si>
    <t xml:space="preserve">DISTRIBUIDORA DE NARANJAS TAMEZ </t>
  </si>
  <si>
    <t>OMAR GONZALEZ ITURRIAGA</t>
  </si>
  <si>
    <t>omargonzalez@cafeelmarino.com.mx</t>
  </si>
  <si>
    <t>RUZ IMAGINE SA DE CV</t>
  </si>
  <si>
    <t>Mauricio Jaimes Martínez</t>
  </si>
  <si>
    <t>Mauricio.Jaimes@gruporuz.com.mx</t>
  </si>
  <si>
    <t>DISTRIBUIDORA DE PRODUCTOS DESHIDRATADOS SA C</t>
  </si>
  <si>
    <t>GERARDO GARCIA LEAL</t>
  </si>
  <si>
    <t>gerardo@diprodesa.com</t>
  </si>
  <si>
    <t>TOMAS ANTONIO ESQUIVEL LAZCANO</t>
  </si>
  <si>
    <t>mayoreo31@yakultmex.net</t>
  </si>
  <si>
    <t>METCO, S.A. DE C.V.</t>
  </si>
  <si>
    <t>Roberto José Güitrón San Vicente</t>
  </si>
  <si>
    <t>rguitron@con-alimentos.com.mx</t>
  </si>
  <si>
    <t>PAPA LAVADA Y SELECCIONADA AMERICA</t>
  </si>
  <si>
    <t>LUIS ALBERTO MANZANO EDDY</t>
  </si>
  <si>
    <t>manzano67@gmail.com</t>
  </si>
  <si>
    <t>MAXIM ALIMENTOS S. A. DE C. V.</t>
  </si>
  <si>
    <t xml:space="preserve">Brian Gómez Campos  </t>
  </si>
  <si>
    <t>brian.gomez@proan.com</t>
  </si>
  <si>
    <t>BAYER DE MEXICO</t>
  </si>
  <si>
    <t>Brenda Martínez / Osvaldo Villarreal</t>
  </si>
  <si>
    <t>brenda.martinez@bayer.com / osvaldo.villarreal@bayer.com</t>
  </si>
  <si>
    <t>CON ALIMENTOS</t>
  </si>
  <si>
    <t xml:space="preserve">Jorge Villegas </t>
  </si>
  <si>
    <t>walter.guerra@metco.com.mx;jvillegas@con-alimentos.com.mx</t>
  </si>
  <si>
    <t>Cuenta Clave</t>
  </si>
  <si>
    <t xml:space="preserve">MEXIDELI SA DE CV </t>
  </si>
  <si>
    <t>Adrian de Garay Quintanar</t>
  </si>
  <si>
    <t>agaray@mexitec.com.mx</t>
  </si>
  <si>
    <t>gerente de ventas</t>
  </si>
  <si>
    <t>DOMEX SUPERFRESH GROWERS LLC</t>
  </si>
  <si>
    <t>Adilene Badillo</t>
  </si>
  <si>
    <t>adi.badillo@sfg.ag</t>
  </si>
  <si>
    <t>GRUPO FELDER FOODS SA DE CV</t>
  </si>
  <si>
    <t xml:space="preserve">JUAN CARLOS CAMPOS LOYA </t>
  </si>
  <si>
    <t>jccampos@felderfoods.com</t>
  </si>
  <si>
    <t>SIGMA ALIMENTOS COMERCIAL S.A</t>
  </si>
  <si>
    <t>Gerardo Cervantes</t>
  </si>
  <si>
    <t>gcervantesg@sigma-alimentos.com</t>
  </si>
  <si>
    <t>CASA HERNANDEZ DE CD JUAREZ SA DE CV</t>
  </si>
  <si>
    <t>ERNESTO ALONSO DELGADO GUEREÑA</t>
  </si>
  <si>
    <t>e.delgado@casa-hernandez.com</t>
  </si>
  <si>
    <t>COMERCIALIZADORA AGROINDUSTRIAL DEL NORTE SA DE CV</t>
  </si>
  <si>
    <t>HUGO IBARRA IBARRA</t>
  </si>
  <si>
    <t>hibarra@bmsinergia.com</t>
  </si>
  <si>
    <t>PRODUCTOS DIAMCERS SA DE CV</t>
  </si>
  <si>
    <t>Jorge René Ruiz Yáñez</t>
  </si>
  <si>
    <t>jorgeruiz@diamcers.com</t>
  </si>
  <si>
    <t>GRUPO INDUSTRIAL Y COMERCIAL NAVARRO</t>
  </si>
  <si>
    <t xml:space="preserve">Salvador Acuña Torres </t>
  </si>
  <si>
    <t>salvadoracuna@quesosnavarro.com</t>
  </si>
  <si>
    <t>PRONATURAL DE CAMPO S DE RL DE CV</t>
  </si>
  <si>
    <t xml:space="preserve">Rodolfo Francisco Velez Cortes </t>
  </si>
  <si>
    <t>francisco.v@nutricampo.com.mx</t>
  </si>
  <si>
    <t>TEKNOPELLETS SA DE CV</t>
  </si>
  <si>
    <t>Bernardo Lew Gerson</t>
  </si>
  <si>
    <t>blew@teknopellets.com </t>
  </si>
  <si>
    <t xml:space="preserve"> blewgerson@icloud.com</t>
  </si>
  <si>
    <t>PRODUCTOS ALIMENTICIOS GENEROSA SA DE CV</t>
  </si>
  <si>
    <t>Laura Nelly Suarez Garza</t>
  </si>
  <si>
    <t>laura.suarez.generosa@gmail.com</t>
  </si>
  <si>
    <t>COMERCIALIZADORA Y PRODUCTORA LA BONITA DEL NORTE S.A DE C.V</t>
  </si>
  <si>
    <t>FIDEL PEDRAZA OBREGON</t>
  </si>
  <si>
    <t>fpo@labonita.com.mx</t>
  </si>
  <si>
    <t>AGRILEG DE TEHUACAN SPR DE RL</t>
  </si>
  <si>
    <t>MIGUEL ANGEL TAPIA ANDRADE</t>
  </si>
  <si>
    <t>migueltapia@agrovida.com.mx</t>
  </si>
  <si>
    <t>Liz Najar</t>
  </si>
  <si>
    <t>cnajar@atleticos.com.mx</t>
  </si>
  <si>
    <t>FCA DE PASTAS ALIM LA AURORA</t>
  </si>
  <si>
    <t>RAFAEL PINEDA RONSON</t>
  </si>
  <si>
    <t>ventas@pastaslaaurora.com</t>
  </si>
  <si>
    <t>VILLARREAL GARZA ROBERTO</t>
  </si>
  <si>
    <t>ROBERTO VILLARREAL GARZA</t>
  </si>
  <si>
    <t>rvgpremium@hotmail.com</t>
  </si>
  <si>
    <t>CENTRAL PLATANERA S DE RL DE CV</t>
  </si>
  <si>
    <t>Luis Antonio López Lújan</t>
  </si>
  <si>
    <t>centralplatanera@gmail.com</t>
  </si>
  <si>
    <t>INTERCARNES SA DE CV</t>
  </si>
  <si>
    <t>RODOLFO GARZA RODRIGUEZ / SAMUEL OTERO LEYVA</t>
  </si>
  <si>
    <t>rgarza@bafar.com.mx</t>
  </si>
  <si>
    <t>soterol@bafar.com.mx</t>
  </si>
  <si>
    <t>DISTRIBUIDORA MEXICANA DE CITRICOS SRL DE CV</t>
  </si>
  <si>
    <t>Ariana Elizondo</t>
  </si>
  <si>
    <t>auxiliarventas2@dimeci.com</t>
  </si>
  <si>
    <t>Ventas</t>
  </si>
  <si>
    <t>INGRAM MICRO MEXICO S.A. DE C.V.</t>
  </si>
  <si>
    <t xml:space="preserve">CRISTIAN SANHUEZA  </t>
  </si>
  <si>
    <t>cristian.sanhueza@ingrammicro.com</t>
  </si>
  <si>
    <t>Director Consumer &amp; Mobility</t>
  </si>
  <si>
    <t>EMBOTELLADORA MEXICANA SA DE CV</t>
  </si>
  <si>
    <t>MARIO CESAR MARTINEZ SILVA</t>
  </si>
  <si>
    <t>cesar.martinez@agamexico.com.mx</t>
  </si>
  <si>
    <t>ALMENDRA PRODUCE SA DE CV</t>
  </si>
  <si>
    <t>CUAUHTEMOC CASTRO MERCADO</t>
  </si>
  <si>
    <t>operaciones.tijuana@almendra.mx</t>
  </si>
  <si>
    <t>GARFRUMEX S.A. DE C.V.</t>
  </si>
  <si>
    <t>MARCO ANTONIO GARCIA CACHO</t>
  </si>
  <si>
    <t>marcogcacho@hotmail.com</t>
  </si>
  <si>
    <t xml:space="preserve">	AGROPECUARIA EL AVION S DE PR DE RL</t>
  </si>
  <si>
    <t>CARLOS PARRA</t>
  </si>
  <si>
    <t>carlos.parra@elavion.com.mx</t>
  </si>
  <si>
    <t>BCPE DIAMOND MEXICO HOLDCO S DE RL DE CV</t>
  </si>
  <si>
    <t>Michel Zavala</t>
  </si>
  <si>
    <t>marcela.carrion@diversey.com</t>
  </si>
  <si>
    <t>yasneidy.martinez@diversey.com</t>
  </si>
  <si>
    <t>MEN ORO S DE RL DE CV</t>
  </si>
  <si>
    <t>Yessenia Venegas</t>
  </si>
  <si>
    <t>jpmendez@menoro.com</t>
  </si>
  <si>
    <t xml:space="preserve">RADIOMOVIL DIPSA, S.A. DE C.V. </t>
  </si>
  <si>
    <t>Jesus Eduardo Gaytan Perez</t>
  </si>
  <si>
    <t>jesus.gaytanp@telcel.com</t>
  </si>
  <si>
    <t>QUALTIA ALIMENTOS OPERACIONES</t>
  </si>
  <si>
    <t>Marlon Salomon Lara Valdez</t>
  </si>
  <si>
    <t xml:space="preserve">LACTEOS INDUSTRIALIZADOS DEL NOREST </t>
  </si>
  <si>
    <t>Lic. Diego Zúñiga</t>
  </si>
  <si>
    <t>df.zuniga@lechemarsella.com.mx</t>
  </si>
  <si>
    <t>SONIGAS SA DE CV</t>
  </si>
  <si>
    <t>Maria Cecilia Ortega</t>
  </si>
  <si>
    <t>monitoreocxc_1@corporativo-cco.mx y minatitlan.ventas@sonigas.com.mx</t>
  </si>
  <si>
    <t xml:space="preserve">AGROHORTALIZAS RIOS SPR DE RL </t>
  </si>
  <si>
    <t>Arturo Rios</t>
  </si>
  <si>
    <t>ceciliaflores@agrohortalizasrios.com</t>
  </si>
  <si>
    <t>DISTRIBUIDORA DE LA COSTA DE NAYARI T SA DE CV</t>
  </si>
  <si>
    <t>Daniel Huerta García</t>
  </si>
  <si>
    <t>daniel.huerta@elnayar.com</t>
  </si>
  <si>
    <t xml:space="preserve">PRODUCTOS TITO SA DECV </t>
  </si>
  <si>
    <t>Reynalda Estrada</t>
  </si>
  <si>
    <t>nena@productostito.com</t>
  </si>
  <si>
    <t>INDUSTRIAS ROSMAR SA DE CV</t>
  </si>
  <si>
    <t>Isabel Garay</t>
  </si>
  <si>
    <t>igaray@industriasrosmar.mx</t>
  </si>
  <si>
    <t>FRESHGRAM</t>
  </si>
  <si>
    <t>JAVIER GRANADOS GUZMÁN</t>
  </si>
  <si>
    <t>javier.granados@freshgram.com.mx</t>
  </si>
  <si>
    <t>AGRICOLA OGT SA DE CV</t>
  </si>
  <si>
    <t>ORLANDO GARCIA TORRES</t>
  </si>
  <si>
    <t>orlandog@agricolaogt.com</t>
  </si>
  <si>
    <t>DEOLEO COMERCIAL MEXICO SA DE CV</t>
  </si>
  <si>
    <t>Luis Felipe Echeverría</t>
  </si>
  <si>
    <t>luis.echeverria@deoleo.com</t>
  </si>
  <si>
    <t>SELECCIONADOS DEL CAMPO TER SA DE C V</t>
  </si>
  <si>
    <t>Tomas Elizondo Rodriguez</t>
  </si>
  <si>
    <t>seleccionados@hotmail.com</t>
  </si>
  <si>
    <t xml:space="preserve">DISTRIBUIDORA DE FRUTAS DEL PACIFICO SA DE CV </t>
  </si>
  <si>
    <t>Hector Rodriguez</t>
  </si>
  <si>
    <t>hector_rdzt@outlook.com</t>
  </si>
  <si>
    <t>MUÑIZ CASTRO JUAN</t>
  </si>
  <si>
    <t>Juan Muñiz</t>
  </si>
  <si>
    <t>pedidosjuanmunis54@gmail.com</t>
  </si>
  <si>
    <t xml:space="preserve">ZAMORA SANCHEZ RAMON </t>
  </si>
  <si>
    <t>Cesar Vergara</t>
  </si>
  <si>
    <t>gerentegralyaax@gmail.com</t>
  </si>
  <si>
    <t>AGROINDUSTRIAS PEIMBERT</t>
  </si>
  <si>
    <t>OSCAR ANTONIO DE LA GARZA                                          </t>
  </si>
  <si>
    <t> oadv_77@hotmail.com</t>
  </si>
  <si>
    <t>INDUSTRIAS CARNICAS LORIENTE</t>
  </si>
  <si>
    <t>VIRIDIANA CANO FLORES                                                      </t>
  </si>
  <si>
    <t>vcano@kaltex.com.mx</t>
  </si>
  <si>
    <t xml:space="preserve">RAFAEL CARRO PAZOS     </t>
  </si>
  <si>
    <t>rafael.carro@effem.com</t>
  </si>
  <si>
    <t>MAQUILAS Y DETALLISTAS SA DE CV</t>
  </si>
  <si>
    <t xml:space="preserve">JOSÉ MIGUEL GARCIA                                                      </t>
  </si>
  <si>
    <t xml:space="preserve"> josemiguel.garcia@incarlopsa.es</t>
  </si>
  <si>
    <t>GUADALUPE MONDRAGON</t>
  </si>
  <si>
    <t>gmondragon@indelatmexico.com</t>
  </si>
  <si>
    <t>JOSE EDUARDO PEÑA GUZMAN</t>
  </si>
  <si>
    <t>eduardo.pena@lechesanmarcos.com.mx</t>
  </si>
  <si>
    <t>LECUONA Geronimo</t>
  </si>
  <si>
    <t>GLecuona@groupeseb.com</t>
  </si>
  <si>
    <t>Pedro Acosta</t>
  </si>
  <si>
    <t>pacosta@quala.com.mx</t>
  </si>
  <si>
    <t>INTERPEC SAN MARCOS SA</t>
  </si>
  <si>
    <t>Lauro Francisco Cabral Muñoz</t>
  </si>
  <si>
    <t>jefeventas_tas@sabro.com.mx</t>
  </si>
  <si>
    <t>José Miguel Migoya Irisó</t>
  </si>
  <si>
    <t>josemiguel.migoya@beiersdorf.com</t>
  </si>
  <si>
    <t>Carlos Arce</t>
  </si>
  <si>
    <t>carlosarce@nyjisa.com</t>
  </si>
  <si>
    <t>Mario García Cortez</t>
  </si>
  <si>
    <t>mrgarciac@bepensa.com</t>
  </si>
  <si>
    <t>DANIELA TIJERINA LOZANO</t>
  </si>
  <si>
    <t>daniela.tijerina@pernod-ricard.com</t>
  </si>
  <si>
    <t xml:space="preserve">FRIMEX ALIMENTOS SA DE CV </t>
  </si>
  <si>
    <t>EDGAR ALLAIN RANGEL LOPEZ</t>
  </si>
  <si>
    <t>erangel@alimentoscazerola.com.mx</t>
  </si>
  <si>
    <t> Edgar Ochoa González</t>
  </si>
  <si>
    <t> eochoa@losbelenes.com.mx</t>
  </si>
  <si>
    <t>Sandra Sanchez</t>
  </si>
  <si>
    <t>sandra.sanchez@mx.nestle.com</t>
  </si>
  <si>
    <t xml:space="preserve">Saul Rosas </t>
  </si>
  <si>
    <t>srosas@hersheys.com</t>
  </si>
  <si>
    <t>EMBOTELLADORAS BEPENSA SA DE CV</t>
  </si>
  <si>
    <t>José Antonio Caballero Bolio</t>
  </si>
  <si>
    <t>amedinap@bepensa.com</t>
  </si>
  <si>
    <t>EMPACADORA CELAYA SA DE CV</t>
  </si>
  <si>
    <t>Carolina Salinas</t>
  </si>
  <si>
    <t>carolina.salinas.t@capistrano.com.mx</t>
  </si>
  <si>
    <t>COMERCIALIZADORA DE ALIMENTOS MARIN</t>
  </si>
  <si>
    <t>Rafael Gutierrez</t>
  </si>
  <si>
    <t>rafael.guti@gmail.com</t>
  </si>
  <si>
    <t>Pablo Candelas Nieto</t>
  </si>
  <si>
    <t>pablo.candelas@loreal.com</t>
  </si>
  <si>
    <t>Leopoldo Arce Martínez</t>
  </si>
  <si>
    <t>larce@restonic.com.mx</t>
  </si>
  <si>
    <t>TC HEARTLAND MEXICO MANUFACTURA S DE RL DE CV</t>
  </si>
  <si>
    <t>Nancy Padron</t>
  </si>
  <si>
    <t>Nancy.Padron@heartlandfpg.com</t>
  </si>
  <si>
    <t>Credito</t>
  </si>
  <si>
    <t>BEPENSA BEBIDAS SA DE CV  </t>
  </si>
  <si>
    <t>DAVID GARCIA DIAS</t>
  </si>
  <si>
    <t>dagarciad@bepensa.com</t>
  </si>
  <si>
    <t>AGROPRODUCTORA R&amp;R SA DE CV</t>
  </si>
  <si>
    <t>OSCAR RAMIREZ GALLEGOS</t>
  </si>
  <si>
    <t>l_lamas@cultivoselsol.com</t>
  </si>
  <si>
    <t>G Y S MARKETING S DE RL DE CV</t>
  </si>
  <si>
    <t>LUIS CARLOS SALAZAR ESCOBOSA</t>
  </si>
  <si>
    <t>luis.salazar@gysmarketing.com</t>
  </si>
  <si>
    <t>CATALINA ALEJANDRE ONOFRE</t>
  </si>
  <si>
    <t>calejandre@vasconiabrands.com</t>
  </si>
  <si>
    <t>AGRICOLA ISBAR SPR DE RL</t>
  </si>
  <si>
    <t>Rosa Bautista</t>
  </si>
  <si>
    <t>r.bautista@live.com.mx</t>
  </si>
  <si>
    <t xml:space="preserve"> MENITA COMERCIAL OCEANICA DE CV </t>
  </si>
  <si>
    <t>Agustín Orlando Barrera</t>
  </si>
  <si>
    <t>ORLANDO@MENITA.COM.MX</t>
  </si>
  <si>
    <t>  MAR BRAN SA DE CV    </t>
  </si>
  <si>
    <t>Daniel Esquivel </t>
  </si>
  <si>
    <t>desquivel@marbran.com.mx</t>
  </si>
  <si>
    <t>SIMJAT S.A. DE C.V.</t>
  </si>
  <si>
    <t>FABIANA ELABOS</t>
  </si>
  <si>
    <t>fabiana@simjat.com.mx</t>
  </si>
  <si>
    <t>GRUPO YAXCHE SA DE CV</t>
  </si>
  <si>
    <t>Francisco Cano Martinez</t>
  </si>
  <si>
    <t>franciscocano@grupoyaxche.mx</t>
  </si>
  <si>
    <t>24758 </t>
  </si>
  <si>
    <t> ISIDRO LOPEZ BORREGO</t>
  </si>
  <si>
    <t>MAGANA GARCIA CLAUDIA  </t>
  </si>
  <si>
    <t>J. JESUS MAGAÑA VELAZQUEZ    </t>
  </si>
  <si>
    <t>mexico2abastos@gmail.com</t>
  </si>
  <si>
    <t>FRUTAS SELECTAS DE TIJUANA,S DE RL</t>
  </si>
  <si>
    <t>OSCAR ANTONIO HERNANDEZ</t>
  </si>
  <si>
    <t>FRUTINEXPORT@OUTLOOK.COM</t>
  </si>
  <si>
    <t>COMERCIALIZADORA DE FRUTAS</t>
  </si>
  <si>
    <t>Luis Amézquita</t>
  </si>
  <si>
    <t>LUIS.AMEZQUITA@GRUPOTARAHUMARA.COM.MX</t>
  </si>
  <si>
    <t>AGRISTO NV</t>
  </si>
  <si>
    <t>Beau Declerck</t>
  </si>
  <si>
    <t>Beau.Declerck@agristo.com</t>
  </si>
  <si>
    <t>PUERTO PILOTO SA DE CV</t>
  </si>
  <si>
    <t>QUINTIN DARIO TEJEDA GARCIA</t>
  </si>
  <si>
    <t>dario.tg@puertopiloto.com.mx</t>
  </si>
  <si>
    <t>CENTRO DE DISTRIBUCION EL ROSAL SA </t>
  </si>
  <si>
    <t>Jose Esteban garcia</t>
  </si>
  <si>
    <t>cedirosa@hotmail.com</t>
  </si>
  <si>
    <t>Vidimport SA de CV</t>
  </si>
  <si>
    <t>VANESSA CHACON USIGLI</t>
  </si>
  <si>
    <t>vchacon@vpcom.com</t>
  </si>
  <si>
    <t>BEPENSA BEBIDAS SA DE CV</t>
  </si>
  <si>
    <t>David Garcia</t>
  </si>
  <si>
    <t>CALKINS BURKE AND ZANNIE DE MEXICO, S.A. DE C.V.</t>
  </si>
  <si>
    <t>HECTOR SAUCEDA FRANCO</t>
  </si>
  <si>
    <t>hectors@mexcorina.com</t>
  </si>
  <si>
    <t xml:space="preserve">99812       </t>
  </si>
  <si>
    <t>Cristian Sanhueza</t>
  </si>
  <si>
    <t>SIGMA ALIMENTOS COMERCIAL SA DE CV</t>
  </si>
  <si>
    <t>Hugo Alector Chapa Barbosa</t>
  </si>
  <si>
    <t>hchapa@sigma-alimentos.com</t>
  </si>
  <si>
    <t>COMERCIALIZADORA PEPSICO MEXICO S DE RL DE CV</t>
  </si>
  <si>
    <t>Cynthia Elizabeth Cruz Galvan</t>
  </si>
  <si>
    <t>CYNTHIA.CRUZ@PEPSICO.COM</t>
  </si>
  <si>
    <t>LOCOCHONES SA DE CV</t>
  </si>
  <si>
    <t>ALFREDO ASPANI</t>
  </si>
  <si>
    <t>FREDO4@PRODIGY.NET.MX</t>
  </si>
  <si>
    <t>CERVECERIA MODELO DE MEXICO S DE RL DE CV</t>
  </si>
  <si>
    <t>Luis Alberto Hernandez Basabe</t>
  </si>
  <si>
    <t>LUISALBERTO.HERNANDEZ@AB-INBEV.COM</t>
  </si>
  <si>
    <t>INDUSTRIAS CANNON S.A. DE C.V.</t>
  </si>
  <si>
    <t>LUIS ENRIQUE DELGADO SILVA</t>
  </si>
  <si>
    <t>moha0316@hotmail.com</t>
  </si>
  <si>
    <t>BACHOCO S.A. DE C.V.</t>
  </si>
  <si>
    <t>ROBERTO EUGENIO CORONA CALZADA</t>
  </si>
  <si>
    <t>roberto.corona@bachoco.net</t>
  </si>
  <si>
    <t>NADRO S A P I DE CV</t>
  </si>
  <si>
    <t>Jessica Avalos Fernandez</t>
  </si>
  <si>
    <t>JESSICA_AVALOS@NADRO.COM.MX</t>
  </si>
  <si>
    <t>Yolotzin García</t>
  </si>
  <si>
    <t>ygarcia@amebeef.com</t>
  </si>
  <si>
    <t>ALTAMIRANO E IZAGUIRRE DISTRIBUIDO SA CV</t>
  </si>
  <si>
    <t>MARIA DEL ROSARIO IZAGUIRRE BALDERRAMA</t>
  </si>
  <si>
    <t>altizaruby@hotmail.com</t>
  </si>
  <si>
    <t>IVONNE VILLALPANDO LUNA</t>
  </si>
  <si>
    <t>ivonne@chocolate.mx</t>
  </si>
  <si>
    <t>GRUPO RANCHO EL NOPAL SA DE CV</t>
  </si>
  <si>
    <t>Sergio Alejandro Roldán Vazquez</t>
  </si>
  <si>
    <t>sergio@grnmexico.com</t>
  </si>
  <si>
    <t>AGROINDUSTRIAS MARMA SA DE CV</t>
  </si>
  <si>
    <t>PEDRO LUIS MARTIN GURZA</t>
  </si>
  <si>
    <t>pmartin@toconsa.com</t>
  </si>
  <si>
    <t>GRANJAS CARROLL DE MEXICO</t>
  </si>
  <si>
    <t>Marco muñoz</t>
  </si>
  <si>
    <t>marco.munoz@altosano.com</t>
  </si>
  <si>
    <t>SANDRA LILIA</t>
  </si>
  <si>
    <t>ERIKA CRUZ NICANOR NICANOR</t>
  </si>
  <si>
    <t>CITRICOSROMERO@YAHOO.COM.MX</t>
  </si>
  <si>
    <t>RODRIGUEZ SILVA RUBEN</t>
  </si>
  <si>
    <t>RUBEN RODRIGUEZ SILVA</t>
  </si>
  <si>
    <t>ruben.rdz1416@hotmail.com</t>
  </si>
  <si>
    <t>GRUPO CITRIMEX SA DE CV</t>
  </si>
  <si>
    <t>OMAR CAMPOS RUIZ</t>
  </si>
  <si>
    <t>omarcr@hotmail.com</t>
  </si>
  <si>
    <t>LOZANO AYALA FRANCISCA</t>
  </si>
  <si>
    <t>CARINA BARAJAS LOZANO</t>
  </si>
  <si>
    <t>ADMINISTRACION@BARLOZDISTRIBUIDORA.COM</t>
  </si>
  <si>
    <t>ELECTRO PLUS SA DE CV</t>
  </si>
  <si>
    <t>Enrique Preciado</t>
  </si>
  <si>
    <t>EPRECIADO@GOCSA.COM.MX</t>
  </si>
  <si>
    <t>JUAN MANUEL CAMARILLO COBOS</t>
  </si>
  <si>
    <t>camarilj@ledvance.com</t>
  </si>
  <si>
    <t>DIKEN INTERNATIONAL S DE RL DE CV</t>
  </si>
  <si>
    <t>MONICA ORTIZ MARTINEZ</t>
  </si>
  <si>
    <t>MONICA.ORTIZ@DIKENINTERNATIONAL.COM</t>
  </si>
  <si>
    <t>GRUPO KARYCY S.A. DE C.V.</t>
  </si>
  <si>
    <t>Selene Sanchez</t>
  </si>
  <si>
    <t>SELENE.SANCHEZ@GRUPOKARYCY.COM</t>
  </si>
  <si>
    <t>COMESTIBLES  MALDONADO,S.A. DE C.V.</t>
  </si>
  <si>
    <t>Eduardo Maldonado Leyva</t>
  </si>
  <si>
    <t>edumaldonado@comestiblesmaldonado.com</t>
  </si>
  <si>
    <t>MENDOZA JIMENEZ CARLOS</t>
  </si>
  <si>
    <t>CARLOS MENDOZA JIMENEZ</t>
  </si>
  <si>
    <t>frutas-paraiso@live.com.mx</t>
  </si>
  <si>
    <t>GUIJOSA CANCHOLA MARCOS</t>
  </si>
  <si>
    <t>VIANET GUIJOSA CANCHOLA</t>
  </si>
  <si>
    <t>lae2649@udec.edu.mx</t>
  </si>
  <si>
    <t>CARGILL DE MEXICO SA DE CV</t>
  </si>
  <si>
    <t>Ingrid Calderon</t>
  </si>
  <si>
    <t>INGRID_CALDERON@CARGILL.COM</t>
  </si>
  <si>
    <t>OSCAR MORALES LOPEZ</t>
  </si>
  <si>
    <t>ERIC HERNANDEZ VERGAS</t>
  </si>
  <si>
    <t>erichv@soriana.com</t>
  </si>
  <si>
    <t>PODER GERMINADO SA DE CV</t>
  </si>
  <si>
    <t>SALVADOR ALEJANDRO BARRAGAN TOVAR</t>
  </si>
  <si>
    <t>alejandro.barragan@cnsanfrancisco.com.mx</t>
  </si>
  <si>
    <t>IMPORTACIONES DELICIOSAS S.A. DE C. V.</t>
  </si>
  <si>
    <t>JUANA MARIA GARZA CAVAZOS</t>
  </si>
  <si>
    <t>juanygarza5@hotmail.com</t>
  </si>
  <si>
    <t>NORMA SAENZ</t>
  </si>
  <si>
    <t>cruz68@prodigy.net.mx</t>
  </si>
  <si>
    <t>MEXICANA DE INDUSTRIA</t>
  </si>
  <si>
    <t>Eric Andalco Cid</t>
  </si>
  <si>
    <t>ventas2@miym.com.mx</t>
  </si>
  <si>
    <t>SALSAS CASTILLOS</t>
  </si>
  <si>
    <t>Iván Cerón Campos</t>
  </si>
  <si>
    <t>iceron@salsascastillo.com</t>
  </si>
  <si>
    <t>Carlos Alberto Nieto Guerrero</t>
  </si>
  <si>
    <t xml:space="preserve">gerencia.canalmoderno@chata.com.mx </t>
  </si>
  <si>
    <t>BENJAMIN ROBLES MELLADO</t>
  </si>
  <si>
    <t>benjamin.robles13067@gmail.com</t>
  </si>
  <si>
    <t>JUAN FRANCISCO MARTINEZ MARTINEZ</t>
  </si>
  <si>
    <t>paco@broccoline.com</t>
  </si>
  <si>
    <t>FLORES IXTAPAN S DE RL DE CV</t>
  </si>
  <si>
    <t>MIREYA GARCIA MARQUEZ</t>
  </si>
  <si>
    <t>mgarcia@florixt.mx</t>
  </si>
  <si>
    <t>DISTRIBUIDORA DE MOLES SAN JORGE SA D CV</t>
  </si>
  <si>
    <t>LAURA OLIVIA ORTIZ RAMIREZ</t>
  </si>
  <si>
    <t>distribuidorademolesanjorgemx@gmail.com</t>
  </si>
  <si>
    <t xml:space="preserve">ALVIDREZ TARANGO GUILLERMO </t>
  </si>
  <si>
    <t>GUILLERMO ALVIDREZ TARANGO</t>
  </si>
  <si>
    <t>guillermo.alvidrez@hotmail.com</t>
  </si>
  <si>
    <t xml:space="preserve">HEINZ MEXICO SA DE CV </t>
  </si>
  <si>
    <t>Juna Manuel Hernandez Arias</t>
  </si>
  <si>
    <t>juan.hernandez@kraftheinz.com</t>
  </si>
  <si>
    <t xml:space="preserve">HORTALIZAS Y MELONES DE PAILA SPR </t>
  </si>
  <si>
    <t>JOSE LUIS GONZALEZ ROCHA</t>
  </si>
  <si>
    <t>direccion@hortymel.com.mx</t>
  </si>
  <si>
    <t xml:space="preserve">COMPAÑIA COMERCIAL HERDEZ SA DE CV </t>
  </si>
  <si>
    <t>Miriam Hernandez</t>
  </si>
  <si>
    <t>mhvelozv@herdez.com</t>
  </si>
  <si>
    <t>Luis Carlos Quesada Moreno</t>
  </si>
  <si>
    <t>luis.quesadamoreno@newellco.com</t>
  </si>
  <si>
    <t>CERVEZAS CUAUHTEMOC MOCTEZUMA SA</t>
  </si>
  <si>
    <t>Luis Alfredo Flores Silva</t>
  </si>
  <si>
    <t>LUIS.FLORESS@HEINEKEN.COM</t>
  </si>
  <si>
    <t>TORTIREGIO SA DE CV</t>
  </si>
  <si>
    <t>Héctor Hugo Villarreal Elizondo</t>
  </si>
  <si>
    <t>SISTEMAS@TIOBALDO.COM.MX</t>
  </si>
  <si>
    <t xml:space="preserve">MONDELEZ MEXICO S DE RL DE CV </t>
  </si>
  <si>
    <t>Julio Arturo Gomez Rincon</t>
  </si>
  <si>
    <t>julioarturo.gomez@mdlz.com</t>
  </si>
  <si>
    <t>DAN COHEN ASSE</t>
  </si>
  <si>
    <t>mcervantes@dafna.com.mx</t>
  </si>
  <si>
    <t>GEMIX SA DE CV</t>
  </si>
  <si>
    <t>JUAN PABLO RUENES ALONSO</t>
  </si>
  <si>
    <t>jpra.proyectos@gemix.com.mx</t>
  </si>
  <si>
    <t>INDUSTRIAL DE LUBRICANTES CONTINENTAL SA DE CV</t>
  </si>
  <si>
    <t>ARMANDO JOSE GONZALEZ COLOMER</t>
  </si>
  <si>
    <t>AGC@ROYALKP.COM</t>
  </si>
  <si>
    <t>COMERCIALIZADORA GIRANDO IDEAS SA D E CV</t>
  </si>
  <si>
    <t>LUIS ALBERTO BASILIO CEBALLOS</t>
  </si>
  <si>
    <t>girandoideasventas@hotmail.com</t>
  </si>
  <si>
    <t>IRAIS PEREZ BERBER</t>
  </si>
  <si>
    <t xml:space="preserve">irais.perez@uscotton.com </t>
  </si>
  <si>
    <t>Valentina Salvador Chimal</t>
  </si>
  <si>
    <t>SALVADORVALENTINA@LA-BRIDGESTONE.COM</t>
  </si>
  <si>
    <t>Jose Alfredo Ramos</t>
  </si>
  <si>
    <t>LARAMOS@FRESAMEX.COM.MX</t>
  </si>
  <si>
    <t>FERNANDO CÉSAR LÓPEZ TINTOS</t>
  </si>
  <si>
    <t>flopez@groupeseb.com</t>
  </si>
  <si>
    <t>Grisell Anahí Rodríguez Zavala</t>
  </si>
  <si>
    <t>grisell@airesdecampo.com</t>
  </si>
  <si>
    <t>COMPAÑIA COMERCIAL HERDEZ SA DE CV</t>
  </si>
  <si>
    <t>Ileana Villalvazo Lopez</t>
  </si>
  <si>
    <t>IVILLALVAZOL@HERDEZ.COM</t>
  </si>
  <si>
    <t>Representante comercial.</t>
  </si>
  <si>
    <t>VERÓNICA MARCELA VALENCIA MORENO</t>
  </si>
  <si>
    <t>veronica.valencia@mx.lactalis.com</t>
  </si>
  <si>
    <t>Luis A. Hdez. Basabe</t>
  </si>
  <si>
    <t>luisalberto.hernandez@ab-inbev.com</t>
  </si>
  <si>
    <t>Jose Daniel Avila Arzola</t>
  </si>
  <si>
    <t>jsdavila@electrolit.com</t>
  </si>
  <si>
    <t>Javier Guerra López</t>
  </si>
  <si>
    <t>jguerra@goncal.mx</t>
  </si>
  <si>
    <t>ANA LUCIA BERNAL GARZA</t>
  </si>
  <si>
    <t>abernal@moethennessy.com</t>
  </si>
  <si>
    <t>Talía Chávez</t>
  </si>
  <si>
    <t>MAQUILADORA.MINIARA@GMAIL.COM</t>
  </si>
  <si>
    <t>JOSE JUAN PEREZ</t>
  </si>
  <si>
    <t>JOSEJUAN.PEREZ@SANOFI.COM</t>
  </si>
  <si>
    <t>Roel Berlanda</t>
  </si>
  <si>
    <t>Diego Fraustro</t>
  </si>
  <si>
    <t>diego.fraustro@capico.com.mx</t>
  </si>
  <si>
    <t>CALEJANDRE@VASCONIABRANDS.COM</t>
  </si>
  <si>
    <t>OMAR JOAQUIN JURADO ESCOBAR</t>
  </si>
  <si>
    <t>OMAR.JURADO@CARVAJAL.COM</t>
  </si>
  <si>
    <t>TERESA SE JESUS RUIZ</t>
  </si>
  <si>
    <t>teresadejesus.ruiz@canofil.com</t>
  </si>
  <si>
    <t xml:space="preserve">LUIS ALBERTO BASILIO CEBALLOS </t>
  </si>
  <si>
    <t>creaak.grupoindustrial@gmail.com</t>
  </si>
  <si>
    <t>Antonio</t>
  </si>
  <si>
    <t>antonioz@grupozaga.com</t>
  </si>
  <si>
    <t>Montserrat Berenice Buendía Mayo</t>
  </si>
  <si>
    <t>montserrat.buendia@naturasol.com.mx</t>
  </si>
  <si>
    <t>FERNANDO CÉSAR LOPEZ TINTOS</t>
  </si>
  <si>
    <t>FAUSTO MOJICA BUSTAMANTE</t>
  </si>
  <si>
    <t>FAUSTO.MOJICA@PACTIEVERGREEN.COM</t>
  </si>
  <si>
    <t>EMMANUEL CASTILO</t>
  </si>
  <si>
    <t>EMMANUEL_CASTILLO@BAT.COM</t>
  </si>
  <si>
    <t>CLAUDIA ALEJANDRA PONCE DE LEON VERGARA</t>
  </si>
  <si>
    <t>claudia.ponce@brasjade.mx</t>
  </si>
  <si>
    <t>Carlos Mario Del Bosque Garcia</t>
  </si>
  <si>
    <t>cmdelbosque@pisa.com.mx</t>
  </si>
  <si>
    <t>JUAN MANUEL GAYA VILLEGAS</t>
  </si>
  <si>
    <t>jgaya@grupojmg.com</t>
  </si>
  <si>
    <t>Luis Perea Maldonado</t>
  </si>
  <si>
    <t>luis.perea@steren.com.mx</t>
  </si>
  <si>
    <t>Jesús Manuel Vidales Solós</t>
  </si>
  <si>
    <t>jesus.vidales@churchdwight.com</t>
  </si>
  <si>
    <t>ELIAS SHAOOLI NEHMAD</t>
  </si>
  <si>
    <t>elias@pammy.com.mx</t>
  </si>
  <si>
    <t>Jose Cassab Amkie</t>
  </si>
  <si>
    <t>jc@bbl.mx</t>
  </si>
  <si>
    <t>Hugo Cesar García Pérez</t>
  </si>
  <si>
    <t>hcgarcia@biabrands.co</t>
  </si>
  <si>
    <t>Mauricio Rene Perez</t>
  </si>
  <si>
    <t>mauriciorene.perez@edgewell.com</t>
  </si>
  <si>
    <t>JOSE ALBERTO DEL RAZO ZALDIVAR</t>
  </si>
  <si>
    <t>cuentaclave@bonnacarne.com</t>
  </si>
  <si>
    <t>Jorge Perez Angeles</t>
  </si>
  <si>
    <t>jorgeperez@schettino.com.mx</t>
  </si>
  <si>
    <t>FAUSTO.MOJICA@PACTIVEVERGREEN.COM</t>
  </si>
  <si>
    <t>ADRIANA FUENTES DIAZ</t>
  </si>
  <si>
    <t>OCEANBLUE_SEAFOOD@HOTMAIL.COM</t>
  </si>
  <si>
    <t>CONNIE CALLES PALUMBO</t>
  </si>
  <si>
    <t>connie.calles@virutexilko.com.mx</t>
  </si>
  <si>
    <t>Jesús Aldape</t>
  </si>
  <si>
    <t>jaldape@comcantu.com</t>
  </si>
  <si>
    <t xml:space="preserve">Enrique Badiola </t>
  </si>
  <si>
    <t>enrique.badiola@gmail.com</t>
  </si>
  <si>
    <t xml:space="preserve">Santa Natalia Maya Camarillo </t>
  </si>
  <si>
    <t>nmaya@marel.com.mx</t>
  </si>
  <si>
    <t>Jorge Jorge</t>
  </si>
  <si>
    <t>JORGE.CORTES@INTCOMEX.COM</t>
  </si>
  <si>
    <t>Hugo Cesar Garcia Perez</t>
  </si>
  <si>
    <t>Eduardo Velazquez Lara</t>
  </si>
  <si>
    <t>evelazquez@daceap.com</t>
  </si>
  <si>
    <t>Cristina Sosa Posadas</t>
  </si>
  <si>
    <t>comercial@lapuertadelsol.com.mx</t>
  </si>
  <si>
    <t>JESUS RODRIGUEZ GARCIA</t>
  </si>
  <si>
    <t>chuyroga@gmail.com</t>
  </si>
  <si>
    <t>Melisa Castillo Florez</t>
  </si>
  <si>
    <t>MCASTILLOF@REALCLEAN.COM.MX</t>
  </si>
  <si>
    <t>PATSY LORENA PRIMOST</t>
  </si>
  <si>
    <t>pprimost@hersheys.com</t>
  </si>
  <si>
    <t>Jose Rossique Sacal</t>
  </si>
  <si>
    <t>joser@jmk.com.mx</t>
  </si>
  <si>
    <t>ROSA MARÍA MONTIEL SANCHEZ</t>
  </si>
  <si>
    <t>kam@hanseatik. com</t>
  </si>
  <si>
    <t xml:space="preserve">NAYELLI LETICIA VARGAS LARA  </t>
  </si>
  <si>
    <t>nayellivl@regalossigloxxi.com.mx</t>
  </si>
  <si>
    <t xml:space="preserve">MARGARITA GUADALUPE GONZALEZ LEAL </t>
  </si>
  <si>
    <t xml:space="preserve">Jaime Vigil Escalera Pellon </t>
  </si>
  <si>
    <t>ventas@homtex.com.mx</t>
  </si>
  <si>
    <t>Ana fabiola gomez Palacios</t>
  </si>
  <si>
    <t>ana.gomez@maped.mx</t>
  </si>
  <si>
    <t>Idalia Gomez</t>
  </si>
  <si>
    <t>idalia.gomez@grupoalza.com</t>
  </si>
  <si>
    <t>JUAN PABLO BARRERA NEVAREZ</t>
  </si>
  <si>
    <t>juan.barrera@boehringer-ingelheim.com</t>
  </si>
  <si>
    <t>Ivan Gonzalez Bravo</t>
  </si>
  <si>
    <t>igonzalez@sinaxcorp.com</t>
  </si>
  <si>
    <t>Daniela Brambila Diaz Barriga</t>
  </si>
  <si>
    <t>danielabrambila@mercantilmx.com</t>
  </si>
  <si>
    <t>Jorge Alberto Díaz Rodríguez</t>
  </si>
  <si>
    <t>jadiaz@ppg.com</t>
  </si>
  <si>
    <t>SIMON MENASSE MISRI</t>
  </si>
  <si>
    <t>smm@biotrade.com.mx</t>
  </si>
  <si>
    <t>Santiago Alverde Gónzalez</t>
  </si>
  <si>
    <t>salverde@dipha.com.mx</t>
  </si>
  <si>
    <t>Mauro Angel Chino</t>
  </si>
  <si>
    <t>MAURO@IMPORTAC.COM.MX</t>
  </si>
  <si>
    <t xml:space="preserve">Ismael Ramón Villarreal </t>
  </si>
  <si>
    <t>Ismael.Ramon@BeamSuntory.com</t>
  </si>
  <si>
    <t xml:space="preserve">María Elena Díaz Perez </t>
  </si>
  <si>
    <t>logistica@comercialhispana.com</t>
  </si>
  <si>
    <t>alfonso javier villarreal garza</t>
  </si>
  <si>
    <t>alfonso@friconsel.com</t>
  </si>
  <si>
    <t>Francisco Antonio Valle Ramirez</t>
  </si>
  <si>
    <t>favalle@assatex.com</t>
  </si>
  <si>
    <t>Misael Villagrana</t>
  </si>
  <si>
    <t>MVillagrana@mgae.com</t>
  </si>
  <si>
    <t>ERIKA ESCAMILLA FLORES</t>
  </si>
  <si>
    <t>EESCAMILLA@SASIL.MX</t>
  </si>
  <si>
    <t>HECTOR ALFREDO TORRES CASTRO</t>
  </si>
  <si>
    <t>htorres@gcuetara.com.mx</t>
  </si>
  <si>
    <t>Jorge Arturo Bocanegra Fragoso</t>
  </si>
  <si>
    <t>jbocanegra@achfood.com.mx</t>
  </si>
  <si>
    <t>MONTSERRAT IZQUIERDO ROSETE</t>
  </si>
  <si>
    <t>MONTSERRAT.IZQUIERDO@AGUAVIENTO.COM</t>
  </si>
  <si>
    <t>ALEJANDRO SOLORZANO OSEGUERA</t>
  </si>
  <si>
    <t>alejandro.solorzano@proteinol.com.mx</t>
  </si>
  <si>
    <t>Eduardo Lagunes</t>
  </si>
  <si>
    <t>EDUARDO.LAGUNES@STARDELNORTE.COM</t>
  </si>
  <si>
    <t>KERIME VAZQUEZ</t>
  </si>
  <si>
    <t>kerime.vazquez@klassco.com</t>
  </si>
  <si>
    <t>Gerardo Rojas Alvarez</t>
  </si>
  <si>
    <t>gerojas@piscimex.com.mx</t>
  </si>
  <si>
    <t>Francisca Lopez Machado</t>
  </si>
  <si>
    <t>francisca.lopez@bardahl.com.mx</t>
  </si>
  <si>
    <t>Mara Fernandez Mora</t>
  </si>
  <si>
    <t>MARA.FERNANDEZMORA@SIMPLOT.COM</t>
  </si>
  <si>
    <t>LAURA VILLAMIL GONZALEZ</t>
  </si>
  <si>
    <t>lvillamil@fotorama.com.mx</t>
  </si>
  <si>
    <t>VERENA AGUILAR ESPINOSA</t>
  </si>
  <si>
    <t>verena.aguilar@kontoorbrands.com</t>
  </si>
  <si>
    <t>Juan Luis González Sánchez</t>
  </si>
  <si>
    <t>luis.gonzalez@grupochantilly.com.mx</t>
  </si>
  <si>
    <t>SONIA ELSA GONZALEZ CASTRO</t>
  </si>
  <si>
    <t>clientes.principales@gcalco.com.mx</t>
  </si>
  <si>
    <t>Luis Adrian Trinidad</t>
  </si>
  <si>
    <t>LUIS.TRINIDAD@TCL.COM</t>
  </si>
  <si>
    <t>Jose de Jesus Davila Sanchez</t>
  </si>
  <si>
    <t xml:space="preserve">jesus@dcoloso.com.mx                           </t>
  </si>
  <si>
    <t>Ulises Juarez Navarro</t>
  </si>
  <si>
    <t>ujuarez@la-pasiega.com</t>
  </si>
  <si>
    <t>Alejandra Maria Carrion Ortega</t>
  </si>
  <si>
    <t>alejandra.carrion@solatextil.mx</t>
  </si>
  <si>
    <t>Sergio Antonio Arias Novoa</t>
  </si>
  <si>
    <t>sergio.arias@tajin.com</t>
  </si>
  <si>
    <t>Juan Francisco Guerra Rivera</t>
  </si>
  <si>
    <t>jfguerra@amsalab.com</t>
  </si>
  <si>
    <t>Alejandro Rodriguez</t>
  </si>
  <si>
    <t>alejandro.rodriguez@hamiltonbeach.com</t>
  </si>
  <si>
    <t>Sofia Vital Ocampo</t>
  </si>
  <si>
    <t>CREDITO@PRINSEL.COM</t>
  </si>
  <si>
    <t>Alondra Perez Gomez</t>
  </si>
  <si>
    <t>ALONDRA.PEREZ@ALCEDA.COM.MX</t>
  </si>
  <si>
    <t>Carlota Aguirre Abrego</t>
  </si>
  <si>
    <t>CARLOTA.AGUIRRE@GIS.COM.MX</t>
  </si>
  <si>
    <t>Mateo Mendoza</t>
  </si>
  <si>
    <t>mateo.x.mendoza@haleon.com</t>
  </si>
  <si>
    <t>GASPAR SALDIVAR TREVILLA</t>
  </si>
  <si>
    <t>gsaldivar@tecnosocks.com</t>
  </si>
  <si>
    <t>Mauro Bautista</t>
  </si>
  <si>
    <t>mauro.bautista@psicofarma.com.mx</t>
  </si>
  <si>
    <t>Juan Adolfo Martínez Ornelas</t>
  </si>
  <si>
    <t>amartinez@slustre.com</t>
  </si>
  <si>
    <t>Gabriel Hinojosa Morales</t>
  </si>
  <si>
    <t>gabriel.hinojosa@wecareproducts.com.mx</t>
  </si>
  <si>
    <t>jose gilberto gonzalez ruiz</t>
  </si>
  <si>
    <t>CUADERNOLOGOGIL@ARENACORPORATIVO.COM</t>
  </si>
  <si>
    <t>Carlos E. Vidaurri Ritte</t>
  </si>
  <si>
    <t>CARLOS.VIDAURRI@VIDAURRI.MX</t>
  </si>
  <si>
    <t>Araceli Reynaga Bonilla</t>
  </si>
  <si>
    <t>ARACELI.REYNAGA@VINUX.COM.MX</t>
  </si>
  <si>
    <t>Marcos Ramirez</t>
  </si>
  <si>
    <t>MJRAMIREZ@WEBERSTEPHEN.COM</t>
  </si>
  <si>
    <t xml:space="preserve">JUAN MIGUEL ANCER GAMBOA </t>
  </si>
  <si>
    <t>jmancerg@seacook.mx</t>
  </si>
  <si>
    <t>JESSICA CARRIZALES OVALLE</t>
  </si>
  <si>
    <t>JCARRIZALES@GRUPOSOMAR.COM</t>
  </si>
  <si>
    <t>Gerardo Alamilla Romero</t>
  </si>
  <si>
    <t>GALAMILLA@PREMIUMBEERS.COM.MX</t>
  </si>
  <si>
    <t>AURIMODA, S.A. DE C.V.</t>
  </si>
  <si>
    <t>Alondra Estefania Arredondo Tolenti</t>
  </si>
  <si>
    <t>ALONDRA@AURIMODA.COM</t>
  </si>
  <si>
    <t>ISAAC ELFON EZBAN</t>
  </si>
  <si>
    <t>isaac@unionkids.com.mx</t>
  </si>
  <si>
    <t>Paulina Aguilar García</t>
  </si>
  <si>
    <t>PAULINA_A@GCP-TISSUE.COM.MX</t>
  </si>
  <si>
    <t>Oscar Eliezer Guzman Ruiz</t>
  </si>
  <si>
    <t>oscar.guzman@cydsa.com</t>
  </si>
  <si>
    <t>MARIO ALBERTO PIÑON JUAREZ</t>
  </si>
  <si>
    <t>ADMVENTAS@BABYCREYSI.COM</t>
  </si>
  <si>
    <t>Fernando Almendares</t>
  </si>
  <si>
    <t>kam3@noveltycorp.com</t>
  </si>
  <si>
    <t>Arturo Mancilla</t>
  </si>
  <si>
    <t>MAYTEVARGAS051099@HOTMAIL.COM</t>
  </si>
  <si>
    <t xml:space="preserve">David garcia </t>
  </si>
  <si>
    <t>Angelica Alaffita Álvarez</t>
  </si>
  <si>
    <t>angelica.alaffita@thenotcompany.com</t>
  </si>
  <si>
    <t>Carlos Alfredo Rojano Nelson</t>
  </si>
  <si>
    <t>crojano@rodiniainternacional.com</t>
  </si>
  <si>
    <t>MIGUEL ANGEL RIVAS PEREZ</t>
  </si>
  <si>
    <t>mrivas@marinter.com.mx</t>
  </si>
  <si>
    <t>MARIANA ASCENCIO MENDOZA</t>
  </si>
  <si>
    <t>ANALISTA@PLASTICOSLAARDILLA.COM</t>
  </si>
  <si>
    <t>Roberto Mendoza Guzmán</t>
  </si>
  <si>
    <t>ROBERTO.MENDOZA@BIOPAPPEL.COM</t>
  </si>
  <si>
    <t>PABLO EMILIO CASES OLMOS</t>
  </si>
  <si>
    <t>p.cases@delli.mx</t>
  </si>
  <si>
    <t>CLAUDIA GUTIERREZ</t>
  </si>
  <si>
    <t>claudia.gutierrez2@la.spectrumbrands.com</t>
  </si>
  <si>
    <t>JOSE LUIS REYES ROMERO</t>
  </si>
  <si>
    <t>jreyes@lavin.com.mx</t>
  </si>
  <si>
    <t>NORMA L. GALLARDO ACOSTA</t>
  </si>
  <si>
    <t>normag@granmark.com.mx</t>
  </si>
  <si>
    <t>LUIS GUILLERMO ARRATIA ABULARACH</t>
  </si>
  <si>
    <t>garratia@productosdass.com</t>
  </si>
  <si>
    <t>ALFONSO LOMELI RUELAS</t>
  </si>
  <si>
    <t>alomeli@fabricasselectas.com.mx</t>
  </si>
  <si>
    <t>GRISELDA TRUJILLO GONZALEZ</t>
  </si>
  <si>
    <t>trujillo.g@gifan.com.mx</t>
  </si>
  <si>
    <t>EELENA DIAZ ASCENCION</t>
  </si>
  <si>
    <t>ELDIAZ@AGROSUPER.COM</t>
  </si>
  <si>
    <t>dante noe perez barroso</t>
  </si>
  <si>
    <t>G.VENTAS@LIBERLIMPIEZA.COM</t>
  </si>
  <si>
    <t>ANTONIO EMILIO CANTERO SORIA</t>
  </si>
  <si>
    <t>antonio.cantero@grupoalza.com</t>
  </si>
  <si>
    <t>José Alberto López Arvizu</t>
  </si>
  <si>
    <t>jose.lopez@fhp-ww.com</t>
  </si>
  <si>
    <t>Diana Salazar Garza</t>
  </si>
  <si>
    <t xml:space="preserve">d.salazar@campirano.com.mx </t>
  </si>
  <si>
    <t>Jorge Antonio Morales Padilla</t>
  </si>
  <si>
    <t>ventas01cbr@gmail.com</t>
  </si>
  <si>
    <t>Carmen Peraza Quezada</t>
  </si>
  <si>
    <t>CPERAZA@NISSINFOODS.COM.MX</t>
  </si>
  <si>
    <t>Juan Arturo Amador</t>
  </si>
  <si>
    <t>jamador@pedrodomecq.com</t>
  </si>
  <si>
    <t>Federico Baig Barrio</t>
  </si>
  <si>
    <t>federico.baig@happytee.mx</t>
  </si>
  <si>
    <t>SAMBRI SOBEIDA TOVAR PLATA</t>
  </si>
  <si>
    <t>sambri.tovar@drinksolutions.mx</t>
  </si>
  <si>
    <t>Francisco Antonio Valle</t>
  </si>
  <si>
    <t>FAVALLE@ASSATEX.COM</t>
  </si>
  <si>
    <t>Fred Cain Daniel Kabbaz</t>
  </si>
  <si>
    <t>cobranza@exportprint.mx</t>
  </si>
  <si>
    <t>Winston Alberto Pereda</t>
  </si>
  <si>
    <t>winston.pereda@mdlz.com</t>
  </si>
  <si>
    <t>Ana Lilia García Gallegos</t>
  </si>
  <si>
    <t>algarciag@quakerstate.com.mx</t>
  </si>
  <si>
    <t>Lizbeth Godoy</t>
  </si>
  <si>
    <t>godoyl@koblenz.com</t>
  </si>
  <si>
    <t xml:space="preserve"> Jacob Jahaziel Silva Chavez</t>
  </si>
  <si>
    <t>jsilva@dulcesdelarosa.com.mx</t>
  </si>
  <si>
    <t>Miriam Morales Jacquez</t>
  </si>
  <si>
    <t>MIRIAM.MORALES@HENKEL.COM</t>
  </si>
  <si>
    <t xml:space="preserve">MARIANA ESPINOZA </t>
  </si>
  <si>
    <t>mariana.espinoza@pepsico.com</t>
  </si>
  <si>
    <t>ITZINAI GARCIA</t>
  </si>
  <si>
    <t>igarcia@blueretailsolutions.com</t>
  </si>
  <si>
    <t>Luis Antonio Ojeda</t>
  </si>
  <si>
    <t>JFGALMACEN@ILSAFRIGO.COM.MX</t>
  </si>
  <si>
    <t>Hernández Humberto</t>
  </si>
  <si>
    <t>hhernandezt@saljamex.com</t>
  </si>
  <si>
    <t>Daniel Nuñez Valdes</t>
  </si>
  <si>
    <t>dnunez@vctdgm.com</t>
  </si>
  <si>
    <t>JOSE ABRAHAM TORRES PUENTE</t>
  </si>
  <si>
    <t>atorres@harimasa.com</t>
  </si>
  <si>
    <t>BLACK AND DECKER S.A. DE C.V.</t>
  </si>
  <si>
    <t>José Carlos Deándar Garza</t>
  </si>
  <si>
    <t>JOSE.DEANDAR@SBDINC.COM</t>
  </si>
  <si>
    <t>Faride Garcia Ancer</t>
  </si>
  <si>
    <t>FGARCIAAN@GRUMA.COM</t>
  </si>
  <si>
    <t>Penalizacion</t>
  </si>
  <si>
    <t>Folios en aclación</t>
  </si>
  <si>
    <t>En validación de información</t>
  </si>
  <si>
    <t>Se comparte proceso para visualizar detalle en portal y se comparte archivo con la información de pedidos</t>
  </si>
  <si>
    <t>Aclarar que se aplico en base al margen acumulado. (mandar respuesta al depto. de aclaraciones)</t>
  </si>
  <si>
    <t>dgrosybra@hotmail.com</t>
  </si>
  <si>
    <t>Se envía manual para revisión de ajustes.</t>
  </si>
  <si>
    <t>Para su tranquilidad se aplicara conforme a su flujo de pago.(mandar respuesta al depto. de aclaraciones)</t>
  </si>
  <si>
    <t>Se envía manual para validación del desglose de ajuste.</t>
  </si>
  <si>
    <t>Se le indica al proveedor sobrela información en el portal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</si>
</sst>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44" formatCode="_(&quot;$&quot;* #,##0.00_);_(&quot;$&quot;* \(#,##0.00\);_(&quot;$&quot;* &quot;-&quot;??_);_(@_)"/>
    <numFmt numFmtId="43" formatCode="_(* #,##0.00_);_(* \(#,##0.00\);_(* &quot;-&quot;??_);_(@_)"/>
    <numFmt numFmtId="164" formatCode="_-* #,##0.00_-;\-* #,##0.00_-;_-* &quot;-&quot;??_-;_-@_-"/>
    <numFmt numFmtId="165" formatCode="yyyy\-mm\-dd\ hh:mm:ss"/>
    <numFmt numFmtId="166" formatCode="_(* #,##0.000_);_(* \(#,##0.000\);_(* &quot;-&quot;??_);_(@_)"/>
  </numFmts>
  <fonts count="24"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rgb="FFFF0000"/>
      <name val="Aptos Narrow"/>
      <family val="2"/>
      <scheme val="minor"/>
    </font>
    <font>
      <u/>
      <sz val="11"/>
      <color theme="10"/>
      <name val="Aptos Narrow"/>
      <family val="2"/>
      <scheme val="minor"/>
    </font>
    <font>
      <b/>
      <sz val="11"/>
      <color theme="0"/>
      <name val="Aptos Narrow"/>
      <family val="2"/>
      <scheme val="minor"/>
    </font>
    <font>
      <sz val="11"/>
      <color rgb="FF000000"/>
      <name val="Aptos Narrow"/>
      <family val="2"/>
      <scheme val="minor"/>
    </font>
    <font>
      <sz val="11"/>
      <color rgb="FF000000"/>
      <name val="Aptos Narrow"/>
      <family val="2"/>
      <charset val="1"/>
    </font>
    <font>
      <sz val="11"/>
      <color rgb="FF000000"/>
      <name val="Aptos Narrow"/>
      <family val="2"/>
    </font>
    <font>
      <sz val="10"/>
      <color indexed="8"/>
      <name val="Arial"/>
      <family val="2"/>
    </font>
    <font>
      <sz val="11"/>
      <color indexed="8"/>
      <name val="Calibri"/>
      <family val="2"/>
    </font>
    <font>
      <sz val="11"/>
      <color rgb="FF242424"/>
      <name val="Aptos Narrow"/>
      <family val="2"/>
    </font>
    <font>
      <sz val="11"/>
      <color rgb="FFFF0000"/>
      <name val="Aptos Narrow"/>
      <family val="2"/>
      <scheme val="minor"/>
    </font>
    <font>
      <sz val="11"/>
      <color rgb="FF000000"/>
      <name val="Calibri"/>
      <family val="2"/>
    </font>
    <font>
      <sz val="11"/>
      <color theme="0"/>
      <name val="Aptos Narrow"/>
      <family val="2"/>
      <scheme val="minor"/>
    </font>
    <font>
      <b/>
      <u val="singleAccounting"/>
      <sz val="11"/>
      <color theme="1"/>
      <name val="Aptos Narrow"/>
      <family val="2"/>
      <scheme val="minor"/>
    </font>
    <font>
      <b/>
      <sz val="11"/>
      <name val="Calibri"/>
      <family val="2"/>
    </font>
    <font>
      <b/>
      <sz val="12"/>
      <color theme="0"/>
      <name val="Aptos Narrow"/>
      <family val="2"/>
      <scheme val="minor"/>
    </font>
    <font>
      <sz val="10"/>
      <name val="Arial"/>
      <family val="2"/>
    </font>
    <font>
      <b/>
      <sz val="10"/>
      <name val="Arial"/>
      <family val="2"/>
    </font>
    <font>
      <sz val="10"/>
      <name val="Aptos Narrow"/>
      <family val="2"/>
      <scheme val="minor"/>
    </font>
    <font>
      <sz val="10"/>
      <color theme="1"/>
      <name val="Aptos Narrow"/>
      <family val="2"/>
      <scheme val="minor"/>
    </font>
    <font>
      <sz val="10"/>
      <color theme="1"/>
      <name val="Calibri"/>
      <family val="2"/>
    </font>
    <font>
      <b/>
      <sz val="10"/>
      <color theme="1"/>
      <name val="Calibri"/>
      <family val="2"/>
    </font>
  </fonts>
  <fills count="15">
    <fill>
      <patternFill patternType="none"/>
    </fill>
    <fill>
      <patternFill patternType="gray125"/>
    </fill>
    <fill>
      <patternFill patternType="solid">
        <fgColor rgb="FF92D050"/>
        <bgColor theme="4" tint="0.79998168889431442"/>
      </patternFill>
    </fill>
    <fill>
      <patternFill patternType="solid">
        <fgColor theme="0" tint="-4.9989318521683403E-2"/>
        <bgColor theme="4" tint="0.79998168889431442"/>
      </patternFill>
    </fill>
    <fill>
      <patternFill patternType="solid">
        <fgColor rgb="FFFFFF00"/>
        <bgColor theme="4" tint="0.79998168889431442"/>
      </patternFill>
    </fill>
    <fill>
      <patternFill patternType="solid">
        <fgColor rgb="FFC00000"/>
        <bgColor indexed="64"/>
      </patternFill>
    </fill>
    <fill>
      <patternFill patternType="solid">
        <fgColor indexed="22"/>
        <bgColor indexed="0"/>
      </patternFill>
    </fill>
    <fill>
      <patternFill patternType="solid">
        <fgColor rgb="FF00FF00"/>
        <bgColor theme="4" tint="0.79998168889431442"/>
      </patternFill>
    </fill>
    <fill>
      <patternFill patternType="solid">
        <fgColor rgb="FF00FF00"/>
        <bgColor indexed="64"/>
      </patternFill>
    </fill>
    <fill>
      <patternFill patternType="solid">
        <fgColor rgb="FFCC00FF"/>
        <bgColor indexed="64"/>
      </patternFill>
    </fill>
    <fill>
      <patternFill patternType="solid">
        <fgColor rgb="FFCC00FF"/>
        <bgColor rgb="FFE781FF"/>
      </patternFill>
    </fill>
    <fill>
      <patternFill patternType="solid">
        <fgColor rgb="FFFFFF00"/>
        <bgColor indexed="64"/>
      </patternFill>
    </fill>
    <fill>
      <patternFill patternType="solid">
        <fgColor rgb="FFCC00FF"/>
        <bgColor theme="4" tint="0.79998168889431442"/>
      </patternFill>
    </fill>
    <fill>
      <patternFill patternType="solid">
        <fgColor theme="5" tint="0.59999389629810485"/>
        <bgColor indexed="64"/>
      </patternFill>
    </fill>
    <fill>
      <patternFill patternType="solid">
        <fgColor rgb="FF9900CC"/>
        <bgColor theme="4" tint="0.79998168889431442"/>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right/>
      <top/>
      <bottom style="thin">
        <color rgb="FF000000"/>
      </bottom>
      <diagonal/>
    </border>
    <border>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indexed="64"/>
      </right>
      <top/>
      <bottom/>
      <diagonal/>
    </border>
    <border>
      <left/>
      <right/>
      <top/>
      <bottom style="thin">
        <color indexed="64"/>
      </bottom>
      <diagonal/>
    </border>
  </borders>
  <cellStyleXfs count="9">
    <xf numFmtId="0" fontId="0" fillId="0" borderId="0"/>
    <xf numFmtId="44" fontId="1" fillId="0" borderId="0" applyFont="0" applyFill="0" applyBorder="0" applyAlignment="0" applyProtection="0"/>
    <xf numFmtId="0" fontId="4" fillId="0" borderId="0" applyNumberFormat="0" applyFill="0" applyBorder="0" applyAlignment="0" applyProtection="0"/>
    <xf numFmtId="43" fontId="1" fillId="0" borderId="0" applyFont="0" applyFill="0" applyBorder="0" applyAlignment="0" applyProtection="0"/>
    <xf numFmtId="0" fontId="9" fillId="0" borderId="0"/>
    <xf numFmtId="43" fontId="18" fillId="0" borderId="0" applyFont="0" applyFill="0" applyBorder="0" applyAlignment="0" applyProtection="0"/>
    <xf numFmtId="0" fontId="18" fillId="0" borderId="0"/>
    <xf numFmtId="0" fontId="1" fillId="0" borderId="0"/>
    <xf numFmtId="9" fontId="18" fillId="0" borderId="0" applyFont="0" applyFill="0" applyBorder="0" applyAlignment="0" applyProtection="0"/>
  </cellStyleXfs>
  <cellXfs count="197">
    <xf numFmtId="0" fontId="0" fillId="0" borderId="0" xfId="0"/>
    <xf numFmtId="0" fontId="2" fillId="2" borderId="0" xfId="0" applyFont="1" applyFill="1" applyAlignment="1">
      <alignment horizontal="center"/>
    </xf>
    <xf numFmtId="0" fontId="2" fillId="3" borderId="0" xfId="0" applyFont="1" applyFill="1" applyAlignment="1">
      <alignment horizontal="center"/>
    </xf>
    <xf numFmtId="0" fontId="2" fillId="0" borderId="1" xfId="0" applyFont="1" applyBorder="1"/>
    <xf numFmtId="0" fontId="0" fillId="0" borderId="1" xfId="0" applyBorder="1"/>
    <xf numFmtId="43" fontId="0" fillId="0" borderId="1" xfId="0" applyNumberFormat="1" applyBorder="1"/>
    <xf numFmtId="0" fontId="0" fillId="0" borderId="1" xfId="0" applyBorder="1" applyAlignment="1">
      <alignment horizontal="left"/>
    </xf>
    <xf numFmtId="14" fontId="0" fillId="0" borderId="1" xfId="0" applyNumberFormat="1" applyBorder="1"/>
    <xf numFmtId="0" fontId="2" fillId="4" borderId="0" xfId="0" applyFont="1" applyFill="1" applyAlignment="1">
      <alignment horizontal="center"/>
    </xf>
    <xf numFmtId="0" fontId="0" fillId="0" borderId="1" xfId="0" applyBorder="1" applyAlignment="1">
      <alignment horizontal="center"/>
    </xf>
    <xf numFmtId="0" fontId="0" fillId="0" borderId="0" xfId="0" applyAlignment="1">
      <alignment horizontal="center" vertical="center"/>
    </xf>
    <xf numFmtId="0" fontId="2" fillId="3" borderId="0" xfId="0" applyFont="1" applyFill="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4" fillId="0" borderId="1" xfId="2" applyBorder="1" applyAlignment="1">
      <alignment horizontal="center"/>
    </xf>
    <xf numFmtId="0" fontId="0" fillId="0" borderId="0" xfId="0" applyAlignment="1">
      <alignment wrapText="1"/>
    </xf>
    <xf numFmtId="0" fontId="6" fillId="0" borderId="0" xfId="0" applyFont="1"/>
    <xf numFmtId="0" fontId="5" fillId="5" borderId="0" xfId="0" applyFont="1" applyFill="1" applyAlignment="1">
      <alignment horizontal="center"/>
    </xf>
    <xf numFmtId="0" fontId="5" fillId="5" borderId="0" xfId="0" applyFont="1" applyFill="1" applyAlignment="1">
      <alignment horizontal="center" wrapText="1"/>
    </xf>
    <xf numFmtId="43" fontId="0" fillId="0" borderId="0" xfId="3" applyFont="1"/>
    <xf numFmtId="43" fontId="5" fillId="5" borderId="0" xfId="3" applyFont="1" applyFill="1" applyAlignment="1">
      <alignment horizontal="center" wrapText="1"/>
    </xf>
    <xf numFmtId="43" fontId="0" fillId="0" borderId="1" xfId="3" applyFont="1" applyBorder="1"/>
    <xf numFmtId="43" fontId="0" fillId="0" borderId="1" xfId="3" applyFont="1" applyBorder="1" applyAlignment="1">
      <alignment horizontal="left"/>
    </xf>
    <xf numFmtId="15" fontId="0" fillId="0" borderId="1" xfId="0" applyNumberFormat="1" applyBorder="1"/>
    <xf numFmtId="15" fontId="0" fillId="0" borderId="1" xfId="0" applyNumberFormat="1" applyBorder="1" applyAlignment="1">
      <alignment horizontal="left"/>
    </xf>
    <xf numFmtId="15" fontId="5" fillId="5" borderId="0" xfId="0" applyNumberFormat="1" applyFont="1" applyFill="1" applyAlignment="1">
      <alignment horizontal="center" wrapText="1"/>
    </xf>
    <xf numFmtId="0" fontId="2" fillId="3" borderId="0" xfId="0" applyFont="1" applyFill="1" applyAlignment="1">
      <alignment horizontal="center" vertical="center" wrapText="1"/>
    </xf>
    <xf numFmtId="43" fontId="0" fillId="0" borderId="1" xfId="3" applyFont="1" applyFill="1" applyBorder="1"/>
    <xf numFmtId="0" fontId="0" fillId="0" borderId="1" xfId="0" applyBorder="1" applyAlignment="1">
      <alignment horizontal="center" wrapText="1"/>
    </xf>
    <xf numFmtId="0" fontId="0" fillId="0" borderId="2" xfId="0" applyBorder="1"/>
    <xf numFmtId="0" fontId="7" fillId="0" borderId="3" xfId="0" applyFont="1" applyBorder="1" applyAlignment="1">
      <alignment wrapText="1"/>
    </xf>
    <xf numFmtId="43" fontId="0" fillId="0" borderId="4" xfId="3" applyFont="1" applyBorder="1"/>
    <xf numFmtId="0" fontId="0" fillId="0" borderId="6" xfId="0" applyBorder="1"/>
    <xf numFmtId="0" fontId="8" fillId="0" borderId="3" xfId="0" applyFont="1" applyBorder="1" applyAlignment="1">
      <alignment wrapText="1"/>
    </xf>
    <xf numFmtId="0" fontId="10" fillId="6" borderId="7" xfId="4" applyFont="1" applyFill="1" applyBorder="1" applyAlignment="1">
      <alignment horizontal="center"/>
    </xf>
    <xf numFmtId="0" fontId="10" fillId="0" borderId="8" xfId="4" applyFont="1" applyBorder="1" applyAlignment="1">
      <alignment horizontal="left" wrapText="1"/>
    </xf>
    <xf numFmtId="0" fontId="0" fillId="0" borderId="0" xfId="0" applyAlignment="1">
      <alignment horizontal="center"/>
    </xf>
    <xf numFmtId="0" fontId="0" fillId="0" borderId="5" xfId="0" applyBorder="1" applyAlignment="1">
      <alignment horizontal="center"/>
    </xf>
    <xf numFmtId="43" fontId="0" fillId="0" borderId="2" xfId="3" applyFont="1" applyBorder="1"/>
    <xf numFmtId="8" fontId="7" fillId="0" borderId="3" xfId="0" applyNumberFormat="1" applyFont="1" applyBorder="1"/>
    <xf numFmtId="0" fontId="0" fillId="0" borderId="4" xfId="0" applyBorder="1"/>
    <xf numFmtId="43" fontId="0" fillId="0" borderId="6" xfId="3" applyFont="1" applyBorder="1"/>
    <xf numFmtId="4" fontId="7" fillId="0" borderId="3" xfId="0" applyNumberFormat="1" applyFont="1" applyBorder="1"/>
    <xf numFmtId="0" fontId="7" fillId="0" borderId="3" xfId="0" applyFont="1" applyBorder="1"/>
    <xf numFmtId="8" fontId="6" fillId="0" borderId="0" xfId="0" applyNumberFormat="1" applyFont="1"/>
    <xf numFmtId="14" fontId="0" fillId="0" borderId="1" xfId="0" applyNumberFormat="1" applyBorder="1" applyAlignment="1">
      <alignment wrapText="1"/>
    </xf>
    <xf numFmtId="8" fontId="6" fillId="0" borderId="1" xfId="0" applyNumberFormat="1" applyFont="1" applyBorder="1"/>
    <xf numFmtId="0" fontId="6" fillId="0" borderId="1" xfId="0" applyFont="1" applyBorder="1"/>
    <xf numFmtId="0" fontId="11" fillId="0" borderId="0" xfId="0" applyFont="1"/>
    <xf numFmtId="0" fontId="11" fillId="0" borderId="0" xfId="0" applyFont="1" applyAlignment="1">
      <alignment wrapText="1"/>
    </xf>
    <xf numFmtId="0" fontId="2" fillId="4" borderId="0" xfId="0" applyFont="1" applyFill="1" applyAlignment="1">
      <alignment horizontal="center" vertical="center"/>
    </xf>
    <xf numFmtId="0" fontId="0" fillId="0" borderId="1" xfId="0" applyBorder="1" applyAlignment="1">
      <alignment vertical="center" wrapText="1"/>
    </xf>
    <xf numFmtId="0" fontId="0" fillId="0" borderId="1" xfId="0" applyBorder="1" applyAlignment="1">
      <alignment vertical="center"/>
    </xf>
    <xf numFmtId="15" fontId="0" fillId="0" borderId="1" xfId="0" applyNumberFormat="1" applyBorder="1" applyAlignment="1">
      <alignment vertical="center" wrapText="1"/>
    </xf>
    <xf numFmtId="0" fontId="0" fillId="0" borderId="1" xfId="0" applyBorder="1" applyAlignment="1">
      <alignment horizontal="left" vertical="center"/>
    </xf>
    <xf numFmtId="4" fontId="0" fillId="0" borderId="0" xfId="0" applyNumberFormat="1"/>
    <xf numFmtId="0" fontId="0" fillId="0" borderId="0" xfId="0" applyAlignment="1">
      <alignment horizontal="left"/>
    </xf>
    <xf numFmtId="16" fontId="0" fillId="0" borderId="1" xfId="0" applyNumberFormat="1" applyBorder="1"/>
    <xf numFmtId="0" fontId="0" fillId="0" borderId="1" xfId="0" applyBorder="1" applyAlignment="1">
      <alignment horizontal="right"/>
    </xf>
    <xf numFmtId="0" fontId="0" fillId="0" borderId="1" xfId="0" applyBorder="1" applyAlignment="1">
      <alignment horizontal="right" wrapText="1"/>
    </xf>
    <xf numFmtId="0" fontId="0" fillId="0" borderId="5" xfId="0" applyBorder="1" applyAlignment="1">
      <alignment horizontal="right"/>
    </xf>
    <xf numFmtId="0" fontId="2" fillId="0" borderId="0" xfId="0" applyFont="1" applyAlignment="1">
      <alignment horizontal="center" vertical="center"/>
    </xf>
    <xf numFmtId="43" fontId="0" fillId="0" borderId="0" xfId="3" applyFont="1" applyAlignment="1">
      <alignment horizontal="center" vertical="center"/>
    </xf>
    <xf numFmtId="15" fontId="0" fillId="0" borderId="0" xfId="0" applyNumberFormat="1" applyAlignment="1">
      <alignment horizontal="center" vertical="center"/>
    </xf>
    <xf numFmtId="44" fontId="0" fillId="0" borderId="0" xfId="0" applyNumberFormat="1" applyAlignment="1">
      <alignment horizontal="center" vertical="center"/>
    </xf>
    <xf numFmtId="44" fontId="2" fillId="0" borderId="0" xfId="1" applyFont="1" applyAlignment="1">
      <alignment horizontal="center" vertical="center"/>
    </xf>
    <xf numFmtId="8" fontId="7" fillId="0" borderId="0" xfId="0" applyNumberFormat="1" applyFont="1" applyAlignment="1">
      <alignment horizontal="center" vertical="center"/>
    </xf>
    <xf numFmtId="0" fontId="2" fillId="2" borderId="0" xfId="0" applyFont="1" applyFill="1" applyAlignment="1">
      <alignment horizontal="center" vertical="center"/>
    </xf>
    <xf numFmtId="43" fontId="5" fillId="5" borderId="0" xfId="3" applyFont="1" applyFill="1" applyAlignment="1">
      <alignment horizontal="center" vertical="center" wrapText="1"/>
    </xf>
    <xf numFmtId="0" fontId="5" fillId="5" borderId="0" xfId="0" applyFont="1" applyFill="1" applyAlignment="1">
      <alignment horizontal="center" vertical="center" wrapText="1"/>
    </xf>
    <xf numFmtId="15" fontId="5" fillId="5" borderId="0" xfId="0" applyNumberFormat="1" applyFont="1" applyFill="1" applyAlignment="1">
      <alignment horizontal="center" vertical="center" wrapText="1"/>
    </xf>
    <xf numFmtId="43" fontId="0" fillId="0" borderId="1" xfId="0" applyNumberFormat="1" applyBorder="1" applyAlignment="1">
      <alignment horizontal="center" vertical="center"/>
    </xf>
    <xf numFmtId="43" fontId="0" fillId="0" borderId="1" xfId="3" applyFont="1" applyFill="1" applyBorder="1" applyAlignment="1">
      <alignment horizontal="center" vertical="center"/>
    </xf>
    <xf numFmtId="15" fontId="0" fillId="0" borderId="1" xfId="0" applyNumberFormat="1" applyBorder="1" applyAlignment="1">
      <alignment horizontal="center" vertical="center"/>
    </xf>
    <xf numFmtId="43" fontId="0" fillId="0" borderId="1" xfId="3" applyFont="1" applyBorder="1" applyAlignment="1">
      <alignment horizontal="center" vertical="center"/>
    </xf>
    <xf numFmtId="14" fontId="0" fillId="0" borderId="0" xfId="0" applyNumberFormat="1" applyAlignment="1">
      <alignment horizontal="center" vertical="center"/>
    </xf>
    <xf numFmtId="0" fontId="0" fillId="0" borderId="0" xfId="0" applyAlignment="1">
      <alignment horizontal="left" vertical="center"/>
    </xf>
    <xf numFmtId="0" fontId="2" fillId="4" borderId="9" xfId="0" applyFont="1" applyFill="1" applyBorder="1" applyAlignment="1">
      <alignment horizontal="left" vertical="center"/>
    </xf>
    <xf numFmtId="0" fontId="0" fillId="0" borderId="1" xfId="0" applyBorder="1" applyAlignment="1">
      <alignment horizontal="left" vertical="center" wrapText="1"/>
    </xf>
    <xf numFmtId="164" fontId="0" fillId="0" borderId="0" xfId="0" applyNumberFormat="1" applyAlignment="1">
      <alignment horizontal="center" vertical="center"/>
    </xf>
    <xf numFmtId="0" fontId="0" fillId="0" borderId="0" xfId="0" applyAlignment="1">
      <alignment vertical="center"/>
    </xf>
    <xf numFmtId="43" fontId="0" fillId="0" borderId="1" xfId="0" applyNumberFormat="1" applyBorder="1" applyAlignment="1">
      <alignment vertical="center"/>
    </xf>
    <xf numFmtId="43" fontId="0" fillId="0" borderId="1" xfId="3" applyFont="1" applyFill="1" applyBorder="1" applyAlignment="1">
      <alignment vertical="center"/>
    </xf>
    <xf numFmtId="0" fontId="0" fillId="0" borderId="1" xfId="0" applyBorder="1" applyAlignment="1">
      <alignment horizontal="right" vertical="center"/>
    </xf>
    <xf numFmtId="15" fontId="0" fillId="0" borderId="1" xfId="0" applyNumberFormat="1" applyBorder="1" applyAlignment="1">
      <alignment vertical="center"/>
    </xf>
    <xf numFmtId="14" fontId="0" fillId="0" borderId="1" xfId="0" applyNumberFormat="1" applyBorder="1" applyAlignment="1">
      <alignment vertical="center"/>
    </xf>
    <xf numFmtId="43" fontId="0" fillId="0" borderId="1" xfId="3" applyFont="1" applyBorder="1" applyAlignment="1">
      <alignment vertical="center"/>
    </xf>
    <xf numFmtId="43" fontId="12" fillId="0" borderId="1" xfId="0" applyNumberFormat="1" applyFont="1" applyBorder="1"/>
    <xf numFmtId="0" fontId="0" fillId="0" borderId="0" xfId="0" applyAlignment="1">
      <alignment horizontal="left" vertical="center" wrapText="1"/>
    </xf>
    <xf numFmtId="0" fontId="12" fillId="0" borderId="1" xfId="0" applyFont="1" applyBorder="1"/>
    <xf numFmtId="6" fontId="0" fillId="0" borderId="1" xfId="0" applyNumberFormat="1" applyBorder="1"/>
    <xf numFmtId="43" fontId="0" fillId="0" borderId="0" xfId="0" applyNumberFormat="1" applyAlignment="1">
      <alignment horizontal="center" vertical="center"/>
    </xf>
    <xf numFmtId="4" fontId="13" fillId="0" borderId="0" xfId="0" applyNumberFormat="1" applyFont="1"/>
    <xf numFmtId="43" fontId="2" fillId="0" borderId="0" xfId="3" applyFont="1" applyAlignment="1">
      <alignment horizontal="center" vertical="center"/>
    </xf>
    <xf numFmtId="0" fontId="2" fillId="0" borderId="0" xfId="0" applyFont="1" applyAlignment="1">
      <alignment vertical="center"/>
    </xf>
    <xf numFmtId="43" fontId="2" fillId="0" borderId="0" xfId="3" applyFont="1" applyAlignment="1">
      <alignment vertical="center"/>
    </xf>
    <xf numFmtId="43" fontId="12" fillId="0" borderId="1" xfId="3" applyFont="1" applyBorder="1"/>
    <xf numFmtId="0" fontId="2" fillId="7" borderId="0" xfId="0" applyFont="1" applyFill="1" applyAlignment="1">
      <alignment horizontal="center" vertical="center"/>
    </xf>
    <xf numFmtId="0" fontId="2" fillId="7" borderId="0" xfId="0" applyFont="1" applyFill="1" applyAlignment="1">
      <alignment horizontal="center" vertical="center" wrapText="1"/>
    </xf>
    <xf numFmtId="43" fontId="2" fillId="4" borderId="0" xfId="3" applyFont="1" applyFill="1" applyAlignment="1">
      <alignment horizontal="center" vertical="center" wrapText="1"/>
    </xf>
    <xf numFmtId="0" fontId="2" fillId="0" borderId="1" xfId="0" applyFont="1" applyBorder="1" applyAlignment="1">
      <alignment horizontal="right"/>
    </xf>
    <xf numFmtId="0" fontId="2" fillId="0" borderId="1" xfId="0" applyFont="1" applyBorder="1" applyAlignment="1">
      <alignment horizontal="right" vertical="center"/>
    </xf>
    <xf numFmtId="0" fontId="3" fillId="0" borderId="1" xfId="0" applyFont="1" applyBorder="1" applyAlignment="1">
      <alignment horizontal="right"/>
    </xf>
    <xf numFmtId="0" fontId="2" fillId="4" borderId="0" xfId="0" applyFont="1" applyFill="1" applyAlignment="1">
      <alignment horizontal="center" vertical="center" wrapText="1"/>
    </xf>
    <xf numFmtId="14" fontId="0" fillId="0" borderId="1" xfId="0" applyNumberFormat="1" applyBorder="1" applyAlignment="1">
      <alignment horizontal="right"/>
    </xf>
    <xf numFmtId="4" fontId="13" fillId="0" borderId="3" xfId="0" applyNumberFormat="1" applyFont="1" applyBorder="1"/>
    <xf numFmtId="43" fontId="0" fillId="0" borderId="4" xfId="0" applyNumberFormat="1" applyBorder="1"/>
    <xf numFmtId="43" fontId="0" fillId="0" borderId="10" xfId="3" applyFont="1" applyBorder="1"/>
    <xf numFmtId="8" fontId="13" fillId="0" borderId="1" xfId="0" applyNumberFormat="1" applyFont="1" applyBorder="1"/>
    <xf numFmtId="43" fontId="0" fillId="0" borderId="1" xfId="0" applyNumberFormat="1" applyBorder="1" applyAlignment="1">
      <alignment horizontal="left" vertical="center"/>
    </xf>
    <xf numFmtId="43" fontId="0" fillId="0" borderId="1" xfId="3" applyFont="1" applyFill="1" applyBorder="1" applyAlignment="1">
      <alignment horizontal="left" vertical="center"/>
    </xf>
    <xf numFmtId="43" fontId="0" fillId="0" borderId="1" xfId="3" applyFont="1" applyFill="1" applyBorder="1" applyAlignment="1">
      <alignment horizontal="left"/>
    </xf>
    <xf numFmtId="0" fontId="0" fillId="8" borderId="0" xfId="0" applyFill="1"/>
    <xf numFmtId="0" fontId="0" fillId="8" borderId="0" xfId="0" applyFill="1" applyAlignment="1">
      <alignment horizontal="center" wrapText="1"/>
    </xf>
    <xf numFmtId="0" fontId="0" fillId="8" borderId="0" xfId="0" applyFill="1" applyAlignment="1">
      <alignment horizontal="left"/>
    </xf>
    <xf numFmtId="4" fontId="0" fillId="8" borderId="0" xfId="0" applyNumberFormat="1" applyFill="1"/>
    <xf numFmtId="0" fontId="0" fillId="8" borderId="0" xfId="0" applyFill="1" applyAlignment="1">
      <alignment horizontal="center"/>
    </xf>
    <xf numFmtId="0" fontId="14" fillId="9" borderId="0" xfId="0" applyFont="1" applyFill="1" applyAlignment="1">
      <alignment horizontal="center"/>
    </xf>
    <xf numFmtId="43" fontId="14" fillId="10" borderId="0" xfId="0" applyNumberFormat="1" applyFont="1" applyFill="1"/>
    <xf numFmtId="0" fontId="0" fillId="11" borderId="0" xfId="0" applyFill="1" applyAlignment="1">
      <alignment horizontal="left"/>
    </xf>
    <xf numFmtId="43" fontId="0" fillId="0" borderId="1" xfId="0" applyNumberFormat="1" applyBorder="1" applyAlignment="1">
      <alignment wrapText="1"/>
    </xf>
    <xf numFmtId="4" fontId="13" fillId="0" borderId="1" xfId="0" applyNumberFormat="1" applyFont="1" applyBorder="1"/>
    <xf numFmtId="43" fontId="0" fillId="0" borderId="3" xfId="3" applyFont="1" applyBorder="1"/>
    <xf numFmtId="8" fontId="0" fillId="0" borderId="0" xfId="0" applyNumberFormat="1"/>
    <xf numFmtId="0" fontId="0" fillId="0" borderId="4" xfId="0" applyBorder="1" applyAlignment="1">
      <alignment horizontal="left"/>
    </xf>
    <xf numFmtId="0" fontId="2" fillId="0" borderId="1" xfId="0" applyFont="1" applyBorder="1" applyAlignment="1">
      <alignment horizontal="center" vertical="center"/>
    </xf>
    <xf numFmtId="0" fontId="0" fillId="0" borderId="1" xfId="0" applyBorder="1" applyAlignment="1">
      <alignment horizontal="center" vertical="center" wrapText="1"/>
    </xf>
    <xf numFmtId="43" fontId="0" fillId="0" borderId="1" xfId="0" applyNumberFormat="1" applyBorder="1" applyAlignment="1">
      <alignment horizontal="left" vertical="center" wrapText="1"/>
    </xf>
    <xf numFmtId="43" fontId="13" fillId="0" borderId="3" xfId="0" applyNumberFormat="1" applyFont="1" applyBorder="1"/>
    <xf numFmtId="0" fontId="16" fillId="0" borderId="1" xfId="0" applyFont="1" applyBorder="1" applyAlignment="1">
      <alignment horizontal="center" vertical="top"/>
    </xf>
    <xf numFmtId="165" fontId="0" fillId="0" borderId="0" xfId="0" applyNumberFormat="1"/>
    <xf numFmtId="0" fontId="2" fillId="0" borderId="1" xfId="0" applyFont="1" applyBorder="1" applyAlignment="1">
      <alignment horizontal="center"/>
    </xf>
    <xf numFmtId="43" fontId="0" fillId="0" borderId="0" xfId="3" applyFont="1" applyFill="1" applyBorder="1"/>
    <xf numFmtId="8" fontId="7" fillId="0" borderId="0" xfId="0" applyNumberFormat="1" applyFont="1"/>
    <xf numFmtId="0" fontId="7" fillId="0" borderId="0" xfId="0" applyFont="1"/>
    <xf numFmtId="8" fontId="13" fillId="0" borderId="11" xfId="0" applyNumberFormat="1" applyFont="1" applyBorder="1"/>
    <xf numFmtId="43" fontId="0" fillId="0" borderId="4" xfId="0" applyNumberFormat="1" applyBorder="1" applyAlignment="1">
      <alignment vertical="center"/>
    </xf>
    <xf numFmtId="43" fontId="0" fillId="0" borderId="5" xfId="3" applyFont="1" applyBorder="1" applyAlignment="1">
      <alignment vertical="center"/>
    </xf>
    <xf numFmtId="43" fontId="0" fillId="0" borderId="1" xfId="0" applyNumberFormat="1" applyBorder="1" applyAlignment="1">
      <alignment horizontal="center" vertical="center" wrapText="1"/>
    </xf>
    <xf numFmtId="8" fontId="0" fillId="0" borderId="1" xfId="3" applyNumberFormat="1" applyFont="1" applyBorder="1"/>
    <xf numFmtId="0" fontId="0" fillId="0" borderId="0" xfId="0" applyAlignment="1">
      <alignment horizontal="center" vertical="center" wrapText="1"/>
    </xf>
    <xf numFmtId="43" fontId="0" fillId="0" borderId="1" xfId="0" applyNumberFormat="1" applyBorder="1" applyAlignment="1">
      <alignment horizontal="center"/>
    </xf>
    <xf numFmtId="43" fontId="0" fillId="0" borderId="0" xfId="0" applyNumberFormat="1"/>
    <xf numFmtId="14" fontId="0" fillId="0" borderId="0" xfId="0" applyNumberFormat="1"/>
    <xf numFmtId="0" fontId="17" fillId="12" borderId="0" xfId="0" applyFont="1" applyFill="1" applyAlignment="1">
      <alignment horizontal="center" vertical="center" wrapText="1"/>
    </xf>
    <xf numFmtId="0" fontId="0" fillId="0" borderId="0" xfId="0" applyAlignment="1">
      <alignment horizontal="left" indent="1"/>
    </xf>
    <xf numFmtId="43" fontId="2" fillId="0" borderId="0" xfId="3" applyFont="1"/>
    <xf numFmtId="44" fontId="2" fillId="0" borderId="0" xfId="0" applyNumberFormat="1" applyFont="1" applyAlignment="1">
      <alignment vertical="center"/>
    </xf>
    <xf numFmtId="0" fontId="19" fillId="0" borderId="0" xfId="6" applyFont="1" applyAlignment="1">
      <alignment vertical="top"/>
    </xf>
    <xf numFmtId="0" fontId="19" fillId="0" borderId="0" xfId="6" applyFont="1" applyAlignment="1">
      <alignment horizontal="center" vertical="top"/>
    </xf>
    <xf numFmtId="0" fontId="19" fillId="0" borderId="12" xfId="6" applyFont="1" applyBorder="1" applyAlignment="1">
      <alignment horizontal="center" vertical="top"/>
    </xf>
    <xf numFmtId="0" fontId="19" fillId="13" borderId="0" xfId="6" applyFont="1" applyFill="1" applyAlignment="1">
      <alignment horizontal="center" vertical="top"/>
    </xf>
    <xf numFmtId="0" fontId="18" fillId="0" borderId="0" xfId="6" applyAlignment="1">
      <alignment vertical="top"/>
    </xf>
    <xf numFmtId="43" fontId="3" fillId="0" borderId="1" xfId="0" applyNumberFormat="1" applyFont="1" applyBorder="1"/>
    <xf numFmtId="4" fontId="20" fillId="0" borderId="0" xfId="6" applyNumberFormat="1" applyFont="1" applyAlignment="1">
      <alignment vertical="top"/>
    </xf>
    <xf numFmtId="43" fontId="20" fillId="0" borderId="12" xfId="5" applyFont="1" applyBorder="1" applyAlignment="1">
      <alignment vertical="top"/>
    </xf>
    <xf numFmtId="43" fontId="20" fillId="0" borderId="0" xfId="6" applyNumberFormat="1" applyFont="1" applyAlignment="1">
      <alignment vertical="top"/>
    </xf>
    <xf numFmtId="43" fontId="20" fillId="0" borderId="0" xfId="5" applyFont="1" applyAlignment="1">
      <alignment vertical="top"/>
    </xf>
    <xf numFmtId="43" fontId="20" fillId="0" borderId="0" xfId="5" applyFont="1" applyBorder="1" applyAlignment="1">
      <alignment vertical="top"/>
    </xf>
    <xf numFmtId="43" fontId="20" fillId="0" borderId="0" xfId="6" applyNumberFormat="1" applyFont="1" applyAlignment="1">
      <alignment horizontal="right" vertical="top"/>
    </xf>
    <xf numFmtId="43" fontId="20" fillId="0" borderId="12" xfId="5" applyFont="1" applyFill="1" applyBorder="1" applyAlignment="1">
      <alignment vertical="top"/>
    </xf>
    <xf numFmtId="0" fontId="21" fillId="0" borderId="0" xfId="0" applyFont="1"/>
    <xf numFmtId="43" fontId="21" fillId="0" borderId="0" xfId="3" applyFont="1"/>
    <xf numFmtId="14" fontId="21" fillId="0" borderId="0" xfId="0" applyNumberFormat="1" applyFont="1"/>
    <xf numFmtId="43" fontId="21" fillId="0" borderId="0" xfId="3" applyFont="1" applyBorder="1"/>
    <xf numFmtId="0" fontId="21" fillId="0" borderId="12" xfId="0" applyFont="1" applyBorder="1"/>
    <xf numFmtId="43" fontId="21" fillId="0" borderId="12" xfId="3" applyFont="1" applyBorder="1"/>
    <xf numFmtId="0" fontId="0" fillId="0" borderId="12" xfId="0" applyBorder="1"/>
    <xf numFmtId="0" fontId="0" fillId="0" borderId="0" xfId="0" pivotButton="1"/>
    <xf numFmtId="0" fontId="17" fillId="14" borderId="0" xfId="0" applyFont="1" applyFill="1" applyAlignment="1">
      <alignment horizontal="center" vertical="center" wrapText="1"/>
    </xf>
    <xf numFmtId="0" fontId="19" fillId="8" borderId="0" xfId="6" applyFont="1" applyFill="1" applyAlignment="1">
      <alignment vertical="top"/>
    </xf>
    <xf numFmtId="0" fontId="19" fillId="8" borderId="0" xfId="6" applyFont="1" applyFill="1" applyAlignment="1">
      <alignment horizontal="center" vertical="top"/>
    </xf>
    <xf numFmtId="0" fontId="2" fillId="0" borderId="0" xfId="0" applyFont="1"/>
    <xf numFmtId="0" fontId="22" fillId="0" borderId="0" xfId="3" applyNumberFormat="1" applyFont="1"/>
    <xf numFmtId="43" fontId="22" fillId="0" borderId="0" xfId="3" applyFont="1"/>
    <xf numFmtId="43" fontId="22" fillId="0" borderId="0" xfId="3" applyFont="1" applyBorder="1"/>
    <xf numFmtId="166" fontId="22" fillId="0" borderId="0" xfId="3" applyNumberFormat="1" applyFont="1"/>
    <xf numFmtId="43" fontId="22" fillId="0" borderId="13" xfId="3" applyFont="1" applyBorder="1"/>
    <xf numFmtId="166" fontId="22" fillId="0" borderId="13" xfId="3" applyNumberFormat="1" applyFont="1" applyBorder="1"/>
    <xf numFmtId="0" fontId="22" fillId="0" borderId="13" xfId="3" applyNumberFormat="1" applyFont="1" applyBorder="1"/>
    <xf numFmtId="43" fontId="23" fillId="0" borderId="0" xfId="0" applyNumberFormat="1" applyFont="1"/>
    <xf numFmtId="0" fontId="23" fillId="0" borderId="0" xfId="0" applyFont="1"/>
    <xf numFmtId="43" fontId="22" fillId="0" borderId="13" xfId="3" applyFont="1" applyBorder="1" applyAlignment="1">
      <alignment wrapText="1"/>
    </xf>
    <xf numFmtId="4" fontId="0" fillId="0" borderId="12" xfId="0" applyNumberFormat="1" applyBorder="1"/>
    <xf numFmtId="43" fontId="0" fillId="0" borderId="0" xfId="3" applyFont="1" applyAlignment="1">
      <alignment horizontal="right"/>
    </xf>
    <xf numFmtId="43" fontId="21" fillId="11" borderId="0" xfId="3" applyFont="1" applyFill="1"/>
    <xf numFmtId="1" fontId="20" fillId="11" borderId="0" xfId="6" applyNumberFormat="1" applyFont="1" applyFill="1" applyAlignment="1">
      <alignment horizontal="right" vertical="top"/>
    </xf>
    <xf numFmtId="0" fontId="20" fillId="11" borderId="0" xfId="6" applyFont="1" applyFill="1" applyAlignment="1">
      <alignment horizontal="left" vertical="top"/>
    </xf>
    <xf numFmtId="0" fontId="21" fillId="11" borderId="0" xfId="0" applyFont="1" applyFill="1"/>
    <xf numFmtId="0" fontId="0" fillId="11" borderId="0" xfId="0" applyFill="1"/>
    <xf numFmtId="0" fontId="0" fillId="11" borderId="0" xfId="0" applyFill="1" applyAlignment="1">
      <alignment wrapText="1"/>
    </xf>
    <xf numFmtId="0" fontId="21" fillId="11" borderId="0" xfId="7" applyFont="1" applyFill="1" applyAlignment="1">
      <alignment horizontal="right"/>
    </xf>
    <xf numFmtId="0" fontId="21" fillId="11" borderId="0" xfId="7" applyFont="1" applyFill="1"/>
    <xf numFmtId="1" fontId="20" fillId="0" borderId="0" xfId="6" applyNumberFormat="1" applyFont="1" applyAlignment="1">
      <alignment horizontal="right" vertical="top"/>
    </xf>
    <xf numFmtId="0" fontId="20" fillId="0" borderId="0" xfId="6" applyFont="1" applyAlignment="1">
      <alignment horizontal="left" vertical="top"/>
    </xf>
    <xf numFmtId="0" fontId="0" fillId="0" borderId="0" xfId="0" applyAlignment="1">
      <alignment horizontal="center" vertical="center"/>
    </xf>
    <xf numFmtId="0" fontId="2" fillId="0" borderId="0" xfId="0" applyFont="1" applyAlignment="1">
      <alignment horizontal="center" vertical="center"/>
    </xf>
  </cellXfs>
  <cellStyles count="9">
    <cellStyle name="Comma" xfId="3" builtinId="3"/>
    <cellStyle name="Comma 2" xfId="5" xr:uid="{395CE7EA-EAF1-4CC3-88A6-8E75CD3CC6EA}"/>
    <cellStyle name="Currency" xfId="1" builtinId="4"/>
    <cellStyle name="Hyperlink" xfId="2" builtinId="8"/>
    <cellStyle name="Normal" xfId="0" builtinId="0"/>
    <cellStyle name="Normal 2" xfId="6" xr:uid="{90C35475-690C-4749-BF04-AD57A1E58868}"/>
    <cellStyle name="Normal_REMBOLSOS" xfId="7" xr:uid="{09325685-96E6-4B6F-982B-2F50B57737DC}"/>
    <cellStyle name="Normal_Sheet2" xfId="4" xr:uid="{C2DBD6D3-84AE-493E-9301-F76CAB48E87D}"/>
    <cellStyle name="Percent 2" xfId="8" xr:uid="{0A45DCA5-E3C0-43D7-B843-0C7036402DEF}"/>
  </cellStyles>
  <dxfs count="39">
    <dxf>
      <fill>
        <patternFill patternType="solid">
          <fgColor rgb="FFFFFF00"/>
          <bgColor rgb="FF0000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bgColor rgb="FFFFFF00"/>
        </patternFill>
      </fill>
    </dxf>
    <dxf>
      <fill>
        <patternFill>
          <bgColor rgb="FFFFFF00"/>
        </patternFill>
      </fill>
    </dxf>
    <dxf>
      <fill>
        <patternFill patternType="solid">
          <bgColor rgb="FFFFFF00"/>
        </patternFill>
      </fill>
    </dxf>
    <dxf>
      <font>
        <color theme="0"/>
      </font>
    </dxf>
    <dxf>
      <fill>
        <patternFill>
          <bgColor rgb="FFCC00FF"/>
        </patternFill>
      </fill>
    </dxf>
    <dxf>
      <font>
        <color theme="0"/>
      </font>
    </dxf>
    <dxf>
      <fill>
        <patternFill>
          <bgColor rgb="FFCC00FF"/>
        </patternFill>
      </fill>
    </dxf>
    <dxf>
      <alignment horizontal="center"/>
    </dxf>
    <dxf>
      <font>
        <color auto="1"/>
      </font>
    </dxf>
    <dxf>
      <font>
        <color auto="1"/>
      </font>
    </dxf>
    <dxf>
      <fill>
        <patternFill>
          <bgColor rgb="FF99FF99"/>
        </patternFill>
      </fill>
    </dxf>
    <dxf>
      <fill>
        <patternFill patternType="solid">
          <fgColor indexed="64"/>
          <bgColor rgb="FF00FF00"/>
        </patternFill>
      </fill>
    </dxf>
    <dxf>
      <numFmt numFmtId="35" formatCode="_(* #,##0.00_);_(* \(#,##0.00\);_(* &quot;-&quot;??_);_(@_)"/>
    </dxf>
    <dxf>
      <font>
        <color theme="0"/>
      </font>
      <numFmt numFmtId="0" formatCode="General"/>
      <fill>
        <patternFill>
          <fgColor rgb="FFE781FF"/>
        </patternFill>
      </fill>
    </dxf>
    <dxf>
      <font>
        <color theme="0"/>
      </font>
    </dxf>
    <dxf>
      <fill>
        <patternFill>
          <bgColor rgb="FFE781FF"/>
        </patternFill>
      </fill>
    </dxf>
    <dxf>
      <alignment wrapText="1"/>
    </dxf>
    <dxf>
      <alignment wrapText="1"/>
    </dxf>
    <dxf>
      <fill>
        <patternFill patternType="solid">
          <bgColor rgb="FF00FF00"/>
        </patternFill>
      </fill>
    </dxf>
    <dxf>
      <fill>
        <patternFill patternType="solid">
          <bgColor rgb="FF00FF00"/>
        </patternFill>
      </fill>
    </dxf>
    <dxf>
      <fill>
        <patternFill patternType="solid">
          <bgColor rgb="FF00FF00"/>
        </patternFill>
      </fill>
    </dxf>
    <dxf>
      <fill>
        <patternFill patternType="solid">
          <bgColor rgb="FF00FF00"/>
        </patternFill>
      </fill>
    </dxf>
    <dxf>
      <numFmt numFmtId="4" formatCode="#,##0.00"/>
    </dxf>
    <dxf>
      <alignment horizontal="center"/>
    </dxf>
    <dxf>
      <alignment wrapText="1"/>
    </dxf>
    <dxf>
      <numFmt numFmtId="35" formatCode="_(* #,##0.00_);_(* \(#,##0.00\);_(* &quot;-&quot;??_);_(@_)"/>
    </dxf>
    <dxf>
      <numFmt numFmtId="4" formatCode="#,##0.00"/>
    </dxf>
    <dxf>
      <numFmt numFmtId="4" formatCode="#,##0.00"/>
    </dxf>
    <dxf>
      <numFmt numFmtId="4" formatCode="#,##0.00"/>
    </dxf>
    <dxf>
      <numFmt numFmtId="4" formatCode="#,##0.00"/>
    </dxf>
    <dxf>
      <numFmt numFmtId="4" formatCode="#,##0.00"/>
    </dxf>
    <dxf>
      <numFmt numFmtId="4" formatCode="#,##0.00"/>
    </dxf>
  </dxfs>
  <tableStyles count="0" defaultTableStyle="TableStyleMedium2" defaultPivotStyle="PivotStyleLight16"/>
  <colors>
    <mruColors>
      <color rgb="FF9900CC"/>
      <color rgb="FFCC66FF"/>
      <color rgb="FF00FF00"/>
      <color rgb="FFCC00FF"/>
      <color rgb="FF99FF99"/>
      <color rgb="FFE78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Lopez, Monica" id="{EC684E8E-9725-49F2-B0B3-BE0282C88315}" userId="S::monica.lopez@prgx.com::34e434ef-2783-4c04-9e02-c02d136ea7b0"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pez, Monica" refreshedDate="46090.698547222222" createdVersion="8" refreshedVersion="8" minRefreshableVersion="3" recordCount="432" xr:uid="{023BA489-5826-43FB-BEE2-F6E0239559DC}">
  <cacheSource type="worksheet">
    <worksheetSource ref="B6:BB438" sheet="Bitacora"/>
  </cacheSource>
  <cacheFields count="47">
    <cacheField name="Proveedor" numFmtId="0">
      <sharedItems containsSemiMixedTypes="0" containsString="0" containsNumber="1" containsInteger="1" minValue="137" maxValue="398289"/>
    </cacheField>
    <cacheField name="Nombre" numFmtId="0">
      <sharedItems count="416">
        <s v="MONDELEZ MEXICO S DE RL DE CV"/>
        <s v="FRABEL S.A. DE C.V."/>
        <s v="GRISI HNOS SA DE CV"/>
        <s v="BDF MEXICO S.A DE C.V"/>
        <s v="NEWELL BRANDS DE MEXICO SA DE CV"/>
        <s v="ESSITY HIGIENE Y SALUD MEXICO SA DE"/>
        <s v="VISION COMERCIAL DEPORTIVA SA DE CV"/>
        <s v="MIDEA MEXICO S DE RL DE CV"/>
        <s v="Hershey Mexico SA de CV"/>
        <s v="HEINZ MEXICO SA DE CV"/>
        <s v="MALTA TEXO DE MEXICO SA DE CV"/>
        <s v="PINSA COMERCIAL SA DE CV"/>
        <s v="CARVAJAL EDUCACION S.A. DE C.V."/>
        <s v="ABSORMEX CMPC TISSUE SA DE CV"/>
        <s v="LA MADRILENA, S.A."/>
        <s v="FERRERO DE MEXICO SA DE CV"/>
        <s v="PRODUCTOS INTERNACIONALES MABE S.A."/>
        <s v="CHURCH &amp; DWIGHT,S. DE R.L. DE C.V."/>
        <s v="REGALOS SIGLO XXI"/>
        <s v="EDGEWELL PERSONAL CARE MEXICO"/>
        <s v="3M MEXICO SA DE CV"/>
        <s v="LINGERIX SA DE CV"/>
        <s v="NATURASOL S.A. DE C.V."/>
        <s v="PEDRO DOMECQ SA DE CV"/>
        <s v="HENKEL CAPITAL SA DE CV"/>
        <s v="MARINDUSTRIAS S.A. DE C.V."/>
        <s v="HALEON CONSUMER HEALTHCARE MEXICO"/>
        <s v="BARDAHL DE MEXICO S. A. DE C. V."/>
        <s v="DETERGENTES Y JABONES SASIL SAPI SA"/>
        <s v="BEBIDAS INTERNACIONALES BEPENSA SA"/>
        <s v="4E GLOBAL SAPI DE CV"/>
        <s v="NISSIN FOODS DE MEXICO SA DE CV"/>
        <s v="Sales del Istmo SA de CV"/>
        <s v="PRODUCTOS ALIMENTICIOS LA MODERNA S"/>
        <s v="RB HEALTH MEXICO SA DE CV"/>
        <s v="PASTEURIZADORA MAULEC SA DE CV"/>
        <s v="H.U.T. INTERNACIONAL S.A. DE C.V."/>
        <s v="HOME TEXTILE DESIGNS SA DE CV"/>
        <s v="MARINTER, SA DE C.V"/>
        <s v="PEPSICO STRAUSS FRESH DIPS &amp; SPREAD"/>
        <s v="KOBLENZ ELECTRICA SA DE CV"/>
        <s v="ABBOTT LABORATORIES DE MEXICO SA DE"/>
        <s v="RAGASA INDUSTRIAS SA DE CV"/>
        <s v="CORPORACION BEKAX SA DE CV"/>
        <s v="CUETARA DISTRIBUCION SA DE CV"/>
        <s v="CIA SHERWIN WILLIAMS SA DE CV"/>
        <s v="CLOROX DE MEXICO S DE RL DE CV"/>
        <s v="SCHETTINO HERMANOS S DE RL DE CV"/>
        <s v="SPECTRUM BRANDS DE MEXICO SA DE CV"/>
        <s v="COMPA¥IA COMERCIALIZADORA PRODIN CE"/>
        <s v="COMARKET S.A. DE C.V."/>
        <s v="CAPICO DISTRIBUCION S.A. DE C.V."/>
        <s v="NOVELTY CORP.DE MEXICO S.A. DE C.V."/>
        <s v="PRODUCTORA MEXICANA DE ARROZ SAPI"/>
        <s v="ALTA EXTRACCION SA DE CV"/>
        <s v="CINSA SA DE CV"/>
        <s v="CU FOUNDATIONS SA DE CV"/>
        <s v="NO SABE FALLAR S.A DE C.V."/>
        <s v="US COTTON MEXICO S DE RL DE CV"/>
        <s v="PRONUA S.A. DE C.V."/>
        <s v="REPUBLIC NAIL SA DE CV"/>
        <s v="GS ALIMENTOS DE MEXICO SA DE CV"/>
        <s v="ALIMENTOS TRES G SA DE CV"/>
        <s v="GIFAN INTERNACIONAL S. DE R.L. DE C"/>
        <s v="COMERCIALIZADORA CANTU SA DE CV"/>
        <s v="VINUX DE MEXICO SA DE CV"/>
        <s v="TOALLERA POPULAR SA DE CV"/>
        <s v="COMERCIAL IMPORTADORA S DE RL DE CV"/>
        <s v="APOLO TEXTIL SA DE CV"/>
        <s v="CUBETAS Y BA¥OS S.A. DE C.V."/>
        <s v="DISTRIBUIDORA DE TEXTILES AVANTE S."/>
        <s v="EMPACADORA LA MERCED SA DE CV"/>
        <s v="DISTRIBUIDORA KROMA SA DE CV"/>
        <s v="PHILIPS MEXICO COMMERCIAL SA DE CV"/>
        <s v="ORGANIZACION REYNERA SA DE CV"/>
        <s v="SUNSTAR AMERICAS MEXICO S. de R.L."/>
        <s v="IMPULSORA CAMPIRANO SA DE CV"/>
        <s v="PERNOD RICARD MEXICO, S.A. DE C.V."/>
        <s v="CANADIA DISTRIBUIDORES SA DE CV"/>
        <s v="STEREN PRODUCTO EMPACADO,S.A. DE C."/>
        <s v="EMPACADORA THERBAL S.A. DE C.V."/>
        <s v="PLO POP SA DE CV"/>
        <s v="CONAGRA FOODS MEXICO SA DE CV"/>
        <s v="DISTRIBUIDORA COLOSO INTERNACIONAL"/>
        <s v="LETICIA PAMMY SA DE CV"/>
        <s v="LABORATORIOS AVANT S.A. DE C.V."/>
        <s v="AJEMEX SA DE CV"/>
        <s v="GRUPO HB PS S.A. DE C.V."/>
        <s v="FREUDENBERG PRODUCTOS DEL HOGAR SA"/>
        <s v="ARTSANA MEXICO SA DE CV"/>
        <s v="STAR DEL NORTE S.A. DE C.V."/>
        <s v="GRUPO INDUSTRIAL CREYSI S.A. DE C.V"/>
        <s v="PRODUCTOS VERDE VALLE, S.A. DE C.V."/>
        <s v="INDUSTRIAS LAVIN DE MEXICO SA DE CV"/>
        <s v="DISTRIBUIDORA DE ROPA VIVA S.A. DE"/>
        <s v="GRUPO INDUSTRIAL VIDA SA DE CV"/>
        <s v="PUIG MEXICO S.A.DEC.V."/>
        <s v="COSMETICA SA DE CV"/>
        <s v="VESTIDOS PINKY S.A."/>
        <s v="The Klass Company SA de CV"/>
        <s v="VIRUTEXILKO SA DE CV"/>
        <s v="INDUSTRIAL NOHRA SA DE CV"/>
        <s v="PACTIV FOODSERVICE MEXICO S DE RL D"/>
        <s v="COMERCIALIZADORA IH SA DE CV"/>
        <s v="JUGOS Y BEBIDAS DEL VALLE DE MEXICO"/>
        <s v="TRESMONTES LUCCHETTI MEXICO SA DE C"/>
        <s v="NEGOCIOS REAL DE CORTEZ SA DE CV"/>
        <s v="DISTRIBUIDORA GRUPO ROSY SA DE CV"/>
        <s v="INTIME LINGERIE S. DE R. L."/>
        <s v="CEREALES Y PASTAS SA DE CV"/>
        <s v="TA-PI-TA MAGICAL SA DE CV"/>
        <s v="MEXEX MEXICANA DE IMPORTACIONES Y E"/>
        <s v="SC JOHNSON S DE RL DE CV"/>
        <s v="GENERAL DE SOLUBLES SA"/>
        <s v="EMPACADOS SA DE CV"/>
        <s v="ALIMENTOS GOURMET PARA ANIMALES"/>
        <s v="GRUPO CORPORATIVO PAPELERA SA DE CV"/>
        <s v="HFC PRESTIGE INTERNATIONAL S DE RL"/>
        <s v="BEAM SUNTORY MEXICO S DE RL DE CV"/>
        <s v="GENOMMA LAB INTERNACIONAL S.A.B. DE"/>
        <s v="CAFE EL MARINO SA DE CV"/>
        <s v="PROTEINAS Y OLEICOS SA DE CV"/>
        <s v="DETERGENTES Y JABONES SASIL SA PI"/>
        <s v="CREMERIA SAN JOSE SA DE CV"/>
        <s v="GRUPO PREMIER DE OCCIDENTE SA DE CV"/>
        <s v="HOCKEY EXPORTPRINT SA DE CV"/>
        <s v="PILGRIMS PRIDE S DE RL DE CV"/>
        <s v="COMBE DE MEXICO S DE RL DE CV"/>
        <s v="JUGOS DEL VALLE SAPI DE CV"/>
        <s v="ACH FOODS MEXICO S DE RL DE CV"/>
        <s v="Henkel Capital, S.A. de C.V"/>
        <s v="INDUSTRIAS TUK SA DE CV"/>
        <s v="UNIVERSAL WIPES S.A. DE C.V."/>
        <s v="PRODUCTOS MEDELLIN SA DE CV"/>
        <s v="PRODUCTOS ALIMENTICIOS Y DIETETICOS"/>
        <s v="VALLE REDONDO S. A. DE C. V."/>
        <s v="TAURUS - ESPA¥A SA DE CV"/>
        <s v="GRUPO CONVERMEX S.A. DE C.V."/>
        <s v="MAXIVA SA de CV"/>
        <s v="COMERCIALIZADORA INTEGRAL DE BELLEZ"/>
        <s v="Pe¤afiel Bebidas SA de CV"/>
        <s v="BLANCOS PILESO,S.A. DE C.V."/>
        <s v="SALSAS CASTILLOS SA DE CV"/>
        <s v="AQUA BEAUTY SA DE CV"/>
        <s v="GRUPO COMERCIAL DISEVEN S DE RL"/>
        <s v="PRODUCTOS PECUARIOS ESPECIALIZADOS"/>
        <s v="GONHERMEX S.A. DE C.V."/>
        <s v="COCO COLIMA SA DE CV"/>
        <s v="FUEGO ENVASADO S.A. DE C.V."/>
        <s v="TRAMONTINA SA DE CV"/>
        <s v="REIVAX INTERNACIONAL SA DE CV"/>
        <s v="ALIMENTOS PROFUSA S.A. DE C.V."/>
        <s v="COHEVI GLOBAL MARKET SA DE CV"/>
        <s v="PREMIUM BEERS GROUP SAPI DE CV"/>
        <s v="ENVASADORA LA SUPREMA SA DE CV"/>
        <s v="UNIVERSAL WIPES SA DE CV"/>
        <s v="DKT DE MEXICO SA DE CV"/>
        <s v="ORGANIZACION LIBER SA DE CV"/>
        <s v="JOHNSON CONTROLS ENTERPRISES MEXICO"/>
        <s v="SAUCEDO JAIME GUILLERMO JAVIER"/>
        <s v="TOWEL SA DE CV"/>
        <s v="CESARFER S.A. DE C.V."/>
        <s v="SANTUL HERRAMIENTA SA DE CV"/>
        <s v="CEYS MEXICANA S.A. DE C.V."/>
        <s v="LOOK FASHION SA DE CV"/>
        <s v="MEXICANA DE INDUSTRIAS Y"/>
        <s v="GRUPO AGUAVIENTO, S.A. DE C.V."/>
        <s v="RECKITT BENCKISER MEXICO SA DE CV"/>
        <s v="CORPORACION WEGAR SA DE CV"/>
        <s v="ICSITUM SA DE CV"/>
        <s v="DEGASA S.A. DE C.V."/>
        <s v="PASTEURIZADORA AGUASCALIENTES, S.A."/>
        <s v="CREMERIA AMERICANA SAPI DE CV"/>
        <s v="CERVEZA MINERVA  SA DE CV"/>
        <s v="INDUSTRIAS CAMPO FRESCO SA DE CV"/>
        <s v="KRAZY KOLA LOKA SA DE CV"/>
        <s v="PRODUCTOS RICH S.A. DE C.V."/>
        <s v="EMPACADORA SAN MARCOS S.A. DE  C.V."/>
        <s v="INTELIGENCIA COMERCIAL Y DE MERCADO"/>
        <s v="PRODUCTOS DASS SA DE CV"/>
        <s v="LASTUR SA DE CV"/>
        <s v="La Anita Condimentos y Salsas S.A."/>
        <s v="ZUCARMEX SA DE CV"/>
        <s v="THE RESPECT COMPANY SA DE CV"/>
        <s v="PRODUCTORA DE ALIMENTOS MEXICANOS"/>
        <s v="PRODUCTOS CHATA SA DE CV"/>
        <s v="PRODUCTOS DE UVA S.A DE C.V."/>
        <s v="TECNO BROST LINE SA DE CV"/>
        <s v="CONTROLADORA MABE SA DE CV"/>
        <s v="LABORATORIOS ZELL SA DE CV"/>
        <s v="CONFECCIONES MODA PIEL SA DE CV"/>
        <s v="MONTEVERDE CONGELADOS SA DE CV"/>
        <s v="XWIFT SA DE CV"/>
        <s v="BONMORO S.A DE C.V."/>
        <s v="CORAL INTERNACIONAL SA DE CV"/>
        <s v="FOTORAMA DE MEXICO S.A. DE C.V."/>
        <s v="COMERCIALIZADORA MACMA  SAPI DE CV"/>
        <s v="GRUPO ACUARIO LOMAS SA DE CV"/>
        <s v="Ediciones Larousse SA de CV"/>
        <s v="Laboratorio Boniquet de Mxico S.A."/>
        <s v="CORPORACION IMPRESORA SA DE CV"/>
        <s v="CAFES ESPECIALIZADOS Y SUSTENTABLES"/>
        <s v="UNIFOODS, S.A. DE C.V."/>
        <s v="PRODUCTOS SALAZAR SA DE CV"/>
        <s v="DIGRIMEX SA DE CV"/>
        <s v="UNION KIDS SA DE CV"/>
        <s v="PLASTICOS LA ARDILLA SA DE CV"/>
        <s v="VCT &amp; DG MEXICO SA DE CV"/>
        <s v="OFFICE PRODUCTS AND PERIPHERIALS SA"/>
        <s v="DAIMAX SA DE CV"/>
        <s v="ENERGIZER MEXICO S DE RL DE CV"/>
        <s v="DISTRIBUIDORA LIMBELL SA DE CV"/>
        <s v="MONTIOGSS SA DE CV"/>
        <s v="LABORATORIOS EXPANSCIENCE MEXICO,S."/>
        <s v="EMPACOND SA DE CV"/>
        <s v="CANELS, S.A. DE C.V."/>
        <s v="CHANTILLY S.A. DE C.V."/>
        <s v="AGROINDUSTRIAS QUESADA S DE RL DE"/>
        <s v="TERANA S.A."/>
        <s v="GEMEPLAS SA DE CV"/>
        <s v="SALUTARE SA DE CV"/>
        <s v="KARCHER MEXICO SA DE CV"/>
        <s v="INDUSTRIAS OVARB S.A. DE C.V."/>
        <s v="GRAN MARK,S.A."/>
        <s v="GUVAL FOODS S.A. DE C.V."/>
        <s v="VINOS VI¥EDOS Y BODEGAS S.A. DE C.V"/>
        <s v="CORPORACION GAIRET SA DE CV"/>
        <s v="HBS DELLI RETAIL SA DE CV"/>
        <s v="COMERCIALIZADORA DE MOTOCICLETAS DE"/>
        <s v="NATURASOL S A DE CV"/>
        <s v="CHOBANI MEXICO S DE RL DE CV"/>
        <s v="IMPORTACIONES Y DISTRIBUCIONES INTE"/>
        <s v="HOUSEHOLD EXPRESS SA DE CV"/>
        <s v="BINNEY &amp; SMITH MEXICO SA DE CV"/>
        <s v="Comercio Mexicano Internacional S d"/>
        <s v="COMTEC IMPORTS SA DE CV"/>
        <s v="HAPPY TEE SA DE CV"/>
        <s v="DESDE EL CORAZON DEL FRUTO SA DE CV"/>
        <s v="BROCHAS Y PRODUCTOS S. DE R.L. DE C"/>
        <s v="RODINIA INTERNACIONALSA DE CV"/>
        <s v="SINAX CORPORATION SA DE CV"/>
        <s v="LINARES Y TALANCON FERNANDO"/>
        <s v="GRESMEX SA DE CV"/>
        <s v="IBALMA SA DE CV"/>
        <s v="PRODUCTOS INFANTILES SELECTOS, S.A."/>
        <s v="GRUPO PISCIMEX SA DE CV"/>
        <s v="DISTRIBUIDORA EXCEL SA DE CV"/>
        <s v="TCL ELECTRONICS DE MEXICO S DE RL"/>
        <s v="CORAL INTERNACIONAL S.A. DE C.V."/>
        <s v="FARMACUTICA RACEL S.A. DE C.V."/>
        <s v="INDUSTRIAS H24 SA DE CV"/>
        <s v="TAPETES Y PISOS MODERNOS SA DE CV"/>
        <s v="BEMIS DE MEXICO SA DE CV"/>
        <s v="PARAMOUNT FARMS MEXICO S DE RL DE C"/>
        <s v="INDUSTRIAL TECNICA DE PINTURAS S A"/>
        <s v="Conveniencia Internacional SA DE CV"/>
        <s v="TOSTADORES Y MOLINOS S.A. DE C.V."/>
        <s v="PRODUCTOS PIELUX SA DE CV"/>
        <s v="ALIMENTOS SR NATURAL SAPI DE CV"/>
        <s v="EQUIPOS DE SEGURIDAD PARA LA"/>
        <s v="FINPRE SA DE CV"/>
        <s v="MOLINOS AZTECA DE CHALCO S.A. DE C."/>
        <s v="GARCIA GONZALEZ LUIS EDUARDO"/>
        <s v="SKN IMAGEN Y BELLEZA S.A. DE C.V."/>
        <s v="PRODUCTOS IMPORTADOS HECYMAR SA DE"/>
        <s v="Unidal Mexico Sa de Cv"/>
        <s v="LA ITALIANA S.A. DE C.V."/>
        <s v="SALMI DEL SURESTE SA DE CV"/>
        <s v="SUGAR FOODS DE MEXICO S. DE R.L. DE"/>
        <s v="TRUPER SA DE CV"/>
        <s v="AMBIENTAIR MEXICO S DE RL DE CV"/>
        <s v="JOY TECNICA PLASTICA SA DE CV"/>
        <s v="GLICERIDOS Y DERIVADOS S.A DE C.V"/>
        <s v="BEBIDAS PURIFICADAS S DE RL DE CV"/>
        <s v="MERCANTIL DE PRODUCTOS MORELOS"/>
        <s v="FABRICA NACIONAL DE LIJA SA DE CV"/>
        <s v="BODEGAS SANTO TOMAS SA DE CV"/>
        <s v="ORIGINAL CASTILLO SA DE CV"/>
        <s v="GRUPO COMERCIAL SIDER, S.A. DE C.V."/>
        <s v="FGX LATIN AMERICA S DEL RL DE CV"/>
        <s v="GUTIERREZ MARTINEZ GABRIELA"/>
        <s v="BEAUTIFUL WISH SA DE CV"/>
        <s v="J.M.VENTAS SA DE CV"/>
        <s v="GRUPO FUNSAM SA CV"/>
        <s v="YOUNGEST SA DE CV"/>
        <s v="COMPA¥IA LA CENTRAL SA DE CV"/>
        <s v="MOBI MODA PARA EL HOGAR  SA DE CV"/>
        <s v="BOMUCA SA DE CV"/>
        <s v="MAYA FUERTE SA DE CV"/>
        <s v="LALLEMAND MEXICO, S.A. DE C.V."/>
        <s v="FRIMEX ALIMENTOS SA DE CV"/>
        <s v="SOLANUM S. DE R.L. DE C.V."/>
        <s v="COMERCIALIZADORA MAYORISTA DEL GOLF"/>
        <s v="INNOVACIONES SMART LINCE S DE RL DE"/>
        <s v="LAFON LAUNAY COSMETICS SA DE CV"/>
        <s v="ESPEJOS INTELIGENTES SA DE CV"/>
        <s v="CAFES FINOS DE CORDOBA SA DE CV"/>
        <s v="COMERGALV SA DE CV"/>
        <s v="KONEKTE MANUFACTURAS S.A. DE C.V."/>
        <s v="SOC COOP TRABAJADORES DE PASCUAL SC"/>
        <s v="INDUSTRIAS ILSA FRIGO SA DE CV"/>
        <s v="VITELY SA DE CV"/>
        <s v="OQUIMEX SA DE CV"/>
        <s v="BETONE SA DE CV"/>
        <s v="GOGA FARMACEUTICA SA DE CV"/>
        <s v="IMPULSORA EURO SA DE CV"/>
        <s v="PLASTICOS CANTABRIA SA DE CV"/>
        <s v="PRODUCTOS BODYCARE S.A. DE C.V."/>
        <s v="PROVEEDOR DE SOLUCIONES COYMAN"/>
        <s v="FABRICA DE PAPEL SAN FRANCISCO SA D"/>
        <s v="COMERCIALIZADORA NAREMO S.A. DE C.V"/>
        <s v="MERCANTIL CUAUTITLAN SA DE CV"/>
        <s v="HELEN OF TROY DE MEXICO S DE RL DE"/>
        <s v="SPORTECH SA DE CV"/>
        <s v="cepillera dental monterrey sa de cv"/>
        <s v="CORPORACION MILENIUM S DE RL DE CV"/>
        <s v="HARINAS SA DE CV"/>
        <s v="INDUSTRIAS LA POPULAR .A. DE C.V."/>
        <s v="HEARTBEST S DE RL DE CV"/>
        <s v="CORPORACION COSMETICA MEXICANA"/>
        <s v="SPIN MASTER MEXICO SA DE CV"/>
        <s v="PRODUCTOS CHACHITOS SA DE CV"/>
        <s v="NICO DE MEXICO SA DE CV"/>
        <s v="SALES DEL VALLE SA DE CV"/>
        <s v="OPERADORA GILA S.A. DE C.V."/>
        <s v="CAMISAS IMPERIAL SA DE CV"/>
        <s v="ALIMENTOS SUSALIA S.A. DE C.V."/>
        <s v="EXEL DE MONTERREY SA DE CV"/>
        <s v="CVA SERVICIOS CORPORATIVOS SA DE CV"/>
        <s v="PRODUCTOS CAREY SA DE CV"/>
        <s v="VALLELOZA SA DE CV"/>
        <s v="EL YUCATECO SALSAS Y CONDIMENTOS S."/>
        <s v="POLLOS VIDAURRI, S.A. DE C.V."/>
        <s v="GLICERIDOS Y DERIVADOS SA DE CV"/>
        <s v="CREACIONES D'SEN,S.A. DE C.V."/>
        <s v="Cera y Forma SA de CV"/>
        <s v="ALOE JAUMAVE SA DE CV"/>
        <s v="DELIPRIME ALIMENTO S.A DE C.V"/>
        <s v="DDI BATTERIES MEXICO S DE RL DE CV"/>
        <s v="EMPACADORA ALANIS S.A. DE C.V."/>
        <s v="UNIVERSAL DISTRIBUTION S.A. DE C.V."/>
        <s v="COMMERSHIP GROUP SA DE CV"/>
        <s v="PRODUCTOS EL PATO VALVITA SAPI DE C"/>
        <s v="GRUPO UNITOPS.A. DE C.V."/>
        <s v="VOLCLAY DE MXICO S.A. DE C.V."/>
        <s v="LAKE MICHIGAN FEATHERS AND DOWN S.A"/>
        <s v="DART DE MEXICO S DE RL DE CV"/>
        <s v="BEDACOM S.A DE C.V"/>
        <s v="MARCO TIRADO GABILONDO"/>
        <s v="GLOBAL LICENSE STICHD GROUP MEXICO"/>
        <s v="EMBOTELLADORA EL JAROCHO S.A DE C.V"/>
        <s v="INDUSTRIAL DE LUBRICANTES"/>
        <s v="TOROSQUI SA DE CV"/>
        <s v="PINZAS MEXICO S.A DE C.V"/>
        <s v="TENIS Y SANDALIAS, S.A. DE C.V."/>
        <s v="SARA COSMETICS SA DE CV"/>
        <s v="NENUCO, S. A. DE C. V."/>
        <s v="NUTRITION FACT DE MEXICO SAPI DE CV"/>
        <s v="RISH SA DE CV"/>
        <s v="COMERCIAL DOS COSTAS SA DE CV"/>
        <s v="GRUPO COMERCIAL PLASVIC S A DE C V"/>
        <s v="NORJAL DISTRIBUIDORA Y COMERCIALI"/>
        <s v="GRUPO TEXTIL PIMA S.A. DE C.V"/>
        <s v="ENVOLTURAS SIGLO XXI SA DE CV"/>
        <s v="JERMEX S.A DE C.V"/>
        <s v="INDUSTRIAS GUACAMAYA SA DE CV"/>
        <s v="PRODUCTOS DE PLASTICO CARCAL S.A. D"/>
        <s v="DIATRIBUIDORA ALIMENTICIA DE BC S.A"/>
        <s v="GRUPO IDALIMENTOS SA DE CV"/>
        <s v="SOUTH WEST INTERNATIONAL S.A. DE C."/>
        <s v="COMERCIALIZADORA ISABEL S.A. DE C.V"/>
        <s v="SIBAU SA DE CV"/>
        <s v="TOTAL LOOK SA DE CV"/>
        <s v="MUNDO SALSA S DE RL DE CV"/>
        <s v="INTERNATIONAL HOUSEWARE SOLUTIONS"/>
        <s v="CERVECERIA ARTESANAL DE COLIMA SAPI"/>
        <s v="GRUPO COMERCIAL ALCO, S.A. DE C.V."/>
        <s v="JORAS INTERNACIONAL CORPORATION S"/>
        <s v="OTTO DISTRIBUCION S.A. DE C.V."/>
        <s v="ELIZABETH JACOBSON AVILA"/>
        <s v="CONOS PARA NIEVE PURITY SA DE CV"/>
        <s v="DISE¥OS MARAVILLA SA DE CV"/>
        <s v="201 OFICIAL,S.A. DE C.V."/>
        <s v="NARTEX LABORATORIOS HOMEOPATICOS SA"/>
        <s v="CHAPA INDUSTRIAS SA DE CV"/>
        <s v="DE LA CRUZ TORRES YESENIA"/>
        <s v="GRUPO BEBEELE SA DE CV"/>
        <s v="PRODUCTOS DE LECHE SAN PABLO, S.A."/>
        <s v="PRODUCTOS FESTIVOSS.A. DEC.V."/>
        <s v="PROVEEDORA NADER SA DE CV"/>
        <s v="PRO VENTA S.A. DE C.V."/>
        <s v="SYBEL S. A. DE C. V."/>
        <s v="SPRAYLAB SA DE CV"/>
        <s v="Proquimia Laboratorios S.A de C.V."/>
        <s v="LOGISTICA ARTERGO SAPI DE CV"/>
        <s v="CHOCOLATERA DE NAYARIT S.A. DE C.V."/>
        <s v="CONCEPTOS PERSONALES SA CV"/>
        <s v="AVA-CLEAN SA DE CV"/>
        <s v="SAFLOSA INDUSTRIA REAL S.A. DE C.V."/>
        <s v="GRUPO TAIFELD'S SA DE CV"/>
        <s v="INDUSTRIAS UNIDAS DE PIEL S.A. DE C"/>
        <s v="PRODUCTOS AMI ROM SC DE RL DE CV"/>
        <s v="PRODUCTOS UVAVI¥A S.A. DE C.V."/>
        <s v="GUANTES ALTEX S DE RL DE CV"/>
        <s v="LYNCOTT ALIMENTARIA SAPI DE CV"/>
        <s v="SEMILLAS Y CEREALES SAN JUANICO SA"/>
        <s v="CONSORCIO ULMARD SA DE CV"/>
        <s v="KTB COMERCIALIZADORA DE MEXICO"/>
        <s v="VICENTE REY SA DE CV"/>
        <s v="ORIGINALES D YALY S.A. DE C.V."/>
        <s v="COMERCIALIZADORA CURTIS SA DE CV"/>
        <s v="BELARA SA DE CV"/>
        <s v="MOLINO HARINERO SAN BLAS SA DE CV"/>
        <s v="HARI MASA SA DE CV"/>
        <s v="LCARE MEXICANA S DE R.L. DE C.V."/>
        <s v="BELTRAN CHAMU JUAN"/>
      </sharedItems>
    </cacheField>
    <cacheField name="Cargo Publicado en Portal" numFmtId="43">
      <sharedItems containsSemiMixedTypes="0" containsString="0" containsNumber="1" minValue="55.01" maxValue="89585265.106097609"/>
    </cacheField>
    <cacheField name="IEPS" numFmtId="43">
      <sharedItems containsSemiMixedTypes="0" containsString="0" containsNumber="1" minValue="0" maxValue="2507350.5739595997"/>
    </cacheField>
    <cacheField name="IVA" numFmtId="43">
      <sharedItems containsSemiMixedTypes="0" containsString="0" containsNumber="1" minValue="0" maxValue="5946668.1592519898"/>
    </cacheField>
    <cacheField name="Penalizacion con Imptos" numFmtId="43">
      <sharedItems containsSemiMixedTypes="0" containsString="0" containsNumber="1" minValue="63.82" maxValue="97167061.569900006"/>
    </cacheField>
    <cacheField name="Liberado/Aplicado en cuenta de proveedor " numFmtId="43">
      <sharedItems containsMixedTypes="1" containsNumber="1" minValue="0" maxValue="7285186.3399999999"/>
    </cacheField>
    <cacheField name="Aceptado (antes impto)" numFmtId="0">
      <sharedItems containsString="0" containsBlank="1" containsNumber="1" minValue="0" maxValue="15564008.902260222"/>
    </cacheField>
    <cacheField name="IEPS aceptado" numFmtId="0">
      <sharedItems containsString="0" containsBlank="1" containsNumber="1" minValue="0" maxValue="321581.11"/>
    </cacheField>
    <cacheField name="IVA aceptado" numFmtId="0">
      <sharedItems containsString="0" containsBlank="1" containsNumber="1" minValue="0" maxValue="2488527.6812003311"/>
    </cacheField>
    <cacheField name="Aceptado con Imptos" numFmtId="0">
      <sharedItems containsSemiMixedTypes="0" containsString="0" containsNumber="1" minValue="0" maxValue="18052536.583460554"/>
    </cacheField>
    <cacheField name="Pendiente (antes impto)" numFmtId="0">
      <sharedItems containsString="0" containsBlank="1" containsNumber="1" minValue="-2.2592670284211636E-3" maxValue="89585265.106097609"/>
    </cacheField>
    <cacheField name="IEPS pendiente" numFmtId="0">
      <sharedItems containsString="0" containsBlank="1" containsNumber="1" minValue="-3.5304167213325854E-3" maxValue="2507350.5739595997"/>
    </cacheField>
    <cacheField name="IVA pendiente" numFmtId="0">
      <sharedItems containsString="0" containsBlank="1" containsNumber="1" minValue="-7.4996305047534406E-3" maxValue="5946668.1592519898"/>
    </cacheField>
    <cacheField name="Pendiente con Imptos" numFmtId="43">
      <sharedItems containsSemiMixedTypes="0" containsString="0" containsNumber="1" minValue="-3.5304167213325854E-3" maxValue="97167061.675997049"/>
    </cacheField>
    <cacheField name="Soportado (no procede antes impto)" numFmtId="0">
      <sharedItems containsString="0" containsBlank="1" containsNumber="1" minValue="0" maxValue="8090377.5300000003"/>
    </cacheField>
    <cacheField name="IEPS no procede" numFmtId="0">
      <sharedItems containsString="0" containsBlank="1" containsNumber="1" minValue="0" maxValue="593318.51"/>
    </cacheField>
    <cacheField name="IVA no procede" numFmtId="0">
      <sharedItems containsString="0" containsBlank="1" containsNumber="1" minValue="0" maxValue="731258.61"/>
    </cacheField>
    <cacheField name="Soportado con Imptos" numFmtId="43">
      <sharedItems containsSemiMixedTypes="0" containsString="0" containsNumber="1" minValue="0" maxValue="8821636.1400000006"/>
    </cacheField>
    <cacheField name="NS 2020-2024 antes de impuestos" numFmtId="43">
      <sharedItems containsString="0" containsBlank="1" containsNumber="1" minValue="87.6" maxValue="150564818.58000001"/>
    </cacheField>
    <cacheField name="Tipo Proveedor" numFmtId="43">
      <sharedItems/>
    </cacheField>
    <cacheField name="TOTAL (antes impto)" numFmtId="43">
      <sharedItems containsSemiMixedTypes="0" containsString="0" containsNumber="1" minValue="55.01" maxValue="89585265.106097609"/>
    </cacheField>
    <cacheField name="TOTAL (con impto)" numFmtId="43">
      <sharedItems containsSemiMixedTypes="0" containsString="0" containsNumber="1" minValue="63.817099999999996" maxValue="97167061.675997049"/>
    </cacheField>
    <cacheField name="dif" numFmtId="43">
      <sharedItems containsSemiMixedTypes="0" containsString="0" containsNumber="1" minValue="-0.83949741371907294" maxValue="1.3499264195561409"/>
    </cacheField>
    <cacheField name="Parcialidad" numFmtId="43">
      <sharedItems containsBlank="1" containsMixedTypes="1" containsNumber="1" minValue="0" maxValue="2714666.1169558228"/>
    </cacheField>
    <cacheField name="Accionable" numFmtId="43">
      <sharedItems/>
    </cacheField>
    <cacheField name="Avisos en Portal" numFmtId="43">
      <sharedItems containsSemiMixedTypes="0" containsString="0" containsNumber="1" containsInteger="1" minValue="4" maxValue="4"/>
    </cacheField>
    <cacheField name="Correos de seguimiento" numFmtId="43">
      <sharedItems containsSemiMixedTypes="0" containsString="0" containsNumber="1" containsInteger="1" minValue="0" maxValue="10"/>
    </cacheField>
    <cacheField name="Observación actual" numFmtId="0">
      <sharedItems containsBlank="1" containsMixedTypes="1" containsNumber="1" containsInteger="1" minValue="0" maxValue="0" longText="1"/>
    </cacheField>
    <cacheField name="contacto" numFmtId="43">
      <sharedItems count="3">
        <s v="CON CONTACTO"/>
        <s v="SIN CONTACTO"/>
        <s v="CONTACTO" u="1"/>
      </sharedItems>
    </cacheField>
    <cacheField name="ESTATUS_1" numFmtId="0">
      <sharedItems count="6">
        <s v="DEFINICION FINANZAS"/>
        <s v="NEGATIVA ACLARACIONES"/>
        <s v="PDTE POR PROVEEDOR"/>
        <s v="CERRADO"/>
        <s v="SIN ACLARACION"/>
        <s v="PDTE POR AUDITORIA"/>
      </sharedItems>
    </cacheField>
    <cacheField name="Asignación" numFmtId="0">
      <sharedItems/>
    </cacheField>
    <cacheField name="Importe reclama proveedor" numFmtId="0">
      <sharedItems containsString="0" containsBlank="1" containsNumber="1" minValue="726.7" maxValue="97167061.569900006"/>
    </cacheField>
    <cacheField name="Solicita Proveedor en aclaración" numFmtId="0">
      <sharedItems containsBlank="1"/>
    </cacheField>
    <cacheField name="Folios en aclaración" numFmtId="0">
      <sharedItems containsString="0" containsBlank="1" containsNumber="1" containsInteger="1" minValue="1" maxValue="16"/>
    </cacheField>
    <cacheField name="Soporte en poratl" numFmtId="0">
      <sharedItems containsBlank="1"/>
    </cacheField>
    <cacheField name="Fecha Contacto" numFmtId="0">
      <sharedItems containsNonDate="0" containsDate="1" containsString="0" containsBlank="1" minDate="2026-01-16T00:00:00" maxDate="2026-02-24T00:00:00"/>
    </cacheField>
    <cacheField name="Fecha se envió detalle" numFmtId="15">
      <sharedItems containsNonDate="0" containsDate="1" containsString="0" containsBlank="1" minDate="2026-01-19T00:00:00" maxDate="2026-10-29T00:00:00"/>
    </cacheField>
    <cacheField name="Confirmacion recibo" numFmtId="0">
      <sharedItems containsDate="1" containsBlank="1" containsMixedTypes="1" minDate="2026-01-19T00:00:00" maxDate="2026-10-29T00:00:00"/>
    </cacheField>
    <cacheField name="Fecha reunión" numFmtId="0">
      <sharedItems containsDate="1" containsBlank="1" containsMixedTypes="1" minDate="2026-01-22T00:00:00" maxDate="2026-10-29T00:00:00"/>
    </cacheField>
    <cacheField name="Comentarios" numFmtId="0">
      <sharedItems containsBlank="1" longText="1"/>
    </cacheField>
    <cacheField name="ESTATUS" numFmtId="0">
      <sharedItems containsBlank="1"/>
    </cacheField>
    <cacheField name="Aclaracion Portal" numFmtId="0">
      <sharedItems containsBlank="1"/>
    </cacheField>
    <cacheField name="Correo auditor" numFmtId="0">
      <sharedItems containsBlank="1"/>
    </cacheField>
    <cacheField name="Comercial" numFmtId="0">
      <sharedItems containsBlank="1"/>
    </cacheField>
    <cacheField name="Observacion" numFmtId="0">
      <sharedItems containsBlank="1" longText="1"/>
    </cacheField>
    <cacheField name="Liga contacto"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pez, Monica" refreshedDate="46153.688058449072" createdVersion="8" refreshedVersion="8" minRefreshableVersion="3" recordCount="25" xr:uid="{31DE0ED7-D488-4247-89E0-E2EC0B702F1F}">
  <cacheSource type="worksheet">
    <worksheetSource ref="B3:O28" sheet="Reembolsos"/>
  </cacheSource>
  <cacheFields count="13">
    <cacheField name="Proveedor" numFmtId="0">
      <sharedItems containsSemiMixedTypes="0" containsString="0" containsNumber="1" containsInteger="1" minValue="696" maxValue="398024" count="23">
        <n v="696"/>
        <n v="3137"/>
        <n v="48298"/>
        <n v="311159"/>
        <n v="8939"/>
        <n v="325258"/>
        <n v="397984"/>
        <n v="397985"/>
        <n v="397986"/>
        <n v="397987"/>
        <n v="397988"/>
        <n v="76471"/>
        <n v="398024"/>
        <n v="21869"/>
        <n v="308421"/>
        <n v="8593"/>
        <n v="384776"/>
        <n v="77974"/>
        <n v="11361"/>
        <n v="13642"/>
        <n v="11914"/>
        <n v="318980"/>
        <n v="3566"/>
      </sharedItems>
    </cacheField>
    <cacheField name="Nombre" numFmtId="0">
      <sharedItems/>
    </cacheField>
    <cacheField name="Aplicado con Impto" numFmtId="0">
      <sharedItems containsSemiMixedTypes="0" containsString="0" containsNumber="1" minValue="16461.23" maxValue="13439248.149999999"/>
    </cacheField>
    <cacheField name="Debe aplicar" numFmtId="0">
      <sharedItems containsString="0" containsBlank="1" containsNumber="1" minValue="0" maxValue="1444913.9157000007"/>
    </cacheField>
    <cacheField name="Total reembolsar" numFmtId="0">
      <sharedItems containsSemiMixedTypes="0" containsString="0" containsNumber="1" minValue="7548.9" maxValue="7962909.7199999997"/>
    </cacheField>
    <cacheField name="subtotal" numFmtId="0">
      <sharedItems containsSemiMixedTypes="0" containsString="0" containsNumber="1" minValue="7548.9" maxValue="6864577.3399999999"/>
    </cacheField>
    <cacheField name="IEPS" numFmtId="0">
      <sharedItems containsString="0" containsBlank="1" containsNumber="1" minValue="0" maxValue="663285.57167325192"/>
    </cacheField>
    <cacheField name="IVA" numFmtId="0">
      <sharedItems containsSemiMixedTypes="0" containsString="0" containsNumber="1" minValue="0" maxValue="1098332.3799999999"/>
    </cacheField>
    <cacheField name="tasa IEPS" numFmtId="0">
      <sharedItems containsSemiMixedTypes="0" containsString="0" containsNumber="1" minValue="0" maxValue="0.53"/>
    </cacheField>
    <cacheField name="tasa IVA" numFmtId="0">
      <sharedItems containsSemiMixedTypes="0" containsString="0" containsNumber="1" minValue="0" maxValue="0.16000012174484715"/>
    </cacheField>
    <cacheField name="enviado a contraloria" numFmtId="0">
      <sharedItems containsNonDate="0" containsDate="1" containsString="0" containsBlank="1" minDate="2026-03-30T00:00:00" maxDate="2026-05-09T00:00:00"/>
    </cacheField>
    <cacheField name="Auditor" numFmtId="0">
      <sharedItems/>
    </cacheField>
    <cacheField name="comentario auditoria"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2">
  <r>
    <n v="66738"/>
    <x v="0"/>
    <n v="89585265.106097609"/>
    <n v="2507350.5739595997"/>
    <n v="5074445.9959398406"/>
    <n v="97167061.569900006"/>
    <n v="0"/>
    <m/>
    <m/>
    <m/>
    <n v="0"/>
    <n v="89585265.106097609"/>
    <n v="2507350.5739595997"/>
    <n v="5074445.9959398406"/>
    <n v="97167061.675997049"/>
    <m/>
    <m/>
    <m/>
    <n v="0"/>
    <n v="72733062.370000005"/>
    <s v="TOP - Aclaracion"/>
    <n v="89585265.106097609"/>
    <n v="97167061.675997049"/>
    <n v="-0.10609704256057739"/>
    <n v="0"/>
    <s v="Revisión"/>
    <n v="4"/>
    <n v="3"/>
    <s v="Proveedor indica se validará con Dirección el saldo de esta Auditoria."/>
    <x v="0"/>
    <x v="0"/>
    <s v="Perla"/>
    <n v="97167061.569900006"/>
    <m/>
    <m/>
    <m/>
    <d v="2026-01-19T00:00:00"/>
    <d v="2026-01-19T00:00:00"/>
    <m/>
    <m/>
    <s v="En validaciòn por parte de Proveedor, se tiene programada reuniòn el 26 de enero, en espera de confirmaciòn de horario. Negativa de proveedor."/>
    <m/>
    <m/>
    <m/>
    <m/>
    <s v="En validaciòn por parte de Proveedor, se tiene programada reuniòn  el 26 de enero, en espera de confirmaciòn de horario."/>
    <s v="julioarturo.gomez@mdlz.com"/>
  </r>
  <r>
    <n v="9647"/>
    <x v="1"/>
    <n v="37170939.991021603"/>
    <n v="0"/>
    <n v="5946668.1592519898"/>
    <n v="43117609.500200011"/>
    <n v="0"/>
    <m/>
    <m/>
    <m/>
    <n v="0"/>
    <n v="37170939.991021603"/>
    <n v="0"/>
    <n v="5946668.1592519898"/>
    <n v="43117608.150273591"/>
    <m/>
    <m/>
    <m/>
    <n v="0"/>
    <n v="150564818.58000001"/>
    <s v="TOP - Aclaracion"/>
    <n v="37170939.991021603"/>
    <n v="43117608.150273591"/>
    <n v="1.3499264195561409"/>
    <n v="0"/>
    <s v="Revisión"/>
    <n v="4"/>
    <n v="3"/>
    <s v="Tema interno"/>
    <x v="0"/>
    <x v="1"/>
    <s v="Raul"/>
    <n v="43117609.479999997"/>
    <s v="DETALLE DE LOS CARGOS EN EL PORTAL"/>
    <m/>
    <m/>
    <d v="2026-01-21T00:00:00"/>
    <d v="2026-01-21T00:00:00"/>
    <m/>
    <m/>
    <s v="Se le aclara a proveedor el periodo de revisión"/>
    <s v="Casos abiertos( En proceso)"/>
    <s v="X"/>
    <m/>
    <m/>
    <m/>
    <s v="pablo.candelas@loreal.com"/>
  </r>
  <r>
    <n v="24232"/>
    <x v="2"/>
    <n v="17089111.16012286"/>
    <n v="15021.683508218999"/>
    <n v="2502789.4134380124"/>
    <n v="19606921.750600003"/>
    <n v="5384790.1299999999"/>
    <n v="2911551.17"/>
    <n v="0"/>
    <n v="325961.06"/>
    <n v="3237512.23"/>
    <n v="13583753.93012286"/>
    <n v="15021.683508218999"/>
    <n v="2082634.2134380122"/>
    <n v="15681409.827069091"/>
    <n v="593806.06000000006"/>
    <n v="0"/>
    <n v="94194.14"/>
    <n v="688000.20000000007"/>
    <n v="19425852.949999999"/>
    <s v="TOP - Aclaracion"/>
    <n v="17089111.16012286"/>
    <n v="19606922.257069089"/>
    <n v="-0.50646908581256866"/>
    <m/>
    <s v="Aplicar"/>
    <n v="4"/>
    <n v="10"/>
    <s v="20-feb-2026 se comparte con proveedor saldo improcedente por 688K de acuerdo con soportes validados, en espera de soportes y respuesta del saldo restante (proveedor manda correo a Dir Comercial con la afectación al margen en caso de que se cobre el saldo)"/>
    <x v="0"/>
    <x v="2"/>
    <s v="Samuel"/>
    <m/>
    <s v="SOLICITA DETALLE DE 3 RAZONES QUE MANEJA (GRISI,COMBE,DIGRIMEX)"/>
    <m/>
    <m/>
    <d v="2026-01-20T00:00:00"/>
    <d v="2026-01-20T00:00:00"/>
    <m/>
    <m/>
    <s v="Proveedor pide prorroga"/>
    <m/>
    <m/>
    <s v="X"/>
    <m/>
    <s v="Se revisan evidencias enviadas por proveedor, pero no soportan la imprcedencia del saldo"/>
    <s v="alberto.saenz@grisi.com"/>
  </r>
  <r>
    <n v="4077"/>
    <x v="3"/>
    <n v="15564008.902260222"/>
    <n v="0"/>
    <n v="2488527.6812003311"/>
    <n v="18052536.238299999"/>
    <n v="0"/>
    <n v="15564008.902260222"/>
    <n v="0"/>
    <n v="2488527.6812003311"/>
    <n v="18052536.583460554"/>
    <n v="0"/>
    <n v="0"/>
    <n v="0"/>
    <n v="0"/>
    <m/>
    <m/>
    <m/>
    <n v="0"/>
    <n v="24076668.32"/>
    <s v="TOP - Aclaracion"/>
    <n v="15564008.902260222"/>
    <n v="18052536.583460554"/>
    <n v="-0.34516055509448051"/>
    <m/>
    <s v="Cerrado/Aplicar"/>
    <n v="4"/>
    <n v="0"/>
    <n v="0"/>
    <x v="0"/>
    <x v="3"/>
    <s v="Yessenia"/>
    <n v="18052536.23"/>
    <s v="DETALLE DE LOS CARGOS EN EL PORTAL"/>
    <m/>
    <m/>
    <d v="2026-01-23T00:00:00"/>
    <d v="2026-01-23T00:00:00"/>
    <m/>
    <m/>
    <s v="Proveedor acepta parte del monto $18,022,712.44 y quedado es espera de soporte de no aceptado de $29,823.79"/>
    <s v="Casos cerrados"/>
    <s v="X"/>
    <m/>
    <m/>
    <s v="correo compartido por Ambriz Ruiz Jair Alejandro &lt;jairar@soriana.com&gt;"/>
    <s v="josemiguel.migoya@beiersdorf.com"/>
  </r>
  <r>
    <n v="76471"/>
    <x v="4"/>
    <n v="11585558.746851256"/>
    <n v="0"/>
    <n v="1853689.4076162009"/>
    <n v="13439248.042299999"/>
    <n v="7285186.3399999999"/>
    <m/>
    <m/>
    <m/>
    <n v="0"/>
    <n v="11585558.746851256"/>
    <n v="0"/>
    <n v="1853689.4076162009"/>
    <n v="13439248.154467456"/>
    <m/>
    <m/>
    <m/>
    <n v="0"/>
    <n v="22858397.27"/>
    <s v="TOP - Sin aclaracion"/>
    <n v="11585558.746851256"/>
    <n v="13439248.154467456"/>
    <n v="-0.11216745711863041"/>
    <n v="0"/>
    <s v="Aplicar"/>
    <n v="4"/>
    <n v="1"/>
    <s v="Sin comentarios del proveedor."/>
    <x v="0"/>
    <x v="4"/>
    <s v="Olfi"/>
    <m/>
    <m/>
    <m/>
    <m/>
    <m/>
    <d v="2026-01-28T00:00:00"/>
    <m/>
    <m/>
    <s v="Se le manda correo al proveedor, informandole sobre la auditoria del 2025"/>
    <m/>
    <m/>
    <m/>
    <m/>
    <m/>
    <s v="luis.quesadamoreno@newellco.com"/>
  </r>
  <r>
    <n v="99457"/>
    <x v="5"/>
    <n v="10217048.382410197"/>
    <n v="0"/>
    <n v="959842.66932052339"/>
    <n v="11176890.675400002"/>
    <n v="2355255"/>
    <n v="2126670.85"/>
    <m/>
    <n v="228584.06"/>
    <n v="2355254.91"/>
    <n v="2.4101966992020607E-3"/>
    <n v="0"/>
    <n v="-6.7947659408673644E-4"/>
    <n v="1.7307201051153243E-3"/>
    <n v="8090377.5300000003"/>
    <m/>
    <n v="731258.61"/>
    <n v="8821636.1400000006"/>
    <n v="15169011.470000001"/>
    <s v="TOP - Aclaracion"/>
    <n v="10217048.382410197"/>
    <n v="11176891.05173072"/>
    <n v="-0.37633071839809418"/>
    <m/>
    <s v="Cerrado/Aplicar"/>
    <n v="4"/>
    <n v="0"/>
    <n v="0"/>
    <x v="0"/>
    <x v="3"/>
    <s v="Luis"/>
    <n v="9215790.5500000007"/>
    <m/>
    <m/>
    <m/>
    <d v="2026-01-27T00:00:00"/>
    <d v="2026-01-27T00:00:00"/>
    <d v="2026-01-27T00:00:00"/>
    <m/>
    <s v="Proveedor se contacta con Ana Ruth/Ruben/Tere para solicitar prórroga de los saldos publicados en portal"/>
    <m/>
    <s v="X"/>
    <m/>
    <m/>
    <m/>
    <s v="antonio.palacios@essity.com"/>
  </r>
  <r>
    <n v="8593"/>
    <x v="6"/>
    <n v="8613844.6423914563"/>
    <n v="0"/>
    <n v="1378215.144882632"/>
    <n v="9992059.629999999"/>
    <n v="0"/>
    <m/>
    <m/>
    <m/>
    <n v="0"/>
    <n v="8613844.6423914563"/>
    <n v="0"/>
    <n v="1378215.144882632"/>
    <n v="9992059.7872740887"/>
    <m/>
    <m/>
    <m/>
    <n v="0"/>
    <n v="6020405.9699999997"/>
    <s v="TOP - Aclaracion"/>
    <n v="8613844.6423914563"/>
    <n v="9992059.7872740887"/>
    <n v="-0.15727408975362778"/>
    <n v="0"/>
    <s v="Aplicar"/>
    <n v="4"/>
    <n v="8"/>
    <s v="Proveedor menciona tiene reunión con dirección comercial Soriana el 19 de febrero. Al dia de hoy sin comentarios o soportes por parte del proveedor."/>
    <x v="0"/>
    <x v="2"/>
    <s v="Samuel"/>
    <n v="9992059.629999999"/>
    <s v="CARGOS YA APLICADOS ANTERIORMENTE (CARGO IMPROCEDENTE)"/>
    <n v="11"/>
    <m/>
    <d v="2026-01-20T00:00:00"/>
    <d v="2026-01-23T00:00:00"/>
    <m/>
    <m/>
    <s v="En validación de información, proveedor solicita reunión 28-ene-26. Proveedor argumenta que los cargos no proceden porque le han hecho otros cargos improcedentes."/>
    <m/>
    <s v="X"/>
    <m/>
    <m/>
    <m/>
    <s v="victorsanchez@wsports.mx"/>
  </r>
  <r>
    <n v="90738"/>
    <x v="5"/>
    <n v="7245863.517740733"/>
    <n v="0"/>
    <n v="1159338.1675414285"/>
    <n v="8405201.680399999"/>
    <n v="3749487.96"/>
    <n v="3232317.21"/>
    <m/>
    <n v="517170.75"/>
    <n v="3749487.96"/>
    <n v="-2.2592670284211636E-3"/>
    <n v="0"/>
    <n v="0.21754142851568758"/>
    <n v="0.21528216148726642"/>
    <n v="4013546.31"/>
    <m/>
    <n v="642167.19999999995"/>
    <n v="4655713.51"/>
    <n v="14487404.289999999"/>
    <s v="TOP - Aclaracion"/>
    <n v="7245863.517740733"/>
    <n v="8405201.6852821615"/>
    <n v="-4.8821624368429184E-3"/>
    <m/>
    <s v="Cerrado/Aplicar"/>
    <n v="4"/>
    <n v="0"/>
    <n v="0"/>
    <x v="0"/>
    <x v="3"/>
    <s v="Luis"/>
    <n v="4650882.8"/>
    <m/>
    <m/>
    <m/>
    <d v="2026-01-27T00:00:00"/>
    <d v="2026-01-27T00:00:00"/>
    <d v="2026-01-27T00:00:00"/>
    <m/>
    <s v="Proveedor se contacta con Ruben/Tere para solicitar prórroga de los saldos publicados en portal"/>
    <m/>
    <s v="X"/>
    <m/>
    <m/>
    <m/>
    <s v="claudia.morales@essity.com"/>
  </r>
  <r>
    <n v="20125"/>
    <x v="7"/>
    <n v="7139158.7482612422"/>
    <n v="0"/>
    <n v="1142265.399721799"/>
    <n v="8281424.1500000004"/>
    <n v="3000000"/>
    <m/>
    <m/>
    <m/>
    <n v="0"/>
    <n v="4948440.2882612422"/>
    <n v="0"/>
    <n v="791750.449721799"/>
    <n v="5740190.7379830414"/>
    <n v="2190718.46"/>
    <n v="0"/>
    <n v="350514.95"/>
    <n v="2541233.41"/>
    <n v="4964584.08"/>
    <s v="TOP - Sin aclaracion"/>
    <n v="7139158.7482612422"/>
    <n v="8281424.1479830416"/>
    <n v="2.0169587805867195E-3"/>
    <m/>
    <s v="Aplicar"/>
    <n v="4"/>
    <n v="3"/>
    <s v="03 Contactos_x000a_28 ene: correo de contacto inicial_x000a_04 feb: reunión vía TEAMS_x000a_06 feb  El proveedor envia soportes que desestima $2,541 incluido impuesto. Proveedor solicita 10 días adicionales para recabar el monto $5,740 incluido impuestos. El Proveedor copia área Comercial solicitando apoyo en los 10 días"/>
    <x v="0"/>
    <x v="2"/>
    <s v="Andrea"/>
    <n v="544291.47"/>
    <s v="ERROR EN EL CALCULO DEL CARGO SOLICTA EL REEMBOLSO"/>
    <n v="6"/>
    <m/>
    <d v="2026-02-03T00:00:00"/>
    <d v="2026-01-28T00:00:00"/>
    <m/>
    <d v="2026-02-04T00:00:00"/>
    <s v="Se envía correo informando que el comunicado de cargo NS correspondiente al periodo de enero a agosto de 2025 ya se encuentra publicado en el Portal. El detalle del mismo también está disponible desglosado en el Portal. Se adjunta manual de visualizacion de Cargos.//03 FEB el area de Aclaraciones envia correo, se contacta al Proveedor y se realizara reunion el dia 04 feb para revisar el detalle que presenta diferencias y confirmar el monto a favor de Soriana.//04 feb se realiza reunion con Equipo de Midea, quienes presentan diferencias en unidades pedidas segun su sistema, hacemos el ejercicio de revisar puntualmente 5 Ordenes de compra e identifcamos que la cantidad que tiene en su archivo Midea es la real Facturada, por lo que validaran internamente el restante de las ordenes de compra.// 05 feb El proveedor envió correos informando que los camiones permanecieron en el CEDI por más de 30 horas sin que se les pudiera recibir. Asimismo, compartieron un correo con el equipo Comercial de Soriana notificando esta situación y solicitando, por favor, que las órdenes de compra (OC) fueran excluidas de la penalización por nivel de servicio (NS). Proveedor relaciona en excel el valor de $2,541,233.37 pero solo envia soportes de $1,742,928.70// 06 feb El proveedor correo soporte de dos ordenes de compra adicional, por lo tanto no procede el monto de $2.541.233.37 impuestos incluidos."/>
    <s v="Casos abiertos( En proceso)"/>
    <s v="X"/>
    <m/>
    <m/>
    <m/>
    <s v="marco.heredia@midea.com"/>
  </r>
  <r>
    <n v="56150"/>
    <x v="8"/>
    <n v="5860104.4459649464"/>
    <n v="417698.03941792349"/>
    <n v="0"/>
    <n v="6277802.3108000038"/>
    <n v="4911449.5599999996"/>
    <n v="4598868.4400000004"/>
    <n v="321581.11"/>
    <n v="0"/>
    <n v="4920449.5500000007"/>
    <n v="0"/>
    <m/>
    <n v="0"/>
    <n v="0"/>
    <n v="1261236.005964946"/>
    <n v="96116.9294179235"/>
    <n v="0"/>
    <n v="1357352.9353828696"/>
    <n v="17817197.670000002"/>
    <s v="TOP - Aclaracion"/>
    <n v="5860104.4459649464"/>
    <n v="6277802.4853828698"/>
    <n v="-0.17458286602050066"/>
    <m/>
    <s v="Cerrado/Aplicar"/>
    <n v="4"/>
    <n v="0"/>
    <n v="0"/>
    <x v="0"/>
    <x v="3"/>
    <s v="Jessica"/>
    <n v="6277802.3108000038"/>
    <s v="DETALLE DE LOS CARGOS EN EL PORTAL"/>
    <m/>
    <m/>
    <d v="2026-01-20T00:00:00"/>
    <d v="2026-03-09T00:00:00"/>
    <m/>
    <m/>
    <s v="Proveedor acepto de manera parcial, envio soportes para su validacion"/>
    <m/>
    <s v="X"/>
    <m/>
    <m/>
    <s v="En reunión proveedor nos comenta que ya descargo la información del portal sin embargo requiere la fecha pedido"/>
    <s v="srosas@hersheys.com"/>
  </r>
  <r>
    <n v="81653"/>
    <x v="9"/>
    <n v="5448761.513050261"/>
    <n v="8396.2742444959986"/>
    <n v="1307.9176999999997"/>
    <n v="5458465.6876000008"/>
    <n v="788390.22"/>
    <m/>
    <m/>
    <m/>
    <n v="0"/>
    <n v="5448761.513050261"/>
    <n v="8396.2742444959986"/>
    <n v="1307.9176999999997"/>
    <n v="5458465.7049947567"/>
    <m/>
    <m/>
    <m/>
    <n v="0"/>
    <n v="4400579.5"/>
    <s v="TOP - Sin aclaracion"/>
    <n v="5448761.513050261"/>
    <n v="5458465.7049947567"/>
    <n v="-1.7394755966961384E-2"/>
    <n v="0"/>
    <s v="Aplicar"/>
    <n v="4"/>
    <n v="1"/>
    <s v="Sin comentarios del proveedor.(1 correo seguimiento)"/>
    <x v="0"/>
    <x v="4"/>
    <s v="Yessica"/>
    <m/>
    <m/>
    <m/>
    <m/>
    <m/>
    <d v="2026-01-28T00:00:00"/>
    <m/>
    <m/>
    <s v="Se envia Manual y detalle NS 2025"/>
    <m/>
    <m/>
    <m/>
    <m/>
    <s v="Se envia Manual y detalle NS 2025"/>
    <s v="juan.hernandez@kraftheinz.com"/>
  </r>
  <r>
    <n v="61713"/>
    <x v="10"/>
    <n v="4432996.1469949866"/>
    <n v="0"/>
    <n v="709279.41425734991"/>
    <n v="5142275.5299999993"/>
    <n v="0"/>
    <n v="2405824.58"/>
    <m/>
    <n v="384931.93"/>
    <n v="2790756.5100000002"/>
    <n v="533120.62000000011"/>
    <n v="0"/>
    <n v="85299.299200000023"/>
    <n v="618419.91920000012"/>
    <n v="1494050.95"/>
    <m/>
    <n v="239048.17"/>
    <n v="1733099.1199999999"/>
    <n v="9975341.1799999997"/>
    <s v="TOP - Sin aclaracion"/>
    <n v="4432996.1500000004"/>
    <n v="5142275.5492000002"/>
    <n v="-1.9200000911951065E-2"/>
    <m/>
    <s v="Revisión"/>
    <n v="4"/>
    <n v="5"/>
    <s v="Proveedor quedó en compartir evidencia adicional esta semana 23-feb-2026, aprobacion de compras Soriana de omisión de cobros."/>
    <x v="0"/>
    <x v="2"/>
    <s v="Raul"/>
    <m/>
    <m/>
    <m/>
    <m/>
    <m/>
    <d v="2026-01-28T00:00:00"/>
    <m/>
    <m/>
    <s v="Se le manda correo al proveedor, informandole sobre la auditoria del 2025"/>
    <s v="Casos abiertos( En proceso)"/>
    <m/>
    <m/>
    <m/>
    <m/>
    <s v="Oscar Daniel Rios Garcia"/>
  </r>
  <r>
    <n v="398024"/>
    <x v="11"/>
    <n v="4901364.6398046762"/>
    <n v="0"/>
    <n v="0"/>
    <n v="4901364.6459999997"/>
    <n v="4901364.63"/>
    <m/>
    <m/>
    <m/>
    <n v="0"/>
    <n v="4901364.6398046762"/>
    <n v="0"/>
    <n v="0"/>
    <n v="4901364.6398046762"/>
    <m/>
    <m/>
    <m/>
    <n v="0"/>
    <n v="20851674.609999999"/>
    <s v="TOP - Sin aclaracion"/>
    <n v="4901364.6398046762"/>
    <n v="4901364.6398046762"/>
    <n v="6.1953235417604446E-3"/>
    <n v="0"/>
    <s v="Aplicar"/>
    <n v="4"/>
    <n v="1"/>
    <n v="0"/>
    <x v="0"/>
    <x v="4"/>
    <s v="Yessenia"/>
    <m/>
    <m/>
    <m/>
    <m/>
    <m/>
    <m/>
    <m/>
    <m/>
    <m/>
    <m/>
    <m/>
    <m/>
    <m/>
    <m/>
    <s v="lcedillo@pinsa.com"/>
  </r>
  <r>
    <n v="34934"/>
    <x v="12"/>
    <n v="4076300.1902987002"/>
    <n v="0"/>
    <n v="652208.03044779203"/>
    <n v="4728508.2299999995"/>
    <n v="0"/>
    <n v="1718185"/>
    <n v="0"/>
    <n v="274909.59999999998"/>
    <n v="1993094.6"/>
    <n v="0"/>
    <n v="0"/>
    <n v="0"/>
    <n v="0"/>
    <n v="2358115"/>
    <n v="0"/>
    <n v="377298.43"/>
    <n v="2735413.43"/>
    <n v="11263015.85"/>
    <s v="TOP - Aclaracion"/>
    <n v="4076300"/>
    <n v="4728508.03"/>
    <n v="0.19999999925494194"/>
    <m/>
    <s v="Revisión"/>
    <n v="4"/>
    <n v="6"/>
    <s v="03-03-2026 - En reunión presencial con el proveedor, este presenta soportes que disminuyen el valor de la diferencia presentada - se hace recalculo y se vuelve a enviar al proveedor para su aceptación_x000a_16-feb-2026 se informa a proveedor que el soporte que envia (Oleaje, resurtidos) no especicifa los pedidos publicados."/>
    <x v="0"/>
    <x v="2"/>
    <s v="Marcela"/>
    <n v="4728508.2300000004"/>
    <s v="REEMBOLSO DEL CARGO"/>
    <n v="6"/>
    <m/>
    <d v="2026-01-28T00:00:00"/>
    <d v="2026-01-28T00:00:00"/>
    <m/>
    <m/>
    <s v="Proveedor comparte soportes del no cobro de NS"/>
    <m/>
    <s v="X"/>
    <m/>
    <m/>
    <m/>
    <s v="OMAR.JURADO@CARVAJAL.COM"/>
  </r>
  <r>
    <n v="38893"/>
    <x v="13"/>
    <n v="3414125.3943006587"/>
    <n v="0"/>
    <n v="546260.19056034519"/>
    <n v="3960385.4404999996"/>
    <n v="0"/>
    <m/>
    <m/>
    <m/>
    <n v="0"/>
    <n v="3414125.3943006587"/>
    <n v="0"/>
    <n v="546260.19056034519"/>
    <n v="3960385.5848610038"/>
    <m/>
    <m/>
    <m/>
    <n v="0"/>
    <n v="10412713.99"/>
    <s v="TOP - Sin aclaracion"/>
    <n v="3414125.3943006587"/>
    <n v="3960385.5848610038"/>
    <n v="-0.14436100423336029"/>
    <n v="0"/>
    <s v="Revisión"/>
    <n v="4"/>
    <n v="8"/>
    <s v="08 contactos_x000a_ 29 ene: Agenda de reunion via TEAMs_x000a_03 feb: reunion via TEAMS donde se deja claro que el tiempo estimado para NS2025 no se mueve._x000a_04 feb: Proveedor indica que la metodologia de liquidacion presenta diferencias.Se solicita compartir el detalle._x000a_10 feb : Proveedor envia detalle_x000a_18-feb-2026 se aclaró con proveedor la metodología del calculo y se solicitó enviar evidencias._x000a_25 feb: Se envia correo al Proveedor solicitando la revisión e informando que debemos cerrar en febrero 2026._x000a_27 feb 2026: El proveedor envia correo informando que esta revisando que le demos al finalizar la próxima semana_x000a_27 feb 2026: Auditoria envia correo solicitando nos compartan las revisiones que ya tengan listas, dado que se otorgo una prorroga al 04 de marzo para cerrar."/>
    <x v="0"/>
    <x v="2"/>
    <s v="Yessenia"/>
    <m/>
    <m/>
    <m/>
    <m/>
    <m/>
    <d v="2026-01-29T00:00:00"/>
    <m/>
    <d v="2026-02-03T00:00:00"/>
    <s v="29 ene 2026: el proveedor envia correo informando que esta revisando el detalle y requiere una plazo de 30 dias. Auditoria envia respuesta informando que no es posible ampliar el plazo dado que es un proceso a nivel institucional, no obstante estamos en disposición de apoyar en cualquier inquietud, duda o información adicional.//03 feb reunión con Proveedor se informo que el plazo no se puede extender y quedaron de enviar soportes en la tarde/"/>
    <s v="Casos abiertos( En proceso)"/>
    <m/>
    <s v="SI"/>
    <m/>
    <s v="Se acercó el proveedor con Andrea solicitando el detalle correspondiente."/>
    <s v="irais.quiroga@softys.com"/>
  </r>
  <r>
    <n v="44040"/>
    <x v="14"/>
    <n v="2578675.1164151477"/>
    <n v="692321.95791620179"/>
    <n v="523359.53192901524"/>
    <n v="3794356.5999999964"/>
    <n v="0"/>
    <m/>
    <m/>
    <m/>
    <n v="0"/>
    <n v="359743.56"/>
    <n v="99003.45"/>
    <n v="73399.520000000004"/>
    <n v="532146.53"/>
    <n v="2218931.56"/>
    <n v="593318.51"/>
    <n v="449960.01"/>
    <n v="3262210.08"/>
    <n v="3854818.94"/>
    <s v="TOP - Sin aclaracion"/>
    <n v="2578675.12"/>
    <n v="3794356.6100000003"/>
    <n v="-1.0000003967434168E-2"/>
    <m/>
    <s v="Revisión"/>
    <n v="4"/>
    <n v="8"/>
    <s v="Se envìo correo el  20-feb-26 nitificando el resultado despues de realizar la revisión de la inforamación recibida,se solicto soportes del saldo pendiente_x000a_S informa al proveedor el importe pendiente de soportes con el resultado final del analisis segun información recibida, se obtienes respuesta de su parte confirmando la información recibida"/>
    <x v="0"/>
    <x v="2"/>
    <s v="Olfi"/>
    <m/>
    <m/>
    <m/>
    <m/>
    <m/>
    <d v="2026-01-28T00:00:00"/>
    <s v="Si"/>
    <m/>
    <s v="Se le manda correo al proveedor, informandole sobre la auditoria del 2025_x000a_Se revisa soportes recibidos los cuales no son procedentes, se soliciat soportes que validen el archivo adjunto y se vuelve a enviar la información_x000a_Proveedor envia estado de cuenta donde se visualizan los pedidos con pagos aplicados de lo que se reclaman, se realiza cruce de archivo de salida con soporte y se descarga el resultado de SAP para cotejar la información"/>
    <m/>
    <m/>
    <s v="X"/>
    <m/>
    <m/>
    <s v="mrgarciac@bepensa.com"/>
  </r>
  <r>
    <n v="54569"/>
    <x v="15"/>
    <n v="3454984.1214987687"/>
    <n v="266374.18253236974"/>
    <n v="0"/>
    <n v="3721358.2699999996"/>
    <n v="0"/>
    <m/>
    <m/>
    <m/>
    <n v="0"/>
    <n v="3454984.1214987687"/>
    <n v="266374.18253236974"/>
    <n v="0"/>
    <n v="3721358.3040311383"/>
    <m/>
    <m/>
    <m/>
    <n v="0"/>
    <n v="9146362.9000000004"/>
    <s v="TOP - Sin aclaracion"/>
    <n v="3454984.1214987687"/>
    <n v="3721358.3040311383"/>
    <n v="-3.4031138755381107E-2"/>
    <n v="0"/>
    <s v="Revisión"/>
    <n v="4"/>
    <n v="2"/>
    <s v="05 de marzo - se envia correo de seguimiento al proveedor, solicitando respuesta, e informado que de no recibir respuesta se aplicará el cargo_x000a_24 de febrero - se envia al proveedor detalle del importe publicado_x000a_20 de febrero Carmen de aclaraciones solicita nos acerquemos con proveedor para compartir detalle de pedidos, se manda información a proveedor información el 24 de febrero"/>
    <x v="0"/>
    <x v="5"/>
    <s v="Marcela"/>
    <m/>
    <m/>
    <n v="12"/>
    <m/>
    <d v="2026-02-23T00:00:00"/>
    <d v="2026-01-28T00:00:00"/>
    <m/>
    <m/>
    <s v="28 de enero: Se envía correo con información de detalle de ns. 23 de febereo 2026: proveedor revisa con depto. de servicio a proveedores algunas aclaraciones y solicitó detalle del cargo publicado e ingreso el 19 de febrero folios de aclaración."/>
    <m/>
    <m/>
    <m/>
    <m/>
    <m/>
    <s v="danielrodrigo.alonso@ferrero.com"/>
  </r>
  <r>
    <n v="17921"/>
    <x v="16"/>
    <n v="3189882.4053512393"/>
    <n v="0"/>
    <n v="510061.55200675823"/>
    <n v="3699944.0128999995"/>
    <n v="0"/>
    <m/>
    <m/>
    <m/>
    <n v="0"/>
    <n v="3189882.4053512393"/>
    <n v="0"/>
    <n v="510061.55200675823"/>
    <n v="3699943.9573579975"/>
    <m/>
    <m/>
    <m/>
    <n v="0"/>
    <n v="7893271.0800000001"/>
    <s v="TOP - Sin aclaracion"/>
    <n v="3189882.4053512393"/>
    <n v="3699943.9573579975"/>
    <n v="5.5542001966387033E-2"/>
    <n v="0"/>
    <s v="Revisión"/>
    <n v="4"/>
    <n v="8"/>
    <s v="08 contactos_x000a_ 29 ene: Agenda de reunion via TEAMs_x000a_03 feb: reunion via TEAMS donde se deja claro que el tiempo estimado para NS2025 no se mueve._x000a_04 feb: Proveedor indica que la metodologia de liquidacion presenta diferencias.Se solicita compartir el detalle._x000a_10 feb : Proveedor envia detalle_x000a_18-feb-2026 se aclaró con proveedor la metodología del calculo y se solicitó enviar evidencias._x000a_25 feb: Se envia correo al Proveedor solicitando la revisión e informando que debemos cerrar en febrero 2026._x000a_27 feb 2026: El proveedor envia correo informando que esta revisando que le demos al finalizar la próxima semana_x000a_27 feb 2026: Auditoria envia correo solicitando nos compartan las revisiones que ya tengan listas, dado que se otorgo una prorroga al 04 de marzo para cerrar."/>
    <x v="0"/>
    <x v="2"/>
    <s v="Sareé"/>
    <m/>
    <m/>
    <m/>
    <m/>
    <m/>
    <d v="2026-01-28T00:00:00"/>
    <m/>
    <m/>
    <s v="Se le manda correo al proveedor, informandole sobre la auditoria del 2025// 29 ene 2026: el proveedor envia correo informando que esta revisando el detalle y requiere una plazo de 30 dias. Auditoria envia respuesta informando que no es posible ampliar el plazo dado que es un proceso a nivel institucional, no obstante estamos en disposición de apoyar en cualquier inquietud, duda o información adicional.//03 feb reunión con Proveedor se informo que el plazo no se puede extender y quedaron de enviar soportes en la tarde./04 feb : el proveedor envia correo informando que presenta diferencia en la metodologia y que tiene un valor de $868k de ordenes no canceladas y $263K cantidad cancelada menor a la que se reclama. El proveedor solicita el detalle que indique lo que no se entrego. Auditoria envia el archivo de NS ene- ago 2025 de NS donde se detalla por OC la penalizacion y se solicita coloque una columna donde marque las incidencias y otra columna donde realice el calculo segun su metodologia."/>
    <s v="Casos abiertos( En proceso)"/>
    <m/>
    <s v="SI"/>
    <m/>
    <m/>
    <s v="javierhernando.rodriguez@softys.com"/>
  </r>
  <r>
    <n v="9381"/>
    <x v="17"/>
    <n v="2846318.1772903176"/>
    <n v="0"/>
    <n v="454431.77887469874"/>
    <n v="3300750.0026999996"/>
    <n v="3300750.02"/>
    <m/>
    <m/>
    <m/>
    <n v="0"/>
    <n v="2846318.1772903176"/>
    <n v="0"/>
    <n v="454431.77887469874"/>
    <n v="3300749.9561650162"/>
    <m/>
    <m/>
    <m/>
    <n v="0"/>
    <n v="5586012.0599999996"/>
    <s v="TOP - Aclaracion"/>
    <n v="2846318.1772903176"/>
    <n v="3300749.9561650162"/>
    <n v="4.6534983441233635E-2"/>
    <n v="0"/>
    <s v="Aplicar"/>
    <n v="4"/>
    <n v="3"/>
    <s v=" 29 ene: Agenda de reunion via TEAMs"/>
    <x v="0"/>
    <x v="2"/>
    <s v="Francisco"/>
    <m/>
    <m/>
    <m/>
    <m/>
    <d v="2026-01-22T00:00:00"/>
    <d v="2026-01-22T00:00:00"/>
    <m/>
    <m/>
    <s v="Proveedor se acercò a revisar la Auditoria 20-24 y solicitar lo que respecta al 2025, se encuentra en validaciòn. 20feb2026 Lo esta haciendo a nivel pedido."/>
    <m/>
    <m/>
    <s v="X"/>
    <m/>
    <s v="Proveedor se acercò a revisar la Auditoria 20-24 y solicitar lo que respecta al 2025, se encuentra en validaciòn"/>
    <s v="jesus.vidales@churchdwight.com"/>
  </r>
  <r>
    <n v="24489"/>
    <x v="18"/>
    <n v="2734026.4092909708"/>
    <n v="0"/>
    <n v="437444.47178655525"/>
    <n v="3171470.7700000005"/>
    <n v="2681699"/>
    <m/>
    <m/>
    <m/>
    <n v="0"/>
    <n v="2734026.4092909708"/>
    <n v="0"/>
    <n v="437444.47178655525"/>
    <n v="3171470.8810775261"/>
    <m/>
    <m/>
    <m/>
    <n v="0"/>
    <n v="2280092.9"/>
    <s v="TOP - Sin aclaracion"/>
    <n v="2734026.4092909708"/>
    <n v="3171470.8810775261"/>
    <n v="-0.11107752565294504"/>
    <n v="0"/>
    <s v="Aplicar"/>
    <n v="4"/>
    <n v="4"/>
    <s v="03 feb: reunion via TEAMS donde se deja claro que el tiempo estimado para NS2025 no se mueve."/>
    <x v="0"/>
    <x v="4"/>
    <s v="Raul"/>
    <m/>
    <m/>
    <m/>
    <m/>
    <m/>
    <d v="2026-01-28T00:00:00"/>
    <m/>
    <m/>
    <s v="Se le manda correo al proveedor, informandole sobre la auditoria del 2025"/>
    <m/>
    <m/>
    <m/>
    <m/>
    <m/>
    <s v="nayellivl@regalossigloxxi.com.mx"/>
  </r>
  <r>
    <n v="71217"/>
    <x v="19"/>
    <n v="2714666.1169558228"/>
    <n v="0"/>
    <n v="430920.01413485152"/>
    <n v="3145586.0402999995"/>
    <n v="0"/>
    <n v="2714666.1169558228"/>
    <m/>
    <n v="430920.01413485152"/>
    <n v="3145586.1310906745"/>
    <n v="0"/>
    <n v="0"/>
    <n v="0"/>
    <n v="0"/>
    <m/>
    <m/>
    <m/>
    <n v="0"/>
    <n v="5458541.9900000002"/>
    <s v="TOP - Aclaracion"/>
    <n v="2714666.1169558228"/>
    <n v="3145586.1310906745"/>
    <n v="-9.0790675021708012E-2"/>
    <n v="2714666.1169558228"/>
    <s v="Aplicar"/>
    <n v="4"/>
    <n v="4"/>
    <s v="06 Marzo. Proveedor indica no cuenta con dudas respecto al cargo de la Auditoria por NS 2025."/>
    <x v="0"/>
    <x v="2"/>
    <s v="Mario"/>
    <m/>
    <m/>
    <m/>
    <m/>
    <d v="2026-01-26T00:00:00"/>
    <d v="2026-01-26T00:00:00"/>
    <m/>
    <m/>
    <s v="Se tuvo reuniòn con Proveedor para revisar la parte del 20-24 y se presentò lo del 2025, se encuentran en proceso de descarga de los pedidos penalziados."/>
    <m/>
    <m/>
    <s v="X"/>
    <m/>
    <s v="Se tuvo reuniòn con Proveedor para revisar la parte del 20-24 y se presentò lo del 2025, se encuentran en proceso de descarga de los pedidos penalziados."/>
    <s v="mauriciorene.perez@edgewell.com"/>
  </r>
  <r>
    <n v="80622"/>
    <x v="20"/>
    <n v="2556718.4927102765"/>
    <n v="0"/>
    <n v="409074.99143364409"/>
    <n v="2965793.48"/>
    <n v="0"/>
    <n v="1991932.431034483"/>
    <m/>
    <n v="318709.1889655171"/>
    <n v="2310641.62"/>
    <n v="0"/>
    <n v="0"/>
    <n v="0"/>
    <n v="0"/>
    <n v="564786.06167579303"/>
    <m/>
    <n v="90365.769868126881"/>
    <n v="655151.83154391986"/>
    <n v="6887053.1799999997"/>
    <s v="TOP - Sin aclaracion"/>
    <n v="2556718.492710276"/>
    <n v="2965793.4515439197"/>
    <n v="2.8456080239266157E-2"/>
    <n v="2556718.4927102765"/>
    <s v="Revisión"/>
    <n v="4"/>
    <n v="0"/>
    <s v="Proveedor envía soporte de lo no procedente y se confirma por parte de la Auditoria el resultado aceptaod."/>
    <x v="0"/>
    <x v="5"/>
    <s v="Perla"/>
    <n v="2362760.0099999998"/>
    <s v="EL PEDIDO FUE CANCELADO EN TIEMPO, NO PROCEDE"/>
    <n v="4"/>
    <m/>
    <d v="2026-02-05T00:00:00"/>
    <d v="2026-01-29T00:00:00"/>
    <m/>
    <m/>
    <s v="EN validaciòn de soporte"/>
    <m/>
    <m/>
    <m/>
    <m/>
    <m/>
    <s v="aespinosacruz@mmm.com"/>
  </r>
  <r>
    <n v="7875"/>
    <x v="21"/>
    <n v="2514428.1605335074"/>
    <n v="0"/>
    <n v="402308.46228536119"/>
    <n v="2916736.59"/>
    <n v="0"/>
    <m/>
    <m/>
    <m/>
    <n v="0"/>
    <n v="2514428.1605335074"/>
    <n v="0"/>
    <n v="402308.46228536119"/>
    <n v="2916736.6228188686"/>
    <m/>
    <m/>
    <m/>
    <n v="0"/>
    <n v="1864880.45"/>
    <s v="TOP - Sin aclaracion"/>
    <n v="2514428.1605335074"/>
    <n v="2916736.6228188686"/>
    <n v="-3.281886875629425E-2"/>
    <n v="0"/>
    <s v="Aplicar"/>
    <n v="4"/>
    <n v="1"/>
    <s v="18-feb-2026 se aclaró con proveedor la metodología del calculo y se solicitó enviar evidencias."/>
    <x v="0"/>
    <x v="4"/>
    <s v="Yessica"/>
    <m/>
    <m/>
    <m/>
    <m/>
    <m/>
    <d v="2026-01-28T00:00:00"/>
    <s v="29-01-2026"/>
    <m/>
    <s v="Se envia Manual y detalle NS 2025"/>
    <m/>
    <m/>
    <m/>
    <m/>
    <s v="PROVEEDOR CONFIRMA RECIBIDO  Y  SOLICITÓ AMPLIACION DE PLAZO"/>
    <s v="favalle@assatex.com"/>
  </r>
  <r>
    <n v="313387"/>
    <x v="22"/>
    <n v="2678050.8916530032"/>
    <n v="145825.81851224019"/>
    <n v="0"/>
    <n v="2823876.7098000003"/>
    <n v="2239945"/>
    <m/>
    <m/>
    <m/>
    <n v="0"/>
    <n v="2678050.8916530032"/>
    <n v="145825.81851224019"/>
    <n v="0"/>
    <n v="2823876.7101652436"/>
    <m/>
    <m/>
    <m/>
    <n v="0"/>
    <n v="7033118.1500000004"/>
    <s v="TOP - Sin aclaracion"/>
    <n v="2678050.8916530032"/>
    <n v="2823876.7101652436"/>
    <n v="-3.6524329334497452E-4"/>
    <n v="0"/>
    <s v="Aplicar"/>
    <n v="4"/>
    <n v="1"/>
    <s v="25 feb: Se envia correo al Proveedor solicitando la revisión e informando que debemos cerrar en febrero 2026."/>
    <x v="0"/>
    <x v="4"/>
    <s v="Sareé"/>
    <m/>
    <m/>
    <m/>
    <m/>
    <m/>
    <d v="2026-01-28T00:00:00"/>
    <m/>
    <m/>
    <s v="Se le manda correo al proveedor, informandole sobre la auditoria del 2025"/>
    <m/>
    <m/>
    <m/>
    <m/>
    <m/>
    <s v="montserrat.buendia@naturasol.com.mx"/>
  </r>
  <r>
    <n v="308421"/>
    <x v="23"/>
    <n v="1612446.6748397551"/>
    <n v="790165.74199232913"/>
    <n v="384417.98682113324"/>
    <n v="2787030.5224319999"/>
    <n v="2787030.52"/>
    <m/>
    <m/>
    <m/>
    <n v="0"/>
    <n v="1612446.6748397551"/>
    <n v="790165.74199232913"/>
    <n v="384417.98682113324"/>
    <n v="2787030.4036532175"/>
    <m/>
    <m/>
    <m/>
    <n v="0"/>
    <n v="1083868.48"/>
    <s v="TOP - Sin aclaracion"/>
    <n v="1612446.6748397551"/>
    <n v="2787030.4036532175"/>
    <n v="0.11877878243103623"/>
    <n v="0"/>
    <s v="Aplicar"/>
    <n v="4"/>
    <n v="1"/>
    <s v="27 feb 2026: El proveedor envia correo informando que esta revisando que le demos al finalizar la próxima semana"/>
    <x v="0"/>
    <x v="4"/>
    <s v="Belem"/>
    <m/>
    <m/>
    <m/>
    <m/>
    <m/>
    <m/>
    <m/>
    <m/>
    <m/>
    <m/>
    <m/>
    <m/>
    <m/>
    <m/>
    <s v="jamador@pedrodomecq.com"/>
  </r>
  <r>
    <n v="82511"/>
    <x v="24"/>
    <n v="2380059.3097901912"/>
    <n v="0"/>
    <n v="380809.50590847887"/>
    <n v="2760868.7968999986"/>
    <n v="2760868.8"/>
    <m/>
    <m/>
    <m/>
    <n v="0"/>
    <n v="2380059.3097901912"/>
    <n v="0"/>
    <n v="380809.50590847887"/>
    <n v="2760868.8156986702"/>
    <m/>
    <m/>
    <m/>
    <n v="0"/>
    <n v="8524572.0399999991"/>
    <s v="TOP - Sin aclaracion"/>
    <n v="2380059.3097901912"/>
    <n v="2760868.8156986702"/>
    <n v="-1.8798671662807465E-2"/>
    <n v="0"/>
    <s v="Aplicar"/>
    <n v="4"/>
    <n v="1"/>
    <s v="27 feb 2026: Auditoria envia correo solicitando nos compartan las revisiones que ya tengan listas, dado que se otorgo una prorroga al 04 de marzo para cerrar."/>
    <x v="0"/>
    <x v="4"/>
    <s v="Raul"/>
    <m/>
    <m/>
    <m/>
    <m/>
    <m/>
    <d v="2026-01-28T00:00:00"/>
    <m/>
    <m/>
    <s v="Se le manda correo al proveedor, informandole sobre la auditoria del 2025"/>
    <m/>
    <m/>
    <m/>
    <m/>
    <m/>
    <e v="#N/A"/>
  </r>
  <r>
    <n v="21943"/>
    <x v="24"/>
    <n v="2292934.1380142099"/>
    <n v="0"/>
    <n v="366869.46208227333"/>
    <n v="2659803.6599999997"/>
    <n v="2659803.66"/>
    <m/>
    <m/>
    <m/>
    <n v="0"/>
    <n v="2292934.1380142099"/>
    <n v="0"/>
    <n v="366869.46208227333"/>
    <n v="2659803.6000964832"/>
    <m/>
    <m/>
    <m/>
    <n v="0"/>
    <n v="17985208.850000001"/>
    <s v="TOP - Sin aclaracion"/>
    <n v="2292934.1380142099"/>
    <n v="2659803.6000964832"/>
    <n v="5.9903516434133053E-2"/>
    <n v="0"/>
    <s v="Aplicar"/>
    <n v="4"/>
    <n v="1"/>
    <s v="1 contacto se le informa de la auditoria"/>
    <x v="0"/>
    <x v="4"/>
    <s v="Raul"/>
    <m/>
    <m/>
    <m/>
    <m/>
    <m/>
    <d v="2026-01-28T00:00:00"/>
    <m/>
    <m/>
    <s v="Se le manda correo al proveedor, informandole sobre la auditoria del 2025"/>
    <m/>
    <m/>
    <m/>
    <m/>
    <m/>
    <s v="loreto.zalapa@henkel.com"/>
  </r>
  <r>
    <n v="364"/>
    <x v="25"/>
    <n v="2535880.7058176179"/>
    <n v="0"/>
    <n v="0"/>
    <n v="2535881.0800000005"/>
    <n v="2535880.69"/>
    <m/>
    <m/>
    <m/>
    <n v="0"/>
    <n v="2535880.7058176179"/>
    <n v="0"/>
    <n v="0"/>
    <n v="2535880.7058176179"/>
    <m/>
    <m/>
    <m/>
    <n v="0"/>
    <n v="18199055.43"/>
    <s v="TOP - Sin aclaracion"/>
    <n v="2535880.7058176179"/>
    <n v="2535880.7058176179"/>
    <n v="0.37418238259851933"/>
    <n v="0"/>
    <s v="Aplicar"/>
    <n v="4"/>
    <n v="1"/>
    <s v=" 6 - feb -2026, Sin respuesta al dia hoy, se le solicito los soportes de cancelacion (1 correos de Seguimiento)"/>
    <x v="0"/>
    <x v="2"/>
    <s v="Yessenia"/>
    <n v="260797.11"/>
    <s v="REEMBOLOS DEBIDO A QUE EL PEDIDO NUCA SE VIO REFLEJADO "/>
    <n v="1"/>
    <m/>
    <d v="2026-02-06T00:00:00"/>
    <m/>
    <m/>
    <m/>
    <s v="compartió soportes que no justifican la improcedencia, se le informo sus soportes no son validos. Sin respuesta."/>
    <m/>
    <m/>
    <m/>
    <m/>
    <m/>
    <s v="hperalta@grupomar.mx"/>
  </r>
  <r>
    <n v="11914"/>
    <x v="26"/>
    <n v="2177336.8823643085"/>
    <n v="0"/>
    <n v="348373.90151952108"/>
    <n v="2525710.8987999996"/>
    <n v="0"/>
    <n v="1610934.47"/>
    <m/>
    <n v="257749.52"/>
    <n v="1868683.99"/>
    <n v="455503.97"/>
    <n v="0"/>
    <n v="72880.639999999999"/>
    <n v="528384.61"/>
    <n v="110898.44"/>
    <m/>
    <n v="17743.75"/>
    <n v="128642.19"/>
    <n v="1195941.79"/>
    <s v="TOP - Sin aclaracion"/>
    <n v="2177336.88"/>
    <n v="2525710.79"/>
    <n v="0.10879999957978725"/>
    <n v="1721832.9123643085"/>
    <s v="Revisión"/>
    <n v="4"/>
    <n v="5"/>
    <s v="Reunión con proveedor 24 feb 26, menciona saldo procedente, y confirmación de soportes que amparan improcedencia de 110K antes de imp, se dieron 3 seguimiento, una reunión presencial y una sesión "/>
    <x v="0"/>
    <x v="5"/>
    <s v="Luis"/>
    <m/>
    <m/>
    <m/>
    <m/>
    <m/>
    <d v="2026-01-28T00:00:00"/>
    <m/>
    <m/>
    <s v="Se envía correo con información de detalle de ns"/>
    <m/>
    <m/>
    <m/>
    <m/>
    <m/>
    <s v="mateo.x.mendoza@haleon.com"/>
  </r>
  <r>
    <n v="51698"/>
    <x v="27"/>
    <n v="2017199.8519635256"/>
    <n v="0"/>
    <n v="322752.00051416398"/>
    <n v="2339951.9"/>
    <n v="704180.15"/>
    <m/>
    <m/>
    <m/>
    <n v="0"/>
    <n v="2017199.8519635256"/>
    <n v="0"/>
    <n v="322752.00051416398"/>
    <n v="2339951.8524776897"/>
    <m/>
    <m/>
    <m/>
    <n v="0"/>
    <n v="1820258.92"/>
    <s v="TOP - Sin aclaracion"/>
    <n v="2017199.8519635256"/>
    <n v="2339951.8524776897"/>
    <n v="4.7522310167551041E-2"/>
    <n v="0"/>
    <s v="Aplicar"/>
    <n v="4"/>
    <n v="1"/>
    <s v="Proveedor no mandas soportes de improcedencia se tuvo un contacto en correo el 28 de enero en el que se compartió la información de pedidos, en seguimiento del 2020-2024 proveedor hace una llamada el 20 de febrero pero no menciona nada con relación al ejercicio 2025"/>
    <x v="0"/>
    <x v="4"/>
    <s v="Marcela"/>
    <m/>
    <m/>
    <m/>
    <m/>
    <m/>
    <d v="2026-01-28T00:00:00"/>
    <m/>
    <m/>
    <s v="Se envía correo con información de detalle de ns"/>
    <m/>
    <m/>
    <m/>
    <m/>
    <m/>
    <s v="francisca.lopez@bardahl.com.mx"/>
  </r>
  <r>
    <n v="12480"/>
    <x v="28"/>
    <n v="1963610.7503713719"/>
    <n v="0"/>
    <n v="314177.72810447548"/>
    <n v="2277788.3835"/>
    <n v="788616.99"/>
    <m/>
    <m/>
    <m/>
    <n v="0"/>
    <n v="1963610.7503713719"/>
    <n v="0"/>
    <n v="314177.72810447548"/>
    <n v="2277788.4784758473"/>
    <m/>
    <m/>
    <m/>
    <n v="0"/>
    <n v="2552379.36"/>
    <s v="TOP - Aclaracion"/>
    <n v="1963610.7503713719"/>
    <n v="2277788.4784758473"/>
    <n v="-9.4975847285240889E-2"/>
    <n v="0"/>
    <s v="Aplicar"/>
    <n v="4"/>
    <n v="5"/>
    <s v="Se enviò correo el 17-feb-26 indicando que se requiere la autorización del area comercial para desestimar unos pedidos que indican que se realizó una solicitud de configuración"/>
    <x v="0"/>
    <x v="2"/>
    <s v="Olfi"/>
    <n v="2277788.3835"/>
    <s v="DETALLE DE LOS CARGOS EN EL PORTAL"/>
    <m/>
    <m/>
    <d v="2026-01-16T00:00:00"/>
    <d v="2026-01-19T00:00:00"/>
    <s v="Si"/>
    <m/>
    <s v="Proveedor solicito detalle y se le hizo llegar_x000a_Se Indica que es necesario la solicitud de la autorización del area comercial para el tema de configuración de unos pedidos, proveedor tiene un seguimiento de esta solicitud"/>
    <s v="Casos abiertos( En proceso)"/>
    <m/>
    <s v="X"/>
    <m/>
    <s v="Raul Castillo recibio correo en cuenta soriana"/>
    <s v="EESCAMILLA@SASIL.MX"/>
  </r>
  <r>
    <n v="11042"/>
    <x v="29"/>
    <n v="1539286.0108235895"/>
    <n v="407910.77176825126"/>
    <n v="311551.54221069464"/>
    <n v="2258748.1999999993"/>
    <n v="0"/>
    <m/>
    <m/>
    <m/>
    <n v="0"/>
    <n v="1467671.3908235896"/>
    <n v="388932.90176825126"/>
    <n v="297056.74221069465"/>
    <n v="2153661.0348025355"/>
    <n v="71614.62"/>
    <n v="18977.87"/>
    <n v="14494.8"/>
    <n v="105087.29"/>
    <n v="1267567.6299999999"/>
    <s v="TOP - Sin aclaracion"/>
    <n v="1539286.0108235897"/>
    <n v="2258748.3248025356"/>
    <n v="-0.12480253633111715"/>
    <m/>
    <s v="Revisión"/>
    <n v="4"/>
    <n v="3"/>
    <s v="En revisión OC restantes"/>
    <x v="0"/>
    <x v="2"/>
    <s v="Sareé"/>
    <m/>
    <m/>
    <m/>
    <m/>
    <m/>
    <d v="2026-01-28T00:00:00"/>
    <m/>
    <m/>
    <s v="Proveedor envía soporte de OC ya cobradas"/>
    <m/>
    <m/>
    <m/>
    <m/>
    <m/>
    <s v="dagarciad@bepensa.com"/>
  </r>
  <r>
    <n v="307988"/>
    <x v="30"/>
    <n v="1768456.2296"/>
    <n v="0"/>
    <n v="282952.99679999996"/>
    <n v="2051409.3681000003"/>
    <n v="2051409.21"/>
    <m/>
    <m/>
    <m/>
    <n v="0"/>
    <n v="1768456.2296"/>
    <n v="0"/>
    <n v="282952.99679999996"/>
    <n v="2051409.2264"/>
    <m/>
    <m/>
    <m/>
    <n v="0"/>
    <n v="3579101.17"/>
    <s v="TOP - Sin aclaracion"/>
    <n v="1768456.2296"/>
    <n v="2051409.2264"/>
    <n v="0.14170000026933849"/>
    <n v="0"/>
    <s v="Aplicar"/>
    <n v="4"/>
    <n v="1"/>
    <n v="0"/>
    <x v="0"/>
    <x v="4"/>
    <s v="Yessenia"/>
    <m/>
    <m/>
    <m/>
    <m/>
    <m/>
    <m/>
    <m/>
    <m/>
    <m/>
    <m/>
    <m/>
    <m/>
    <m/>
    <m/>
    <s v="esilva@4eglobal.com"/>
  </r>
  <r>
    <n v="319178"/>
    <x v="31"/>
    <n v="1899275.9204441682"/>
    <n v="0"/>
    <n v="0"/>
    <n v="1899275.8922999993"/>
    <n v="1307819.1399999999"/>
    <m/>
    <m/>
    <m/>
    <n v="0"/>
    <n v="1307819.1504441681"/>
    <n v="0"/>
    <n v="0"/>
    <n v="1307819.1504441681"/>
    <n v="591456.77"/>
    <n v="0"/>
    <n v="0"/>
    <n v="591456.77"/>
    <n v="1312735.7"/>
    <s v="TOP - Aclaracion"/>
    <n v="1899275.9204441682"/>
    <n v="1899275.9204441682"/>
    <n v="-2.8144168900325894E-2"/>
    <m/>
    <s v="Revisión"/>
    <n v="4"/>
    <n v="4"/>
    <s v="En revisión OC restantes"/>
    <x v="0"/>
    <x v="2"/>
    <s v="Sareé"/>
    <m/>
    <m/>
    <m/>
    <m/>
    <d v="2026-01-20T00:00:00"/>
    <d v="2026-01-21T00:00:00"/>
    <m/>
    <m/>
    <s v="Proveedor comparte evidencia de OC ya cobradas por sistema."/>
    <m/>
    <m/>
    <s v="X"/>
    <m/>
    <s v="Se contactó con Raúl vía correo solicitando el detalle"/>
    <s v="CPERAZA@NISSINFOODS.COM.MX"/>
  </r>
  <r>
    <n v="7410"/>
    <x v="16"/>
    <n v="1677791.0225753912"/>
    <n v="0"/>
    <n v="220404.50557137528"/>
    <n v="1898195.6"/>
    <n v="0"/>
    <m/>
    <m/>
    <m/>
    <n v="0"/>
    <n v="1677791.0225753912"/>
    <n v="0"/>
    <n v="220404.50557137528"/>
    <n v="1898195.5281467666"/>
    <m/>
    <m/>
    <m/>
    <n v="0"/>
    <n v="6080952.8099999996"/>
    <s v="TOP - Sin aclaracion"/>
    <n v="1677791.0225753912"/>
    <n v="1898195.5281467666"/>
    <n v="7.1853233501315117E-2"/>
    <n v="0"/>
    <s v="Revisión"/>
    <n v="4"/>
    <n v="8"/>
    <s v="08 contactos_x000a_ 29 ene: Agenda de reunion via TEAMs_x000a_03 feb: reunion via TEAMS donde se deja claro que el tiempo estimado para NS2025 no se mueve._x000a_04 feb: Proveedor indica que la metodologia de liquidacion presenta diferencias.Se solicita compartir el detalle._x000a_10 feb : Proveedor envia detalle_x000a_18-feb-2026 se aclaró con proveedor la metodología del calculo y se solicitó enviar evidencias._x000a_25 feb: Se envia correo al Proveedor solicitando la revisión e informando que debemos cerrar en febrero 2026._x000a_27 feb 2026: El proveedor envia correo informando que esta revisando que le demos al finalizar la próxima semana_x000a_27 feb 2026: Auditoria envia correo solicitando nos compartan las revisiones que ya tengan listas, dado que se otorgo una prorroga al 04 de marzo para cerrar."/>
    <x v="0"/>
    <x v="2"/>
    <s v="Andrea"/>
    <m/>
    <m/>
    <m/>
    <m/>
    <m/>
    <d v="2026-01-28T00:00:00"/>
    <m/>
    <m/>
    <s v="Se envía correo informando que el comunicado de cargo NS correspondiente al periodo de enero a agosto de 2025 ya se encuentra publicado en el Portal. El detalle del mismo también está disponible desglosado en el Portal. Se adjunta manual de visualizacion de Cargos.// 29 ene 2026: el proveedor envia correo informando que esta revisando el detalle y requiere una plazo de 30 dias. Auditoria envia respuesta informando que no es posible ampliar el plazo dado que es un proceso a nivel institucional, no obstante estamos en disposición de apoyar en cualquier inquietud, duda o información adicional.//03 feb reunión con Proveedor se informo que el plazo no se puede extender y quedaron de enviar soportes en la tarde./04 feb : el proveedor envia correo informando que presenta diferencia en la metodologia y que tiene un valor de $868k de ordenes no canceladas y $263K cantidad cancelada menor a la que se reclama. El proveedor solicita el detalle que indique lo que no se entrego. Auditoria envia el archivo de NS ene- ago 2025 de NS donde se detalla por OC la penalizacion y se solicita coloque una columna donde marque las incidencias y otra columna donde realice el calculo segun su metodologia."/>
    <s v="Casos abiertos( En proceso)"/>
    <m/>
    <s v="SI"/>
    <m/>
    <m/>
    <s v="javierhernando.rodriguez@softys.com"/>
  </r>
  <r>
    <n v="303974"/>
    <x v="32"/>
    <n v="1805198.339684733"/>
    <n v="0"/>
    <n v="0"/>
    <n v="1805198.3299999998"/>
    <n v="1799384.99"/>
    <n v="1799385"/>
    <m/>
    <m/>
    <n v="1799385"/>
    <n v="0"/>
    <n v="0"/>
    <n v="0"/>
    <n v="0"/>
    <n v="5813"/>
    <m/>
    <m/>
    <n v="5813"/>
    <n v="1301552.52"/>
    <s v="TOP - Aclaracion"/>
    <n v="1805198"/>
    <n v="1805198"/>
    <n v="0.32999999984167516"/>
    <m/>
    <s v="Cerrado/Aplicar"/>
    <n v="4"/>
    <n v="0"/>
    <n v="0"/>
    <x v="0"/>
    <x v="3"/>
    <s v="Raul"/>
    <n v="1805198.3299999998"/>
    <s v="DETALLE DE LOS CARGOS EN EL PORTAL"/>
    <n v="16"/>
    <s v="NO"/>
    <d v="2026-01-19T00:00:00"/>
    <d v="2026-01-19T00:00:00"/>
    <m/>
    <m/>
    <s v="Proveedor comparte el resultado de su revisión"/>
    <s v="Casos abiertos( En proceso)"/>
    <s v="X"/>
    <m/>
    <m/>
    <s v="Se tiene reunión con Marco y comenta que  el dia 29 de Enero dara un avance"/>
    <s v="oscar.guzman@cydsa.com"/>
  </r>
  <r>
    <n v="29272"/>
    <x v="33"/>
    <n v="1802449.1933360323"/>
    <n v="0"/>
    <n v="0"/>
    <n v="1802449.19"/>
    <n v="1802449.18"/>
    <m/>
    <m/>
    <m/>
    <n v="0"/>
    <n v="1802449.1933360323"/>
    <n v="0"/>
    <n v="0"/>
    <n v="1802449.1933360323"/>
    <m/>
    <m/>
    <m/>
    <n v="0"/>
    <n v="4135198.85"/>
    <s v="TOP - Sin aclaracion"/>
    <n v="1802449.1933360323"/>
    <n v="1802449.1933360323"/>
    <n v="-3.3360323868691921E-3"/>
    <n v="0"/>
    <s v="Aplicar"/>
    <n v="4"/>
    <n v="1"/>
    <s v="28 de enero se envió correo de que se tenian 15 días para la revisión no se ha recibido respuesta"/>
    <x v="0"/>
    <x v="4"/>
    <s v="Francisco"/>
    <m/>
    <m/>
    <m/>
    <m/>
    <m/>
    <d v="2026-01-28T00:00:00"/>
    <d v="2026-01-28T00:00:00"/>
    <m/>
    <s v="Proveedor requiere prorroga para terminar de valdiar informaciòn."/>
    <m/>
    <m/>
    <m/>
    <m/>
    <m/>
    <s v="aaviles@lamoderna.com.mx"/>
  </r>
  <r>
    <n v="21367"/>
    <x v="34"/>
    <n v="1641249.7331815269"/>
    <n v="0"/>
    <n v="84613.103042972798"/>
    <n v="1725862.8275000001"/>
    <n v="215041.48"/>
    <n v="624456.68999999994"/>
    <m/>
    <n v="63085.57"/>
    <n v="687542.25999999989"/>
    <n v="1016793.0431815269"/>
    <n v="0"/>
    <n v="21527.533042972798"/>
    <n v="1038320.5762244997"/>
    <m/>
    <m/>
    <m/>
    <n v="0"/>
    <n v="3848800.75"/>
    <s v="TOP - Sin aclaracion"/>
    <n v="1641249.7331815269"/>
    <n v="1725862.8362244996"/>
    <n v="-8.7244994938373566E-3"/>
    <m/>
    <s v="Aplicar"/>
    <n v="4"/>
    <n v="3"/>
    <s v="Se envio ultima notificación el 20 de feb con el resultado del analisis y se solicito soportes de lo que esta pendiente"/>
    <x v="0"/>
    <x v="2"/>
    <s v="Olfi"/>
    <m/>
    <m/>
    <m/>
    <m/>
    <m/>
    <d v="2026-01-21T00:00:00"/>
    <s v="Si"/>
    <d v="2026-01-28T00:00:00"/>
    <s v="Se tiene junta con proveedor,  pendiente envio de bitacora. Se solicitó soportes a proveedor, aun sin respuesta, solo responde sobre un excel no adjunta evidencias._x000a_Se envia solicitud nuevamente de soportes de lo que no tiene evidencias "/>
    <m/>
    <m/>
    <s v="X"/>
    <m/>
    <m/>
    <s v="MARGARITAGUADALUPE.GONZALEZ@RECKITT.COM"/>
  </r>
  <r>
    <n v="13835"/>
    <x v="35"/>
    <n v="1695399.2519490798"/>
    <n v="0"/>
    <n v="0"/>
    <n v="1695399.25"/>
    <n v="1565314.24"/>
    <n v="1565314.2519490798"/>
    <m/>
    <m/>
    <n v="1565314.2519490798"/>
    <m/>
    <n v="0"/>
    <n v="0"/>
    <n v="0"/>
    <n v="130085"/>
    <n v="0"/>
    <n v="0"/>
    <n v="130085"/>
    <n v="3102758.04"/>
    <s v="TOP - Sin aclaracion"/>
    <n v="1695399.2519490798"/>
    <n v="1695399.2519490798"/>
    <n v="-1.9490798003971577E-3"/>
    <m/>
    <s v="Cerrado/Aplicar"/>
    <n v="4"/>
    <n v="0"/>
    <n v="0"/>
    <x v="0"/>
    <x v="3"/>
    <s v="Perla"/>
    <m/>
    <m/>
    <m/>
    <m/>
    <m/>
    <d v="2026-01-29T00:00:00"/>
    <m/>
    <m/>
    <s v="Proveedor otorga soporte de descatalogaciòn de SKU."/>
    <m/>
    <m/>
    <m/>
    <m/>
    <m/>
    <s v="lorenzol@maulec.com.mx"/>
  </r>
  <r>
    <n v="327197"/>
    <x v="36"/>
    <n v="1454493.1289082868"/>
    <n v="0"/>
    <n v="232718.90282532581"/>
    <n v="1687212.04"/>
    <n v="1687212.04"/>
    <n v="1026732.6989082869"/>
    <m/>
    <n v="164277.23000000001"/>
    <n v="1191009.9289082868"/>
    <m/>
    <n v="0"/>
    <n v="2.8253258060431108E-3"/>
    <n v="2.8253258060431108E-3"/>
    <n v="427760.43"/>
    <m/>
    <n v="68441.67"/>
    <n v="496202.1"/>
    <n v="427760.43"/>
    <s v="TOP - Aclaracion"/>
    <n v="1454493.1289082868"/>
    <n v="1687212.0317336125"/>
    <n v="8.2663875073194504E-3"/>
    <m/>
    <s v="Cerrado/Aplicar"/>
    <n v="4"/>
    <n v="0"/>
    <n v="0"/>
    <x v="0"/>
    <x v="3"/>
    <s v="Yessica"/>
    <n v="1228466.72"/>
    <s v="NO APLICA EL CARGO DE NIVEL DE SERVICIO"/>
    <n v="9"/>
    <m/>
    <d v="2026-01-27T00:00:00"/>
    <d v="2026-01-28T00:00:00"/>
    <s v="28-01-2026"/>
    <s v="29-01-2026"/>
    <s v="Proveedor -acepta cargo despues de analisis de documentacion presentada_x000a_ argumenta no procede cargo porque cumplio a nivel orden de compra, se le aclaro el calculo es por codigo."/>
    <m/>
    <s v="X"/>
    <m/>
    <m/>
    <s v="ENVIA DCOUMENTOS CON  SOPORTES_x0009_se tiene reunion con Se le informa que aquellos pedidos que indican no son proceden lo estan haciendo por el total de la orden de compra mas no el total del pedido - se tiene docuemnto detalle con comentarios "/>
    <s v="msoto@hut.com.mx"/>
  </r>
  <r>
    <n v="16747"/>
    <x v="37"/>
    <n v="1363627.5560198275"/>
    <n v="0"/>
    <n v="218180.43166317238"/>
    <n v="1581808.0000000002"/>
    <n v="0"/>
    <m/>
    <m/>
    <m/>
    <n v="0"/>
    <n v="1363627.5560198275"/>
    <n v="0"/>
    <n v="218180.43166317238"/>
    <n v="1581807.9876829998"/>
    <m/>
    <m/>
    <m/>
    <n v="0"/>
    <n v="3158791.75"/>
    <s v="TOP - Aclaracion"/>
    <n v="1363627.5560198275"/>
    <n v="1581807.9876829998"/>
    <n v="1.2317000422626734E-2"/>
    <n v="0"/>
    <s v="Aplicar"/>
    <n v="4"/>
    <n v="2"/>
    <s v="28-ene-2026 , se solicitó a proveedor los folios de aportacion del pago y evidencia de la omisión del cobro de otros pedidos. Sin respuesta al dia de hoy 23feb2026"/>
    <x v="0"/>
    <x v="2"/>
    <s v="Yessenia"/>
    <n v="1581808.0000000002"/>
    <s v="DETALLE DE LOS CARGOS EN EL PORTAL"/>
    <n v="1"/>
    <m/>
    <d v="2026-01-19T00:00:00"/>
    <d v="2026-01-19T00:00:00"/>
    <m/>
    <m/>
    <s v="Proveedor argumenta haber pagado por Aportaciones algunos pedidos. Otros soportes son Cancelación y ampliación de pedidos. No se identifica autorizacion por parte del área comercial, en espera de soporte firmado por parte del proveedor."/>
    <m/>
    <s v="X"/>
    <m/>
    <m/>
    <s v="correo compartido por Ambriz Ruiz Jair Alejandro &lt;jairar@soriana.com&gt;"/>
    <s v="ventas@homtex.com.mx"/>
  </r>
  <r>
    <n v="83394"/>
    <x v="38"/>
    <n v="1061915.9577686242"/>
    <n v="298798.97400868539"/>
    <n v="207398.1825003695"/>
    <n v="1568113.1700000002"/>
    <n v="82743.259999999995"/>
    <n v="76727.77"/>
    <n v="3495.93"/>
    <n v="2519.59"/>
    <n v="82743.289999999994"/>
    <m/>
    <n v="4.0086854132823646E-3"/>
    <n v="-7.4996305047534406E-3"/>
    <n v="-3.490945091471076E-3"/>
    <n v="985188.19"/>
    <n v="295303.03999999998"/>
    <n v="204878.6"/>
    <n v="1485369.83"/>
    <n v="1061915.9577686242"/>
    <s v="TOP - Aclaracion"/>
    <n v="1061915.96"/>
    <n v="1568113.116509055"/>
    <n v="5.3490945138037205E-2"/>
    <m/>
    <s v="Cerrado/Aplicar"/>
    <n v="4"/>
    <n v="0"/>
    <n v="0"/>
    <x v="0"/>
    <x v="3"/>
    <s v="Yessica"/>
    <n v="1484390.6"/>
    <s v="DETALLE DE LOS CARGOS EN EL PORTAL"/>
    <n v="2"/>
    <m/>
    <d v="2026-01-20T00:00:00"/>
    <d v="2026-01-20T00:00:00"/>
    <m/>
    <m/>
    <s v="Mando soportes de productos descatalogados, no se ha identificado confirmacion del área comercial. el proveedor acepta monto por valor de $82,743.28"/>
    <m/>
    <s v="X"/>
    <m/>
    <m/>
    <s v="correo compartido por Ambriz Ruiz Jair Alejandro &lt;jairar@soriana.com&gt;"/>
    <s v="mrivas@marinter.com.mx"/>
  </r>
  <r>
    <n v="305"/>
    <x v="39"/>
    <n v="1561609.3994974131"/>
    <n v="0"/>
    <n v="0"/>
    <n v="1561608.5599999994"/>
    <n v="0"/>
    <m/>
    <m/>
    <m/>
    <n v="0"/>
    <n v="1561609.3994974131"/>
    <n v="0"/>
    <n v="0"/>
    <n v="1561609.3994974131"/>
    <m/>
    <m/>
    <m/>
    <n v="0"/>
    <n v="205657.02"/>
    <s v="TOP - Sin aclaracion"/>
    <n v="1561609.3994974131"/>
    <n v="1561609.3994974131"/>
    <n v="-0.83949741371907294"/>
    <n v="0"/>
    <s v="Aplicar"/>
    <n v="4"/>
    <n v="1"/>
    <s v="Sin contacto de proveedor"/>
    <x v="0"/>
    <x v="4"/>
    <s v="Mario"/>
    <m/>
    <m/>
    <m/>
    <m/>
    <m/>
    <d v="2026-01-29T00:00:00"/>
    <m/>
    <m/>
    <s v="Auditoría ha enviado correo la información correspondiente para su confirmación de recibo"/>
    <m/>
    <m/>
    <m/>
    <m/>
    <m/>
    <s v="mariana.espinoza@pepsico.com"/>
  </r>
  <r>
    <n v="34801"/>
    <x v="40"/>
    <n v="1340024.6199999999"/>
    <n v="0"/>
    <n v="214403.93920000002"/>
    <n v="1554428.5800000003"/>
    <n v="454253.26"/>
    <m/>
    <m/>
    <m/>
    <n v="0"/>
    <n v="1340024.6199999999"/>
    <n v="0"/>
    <n v="214403.93920000002"/>
    <n v="1554428.5592"/>
    <m/>
    <m/>
    <m/>
    <n v="0"/>
    <n v="830451.08"/>
    <s v="TOP - Sin aclaracion"/>
    <n v="1340024.6199999999"/>
    <n v="1554428.5592"/>
    <n v="2.0800000289455056E-2"/>
    <n v="0"/>
    <s v="Aplicar"/>
    <n v="4"/>
    <n v="1"/>
    <s v="1 contacto se le informa de la publicación de pedidos en el portal"/>
    <x v="0"/>
    <x v="4"/>
    <s v="Erika"/>
    <m/>
    <m/>
    <m/>
    <m/>
    <m/>
    <d v="2026-01-28T00:00:00"/>
    <m/>
    <m/>
    <s v="Se le manda correo al proveedor, informandole sobre la auditoria del 2025"/>
    <m/>
    <m/>
    <m/>
    <m/>
    <m/>
    <s v="godoyl@koblenz.com"/>
  </r>
  <r>
    <n v="312231"/>
    <x v="41"/>
    <n v="1362282.3499999999"/>
    <n v="0"/>
    <n v="184002.29440000001"/>
    <n v="1546284.54"/>
    <n v="1546284.54"/>
    <m/>
    <m/>
    <m/>
    <n v="0"/>
    <n v="1362282.3499999999"/>
    <n v="0"/>
    <n v="184002.29440000001"/>
    <n v="1546284.6443999999"/>
    <m/>
    <m/>
    <m/>
    <n v="0"/>
    <m/>
    <s v="TOP - Aclaracion"/>
    <n v="1362282.3499999999"/>
    <n v="1546284.6443999999"/>
    <n v="-0.10439999983645976"/>
    <n v="0"/>
    <s v="Aplicar"/>
    <n v="4"/>
    <n v="3"/>
    <s v="Soporte incompleto no justifica la no entrega, no esta autorizado por comercial."/>
    <x v="0"/>
    <x v="2"/>
    <s v="Yessica"/>
    <m/>
    <m/>
    <m/>
    <m/>
    <d v="2026-01-20T00:00:00"/>
    <d v="2026-01-20T00:00:00"/>
    <m/>
    <m/>
    <s v="proveedor envia correos soportes donde Se revisó la conciliación y varios soportes no son válidos por falta de firma del área Comercial, por lo que las penalizaciones siguen procedentes. También se solicita evidencia de entrega para los casos donde se indica que la mercancía fue recibida al 100%."/>
    <m/>
    <m/>
    <s v="X"/>
    <m/>
    <s v="Correo directo a cuenta del auditor"/>
    <s v="angelariel.becerra@abbott.com"/>
  </r>
  <r>
    <n v="75390"/>
    <x v="42"/>
    <n v="1455353.9391289758"/>
    <n v="0"/>
    <n v="0"/>
    <n v="1455353.93"/>
    <n v="1384859.78"/>
    <m/>
    <m/>
    <m/>
    <n v="0"/>
    <n v="1384859.78"/>
    <n v="0"/>
    <n v="0"/>
    <n v="1384859.78"/>
    <n v="70494.149999999994"/>
    <m/>
    <m/>
    <n v="70494.149999999994"/>
    <n v="7322257.5999999996"/>
    <s v="TOP - Aclaracion"/>
    <n v="1455353.93"/>
    <n v="1455353.93"/>
    <n v="0"/>
    <m/>
    <s v="Aplicar"/>
    <n v="4"/>
    <n v="5"/>
    <s v="19-feb-2026 Correo de área comercial Soriana, no está de acuerdo con los margenes del sistema y del cálculo."/>
    <x v="0"/>
    <x v="2"/>
    <s v="Raul"/>
    <m/>
    <m/>
    <m/>
    <m/>
    <d v="2026-01-19T00:00:00"/>
    <d v="2026-01-19T00:00:00"/>
    <m/>
    <m/>
    <s v="Proveedor argumenta margenes diferentes a lo pactado, formato cocina no aplica NS y 4 pedidos cobrados por el sistema en automatico"/>
    <m/>
    <m/>
    <s v="X"/>
    <m/>
    <m/>
    <s v="acaballero@ragasa.com.mx"/>
  </r>
  <r>
    <n v="379495"/>
    <x v="43"/>
    <n v="1308098.27"/>
    <n v="92146.031999999992"/>
    <n v="6112.6320000000005"/>
    <n v="1406356.8499999999"/>
    <n v="792039.85"/>
    <m/>
    <m/>
    <m/>
    <n v="0"/>
    <n v="1308098.27"/>
    <n v="92146.031999999992"/>
    <n v="6112.6320000000005"/>
    <n v="1406356.9339999999"/>
    <m/>
    <m/>
    <m/>
    <n v="0"/>
    <n v="2593149.69"/>
    <s v="TOP - Sin aclaracion"/>
    <n v="1308098.27"/>
    <n v="1406356.9339999999"/>
    <n v="-8.4000000031664968E-2"/>
    <n v="0"/>
    <s v="Aplicar"/>
    <n v="4"/>
    <n v="1"/>
    <n v="0"/>
    <x v="0"/>
    <x v="4"/>
    <s v="Belem"/>
    <m/>
    <m/>
    <m/>
    <m/>
    <m/>
    <m/>
    <m/>
    <m/>
    <m/>
    <m/>
    <m/>
    <m/>
    <m/>
    <m/>
    <s v="igonzalez@sinaxcorp.com"/>
  </r>
  <r>
    <n v="51987"/>
    <x v="44"/>
    <n v="1298565.3068529295"/>
    <n v="103885.25054857039"/>
    <n v="0"/>
    <n v="1402450.6228000002"/>
    <n v="343117.44"/>
    <m/>
    <m/>
    <m/>
    <n v="0"/>
    <n v="1298565.3068529295"/>
    <n v="103885.25054857039"/>
    <n v="0"/>
    <n v="1402450.5574014999"/>
    <m/>
    <m/>
    <m/>
    <n v="0"/>
    <n v="3341364.46"/>
    <s v="TOP - Sin aclaracion"/>
    <n v="1298565.3068529295"/>
    <n v="1402450.5574014999"/>
    <n v="6.5398500300943851E-2"/>
    <n v="0"/>
    <s v="Aplicar"/>
    <n v="4"/>
    <n v="1"/>
    <s v="1 contacto se le informa de la auditoria"/>
    <x v="0"/>
    <x v="4"/>
    <s v="Raul"/>
    <m/>
    <m/>
    <m/>
    <m/>
    <m/>
    <d v="2026-01-28T00:00:00"/>
    <m/>
    <m/>
    <s v="Se le manda correo al proveedor, informandole sobre la auditoria del 2025"/>
    <m/>
    <m/>
    <m/>
    <m/>
    <m/>
    <s v="htorres@gcuetara.com.mx"/>
  </r>
  <r>
    <n v="14833"/>
    <x v="45"/>
    <n v="1202006.4078560001"/>
    <n v="0"/>
    <n v="192321.0258"/>
    <n v="1394327.5795999998"/>
    <n v="0"/>
    <m/>
    <m/>
    <m/>
    <n v="0"/>
    <n v="1202006.4078560001"/>
    <n v="0"/>
    <n v="192321.0258"/>
    <n v="1394327.4336560001"/>
    <m/>
    <m/>
    <m/>
    <n v="0"/>
    <n v="989331.12"/>
    <s v="TOP - Sin aclaracion"/>
    <n v="1202006.4078560001"/>
    <n v="1394327.4336560001"/>
    <n v="0.1459439997561276"/>
    <n v="0"/>
    <s v="Aplicar"/>
    <n v="4"/>
    <n v="1"/>
    <n v="0"/>
    <x v="0"/>
    <x v="4"/>
    <s v="Belem"/>
    <m/>
    <m/>
    <m/>
    <m/>
    <m/>
    <m/>
    <m/>
    <m/>
    <m/>
    <m/>
    <m/>
    <m/>
    <m/>
    <m/>
    <e v="#N/A"/>
  </r>
  <r>
    <n v="55780"/>
    <x v="46"/>
    <n v="1199170.9634899602"/>
    <n v="0"/>
    <n v="191867.47035839359"/>
    <n v="1391038.55"/>
    <n v="1391038.55"/>
    <m/>
    <m/>
    <m/>
    <n v="0"/>
    <n v="1199170.9634899602"/>
    <n v="0"/>
    <n v="191867.47035839359"/>
    <n v="1391038.4338483538"/>
    <m/>
    <m/>
    <m/>
    <n v="0"/>
    <n v="5114529.1399999997"/>
    <s v="TOP - Sin aclaracion"/>
    <n v="1199170.9634899602"/>
    <n v="1391038.4338483538"/>
    <n v="0.11615164624527097"/>
    <n v="0"/>
    <s v="Aplicar"/>
    <n v="4"/>
    <n v="1"/>
    <s v="01 contacto: envio de correo incial informando el detalle y adjuntando manual"/>
    <x v="0"/>
    <x v="4"/>
    <s v="Andrea"/>
    <m/>
    <m/>
    <m/>
    <m/>
    <m/>
    <d v="2026-01-28T00:00:00"/>
    <m/>
    <m/>
    <s v="Se envía correo informando que el comunicado de cargo NS correspondiente al periodo de enero a agosto de 2025 ya se encuentra publicado en el Portal. El detalle del mismo también está disponible desglosado en el Portal. Se adjunta manual de visualizacion de Cargos."/>
    <s v="Casos abiertos( En proceso)"/>
    <m/>
    <m/>
    <m/>
    <m/>
    <s v="almagabriela.gomez@clorox.com"/>
  </r>
  <r>
    <n v="325258"/>
    <x v="47"/>
    <n v="1374858.1583984373"/>
    <n v="0"/>
    <n v="4352.8735999999999"/>
    <n v="1379211.03"/>
    <n v="326883.88"/>
    <n v="323466.15000000002"/>
    <n v="0"/>
    <n v="3417.73"/>
    <n v="326883.88"/>
    <n v="81753.818398437463"/>
    <n v="0"/>
    <n v="3.6000000000058208E-3"/>
    <n v="81753.821998437459"/>
    <n v="969638.19"/>
    <n v="0"/>
    <n v="935.14"/>
    <n v="970573.33"/>
    <n v="1543899.35"/>
    <s v="TOP - Sin aclaracion"/>
    <n v="1374858.1583984373"/>
    <n v="1379211.0319984374"/>
    <n v="-1.9984373357146978E-3"/>
    <m/>
    <s v="Revisión"/>
    <n v="4"/>
    <n v="4"/>
    <s v="En revisión OC que se cobran 100%"/>
    <x v="0"/>
    <x v="2"/>
    <s v="Sareé"/>
    <m/>
    <m/>
    <m/>
    <m/>
    <m/>
    <d v="2026-01-28T00:00:00"/>
    <m/>
    <m/>
    <s v="Se envían comentarios de auditoría para la parte restante"/>
    <m/>
    <m/>
    <s v="X"/>
    <m/>
    <m/>
    <s v="jorgeperez@schettino.com.mx"/>
  </r>
  <r>
    <n v="137"/>
    <x v="48"/>
    <n v="1171057.73823"/>
    <n v="0"/>
    <n v="187369.23820000002"/>
    <n v="1358427.0055"/>
    <n v="1358427.01"/>
    <m/>
    <m/>
    <m/>
    <n v="0"/>
    <n v="1171057.73823"/>
    <n v="0"/>
    <n v="187369.23820000002"/>
    <n v="1358426.97643"/>
    <m/>
    <m/>
    <m/>
    <n v="0"/>
    <n v="1717579.78"/>
    <s v="TOP - Sin aclaracion"/>
    <n v="1171057.73823"/>
    <n v="1358426.97643"/>
    <n v="2.9069999931380153E-2"/>
    <n v="0"/>
    <s v="Aplicar"/>
    <n v="4"/>
    <n v="2"/>
    <s v="Proveedor no da respuesta, no presenta soportes, un seguimiento con la notificación del importe"/>
    <x v="0"/>
    <x v="5"/>
    <s v="Luis"/>
    <m/>
    <m/>
    <m/>
    <m/>
    <m/>
    <d v="2026-01-28T00:00:00"/>
    <m/>
    <m/>
    <s v="Se envía correo con información de detalle de ns"/>
    <m/>
    <m/>
    <m/>
    <m/>
    <m/>
    <s v="claudia.gutierrez2@la.spectrumbrands.com"/>
  </r>
  <r>
    <n v="389783"/>
    <x v="49"/>
    <n v="1044839.9599399999"/>
    <n v="0"/>
    <n v="167174.39609999998"/>
    <n v="1212014.3606999998"/>
    <n v="504574.86"/>
    <m/>
    <m/>
    <m/>
    <n v="0"/>
    <n v="1044839.9599399999"/>
    <n v="0"/>
    <n v="167174.39609999998"/>
    <n v="1212014.3560399998"/>
    <m/>
    <m/>
    <m/>
    <n v="0"/>
    <n v="857399.01"/>
    <s v="TOP - Sin aclaracion"/>
    <n v="1044839.9599399999"/>
    <n v="1212014.3560399998"/>
    <n v="4.6600000932812691E-3"/>
    <n v="0"/>
    <s v="Aplicar"/>
    <n v="4"/>
    <n v="1"/>
    <s v="1 contacto, se le informa al proveedor de la auditoria, proveedor comenta que si tiene alguna duda nos contacta."/>
    <x v="0"/>
    <x v="4"/>
    <s v="Sareé"/>
    <m/>
    <m/>
    <m/>
    <m/>
    <m/>
    <d v="2026-01-28T00:00:00"/>
    <m/>
    <m/>
    <s v="Se le manda correo al proveedor, informandole sobre la auditoria del 2025"/>
    <m/>
    <m/>
    <m/>
    <m/>
    <m/>
    <e v="#N/A"/>
  </r>
  <r>
    <n v="397984"/>
    <x v="50"/>
    <n v="1009288.59296292"/>
    <n v="0"/>
    <n v="161486.17487406719"/>
    <n v="1170774.7599999998"/>
    <n v="1170774.76"/>
    <m/>
    <m/>
    <m/>
    <n v="0"/>
    <n v="996068.37296292"/>
    <n v="0"/>
    <n v="159370.9348740672"/>
    <n v="1155439.3078369871"/>
    <n v="13220.22"/>
    <n v="0"/>
    <n v="2115.2399999999998"/>
    <n v="15335.46"/>
    <n v="7876892.9500000002"/>
    <s v="TOP - Sin aclaracion"/>
    <n v="1009288.59296292"/>
    <n v="1170774.767836987"/>
    <n v="-7.8369872644543648E-3"/>
    <m/>
    <s v="Aplicado"/>
    <n v="4"/>
    <n v="0"/>
    <n v="0"/>
    <x v="0"/>
    <x v="2"/>
    <s v="Yessenia"/>
    <n v="1170774.76"/>
    <s v="NO PROCEDE EL CARGO DEBIDO A QUE EL PROVEEDOR PIDIO LA AMPLIACION DEL PEDIDO"/>
    <n v="6"/>
    <m/>
    <d v="2026-02-05T00:00:00"/>
    <d v="2026-02-06T00:00:00"/>
    <d v="2026-02-06T00:00:00"/>
    <m/>
    <s v="presenta folio de aclaraiones de todos los importes , donde de los soportes presnetados no proceden 15,335.45 con impuestos incluidos, el resto se solicito soporte contundente "/>
    <m/>
    <m/>
    <m/>
    <m/>
    <m/>
    <s v="armandoaguilar@comarket.com.mx "/>
  </r>
  <r>
    <n v="383349"/>
    <x v="51"/>
    <n v="1141553.9842472"/>
    <n v="0"/>
    <n v="0"/>
    <n v="1141553.99"/>
    <n v="0"/>
    <m/>
    <m/>
    <m/>
    <n v="0"/>
    <n v="1141553.9842472"/>
    <n v="0"/>
    <n v="0"/>
    <n v="1141553.9842472"/>
    <m/>
    <m/>
    <m/>
    <n v="0"/>
    <m/>
    <s v="TOP - Aclaracion"/>
    <n v="1141553.9842472"/>
    <n v="1141553.9842472"/>
    <n v="5.7528000324964523E-3"/>
    <n v="0"/>
    <s v="Aplicar"/>
    <n v="4"/>
    <n v="4"/>
    <s v="Proveedor información no contundente, dice tener un convenio actualizado de no negociación de FR se solicitó y aún no lo envía"/>
    <x v="0"/>
    <x v="2"/>
    <s v="Francisco"/>
    <m/>
    <m/>
    <m/>
    <m/>
    <d v="2026-01-26T00:00:00"/>
    <d v="2026-01-26T00:00:00"/>
    <m/>
    <m/>
    <s v="Proveedor otorga convenio en donde indica cancelaciòn, se esta validando la informaciòn"/>
    <m/>
    <m/>
    <s v="X"/>
    <m/>
    <s v="Proveedor se contacta para ver la Auditoria del 2020 -2024, posterior a esto se notifica la diferencia del ejercicio 2025."/>
    <s v="diego.fraustro@capico.com.mx"/>
  </r>
  <r>
    <n v="5330"/>
    <x v="52"/>
    <n v="961798.11"/>
    <n v="0"/>
    <n v="153887.69759999996"/>
    <n v="1115685.8199999998"/>
    <n v="1115685.82"/>
    <m/>
    <m/>
    <m/>
    <n v="0"/>
    <n v="961798.11"/>
    <n v="0"/>
    <n v="153887.69759999996"/>
    <n v="1115685.8075999999"/>
    <m/>
    <m/>
    <m/>
    <n v="0"/>
    <n v="748824.76"/>
    <s v="TOP - Aclaracion"/>
    <n v="961798.11"/>
    <n v="1115685.8075999999"/>
    <n v="1.2399999890476465E-2"/>
    <n v="0"/>
    <s v="Aplicar"/>
    <n v="4"/>
    <n v="3"/>
    <s v="Proveedor no presenta soportes de improcedenica, ultima fecha de seguimiento 20 de febrero 2026, tres correos de seguimiento"/>
    <x v="0"/>
    <x v="2"/>
    <s v="Luis"/>
    <n v="1115685.8199999998"/>
    <s v="DETALLE DE LOS CARGOS EN EL PORTAL"/>
    <n v="3"/>
    <s v="NO"/>
    <d v="2026-01-19T00:00:00"/>
    <d v="2026-01-19T00:00:00"/>
    <d v="2026-01-19T00:00:00"/>
    <m/>
    <s v="Proveedor se encuentra en revisión del saldo compartido"/>
    <m/>
    <s v="X"/>
    <m/>
    <m/>
    <s v="correo compartido por Ambriz Ruiz Jair Alejandro &lt;jairar@soriana.com&gt;"/>
    <s v="kam3@noveltycorp.com"/>
  </r>
  <r>
    <n v="21845"/>
    <x v="53"/>
    <n v="1064364.8900784368"/>
    <n v="0"/>
    <n v="0"/>
    <n v="1064364.8900000001"/>
    <n v="1064364.8799999999"/>
    <m/>
    <m/>
    <m/>
    <n v="0"/>
    <n v="1064364.8900784368"/>
    <n v="0"/>
    <n v="0"/>
    <n v="1064364.8900784368"/>
    <m/>
    <m/>
    <m/>
    <n v="0"/>
    <n v="926636.9"/>
    <s v="TOP - Sin aclaracion"/>
    <n v="1064364.8900784368"/>
    <n v="1064364.8900784368"/>
    <n v="-7.8436685726046562E-5"/>
    <m/>
    <s v="Aplicar"/>
    <n v="4"/>
    <n v="1"/>
    <n v="0"/>
    <x v="0"/>
    <x v="4"/>
    <s v="Jessica"/>
    <m/>
    <m/>
    <m/>
    <m/>
    <m/>
    <m/>
    <m/>
    <m/>
    <m/>
    <m/>
    <m/>
    <m/>
    <m/>
    <m/>
    <e v="#N/A"/>
  </r>
  <r>
    <n v="22068"/>
    <x v="54"/>
    <n v="1060303.720335548"/>
    <n v="0"/>
    <n v="0"/>
    <n v="1060303.73"/>
    <n v="0"/>
    <m/>
    <m/>
    <m/>
    <n v="0"/>
    <n v="1060303.720335548"/>
    <n v="0"/>
    <n v="0"/>
    <n v="1060303.720335548"/>
    <m/>
    <m/>
    <m/>
    <n v="0"/>
    <n v="1136864.42"/>
    <s v="TOP - Sin aclaracion"/>
    <n v="1060303.720335548"/>
    <n v="1060303.720335548"/>
    <n v="9.6644519362598658E-3"/>
    <n v="0"/>
    <s v="Aplicar"/>
    <n v="4"/>
    <n v="1"/>
    <n v="0"/>
    <x v="0"/>
    <x v="4"/>
    <s v="Belem"/>
    <m/>
    <m/>
    <m/>
    <m/>
    <m/>
    <m/>
    <m/>
    <m/>
    <m/>
    <m/>
    <m/>
    <m/>
    <m/>
    <m/>
    <e v="#N/A"/>
  </r>
  <r>
    <n v="58958"/>
    <x v="55"/>
    <n v="912839.39000000013"/>
    <n v="0"/>
    <n v="146054.3559"/>
    <n v="1058893.6900000002"/>
    <n v="76727.899999999994"/>
    <m/>
    <m/>
    <m/>
    <n v="0"/>
    <n v="912839.39000000013"/>
    <n v="0"/>
    <n v="146054.3559"/>
    <n v="1058893.7459000002"/>
    <m/>
    <m/>
    <m/>
    <n v="0"/>
    <n v="763595.94"/>
    <s v="TOP - Sin aclaracion"/>
    <n v="912839.39000000013"/>
    <n v="1058893.7459000002"/>
    <n v="-5.5900000035762787E-2"/>
    <n v="0"/>
    <s v="Aplicar"/>
    <n v="4"/>
    <n v="2"/>
    <s v="Se le informa a proveedor sobre el comunicado dentro del portal"/>
    <x v="0"/>
    <x v="4"/>
    <s v="Sareé"/>
    <m/>
    <m/>
    <m/>
    <m/>
    <m/>
    <d v="2026-01-28T00:00:00"/>
    <m/>
    <m/>
    <s v="Se le manda correo al proveedor, informandole sobre la auditoria del 2025"/>
    <m/>
    <m/>
    <m/>
    <m/>
    <m/>
    <e v="#N/A"/>
  </r>
  <r>
    <n v="387183"/>
    <x v="56"/>
    <n v="866011.34979124658"/>
    <n v="0"/>
    <n v="138561.2374665995"/>
    <n v="1004572.6299999999"/>
    <n v="1004572.63"/>
    <m/>
    <m/>
    <m/>
    <n v="0"/>
    <n v="866011.34979124658"/>
    <n v="0"/>
    <n v="138561.2374665995"/>
    <n v="1004572.587257846"/>
    <m/>
    <m/>
    <m/>
    <n v="0"/>
    <n v="831703.47"/>
    <s v="TOP - Aclaracion"/>
    <n v="866011.34979124658"/>
    <n v="1004572.587257846"/>
    <n v="4.274215386249125E-2"/>
    <n v="0"/>
    <s v="Aplicar"/>
    <n v="4"/>
    <n v="1"/>
    <s v="1 contacto se le informa de la publicación de pedidos en el portal"/>
    <x v="0"/>
    <x v="2"/>
    <s v="Erika"/>
    <n v="1004572.6299999999"/>
    <s v="DETALLE DE LOS CARGOS EN EL PORTAL"/>
    <n v="7"/>
    <s v="NO"/>
    <d v="2026-01-20T00:00:00"/>
    <d v="2026-03-09T00:00:00"/>
    <d v="2026-03-09T00:00:00"/>
    <m/>
    <s v="Proveedor solicito detalle y se le hizo llegar"/>
    <s v="Casos abiertos( En proceso)"/>
    <s v="X"/>
    <m/>
    <m/>
    <m/>
    <e v="#N/A"/>
  </r>
  <r>
    <n v="81422"/>
    <x v="57"/>
    <n v="862425.72"/>
    <n v="0"/>
    <n v="137988.11520000003"/>
    <n v="1000413.8400000001"/>
    <n v="1000413.84"/>
    <m/>
    <m/>
    <m/>
    <n v="0"/>
    <n v="862425.72"/>
    <n v="0"/>
    <n v="137988.11520000003"/>
    <n v="1000413.8352"/>
    <m/>
    <m/>
    <m/>
    <n v="0"/>
    <n v="1254105.24"/>
    <s v="TOP - Sin aclaracion"/>
    <n v="862425.72"/>
    <n v="1000413.8352"/>
    <n v="4.8000001115724444E-3"/>
    <m/>
    <s v="Aplicar"/>
    <n v="4"/>
    <n v="0"/>
    <n v="0"/>
    <x v="1"/>
    <x v="4"/>
    <s v="Jessica"/>
    <m/>
    <m/>
    <m/>
    <m/>
    <m/>
    <m/>
    <m/>
    <m/>
    <m/>
    <m/>
    <m/>
    <m/>
    <m/>
    <m/>
    <e v="#N/A"/>
  </r>
  <r>
    <n v="394189"/>
    <x v="58"/>
    <n v="861532.13134624402"/>
    <n v="0"/>
    <n v="137845.29941539903"/>
    <n v="999377.42"/>
    <n v="999377.42"/>
    <m/>
    <m/>
    <m/>
    <n v="0"/>
    <n v="861532.13134624402"/>
    <n v="0"/>
    <n v="137845.29941539903"/>
    <n v="999377.43076164299"/>
    <m/>
    <m/>
    <m/>
    <n v="0"/>
    <n v="9004960.8100000005"/>
    <s v="NO ES TOP"/>
    <n v="861532.13134624402"/>
    <n v="999377.43076164299"/>
    <n v="-1.0761642944999039E-2"/>
    <n v="0"/>
    <s v="Aplicar"/>
    <n v="4"/>
    <n v="0"/>
    <s v="Sin acercamiento por parte del proveedor, actualmente pendiente auditoria del 2020-2024"/>
    <x v="1"/>
    <x v="4"/>
    <s v="Erika"/>
    <m/>
    <m/>
    <m/>
    <m/>
    <m/>
    <m/>
    <m/>
    <m/>
    <m/>
    <m/>
    <m/>
    <m/>
    <m/>
    <m/>
    <s v="irais.perez@uscotton.com "/>
  </r>
  <r>
    <n v="53256"/>
    <x v="59"/>
    <n v="825790.18705603993"/>
    <n v="0"/>
    <n v="132126.43003424001"/>
    <n v="957916.60030000005"/>
    <n v="813643.35"/>
    <n v="701416.69705603993"/>
    <n v="0"/>
    <n v="112226.67003424001"/>
    <n v="813643.36709027993"/>
    <n v="0"/>
    <n v="0"/>
    <n v="0"/>
    <n v="0"/>
    <n v="124373.49"/>
    <n v="0"/>
    <n v="19899.759999999998"/>
    <n v="144273.25"/>
    <n v="969636.03"/>
    <s v="NO ES TOP"/>
    <n v="825790.18705603993"/>
    <n v="957916.61709027993"/>
    <n v="-1.6790279885753989E-2"/>
    <m/>
    <s v="Cerrado/Aplicar"/>
    <n v="4"/>
    <n v="0"/>
    <n v="0"/>
    <x v="0"/>
    <x v="3"/>
    <s v="Sareé"/>
    <n v="268439.49"/>
    <s v="CARGOS ERRONEOS, DEBIDO A QUE SI CANCELARON LA CITA"/>
    <n v="1"/>
    <s v="SI"/>
    <d v="2026-01-26T00:00:00"/>
    <d v="2026-01-26T00:00:00"/>
    <m/>
    <m/>
    <s v="Proveedor solicito detalle y se le hizo llegar. Validado comparte soportes de 3 OC "/>
    <s v="Casos cerrados"/>
    <s v="X"/>
    <m/>
    <m/>
    <m/>
    <s v=" eochoa@losbelenes.com.mx"/>
  </r>
  <r>
    <n v="16068"/>
    <x v="60"/>
    <n v="821068.10881523206"/>
    <n v="0"/>
    <n v="131370.88085000511"/>
    <n v="952439.06780000008"/>
    <s v=" -   "/>
    <m/>
    <m/>
    <m/>
    <n v="0"/>
    <n v="821068.10881523206"/>
    <n v="0"/>
    <n v="131370.88085000511"/>
    <n v="952438.98966523714"/>
    <m/>
    <m/>
    <m/>
    <n v="0"/>
    <n v="894050.83"/>
    <s v="NO ES TOP"/>
    <n v="821068.10881523206"/>
    <n v="952438.98966523714"/>
    <n v="7.8134762938134372E-2"/>
    <n v="0"/>
    <s v="Aplicado"/>
    <n v="4"/>
    <n v="0"/>
    <s v="Sin contacto de proveedor"/>
    <x v="1"/>
    <x v="4"/>
    <s v="Mario"/>
    <m/>
    <m/>
    <m/>
    <m/>
    <m/>
    <m/>
    <m/>
    <m/>
    <m/>
    <m/>
    <m/>
    <m/>
    <m/>
    <m/>
    <e v="#N/A"/>
  </r>
  <r>
    <n v="33571"/>
    <x v="61"/>
    <n v="945096.76"/>
    <n v="0"/>
    <n v="0"/>
    <n v="945096.76"/>
    <n v="945096.75"/>
    <m/>
    <m/>
    <m/>
    <n v="0"/>
    <n v="945096.76"/>
    <n v="0"/>
    <n v="0"/>
    <n v="945096.76"/>
    <m/>
    <m/>
    <m/>
    <n v="0"/>
    <n v="832738.77"/>
    <s v="NO ES TOP"/>
    <n v="945096.76"/>
    <n v="945096.76"/>
    <n v="0"/>
    <m/>
    <s v="Aplicar"/>
    <n v="4"/>
    <n v="0"/>
    <n v="0"/>
    <x v="1"/>
    <x v="4"/>
    <s v="Jessica"/>
    <m/>
    <m/>
    <m/>
    <m/>
    <m/>
    <m/>
    <m/>
    <m/>
    <m/>
    <m/>
    <m/>
    <m/>
    <m/>
    <m/>
    <e v="#N/A"/>
  </r>
  <r>
    <n v="304196"/>
    <x v="62"/>
    <n v="927389.66162400006"/>
    <n v="0"/>
    <n v="0"/>
    <n v="927389.66160000011"/>
    <n v="39399.81"/>
    <m/>
    <m/>
    <m/>
    <n v="0"/>
    <n v="927389.66162400006"/>
    <n v="0"/>
    <n v="0"/>
    <n v="927389.66162400006"/>
    <m/>
    <m/>
    <m/>
    <n v="0"/>
    <n v="30545.9"/>
    <s v="NO ES TOP"/>
    <n v="927389.66162400006"/>
    <n v="927389.66162400006"/>
    <n v="-2.3999949917197227E-5"/>
    <n v="0"/>
    <s v="Aplicar"/>
    <n v="4"/>
    <n v="0"/>
    <n v="0"/>
    <x v="1"/>
    <x v="4"/>
    <s v="Belem"/>
    <m/>
    <m/>
    <m/>
    <m/>
    <m/>
    <m/>
    <m/>
    <m/>
    <m/>
    <m/>
    <m/>
    <m/>
    <m/>
    <m/>
    <e v="#N/A"/>
  </r>
  <r>
    <n v="306225"/>
    <x v="63"/>
    <n v="803396.8"/>
    <n v="6186.5016000000005"/>
    <n v="106913.5808"/>
    <n v="916496.61"/>
    <n v="249021.94"/>
    <m/>
    <m/>
    <m/>
    <n v="0"/>
    <n v="803396.8"/>
    <n v="6186.5016000000005"/>
    <n v="106913.5808"/>
    <n v="916496.8824"/>
    <m/>
    <m/>
    <m/>
    <n v="0"/>
    <n v="1564682.29"/>
    <s v="NO ES TOP"/>
    <n v="803396.8"/>
    <n v="916496.8824"/>
    <n v="-0.27240000001620501"/>
    <n v="0"/>
    <s v="Aplicar"/>
    <n v="4"/>
    <n v="3"/>
    <s v="Proveedor no presenta soportes de improcedencia, ultima fecha de seguimiento 16 de febrero 2026"/>
    <x v="0"/>
    <x v="4"/>
    <s v="Luis"/>
    <m/>
    <m/>
    <m/>
    <m/>
    <m/>
    <m/>
    <m/>
    <m/>
    <m/>
    <m/>
    <m/>
    <m/>
    <m/>
    <m/>
    <s v="trujillo.g@gifan.com.mx"/>
  </r>
  <r>
    <n v="11361"/>
    <x v="64"/>
    <n v="786706.16157826397"/>
    <n v="0"/>
    <n v="125873.01885252225"/>
    <n v="912579.2699999999"/>
    <n v="912579.27"/>
    <m/>
    <m/>
    <m/>
    <n v="0"/>
    <n v="786706.16157826397"/>
    <n v="0"/>
    <n v="125873.01885252225"/>
    <n v="912579.18043078622"/>
    <m/>
    <m/>
    <m/>
    <n v="0"/>
    <n v="4024372.96"/>
    <s v="NO ES TOP"/>
    <n v="786706.16157826397"/>
    <n v="912579.18043078622"/>
    <n v="8.9569213683716953E-2"/>
    <n v="0"/>
    <s v="Aplicar"/>
    <n v="4"/>
    <n v="10"/>
    <s v="10 contactos, se involucra Ana Ruth, proveedor informa que no tiene como absorber el saldo pendiente, los demas convenios los acepta"/>
    <x v="0"/>
    <x v="2"/>
    <s v="Erika"/>
    <m/>
    <m/>
    <m/>
    <m/>
    <m/>
    <m/>
    <m/>
    <m/>
    <m/>
    <m/>
    <m/>
    <m/>
    <m/>
    <m/>
    <s v="jaldape@comcantu.com"/>
  </r>
  <r>
    <n v="384776"/>
    <x v="65"/>
    <n v="603036.43118287146"/>
    <n v="160860.24754408322"/>
    <n v="122223.4685763125"/>
    <n v="886120.11999999988"/>
    <n v="0"/>
    <m/>
    <m/>
    <m/>
    <n v="0"/>
    <n v="603036.43118287146"/>
    <n v="160860.24754408322"/>
    <n v="122223.4685763125"/>
    <n v="886120.14730326715"/>
    <m/>
    <m/>
    <m/>
    <n v="0"/>
    <n v="159233.19"/>
    <s v="NO ES TOP"/>
    <n v="603036.43118287146"/>
    <n v="886120.14730326715"/>
    <n v="-2.7303267270326614E-2"/>
    <n v="0"/>
    <s v="Revisión"/>
    <n v="4"/>
    <n v="4"/>
    <s v="Proveedor manda soporte de evidencia de solicitud de omisión , en validación de confirmación, se tuvo 4 correos de seguimiento"/>
    <x v="0"/>
    <x v="2"/>
    <s v="Marcela"/>
    <n v="886120.11999999988"/>
    <s v="DETALLE DE LOS CARGOS EN EL PORTAL"/>
    <m/>
    <m/>
    <d v="2026-01-20T00:00:00"/>
    <d v="2026-01-20T00:00:00"/>
    <d v="2026-01-21T00:00:00"/>
    <m/>
    <s v="Proveedor autoriza 94 mil pesos. Argumenta entregó lo que se le publico. Proveedor manda soporte de memo de cancelacion pero son pedidos diferentes a los publicados."/>
    <m/>
    <m/>
    <s v="X"/>
    <m/>
    <m/>
    <s v="ARACELI.REYNAGA@VINUX.COM.MX"/>
  </r>
  <r>
    <n v="55798"/>
    <x v="66"/>
    <n v="742175.06802572915"/>
    <n v="0"/>
    <n v="118748.03828411664"/>
    <n v="860923.08000000007"/>
    <n v="860923.08"/>
    <m/>
    <m/>
    <m/>
    <n v="0"/>
    <n v="742175.06802572915"/>
    <n v="0"/>
    <n v="118748.03828411664"/>
    <n v="860923.10630984581"/>
    <m/>
    <m/>
    <m/>
    <n v="0"/>
    <n v="925108.34"/>
    <s v="NO ES TOP"/>
    <n v="742175.06802572915"/>
    <n v="860923.10630984581"/>
    <n v="-2.6309845736250281E-2"/>
    <n v="0"/>
    <s v="Aplicar"/>
    <n v="4"/>
    <n v="0"/>
    <s v="Proveedor solo ha respondido por diferencias del 20-24"/>
    <x v="1"/>
    <x v="4"/>
    <s v="Mario"/>
    <m/>
    <m/>
    <m/>
    <m/>
    <m/>
    <m/>
    <m/>
    <m/>
    <m/>
    <m/>
    <m/>
    <m/>
    <m/>
    <m/>
    <s v="alejandra.carrion@solatextil.mx"/>
  </r>
  <r>
    <n v="85902"/>
    <x v="67"/>
    <n v="725653.97848085605"/>
    <n v="0"/>
    <n v="116104.63035693695"/>
    <n v="841758.62999999989"/>
    <n v="841758.63"/>
    <m/>
    <m/>
    <m/>
    <n v="0"/>
    <n v="725653.97848085605"/>
    <n v="0"/>
    <n v="116104.63035693695"/>
    <n v="841758.608837793"/>
    <m/>
    <m/>
    <m/>
    <n v="0"/>
    <n v="1405532.52"/>
    <s v="NO ES TOP"/>
    <n v="725653.97848085605"/>
    <n v="841758.608837793"/>
    <n v="2.1162206889130175E-2"/>
    <n v="0"/>
    <s v="Aplicado"/>
    <n v="4"/>
    <n v="0"/>
    <n v="0"/>
    <x v="1"/>
    <x v="4"/>
    <s v="Erika"/>
    <m/>
    <m/>
    <m/>
    <m/>
    <m/>
    <m/>
    <m/>
    <m/>
    <m/>
    <m/>
    <m/>
    <m/>
    <m/>
    <m/>
    <s v="algarciag@quakerstate.com.mx"/>
  </r>
  <r>
    <n v="62760"/>
    <x v="68"/>
    <n v="721247.01"/>
    <n v="0"/>
    <n v="115399.52160000002"/>
    <n v="836646.48999999987"/>
    <n v="836646.49"/>
    <m/>
    <m/>
    <m/>
    <n v="0"/>
    <n v="721247.01"/>
    <n v="0"/>
    <n v="115399.52160000002"/>
    <n v="836646.53159999999"/>
    <m/>
    <m/>
    <m/>
    <n v="0"/>
    <n v="1305389.21"/>
    <s v="NO ES TOP"/>
    <n v="721247.01"/>
    <n v="836646.53159999999"/>
    <n v="-4.1600000113248825E-2"/>
    <m/>
    <s v="Aplicar"/>
    <n v="4"/>
    <n v="0"/>
    <n v="0"/>
    <x v="1"/>
    <x v="4"/>
    <s v="Jessica"/>
    <m/>
    <m/>
    <m/>
    <m/>
    <m/>
    <m/>
    <m/>
    <m/>
    <m/>
    <m/>
    <m/>
    <m/>
    <m/>
    <m/>
    <e v="#N/A"/>
  </r>
  <r>
    <n v="10348"/>
    <x v="69"/>
    <n v="698397.79315488087"/>
    <n v="0"/>
    <n v="111743.64690478092"/>
    <n v="810141.39999999991"/>
    <n v="810141.43"/>
    <m/>
    <m/>
    <m/>
    <n v="0"/>
    <n v="698397.79315488087"/>
    <n v="0"/>
    <n v="111743.64690478092"/>
    <n v="810141.44005966175"/>
    <m/>
    <m/>
    <m/>
    <n v="0"/>
    <n v="153005.07999999999"/>
    <s v="NO ES TOP"/>
    <n v="698397.79315488087"/>
    <n v="810141.44005966175"/>
    <n v="-4.0059661841951311E-2"/>
    <n v="0"/>
    <s v="Aplicar"/>
    <n v="4"/>
    <n v="0"/>
    <n v="0"/>
    <x v="1"/>
    <x v="4"/>
    <s v="Belem"/>
    <m/>
    <m/>
    <m/>
    <m/>
    <m/>
    <m/>
    <m/>
    <m/>
    <m/>
    <m/>
    <m/>
    <m/>
    <m/>
    <m/>
    <e v="#N/A"/>
  </r>
  <r>
    <n v="39057"/>
    <x v="70"/>
    <n v="678987.00754677306"/>
    <n v="0"/>
    <n v="108638.06510748368"/>
    <n v="787624.9700000002"/>
    <n v="0"/>
    <m/>
    <m/>
    <m/>
    <n v="0"/>
    <n v="678987.00754677306"/>
    <n v="0"/>
    <n v="108638.06510748368"/>
    <n v="787625.07265425671"/>
    <m/>
    <m/>
    <m/>
    <n v="0"/>
    <n v="644172.1"/>
    <s v="NO ES TOP"/>
    <n v="678987.00754677306"/>
    <n v="787625.07265425671"/>
    <n v="-0.10265425650868565"/>
    <n v="0"/>
    <s v="Aplicar"/>
    <n v="4"/>
    <n v="0"/>
    <s v="sin comentarios del proveedor"/>
    <x v="1"/>
    <x v="4"/>
    <s v="Marcela"/>
    <m/>
    <m/>
    <m/>
    <m/>
    <m/>
    <m/>
    <m/>
    <m/>
    <m/>
    <m/>
    <m/>
    <m/>
    <m/>
    <m/>
    <e v="#N/A"/>
  </r>
  <r>
    <n v="52480"/>
    <x v="71"/>
    <n v="740317.29"/>
    <n v="0"/>
    <n v="0"/>
    <n v="740317.29"/>
    <n v="565319.53"/>
    <m/>
    <m/>
    <m/>
    <n v="0"/>
    <n v="740317.29"/>
    <n v="0"/>
    <n v="0"/>
    <n v="740317.29"/>
    <m/>
    <m/>
    <m/>
    <n v="0"/>
    <n v="1154248.3999999999"/>
    <s v="NO ES TOP"/>
    <n v="740317.29"/>
    <n v="740317.29"/>
    <n v="0"/>
    <n v="0"/>
    <s v="Aplicar"/>
    <n v="4"/>
    <n v="0"/>
    <n v="0"/>
    <x v="1"/>
    <x v="4"/>
    <s v="Yessenia"/>
    <m/>
    <m/>
    <m/>
    <m/>
    <m/>
    <m/>
    <m/>
    <m/>
    <m/>
    <m/>
    <m/>
    <m/>
    <m/>
    <m/>
    <e v="#N/A"/>
  </r>
  <r>
    <n v="43463"/>
    <x v="72"/>
    <n v="631186.37458869594"/>
    <n v="0"/>
    <n v="100989.87323419136"/>
    <n v="732176.24343151087"/>
    <n v="732176.24"/>
    <m/>
    <m/>
    <m/>
    <n v="0"/>
    <n v="631186.37458869594"/>
    <n v="0"/>
    <n v="100989.87323419136"/>
    <n v="732176.24782288726"/>
    <m/>
    <m/>
    <m/>
    <n v="0"/>
    <n v="914343"/>
    <s v="NO ES TOP"/>
    <n v="631186.37458869594"/>
    <n v="732176.24782288726"/>
    <n v="-4.3913763947784901E-3"/>
    <n v="0"/>
    <s v="Aplicar"/>
    <n v="4"/>
    <n v="0"/>
    <n v="0"/>
    <x v="1"/>
    <x v="4"/>
    <s v="Francisco"/>
    <m/>
    <m/>
    <m/>
    <m/>
    <m/>
    <m/>
    <m/>
    <m/>
    <m/>
    <m/>
    <m/>
    <m/>
    <m/>
    <m/>
    <s v="jadiaz@ppg.com"/>
  </r>
  <r>
    <n v="12995"/>
    <x v="73"/>
    <n v="630471.06707563309"/>
    <n v="0"/>
    <n v="100875.37068757328"/>
    <n v="731346.26269999996"/>
    <n v="731346.26"/>
    <m/>
    <m/>
    <m/>
    <n v="0"/>
    <n v="630471.06707563309"/>
    <n v="0"/>
    <n v="100875.37068757328"/>
    <n v="731346.43776320643"/>
    <m/>
    <m/>
    <m/>
    <n v="0"/>
    <n v="501100.46"/>
    <s v="NO ES TOP"/>
    <n v="630471.06707563309"/>
    <n v="731346.43776320643"/>
    <n v="-0.17506320646498352"/>
    <n v="0"/>
    <s v="Aplicar"/>
    <n v="4"/>
    <n v="0"/>
    <n v="0"/>
    <x v="1"/>
    <x v="4"/>
    <s v="Francisco"/>
    <m/>
    <m/>
    <m/>
    <m/>
    <m/>
    <m/>
    <m/>
    <m/>
    <m/>
    <m/>
    <m/>
    <m/>
    <m/>
    <m/>
    <e v="#N/A"/>
  </r>
  <r>
    <n v="37481"/>
    <x v="74"/>
    <n v="624993.07259760099"/>
    <n v="0"/>
    <n v="99998.902115616162"/>
    <n v="724991.97720000008"/>
    <n v="724991.97"/>
    <m/>
    <m/>
    <m/>
    <n v="0"/>
    <n v="624993.07259760099"/>
    <n v="0"/>
    <n v="99998.902115616162"/>
    <n v="724991.97471321712"/>
    <m/>
    <m/>
    <m/>
    <n v="0"/>
    <n v="492891.03"/>
    <s v="NO ES TOP"/>
    <n v="624993.07259760099"/>
    <n v="724991.97471321712"/>
    <n v="2.4867829633876681E-3"/>
    <n v="0"/>
    <s v="Aplicar"/>
    <n v="4"/>
    <n v="0"/>
    <n v="0"/>
    <x v="1"/>
    <x v="4"/>
    <s v="Francisco"/>
    <m/>
    <m/>
    <m/>
    <m/>
    <m/>
    <m/>
    <m/>
    <m/>
    <m/>
    <m/>
    <m/>
    <m/>
    <m/>
    <m/>
    <e v="#N/A"/>
  </r>
  <r>
    <n v="318196"/>
    <x v="75"/>
    <n v="624613.84269068798"/>
    <n v="0"/>
    <n v="99938.289235470074"/>
    <n v="724552.14970000007"/>
    <n v="678432.46"/>
    <n v="584855.57335068798"/>
    <m/>
    <n v="93576.891736110076"/>
    <n v="678432.46508679807"/>
    <m/>
    <n v="0"/>
    <n v="3.559935999874142E-2"/>
    <n v="3.559935999874142E-2"/>
    <n v="39758.269339999999"/>
    <m/>
    <n v="6361.3618999999999"/>
    <n v="46119.631240000002"/>
    <n v="228211.6"/>
    <s v="NO ES TOP"/>
    <n v="624613.84269068798"/>
    <n v="724552.13192615809"/>
    <n v="1.7773841973394156E-2"/>
    <m/>
    <s v="Cerrado/Aplicar"/>
    <n v="4"/>
    <n v="2"/>
    <s v="Autorizado por Proveedor"/>
    <x v="0"/>
    <x v="3"/>
    <s v="Andrea"/>
    <n v="724552.15"/>
    <s v="DETALLE DE LOS CARGOS EN EL PORTAL"/>
    <n v="9"/>
    <m/>
    <d v="2026-02-03T00:00:00"/>
    <d v="2026-02-05T00:00:00"/>
    <d v="2026-02-05T00:00:00"/>
    <d v="2026-02-05T00:00:00"/>
    <s v="03 FEB: el area de Aclaraciones envia correo solicitando atender al Proveedor.// 04 feb Auditoria envia correo invitando a reunion, sin embargo Julio Richardson KAM de Sunstar se comunica telefónicamente e informa que ha revisado el monto mas alto y esta de acuerdo, solo que no ha finalizado, se genero la aclaracion en el Portal, por un error para visualizar las partidas que ya solucionaron. Compartira un correo con el resultado. // 04 FEB Proveedor solicita agenda para el jueve 05 feb 3:00 pm se envia invitación por TEAMS.//05 feb : reunion con el Proveedor donde se explica el detalle de la diferencia y se comparte el archivo en excel, el Proveedor informa que tiene unos casos donde el monto del pedido es bajo y no puede despachar que esta informacion la entregro a Comercial en su momento pero explicaron que deben revisar la parametrizacion del Sistema para que no genere pedidos por montos bajos. el Proveedor revisara y enviara el detalle//05 feb: El proveedor comparte correo informando que esta de acuerdo con el monto de $678,432.55 impuestos incluidos, y no autoriza $46,119.60 incluido impuestos porque indica que estos pedidos se publican de manera erronea, solo reciben pedidos los lunes y miercoles y por el monto bajo no es rentable el envio. Envia correo."/>
    <s v="Casos abiertos( En proceso)"/>
    <s v="SI"/>
    <m/>
    <m/>
    <m/>
    <e v="#N/A"/>
  </r>
  <r>
    <n v="48298"/>
    <x v="76"/>
    <n v="619104.2478109689"/>
    <n v="0"/>
    <n v="99056.696149754876"/>
    <n v="718160.95000000007"/>
    <n v="121222.77"/>
    <m/>
    <m/>
    <m/>
    <n v="0"/>
    <n v="344949.3178109689"/>
    <n v="0"/>
    <n v="55191.907349754874"/>
    <n v="400141.22516072378"/>
    <n v="274154.93"/>
    <m/>
    <n v="43864.788800000002"/>
    <n v="318019.71879999997"/>
    <n v="954257.95"/>
    <s v="NO ES TOP"/>
    <n v="619104.2478109689"/>
    <n v="718160.9439607237"/>
    <n v="6.0392763698473573E-3"/>
    <m/>
    <s v="Revisión"/>
    <n v="4"/>
    <n v="10"/>
    <s v="Solo proceden $ 900 esperando confirmación del proveedor "/>
    <x v="0"/>
    <x v="2"/>
    <s v="Francisco"/>
    <n v="718160.95000000007"/>
    <s v="DETALLE DE LOS CARGOS EN EL PORTAL"/>
    <n v="3"/>
    <m/>
    <d v="2026-01-20T00:00:00"/>
    <d v="2026-01-20T00:00:00"/>
    <m/>
    <m/>
    <s v="EN validaciòn de soporte"/>
    <m/>
    <s v="X"/>
    <m/>
    <m/>
    <s v="Envío de manual para validación de ajustes en Portal. Proveedor envìa soporte de cancelaciòn, en proceso de validaciòn."/>
    <s v="d.salazar@campirano.com.mx "/>
  </r>
  <r>
    <n v="44883"/>
    <x v="77"/>
    <n v="423883.77000000008"/>
    <n v="195142.95110000001"/>
    <n v="99044.275200000033"/>
    <n v="718071.01"/>
    <n v="718071.01"/>
    <m/>
    <m/>
    <m/>
    <n v="0"/>
    <n v="423883.77000000008"/>
    <n v="195142.95110000001"/>
    <n v="99044.275200000033"/>
    <n v="718070.99630000012"/>
    <m/>
    <m/>
    <m/>
    <n v="0"/>
    <m/>
    <s v="NO ES TOP"/>
    <n v="423883.77000000008"/>
    <n v="718070.99630000012"/>
    <n v="1.3699999894015491E-2"/>
    <n v="0"/>
    <s v="Aplicar"/>
    <n v="4"/>
    <n v="0"/>
    <s v="Sin contacto de proveedor"/>
    <x v="1"/>
    <x v="4"/>
    <s v="Luis"/>
    <m/>
    <m/>
    <m/>
    <m/>
    <m/>
    <m/>
    <m/>
    <m/>
    <m/>
    <m/>
    <m/>
    <m/>
    <m/>
    <m/>
    <s v="daniela.tijerina@pernod-ricard.com"/>
  </r>
  <r>
    <n v="316877"/>
    <x v="78"/>
    <n v="616995.11"/>
    <n v="0"/>
    <n v="98719.211199999991"/>
    <n v="715714.33000000007"/>
    <n v="68684.62"/>
    <m/>
    <m/>
    <m/>
    <n v="0"/>
    <n v="616995.11"/>
    <n v="0"/>
    <n v="98719.211199999991"/>
    <n v="715714.32120000001"/>
    <m/>
    <m/>
    <m/>
    <n v="0"/>
    <n v="581945.18000000005"/>
    <s v="NO ES TOP"/>
    <n v="616995.11"/>
    <n v="715714.32120000001"/>
    <n v="8.800000068731606E-3"/>
    <m/>
    <s v="Aplicar"/>
    <n v="4"/>
    <n v="0"/>
    <n v="0"/>
    <x v="1"/>
    <x v="4"/>
    <s v="Jessica"/>
    <m/>
    <m/>
    <m/>
    <m/>
    <m/>
    <m/>
    <m/>
    <m/>
    <m/>
    <m/>
    <m/>
    <m/>
    <m/>
    <m/>
    <e v="#N/A"/>
  </r>
  <r>
    <n v="71233"/>
    <x v="79"/>
    <n v="611494.40000000002"/>
    <n v="0"/>
    <n v="97839.212499999994"/>
    <n v="709333.64"/>
    <n v="709333.61"/>
    <n v="575387.56896551722"/>
    <m/>
    <m/>
    <n v="667449.57999999996"/>
    <n v="36106.948275862116"/>
    <n v="0"/>
    <n v="5777.1117241379388"/>
    <n v="41884.060000000056"/>
    <m/>
    <m/>
    <m/>
    <n v="0"/>
    <n v="801618.89"/>
    <s v="NO ES TOP"/>
    <n v="611494.51724137936"/>
    <n v="709333.64"/>
    <n v="0"/>
    <n v="5"/>
    <s v="Cerrado/Aplicar parcialidad"/>
    <n v="4"/>
    <n v="3"/>
    <s v="03 contactos_x000a_23 feb: reunión con el proveedor se encuentra revisando._x000a_24 feb: el proveedor informa que no coincide PVP, por lo que enviara detalle esta tarde._x000a_25 feb: envia correo informando que procede el cargo de NS ene -ago 2025 por un monto de $667,449.58 incluido imp"/>
    <x v="0"/>
    <x v="4"/>
    <s v="Andrea"/>
    <m/>
    <m/>
    <m/>
    <m/>
    <m/>
    <m/>
    <m/>
    <m/>
    <m/>
    <m/>
    <m/>
    <m/>
    <m/>
    <m/>
    <s v="luis.perea@steren.com.mx"/>
  </r>
  <r>
    <n v="208892"/>
    <x v="80"/>
    <n v="686095.39441664924"/>
    <n v="0"/>
    <n v="0"/>
    <n v="686095.39000000013"/>
    <n v="248877.01"/>
    <m/>
    <m/>
    <m/>
    <n v="0"/>
    <n v="686095.39441664924"/>
    <n v="0"/>
    <n v="0"/>
    <n v="686095.39441664924"/>
    <m/>
    <m/>
    <m/>
    <n v="0"/>
    <n v="492503.78"/>
    <s v="NO ES TOP"/>
    <n v="686095.39441664924"/>
    <n v="686095.39441664924"/>
    <n v="-4.4166491134092212E-3"/>
    <n v="0"/>
    <s v="Aplicar"/>
    <n v="4"/>
    <n v="0"/>
    <s v="Sin acercamiento por parte del proveedor"/>
    <x v="1"/>
    <x v="4"/>
    <s v="Erika"/>
    <m/>
    <m/>
    <m/>
    <m/>
    <m/>
    <m/>
    <m/>
    <m/>
    <m/>
    <m/>
    <m/>
    <m/>
    <m/>
    <m/>
    <e v="#N/A"/>
  </r>
  <r>
    <n v="13860"/>
    <x v="81"/>
    <n v="591083.07880170015"/>
    <n v="0"/>
    <n v="94573.292608272008"/>
    <n v="685656.36744799837"/>
    <n v="0"/>
    <m/>
    <m/>
    <m/>
    <n v="0"/>
    <n v="591083.07880170015"/>
    <n v="0"/>
    <n v="94573.292608272008"/>
    <n v="685656.3714099722"/>
    <m/>
    <m/>
    <m/>
    <n v="0"/>
    <n v="1249281.1200000001"/>
    <s v="NO ES TOP"/>
    <n v="591083.07880170015"/>
    <n v="685656.3714099722"/>
    <n v="-3.9619738236069679E-3"/>
    <n v="0"/>
    <s v="Aplicar"/>
    <n v="4"/>
    <n v="1"/>
    <s v="1 contacto, proveedor solicita reunión sin embargo no da fecha"/>
    <x v="0"/>
    <x v="2"/>
    <s v="Erika"/>
    <n v="685656.36744799837"/>
    <s v="DETALLE DE LOS CARGOS EN EL PORTAL"/>
    <m/>
    <m/>
    <d v="2026-01-19T00:00:00"/>
    <d v="2026-01-19T00:00:00"/>
    <m/>
    <m/>
    <s v="Proveedor solicita reunión se le confirma disponibilidad"/>
    <s v="Casos abiertos( En proceso)"/>
    <s v="X"/>
    <m/>
    <m/>
    <m/>
    <s v="joser@jmk.com.mx"/>
  </r>
  <r>
    <n v="64014"/>
    <x v="82"/>
    <n v="665488.12225527596"/>
    <n v="13582.226469583278"/>
    <n v="0"/>
    <n v="679070.33510000003"/>
    <n v="674670"/>
    <n v="661087.93000000005"/>
    <n v="13582.23"/>
    <m/>
    <n v="674670.16"/>
    <m/>
    <n v="-3.5304167213325854E-3"/>
    <n v="0"/>
    <n v="-3.5304167213325854E-3"/>
    <n v="4400.2"/>
    <m/>
    <m/>
    <n v="4400.2"/>
    <m/>
    <s v="NO ES TOP"/>
    <n v="665488.13"/>
    <n v="679070.35646958323"/>
    <n v="-2.1369583206251264E-2"/>
    <m/>
    <s v="Cerrado/Aplicar"/>
    <n v="4"/>
    <n v="1"/>
    <n v="0"/>
    <x v="0"/>
    <x v="3"/>
    <s v="Luis"/>
    <n v="4400.1899999999996"/>
    <m/>
    <m/>
    <m/>
    <d v="2026-02-03T00:00:00"/>
    <m/>
    <m/>
    <m/>
    <m/>
    <m/>
    <m/>
    <m/>
    <m/>
    <m/>
    <s v="AlmaDelia.Rangel@conagra.com "/>
  </r>
  <r>
    <n v="21853"/>
    <x v="83"/>
    <n v="674473.87769096904"/>
    <n v="0"/>
    <n v="0"/>
    <n v="674473.88"/>
    <n v="674473.87"/>
    <m/>
    <m/>
    <m/>
    <n v="0"/>
    <n v="674473.87769096904"/>
    <n v="0"/>
    <n v="0"/>
    <n v="674473.87769096904"/>
    <m/>
    <m/>
    <m/>
    <n v="0"/>
    <m/>
    <s v="NO ES TOP"/>
    <n v="674473.87769096904"/>
    <n v="674473.87769096904"/>
    <n v="2.3090309696272016E-3"/>
    <n v="0"/>
    <s v="Aplicar"/>
    <n v="4"/>
    <n v="0"/>
    <n v="0"/>
    <x v="1"/>
    <x v="4"/>
    <s v="Yessenia"/>
    <m/>
    <m/>
    <m/>
    <m/>
    <m/>
    <m/>
    <m/>
    <m/>
    <m/>
    <m/>
    <m/>
    <m/>
    <m/>
    <m/>
    <s v="jesus@dcoloso.com.mx"/>
  </r>
  <r>
    <n v="3137"/>
    <x v="84"/>
    <n v="578799.46621350304"/>
    <n v="0"/>
    <n v="92607.886794160484"/>
    <n v="671407.36"/>
    <n v="671407.36"/>
    <n v="258104.83"/>
    <n v="0"/>
    <n v="41296.74"/>
    <n v="299401.57"/>
    <n v="0"/>
    <n v="0"/>
    <m/>
    <n v="0"/>
    <n v="320694.64"/>
    <n v="0"/>
    <n v="51311.14"/>
    <n v="372005.78"/>
    <n v="1024896.45"/>
    <s v="NO ES TOP"/>
    <n v="578799.47"/>
    <n v="671407.35000000009"/>
    <n v="9.9999998928979039E-3"/>
    <m/>
    <s v="Aplicado/Reembolsar"/>
    <n v="4"/>
    <n v="0"/>
    <s v="Reembolsar $372,005.78"/>
    <x v="0"/>
    <x v="3"/>
    <s v="Jessica"/>
    <m/>
    <m/>
    <m/>
    <m/>
    <m/>
    <d v="2026-02-06T00:00:00"/>
    <d v="2026-02-06T00:00:00"/>
    <m/>
    <s v="Proveedor acepto de manera parcial, envio soportes para su validacion"/>
    <m/>
    <m/>
    <m/>
    <m/>
    <m/>
    <s v="elias@pammy.com.mx"/>
  </r>
  <r>
    <n v="86520"/>
    <x v="85"/>
    <n v="578790.19352323993"/>
    <n v="0"/>
    <n v="92606.430963718405"/>
    <n v="671396.60999999987"/>
    <n v="433161.51"/>
    <m/>
    <m/>
    <m/>
    <n v="0"/>
    <n v="578790.19352323993"/>
    <n v="0"/>
    <n v="92606.430963718405"/>
    <n v="671396.62448695838"/>
    <m/>
    <m/>
    <m/>
    <n v="0"/>
    <n v="415815.22"/>
    <s v="NO ES TOP"/>
    <n v="578790.19352323993"/>
    <n v="671396.62448695838"/>
    <n v="-1.448695850558579E-2"/>
    <m/>
    <s v="Aplicar"/>
    <n v="4"/>
    <n v="0"/>
    <n v="0"/>
    <x v="1"/>
    <x v="4"/>
    <s v="Jessica"/>
    <m/>
    <m/>
    <m/>
    <m/>
    <m/>
    <m/>
    <m/>
    <m/>
    <m/>
    <m/>
    <m/>
    <m/>
    <m/>
    <m/>
    <e v="#N/A"/>
  </r>
  <r>
    <n v="306571"/>
    <x v="86"/>
    <n v="597144.21234794031"/>
    <n v="0"/>
    <n v="63014.278434710417"/>
    <n v="660158.43999999994"/>
    <n v="660158.43999999994"/>
    <m/>
    <m/>
    <m/>
    <n v="0"/>
    <n v="597144.21234794031"/>
    <n v="0"/>
    <n v="63014.278434710417"/>
    <n v="660158.49078265077"/>
    <m/>
    <m/>
    <m/>
    <n v="0"/>
    <n v="1033798.44"/>
    <s v="NO ES TOP"/>
    <n v="597144.21234794031"/>
    <n v="660158.49078265077"/>
    <n v="-5.0782650825567544E-2"/>
    <n v="0"/>
    <s v="Aplicado"/>
    <n v="4"/>
    <n v="0"/>
    <n v="0"/>
    <x v="1"/>
    <x v="4"/>
    <s v="Olfi"/>
    <n v="660158.43999999994"/>
    <m/>
    <m/>
    <m/>
    <m/>
    <d v="2026-02-06T00:00:00"/>
    <s v="Si"/>
    <m/>
    <s v="Proveedor solicita el detalle y se le comparte _x000a_Proveedor indica que esta en validación de la información,en espera de soportes"/>
    <s v="Casos abiertos( En proceso)"/>
    <m/>
    <s v="X"/>
    <m/>
    <m/>
    <e v="#N/A"/>
  </r>
  <r>
    <n v="13642"/>
    <x v="64"/>
    <n v="556101.1776076979"/>
    <n v="0"/>
    <n v="88976.136517231673"/>
    <n v="645077.30999999994"/>
    <n v="645077.31000000006"/>
    <m/>
    <m/>
    <m/>
    <n v="0"/>
    <n v="556101.1776076979"/>
    <n v="0"/>
    <n v="88976.136517231673"/>
    <n v="645077.3141249296"/>
    <m/>
    <m/>
    <m/>
    <n v="0"/>
    <n v="3106171.6"/>
    <s v="NO ES TOP"/>
    <n v="556101.1776076979"/>
    <n v="645077.3141249296"/>
    <n v="-4.1249296627938747E-3"/>
    <n v="0"/>
    <s v="Aplicar"/>
    <n v="4"/>
    <n v="4"/>
    <s v="Sin soporte de proveedor para el ejercicio 2025"/>
    <x v="0"/>
    <x v="2"/>
    <s v="Luis"/>
    <m/>
    <m/>
    <m/>
    <m/>
    <m/>
    <m/>
    <m/>
    <m/>
    <m/>
    <m/>
    <m/>
    <m/>
    <m/>
    <m/>
    <s v="jaldape@comcantu.com"/>
  </r>
  <r>
    <n v="21869"/>
    <x v="11"/>
    <n v="621522.28741595196"/>
    <n v="0"/>
    <n v="0"/>
    <n v="621522.28"/>
    <n v="199816.08"/>
    <m/>
    <m/>
    <m/>
    <n v="0"/>
    <n v="621522.28741595196"/>
    <n v="0"/>
    <n v="0"/>
    <n v="621522.28741595196"/>
    <m/>
    <m/>
    <m/>
    <n v="0"/>
    <m/>
    <s v="NO ES TOP"/>
    <n v="621522.28741595196"/>
    <n v="621522.28741595196"/>
    <n v="-7.4159519281238317E-3"/>
    <n v="0"/>
    <s v="Aplicar"/>
    <n v="4"/>
    <n v="0"/>
    <n v="0"/>
    <x v="1"/>
    <x v="4"/>
    <s v="Yessenia"/>
    <m/>
    <m/>
    <m/>
    <m/>
    <m/>
    <m/>
    <m/>
    <m/>
    <m/>
    <m/>
    <m/>
    <m/>
    <m/>
    <m/>
    <s v="lcedillo@pinsa.com"/>
  </r>
  <r>
    <n v="79087"/>
    <x v="87"/>
    <n v="532651.81000000006"/>
    <n v="0"/>
    <n v="85224.289599999989"/>
    <n v="617876.1100000001"/>
    <n v="0"/>
    <n v="101785.73000000004"/>
    <n v="0"/>
    <n v="16285.719599999982"/>
    <n v="118071.44960000002"/>
    <n v="0"/>
    <n v="0"/>
    <n v="0"/>
    <n v="0"/>
    <n v="430866.08"/>
    <m/>
    <n v="68938.570000000007"/>
    <n v="499804.65"/>
    <n v="559777.36"/>
    <s v="NO ES TOP"/>
    <n v="532651.81000000006"/>
    <n v="617876.09960000007"/>
    <n v="1.0400000028312206E-2"/>
    <m/>
    <s v="Aplicar"/>
    <n v="4"/>
    <n v="6"/>
    <s v="20-feb-2026 el proveedor informa y autoriza en reunion por teams el importe de $118,07.45 1 (4  correos de Seguimiento)"/>
    <x v="0"/>
    <x v="5"/>
    <s v="Yessica"/>
    <m/>
    <m/>
    <m/>
    <m/>
    <m/>
    <d v="2026-02-06T00:00:00"/>
    <m/>
    <d v="2026-02-06T00:00:00"/>
    <s v="proveedor acepta importe  Se envió la información al proveedor para su validación; quedamos pendientes de recibir la documentación presentada en la reunión."/>
    <m/>
    <m/>
    <m/>
    <m/>
    <m/>
    <s v="alejandro.rodriguez@hamiltonbeach.com"/>
  </r>
  <r>
    <n v="32953"/>
    <x v="88"/>
    <n v="526702.41254543397"/>
    <n v="0"/>
    <n v="84272.3794072694"/>
    <n v="610975.08000000007"/>
    <n v="489083.38"/>
    <n v="356190"/>
    <n v="0"/>
    <n v="56990.39"/>
    <n v="413180.39"/>
    <n v="65434.19"/>
    <n v="0"/>
    <n v="10469.4694072694"/>
    <n v="75903.659407269399"/>
    <n v="105078.23"/>
    <n v="0"/>
    <n v="16812.52"/>
    <n v="121890.75"/>
    <n v="2990546.31"/>
    <s v="NO ES TOP"/>
    <n v="526702.42000000004"/>
    <n v="610974.79940726934"/>
    <n v="0.28059273073449731"/>
    <m/>
    <s v="Aplicar"/>
    <n v="4"/>
    <n v="8"/>
    <s v="cierre con el importe marcado"/>
    <x v="0"/>
    <x v="2"/>
    <s v="Jessica"/>
    <m/>
    <m/>
    <m/>
    <m/>
    <m/>
    <m/>
    <m/>
    <m/>
    <s v="Proveedor acepto de manera parcial,  validacion por su parte del monto pendiente"/>
    <m/>
    <m/>
    <m/>
    <m/>
    <m/>
    <s v="jose.lopez@fhp-ww.com"/>
  </r>
  <r>
    <n v="11716"/>
    <x v="89"/>
    <n v="507093.82999999996"/>
    <n v="0"/>
    <n v="81134.982600000018"/>
    <n v="588228.75"/>
    <n v="588228.81000000006"/>
    <m/>
    <m/>
    <m/>
    <n v="0"/>
    <n v="507093.82999999996"/>
    <n v="0"/>
    <n v="81134.982600000018"/>
    <n v="588228.81259999995"/>
    <m/>
    <m/>
    <m/>
    <n v="0"/>
    <n v="1724425.07"/>
    <s v="NO ES TOP"/>
    <n v="507093.82999999996"/>
    <n v="588228.81259999995"/>
    <n v="-6.2599999946542084E-2"/>
    <n v="0"/>
    <s v="Aplicar"/>
    <n v="4"/>
    <n v="0"/>
    <n v="0"/>
    <x v="1"/>
    <x v="4"/>
    <s v="Belem"/>
    <m/>
    <m/>
    <m/>
    <m/>
    <m/>
    <m/>
    <m/>
    <m/>
    <m/>
    <m/>
    <m/>
    <m/>
    <m/>
    <m/>
    <e v="#N/A"/>
  </r>
  <r>
    <n v="312397"/>
    <x v="90"/>
    <n v="556338.23"/>
    <n v="29630.807199999996"/>
    <n v="0"/>
    <n v="585969.03"/>
    <n v="585969.03"/>
    <m/>
    <m/>
    <m/>
    <n v="0"/>
    <n v="556338.23"/>
    <n v="29630.807199999996"/>
    <n v="0"/>
    <n v="585969.03720000002"/>
    <m/>
    <m/>
    <m/>
    <n v="0"/>
    <n v="3341863.47"/>
    <s v="NO ES TOP"/>
    <n v="556338.23"/>
    <n v="585969.03720000002"/>
    <n v="-7.1999999927356839E-3"/>
    <n v="0"/>
    <s v="Aplicado"/>
    <n v="4"/>
    <n v="0"/>
    <n v="0"/>
    <x v="1"/>
    <x v="4"/>
    <s v="Samuel"/>
    <m/>
    <m/>
    <m/>
    <m/>
    <m/>
    <m/>
    <m/>
    <m/>
    <m/>
    <m/>
    <m/>
    <m/>
    <m/>
    <m/>
    <s v="EDUARDO.LAGUNES@STARDELNORTE.COM"/>
  </r>
  <r>
    <n v="58487"/>
    <x v="91"/>
    <n v="487893.67200947099"/>
    <n v="0"/>
    <n v="78062.917121515362"/>
    <n v="565956.6"/>
    <n v="81994.509999999995"/>
    <m/>
    <m/>
    <m/>
    <n v="0"/>
    <n v="487893.67200947099"/>
    <n v="0"/>
    <n v="78062.917121515362"/>
    <n v="565956.58913098637"/>
    <m/>
    <m/>
    <m/>
    <n v="0"/>
    <n v="1790863.23"/>
    <s v="NO ES TOP"/>
    <n v="487893.67200947099"/>
    <n v="565956.58913098637"/>
    <n v="1.0869013611227274E-2"/>
    <n v="0"/>
    <s v="Aplicar"/>
    <n v="4"/>
    <n v="0"/>
    <s v="Sin acercamiento por parte del proveedor, actualmente pendiente auditoria del 2020-2024"/>
    <x v="1"/>
    <x v="4"/>
    <s v="Erika"/>
    <m/>
    <m/>
    <m/>
    <m/>
    <m/>
    <m/>
    <m/>
    <m/>
    <m/>
    <m/>
    <m/>
    <m/>
    <m/>
    <m/>
    <s v="ADMVENTAS@BABYCREYSI.COM"/>
  </r>
  <r>
    <n v="82370"/>
    <x v="92"/>
    <n v="547009.90346483048"/>
    <n v="3115.9219196569998"/>
    <n v="0"/>
    <n v="550125.81959999993"/>
    <n v="550125.81000000006"/>
    <m/>
    <m/>
    <m/>
    <n v="0"/>
    <n v="547009.90346483048"/>
    <n v="3115.9219196569998"/>
    <n v="0"/>
    <n v="550125.82538448751"/>
    <m/>
    <m/>
    <m/>
    <n v="0"/>
    <m/>
    <s v="NO ES TOP"/>
    <n v="547009.90346483048"/>
    <n v="550125.82538448751"/>
    <n v="-5.784487584605813E-3"/>
    <n v="0"/>
    <s v="Aplicar"/>
    <n v="4"/>
    <n v="2"/>
    <s v="sin comentarios adicionales del proveedor - ultimo correo 27/1/2026"/>
    <x v="0"/>
    <x v="2"/>
    <s v="Marcela"/>
    <n v="123635.65"/>
    <s v="CARGOS YA APLICADOS ANTERIORMENTE (CARGO IMPROCEDENTE)"/>
    <n v="1"/>
    <m/>
    <d v="2026-01-22T00:00:00"/>
    <d v="2026-01-23T00:00:00"/>
    <m/>
    <m/>
    <s v="Se comparte información a proveedor para su validación"/>
    <m/>
    <s v="X"/>
    <m/>
    <m/>
    <m/>
    <s v="guillermowd@verdevalle.com"/>
  </r>
  <r>
    <n v="328724"/>
    <x v="93"/>
    <n v="464092.44210711739"/>
    <n v="0"/>
    <n v="74254.780237138795"/>
    <n v="538347.22000000009"/>
    <n v="538347.21"/>
    <m/>
    <m/>
    <m/>
    <n v="0"/>
    <n v="464092.44210711739"/>
    <n v="0"/>
    <n v="74254.780237138795"/>
    <n v="538347.22234425624"/>
    <m/>
    <m/>
    <m/>
    <n v="0"/>
    <n v="1643539.29"/>
    <s v="NO ES TOP"/>
    <n v="464092.44210711739"/>
    <n v="538347.22234425624"/>
    <n v="-2.3442561505362391E-3"/>
    <n v="0"/>
    <s v="Aplicar"/>
    <n v="4"/>
    <n v="0"/>
    <s v="sin acercamiento por parte de proveedor"/>
    <x v="1"/>
    <x v="4"/>
    <s v="Raul"/>
    <m/>
    <m/>
    <m/>
    <m/>
    <m/>
    <m/>
    <m/>
    <m/>
    <m/>
    <m/>
    <m/>
    <m/>
    <m/>
    <m/>
    <s v="jreyes@lavin.com.mx"/>
  </r>
  <r>
    <n v="5766"/>
    <x v="47"/>
    <n v="497065.24765470042"/>
    <n v="39752.194212376038"/>
    <n v="0"/>
    <n v="536817.44000000006"/>
    <n v="536817.43999999994"/>
    <m/>
    <m/>
    <m/>
    <n v="0"/>
    <n v="497065.24765470042"/>
    <n v="39752.194212376038"/>
    <n v="0"/>
    <n v="536817.44186707644"/>
    <m/>
    <m/>
    <m/>
    <n v="0"/>
    <n v="1544383.68"/>
    <s v="NO ES TOP"/>
    <n v="497065.24765470042"/>
    <n v="536817.44186707644"/>
    <n v="-1.8670763820409775E-3"/>
    <n v="0"/>
    <s v="Aplicado"/>
    <n v="4"/>
    <n v="0"/>
    <n v="0"/>
    <x v="1"/>
    <x v="4"/>
    <s v="Yessica"/>
    <m/>
    <m/>
    <m/>
    <m/>
    <m/>
    <m/>
    <m/>
    <m/>
    <m/>
    <m/>
    <m/>
    <m/>
    <m/>
    <m/>
    <s v="jorgeperez@schettino.com.mx"/>
  </r>
  <r>
    <n v="98327"/>
    <x v="94"/>
    <n v="454531.92000000016"/>
    <n v="0"/>
    <n v="72725.107200000013"/>
    <n v="527257.07999999984"/>
    <n v="0"/>
    <n v="0"/>
    <m/>
    <m/>
    <n v="0"/>
    <n v="0"/>
    <n v="0"/>
    <n v="0"/>
    <n v="0"/>
    <n v="454531.92"/>
    <m/>
    <n v="72725.107199999999"/>
    <n v="527257.02720000001"/>
    <n v="621049.68000000005"/>
    <s v="NO ES TOP"/>
    <n v="454531.92"/>
    <n v="527257.02720000001"/>
    <n v="5.2799999830313027E-2"/>
    <m/>
    <s v="Cerrado Eliminar cargo"/>
    <n v="4"/>
    <n v="0"/>
    <s v="No procede la Auditoria"/>
    <x v="0"/>
    <x v="3"/>
    <s v="Erika"/>
    <n v="527257.07999999996"/>
    <s v="CARGOS YA APLICADOS ANTERIORMENTE (CARGO IMPROCEDENTE)"/>
    <n v="1"/>
    <m/>
    <d v="2026-01-19T00:00:00"/>
    <d v="2026-01-19T00:00:00"/>
    <m/>
    <m/>
    <s v="Soporte confirmado por el comprador"/>
    <s v="Casos cerrados"/>
    <s v="X"/>
    <m/>
    <m/>
    <s v="Se le comenta al proveedor que los ajustes corresponden a pedidos diferentes."/>
    <e v="#N/A"/>
  </r>
  <r>
    <n v="8599"/>
    <x v="88"/>
    <n v="507149.52"/>
    <n v="0"/>
    <n v="0"/>
    <n v="507149.52"/>
    <n v="0"/>
    <m/>
    <m/>
    <m/>
    <n v="0"/>
    <n v="507149.52"/>
    <n v="0"/>
    <n v="0"/>
    <n v="507149.52"/>
    <m/>
    <m/>
    <m/>
    <n v="0"/>
    <n v="886876.54"/>
    <s v="NO ES TOP"/>
    <n v="507149.52"/>
    <n v="507149.52"/>
    <n v="0"/>
    <n v="0"/>
    <s v="Revisión"/>
    <n v="4"/>
    <n v="0"/>
    <s v="No se ha pronunciado Proveedor sobre este número de Proveedor."/>
    <x v="0"/>
    <x v="5"/>
    <s v="Perla"/>
    <n v="507149.52"/>
    <s v="DETALLE DE LOS CARGOS EN EL PORTAL"/>
    <m/>
    <m/>
    <d v="2026-01-16T00:00:00"/>
    <d v="2026-01-19T00:00:00"/>
    <m/>
    <m/>
    <m/>
    <m/>
    <m/>
    <s v="X"/>
    <m/>
    <s v="Raul Castillo y Luis Mtz recibio correo en cuenta soriana"/>
    <e v="#N/A"/>
  </r>
  <r>
    <n v="225839"/>
    <x v="95"/>
    <n v="480373.39701517497"/>
    <n v="18743.066000000003"/>
    <n v="0"/>
    <n v="499116.47749999998"/>
    <n v="499116.5"/>
    <m/>
    <m/>
    <m/>
    <n v="0"/>
    <n v="480373.39701517497"/>
    <n v="18743.066000000003"/>
    <n v="0"/>
    <n v="499116.46301517496"/>
    <m/>
    <m/>
    <m/>
    <n v="0"/>
    <n v="1340877.3500000001"/>
    <s v="NO ES TOP"/>
    <n v="480373.39701517497"/>
    <n v="499116.46301517496"/>
    <n v="1.4484825020190328E-2"/>
    <n v="0"/>
    <s v="Aplicado"/>
    <n v="4"/>
    <n v="0"/>
    <n v="0"/>
    <x v="1"/>
    <x v="4"/>
    <s v="Yessica"/>
    <m/>
    <m/>
    <m/>
    <m/>
    <m/>
    <m/>
    <m/>
    <m/>
    <m/>
    <m/>
    <m/>
    <m/>
    <m/>
    <m/>
    <e v="#N/A"/>
  </r>
  <r>
    <n v="373894"/>
    <x v="96"/>
    <n v="426658.74"/>
    <n v="0"/>
    <n v="68265.398400000005"/>
    <n v="494924.13"/>
    <n v="494924.13"/>
    <m/>
    <m/>
    <m/>
    <n v="0"/>
    <n v="426658.74"/>
    <n v="0"/>
    <n v="68265.398400000005"/>
    <n v="494924.1384"/>
    <m/>
    <m/>
    <m/>
    <n v="0"/>
    <n v="829228.05"/>
    <s v="NO ES TOP"/>
    <n v="426658.74"/>
    <n v="494924.1384"/>
    <n v="-8.3999999915249646E-3"/>
    <n v="0"/>
    <s v="Aplicar"/>
    <n v="4"/>
    <n v="0"/>
    <s v="Sin acercamiento por parte de proveedor"/>
    <x v="1"/>
    <x v="4"/>
    <s v="Samuel"/>
    <m/>
    <m/>
    <m/>
    <m/>
    <m/>
    <m/>
    <m/>
    <m/>
    <m/>
    <m/>
    <m/>
    <m/>
    <m/>
    <m/>
    <e v="#N/A"/>
  </r>
  <r>
    <n v="76067"/>
    <x v="97"/>
    <n v="420730.38"/>
    <n v="0"/>
    <n v="67316.576799999995"/>
    <n v="488046.62999999989"/>
    <n v="219275.55"/>
    <m/>
    <m/>
    <m/>
    <n v="0"/>
    <n v="420730.38"/>
    <n v="0"/>
    <n v="67316.576799999995"/>
    <n v="488046.95679999999"/>
    <m/>
    <m/>
    <m/>
    <n v="0"/>
    <n v="834951.18"/>
    <s v="NO ES TOP"/>
    <n v="420730.38"/>
    <n v="488046.95679999999"/>
    <n v="-0.32680000009713694"/>
    <n v="0"/>
    <s v="Aplicar"/>
    <n v="4"/>
    <n v="0"/>
    <s v="Sin contacto de proveedor"/>
    <x v="1"/>
    <x v="4"/>
    <s v="Mario"/>
    <m/>
    <m/>
    <m/>
    <m/>
    <m/>
    <m/>
    <m/>
    <m/>
    <m/>
    <m/>
    <m/>
    <m/>
    <m/>
    <m/>
    <e v="#N/A"/>
  </r>
  <r>
    <n v="339564"/>
    <x v="98"/>
    <n v="411450.46955945302"/>
    <n v="0"/>
    <n v="65832.075129512479"/>
    <n v="477282.55"/>
    <n v="477282.54"/>
    <m/>
    <m/>
    <m/>
    <n v="0"/>
    <n v="411450.46955945302"/>
    <n v="0"/>
    <n v="65832.075129512479"/>
    <n v="477282.54468896548"/>
    <m/>
    <m/>
    <m/>
    <n v="0"/>
    <n v="464408.83"/>
    <s v="NO ES TOP"/>
    <n v="411450.46955945302"/>
    <n v="477282.54468896548"/>
    <n v="5.3110345033928752E-3"/>
    <n v="0"/>
    <s v="Aplicar"/>
    <n v="4"/>
    <n v="0"/>
    <n v="0"/>
    <x v="1"/>
    <x v="4"/>
    <s v="Yessenia"/>
    <m/>
    <m/>
    <m/>
    <m/>
    <m/>
    <m/>
    <m/>
    <m/>
    <m/>
    <m/>
    <m/>
    <m/>
    <m/>
    <m/>
    <e v="#N/A"/>
  </r>
  <r>
    <n v="381467"/>
    <x v="99"/>
    <n v="440139.47854174156"/>
    <n v="33452.155102484125"/>
    <n v="3518.0063"/>
    <n v="477109.64499999996"/>
    <n v="0"/>
    <n v="45718.06"/>
    <n v="3657.44"/>
    <m/>
    <n v="49375.5"/>
    <n v="7292.5"/>
    <n v="583.4"/>
    <n v="-3.7000000002080924E-3"/>
    <n v="7875.8962999999994"/>
    <n v="387128.92"/>
    <n v="29211.31"/>
    <n v="3518.01"/>
    <n v="419858.24"/>
    <n v="692002.19"/>
    <s v="NO ES TOP"/>
    <n v="440139.48"/>
    <n v="477109.63630000001"/>
    <n v="8.699999947566539E-3"/>
    <m/>
    <s v="Aplicar"/>
    <n v="4"/>
    <n v="5"/>
    <s v="5 contactos, pendiente evidencia por parte de proveedor, ya se ha recalculado "/>
    <x v="0"/>
    <x v="2"/>
    <s v="Raul"/>
    <n v="477109.64499999996"/>
    <s v="SE LE COMPARTE A PROVEEDOR EL DETALLE DEL 2025 "/>
    <m/>
    <m/>
    <d v="2026-01-26T00:00:00"/>
    <d v="2026-01-26T00:00:00"/>
    <m/>
    <d v="2026-01-26T00:00:00"/>
    <s v="proveedor comparte detalle en pdf de pedidos que solicitarón la cancelación"/>
    <s v="Casos abiertos( En proceso)"/>
    <m/>
    <m/>
    <m/>
    <s v="Se tiene reunión con el proveedor de lo pendiente del 2020 al 2024 y aprovecha para solicitar el detalle del 2025"/>
    <s v="kerime.vazquez@klassco.com"/>
  </r>
  <r>
    <n v="379719"/>
    <x v="100"/>
    <n v="407793.90119752201"/>
    <n v="0"/>
    <n v="65247.044567731515"/>
    <n v="473040.94130000001"/>
    <n v="473040.94"/>
    <m/>
    <m/>
    <m/>
    <n v="0"/>
    <n v="407793.90119752201"/>
    <n v="0"/>
    <n v="65247.044567731515"/>
    <n v="473040.94576525351"/>
    <m/>
    <m/>
    <m/>
    <n v="0"/>
    <n v="2818822.76"/>
    <s v="NO ES TOP"/>
    <n v="407793.90119752201"/>
    <n v="473040.94576525351"/>
    <n v="-4.465253499802202E-3"/>
    <n v="0"/>
    <s v="Aplicar"/>
    <n v="4"/>
    <n v="0"/>
    <s v="sin comentarios del proveedor"/>
    <x v="1"/>
    <x v="4"/>
    <s v="Marcela"/>
    <m/>
    <m/>
    <m/>
    <m/>
    <m/>
    <m/>
    <m/>
    <m/>
    <m/>
    <m/>
    <m/>
    <m/>
    <m/>
    <m/>
    <s v="connie.calles@virutexilko.com.mx"/>
  </r>
  <r>
    <n v="696"/>
    <x v="101"/>
    <n v="401413.08193307603"/>
    <n v="0"/>
    <n v="64226.074909292161"/>
    <n v="465639.16"/>
    <n v="465639.16"/>
    <n v="30098.71"/>
    <m/>
    <n v="4815.79"/>
    <n v="34914.5"/>
    <m/>
    <n v="0"/>
    <m/>
    <n v="0"/>
    <n v="371314.36"/>
    <m/>
    <n v="59410.3"/>
    <n v="430724.66"/>
    <n v="17199.900000000001"/>
    <s v="NO ES TOP"/>
    <n v="401413.07"/>
    <n v="465639.16"/>
    <n v="0"/>
    <m/>
    <s v="Aplicado/Reembolsar"/>
    <n v="4"/>
    <n v="0"/>
    <s v="Reembolsar $430,724.66"/>
    <x v="0"/>
    <x v="3"/>
    <s v="Perla"/>
    <m/>
    <m/>
    <m/>
    <m/>
    <m/>
    <d v="2026-01-27T00:00:00"/>
    <m/>
    <m/>
    <m/>
    <m/>
    <m/>
    <s v="X"/>
    <m/>
    <s v="Proveedor envió correo copiando al equipo de aclaraciones, con un resultado."/>
    <s v="gerencia_comercial2@indnohra.com"/>
  </r>
  <r>
    <n v="49890"/>
    <x v="102"/>
    <n v="395077.86580347246"/>
    <n v="0"/>
    <n v="63212.458528555602"/>
    <n v="458290.34"/>
    <n v="458290.34"/>
    <m/>
    <m/>
    <m/>
    <n v="0"/>
    <n v="395077.86580347246"/>
    <n v="0"/>
    <n v="63212.458528555602"/>
    <n v="458290.32433202805"/>
    <m/>
    <m/>
    <m/>
    <n v="0"/>
    <m/>
    <s v="NO ES TOP"/>
    <n v="395077.86580347246"/>
    <n v="458290.32433202805"/>
    <n v="1.566797198029235E-2"/>
    <n v="0"/>
    <s v="Aplicar"/>
    <n v="4"/>
    <n v="2"/>
    <s v="Proveedor se acerca con Ana Ruth para solicicitar mas tiempo"/>
    <x v="0"/>
    <x v="2"/>
    <s v="Olfi"/>
    <m/>
    <m/>
    <m/>
    <m/>
    <d v="2026-01-28T00:00:00"/>
    <d v="2026-01-28T00:00:00"/>
    <m/>
    <d v="2026-01-28T00:00:00"/>
    <s v="Se le manda el detalle al proveedor"/>
    <s v="Casos abiertos( En proceso)"/>
    <m/>
    <s v="X"/>
    <m/>
    <m/>
    <s v="FAUSTO.MOJICA@PACTIVEVERGREEN.COM"/>
  </r>
  <r>
    <n v="20512"/>
    <x v="103"/>
    <n v="392647.01902704895"/>
    <n v="0"/>
    <n v="62823.529244327838"/>
    <n v="455470.56000000006"/>
    <n v="0"/>
    <m/>
    <m/>
    <m/>
    <n v="0"/>
    <n v="392647.01902704895"/>
    <n v="0"/>
    <n v="62823.529244327838"/>
    <n v="455470.54827137681"/>
    <m/>
    <m/>
    <m/>
    <n v="0"/>
    <n v="1057321.17"/>
    <s v="NO ES TOP"/>
    <n v="392647.01902704895"/>
    <n v="455470.54827137681"/>
    <n v="1.1728623241651803E-2"/>
    <n v="0"/>
    <s v="Aplicar"/>
    <n v="4"/>
    <n v="0"/>
    <n v="0"/>
    <x v="1"/>
    <x v="4"/>
    <s v="Andrea"/>
    <m/>
    <m/>
    <m/>
    <m/>
    <m/>
    <m/>
    <m/>
    <m/>
    <m/>
    <m/>
    <m/>
    <m/>
    <m/>
    <m/>
    <e v="#N/A"/>
  </r>
  <r>
    <n v="387860"/>
    <x v="104"/>
    <n v="426983.94794031"/>
    <n v="0"/>
    <n v="0"/>
    <n v="426983.94999999995"/>
    <n v="426983.67999999999"/>
    <m/>
    <m/>
    <m/>
    <n v="0"/>
    <n v="426983.94794031"/>
    <n v="0"/>
    <n v="0"/>
    <n v="426983.94794031"/>
    <m/>
    <m/>
    <m/>
    <n v="0"/>
    <n v="1219888.93"/>
    <s v="NO ES TOP"/>
    <n v="426983.94794031"/>
    <n v="426983.94794031"/>
    <n v="2.0596899557858706E-3"/>
    <n v="0"/>
    <s v="Aplicar"/>
    <n v="4"/>
    <n v="0"/>
    <s v="Sin acercamiento por parte de proveedor"/>
    <x v="1"/>
    <x v="4"/>
    <s v="Samuel"/>
    <m/>
    <m/>
    <m/>
    <m/>
    <m/>
    <m/>
    <m/>
    <m/>
    <m/>
    <m/>
    <m/>
    <m/>
    <m/>
    <m/>
    <e v="#N/A"/>
  </r>
  <r>
    <n v="384446"/>
    <x v="105"/>
    <n v="379101.52611303015"/>
    <n v="13952.684859557603"/>
    <n v="32750.780758969602"/>
    <n v="425805.37"/>
    <n v="0"/>
    <m/>
    <m/>
    <m/>
    <n v="0"/>
    <n v="379101.52611303015"/>
    <n v="13952.684859557603"/>
    <n v="32750.780758969602"/>
    <n v="425804.99173155735"/>
    <m/>
    <m/>
    <m/>
    <n v="0"/>
    <n v="1684953.91"/>
    <s v="NO ES TOP"/>
    <n v="379101.52611303015"/>
    <n v="425804.99173155735"/>
    <n v="0.37826844264054671"/>
    <n v="0"/>
    <s v="Aplicar"/>
    <n v="4"/>
    <n v="0"/>
    <n v="0"/>
    <x v="1"/>
    <x v="4"/>
    <s v="Perla"/>
    <m/>
    <m/>
    <m/>
    <m/>
    <m/>
    <m/>
    <m/>
    <m/>
    <m/>
    <m/>
    <m/>
    <m/>
    <m/>
    <m/>
    <e v="#N/A"/>
  </r>
  <r>
    <n v="20851"/>
    <x v="106"/>
    <n v="232797.77352597401"/>
    <n v="123152.25522876623"/>
    <n v="56952.004448758431"/>
    <n v="412902.01"/>
    <n v="412902.01"/>
    <m/>
    <m/>
    <m/>
    <n v="0"/>
    <n v="232797.77352597401"/>
    <n v="123152.25522876623"/>
    <n v="56952.004448758431"/>
    <n v="412902.03320349869"/>
    <m/>
    <m/>
    <m/>
    <n v="0"/>
    <n v="113580.98"/>
    <s v="NO ES TOP"/>
    <n v="232797.77352597401"/>
    <n v="412902.03320349869"/>
    <n v="-2.3203498683869839E-2"/>
    <n v="0"/>
    <s v="Aplicar"/>
    <n v="4"/>
    <n v="0"/>
    <n v="0"/>
    <x v="1"/>
    <x v="4"/>
    <s v="Andrea"/>
    <m/>
    <m/>
    <m/>
    <m/>
    <m/>
    <m/>
    <m/>
    <m/>
    <m/>
    <m/>
    <m/>
    <m/>
    <m/>
    <m/>
    <e v="#N/A"/>
  </r>
  <r>
    <n v="716"/>
    <x v="107"/>
    <n v="354374.51104173745"/>
    <n v="0"/>
    <n v="56699.921766677995"/>
    <n v="411074.43000000005"/>
    <n v="0"/>
    <n v="78028.721041737474"/>
    <m/>
    <n v="12484.6"/>
    <n v="90513.321041737479"/>
    <n v="0"/>
    <n v="0"/>
    <n v="1.766677996783983E-3"/>
    <n v="1.766677996783983E-3"/>
    <n v="276345.78999999998"/>
    <m/>
    <n v="44215.32"/>
    <n v="320561.11"/>
    <n v="9422.08"/>
    <s v="NO ES TOP"/>
    <n v="354374.51104173745"/>
    <n v="411074.4328084155"/>
    <n v="-2.8084154473617673E-3"/>
    <m/>
    <s v="Cerrado/Aplicar"/>
    <n v="4"/>
    <n v="0"/>
    <s v="Autorizado por Proveedor"/>
    <x v="0"/>
    <x v="3"/>
    <s v="Mario"/>
    <n v="320561.12"/>
    <s v="DETALLE DE LOS CARGOS EN EL PORTAL"/>
    <n v="1"/>
    <m/>
    <d v="2026-01-20T00:00:00"/>
    <d v="2026-01-20T00:00:00"/>
    <d v="2026-01-20T00:00:00"/>
    <m/>
    <s v="Proveedor envìa soporte de cancelaciòn,  queda el monto de  $ 78,028.71"/>
    <s v="Casos cerrados"/>
    <s v="X"/>
    <m/>
    <m/>
    <s v="20-ene-26 Se envía manual para revisión de ajustes dgrosybra@hotmail.com  Proveedor envìa soporte de cancelaciòn, en proceso de validaciòn. 21-ene-26 Proveedor envia información para aclara parte del monto enviado, se revisa y valida para dar respuesta. 30-ene-26 Se valida y se verifica que los soportes enviado son correctos y se le envia solciitud para que de respuesta del monto restante, el proveedor envia mail aceptando el saldo restante ."/>
    <e v="#N/A"/>
  </r>
  <r>
    <n v="32169"/>
    <x v="108"/>
    <n v="350559.26460213598"/>
    <n v="0"/>
    <n v="56089.482336341753"/>
    <n v="406648.74"/>
    <n v="406648.74"/>
    <m/>
    <m/>
    <m/>
    <n v="0"/>
    <n v="350559.26460213598"/>
    <n v="0"/>
    <n v="56089.482336341753"/>
    <n v="406648.74693847774"/>
    <m/>
    <m/>
    <m/>
    <n v="0"/>
    <n v="191640.37"/>
    <s v="NO ES TOP"/>
    <n v="350559.26460213598"/>
    <n v="406648.74693847774"/>
    <n v="-6.9384777452796698E-3"/>
    <n v="0"/>
    <s v="Aplicado"/>
    <n v="4"/>
    <n v="0"/>
    <n v="0"/>
    <x v="1"/>
    <x v="4"/>
    <s v="Perla"/>
    <m/>
    <m/>
    <m/>
    <m/>
    <m/>
    <m/>
    <m/>
    <m/>
    <m/>
    <m/>
    <m/>
    <m/>
    <m/>
    <m/>
    <e v="#N/A"/>
  </r>
  <r>
    <n v="325373"/>
    <x v="109"/>
    <n v="374998.65179602796"/>
    <n v="29999.892143682242"/>
    <n v="0"/>
    <n v="404998.55000000005"/>
    <n v="404998.54"/>
    <m/>
    <m/>
    <m/>
    <n v="0"/>
    <n v="374998.65179602796"/>
    <n v="29999.892143682242"/>
    <n v="0"/>
    <n v="404998.54393971019"/>
    <m/>
    <m/>
    <m/>
    <n v="0"/>
    <n v="1757204.86"/>
    <s v="NO ES TOP"/>
    <n v="374998.65179602796"/>
    <n v="404998.54393971019"/>
    <n v="6.0602898593060672E-3"/>
    <n v="0"/>
    <s v="Aplicar"/>
    <n v="4"/>
    <n v="0"/>
    <n v="0"/>
    <x v="1"/>
    <x v="4"/>
    <s v="Andrea"/>
    <m/>
    <m/>
    <m/>
    <m/>
    <m/>
    <m/>
    <m/>
    <m/>
    <m/>
    <m/>
    <m/>
    <m/>
    <m/>
    <m/>
    <e v="#N/A"/>
  </r>
  <r>
    <n v="14680"/>
    <x v="110"/>
    <n v="344660.56086255243"/>
    <n v="0"/>
    <n v="55145.689738008376"/>
    <n v="399806.26"/>
    <n v="0"/>
    <m/>
    <m/>
    <m/>
    <n v="0"/>
    <n v="344660.56086255243"/>
    <n v="0"/>
    <n v="55145.689738008376"/>
    <n v="399806.2506005608"/>
    <m/>
    <m/>
    <m/>
    <n v="0"/>
    <n v="21575.75"/>
    <s v="NO ES TOP"/>
    <n v="344660.56086255243"/>
    <n v="399806.2506005608"/>
    <n v="9.3994392082095146E-3"/>
    <n v="0"/>
    <s v="Aplicar"/>
    <n v="4"/>
    <n v="0"/>
    <n v="0"/>
    <x v="1"/>
    <x v="4"/>
    <s v="Francisco"/>
    <m/>
    <m/>
    <m/>
    <m/>
    <m/>
    <m/>
    <m/>
    <m/>
    <m/>
    <m/>
    <m/>
    <m/>
    <m/>
    <m/>
    <e v="#N/A"/>
  </r>
  <r>
    <n v="3806"/>
    <x v="111"/>
    <n v="336807.9"/>
    <n v="0"/>
    <n v="53889.282500000001"/>
    <n v="390697.21000000008"/>
    <n v="7737.8"/>
    <m/>
    <m/>
    <m/>
    <n v="0"/>
    <n v="336807.9"/>
    <n v="0"/>
    <n v="53889.282500000001"/>
    <n v="390697.1825"/>
    <m/>
    <m/>
    <m/>
    <n v="0"/>
    <n v="871716.24"/>
    <s v="NO ES TOP"/>
    <n v="336807.9"/>
    <n v="390697.1825"/>
    <n v="2.7500000083819032E-2"/>
    <n v="0"/>
    <s v="Aplicar"/>
    <n v="4"/>
    <n v="0"/>
    <n v="0"/>
    <x v="1"/>
    <x v="4"/>
    <s v="Perla"/>
    <m/>
    <m/>
    <m/>
    <m/>
    <m/>
    <m/>
    <m/>
    <m/>
    <m/>
    <m/>
    <m/>
    <m/>
    <m/>
    <m/>
    <e v="#N/A"/>
  </r>
  <r>
    <n v="76216"/>
    <x v="112"/>
    <n v="335959.94000000006"/>
    <n v="0"/>
    <n v="53753.590400000001"/>
    <n v="389713.54000000004"/>
    <n v="389713.54"/>
    <m/>
    <m/>
    <m/>
    <n v="0"/>
    <n v="335959.94000000006"/>
    <n v="0"/>
    <n v="53753.590400000001"/>
    <n v="389713.53040000005"/>
    <m/>
    <m/>
    <m/>
    <n v="0"/>
    <n v="2960324.53"/>
    <s v="NO ES TOP"/>
    <n v="335959.94000000006"/>
    <n v="389713.53040000005"/>
    <n v="9.5999999903142452E-3"/>
    <n v="0"/>
    <s v="Aplicado"/>
    <n v="4"/>
    <n v="0"/>
    <n v="0"/>
    <x v="1"/>
    <x v="4"/>
    <s v="Andrea"/>
    <m/>
    <m/>
    <m/>
    <m/>
    <m/>
    <m/>
    <m/>
    <m/>
    <m/>
    <m/>
    <m/>
    <m/>
    <m/>
    <m/>
    <s v="pmcantu@scj.com"/>
  </r>
  <r>
    <n v="54999"/>
    <x v="113"/>
    <n v="380655.67669473396"/>
    <n v="0"/>
    <n v="0"/>
    <n v="380655.67560000002"/>
    <n v="181736.73"/>
    <m/>
    <m/>
    <m/>
    <n v="0"/>
    <n v="380655.67669473396"/>
    <n v="0"/>
    <n v="0"/>
    <n v="380655.67669473396"/>
    <m/>
    <m/>
    <m/>
    <n v="0"/>
    <n v="782840.94"/>
    <s v="NO ES TOP"/>
    <n v="380655.67669473396"/>
    <n v="380655.67669473396"/>
    <n v="-1.0947339469566941E-3"/>
    <n v="0"/>
    <s v="Aplicar"/>
    <n v="4"/>
    <n v="0"/>
    <s v="Sin acercamiento por parte del proveedor"/>
    <x v="1"/>
    <x v="4"/>
    <s v="Erika"/>
    <m/>
    <m/>
    <m/>
    <m/>
    <m/>
    <m/>
    <m/>
    <m/>
    <m/>
    <m/>
    <m/>
    <m/>
    <m/>
    <m/>
    <e v="#N/A"/>
  </r>
  <r>
    <n v="50153"/>
    <x v="114"/>
    <n v="374842.02"/>
    <n v="0"/>
    <n v="0"/>
    <n v="374842.02"/>
    <n v="374842.02"/>
    <m/>
    <m/>
    <m/>
    <n v="0"/>
    <n v="374842.02"/>
    <n v="0"/>
    <n v="0"/>
    <n v="374842.02"/>
    <m/>
    <m/>
    <m/>
    <n v="0"/>
    <n v="1816796.03"/>
    <s v="NO ES TOP"/>
    <n v="374842.02"/>
    <n v="374842.02"/>
    <n v="0"/>
    <n v="0"/>
    <s v="Aplicado"/>
    <n v="4"/>
    <n v="0"/>
    <n v="0"/>
    <x v="1"/>
    <x v="4"/>
    <s v="Belem"/>
    <m/>
    <m/>
    <m/>
    <m/>
    <m/>
    <m/>
    <m/>
    <m/>
    <m/>
    <m/>
    <m/>
    <m/>
    <m/>
    <m/>
    <e v="#N/A"/>
  </r>
  <r>
    <n v="6346"/>
    <x v="115"/>
    <n v="317346.71850135003"/>
    <n v="0"/>
    <n v="50775.474960216001"/>
    <n v="368122.19"/>
    <n v="368122.19"/>
    <m/>
    <m/>
    <m/>
    <n v="0"/>
    <n v="317346.71850135003"/>
    <n v="0"/>
    <n v="50775.474960216001"/>
    <n v="368122.193461566"/>
    <m/>
    <m/>
    <m/>
    <n v="0"/>
    <n v="806997.24"/>
    <s v="NO ES TOP"/>
    <n v="317346.71850135003"/>
    <n v="368122.193461566"/>
    <n v="-3.4615659969858825E-3"/>
    <n v="0"/>
    <s v="Aplicar"/>
    <n v="4"/>
    <n v="1"/>
    <s v="Se envió detalle de penalización y no se ha recibido respuesta"/>
    <x v="0"/>
    <x v="2"/>
    <s v="Francisco"/>
    <n v="316392.8"/>
    <s v="CARGOS YA APLICADOS ANTERIORMENTE (CARGO IMPROCEDENTE)"/>
    <n v="5"/>
    <m/>
    <d v="2026-01-19T00:00:00"/>
    <d v="2026-01-19T00:00:00"/>
    <m/>
    <m/>
    <s v="Se envìa informaciòn a Proveedor sobre la los pedidos en donde se confirma no se encuentran duplicados. Todos los cargos aplicados de enero a agosto pertenecen a otros pedidos"/>
    <m/>
    <s v="X"/>
    <m/>
    <m/>
    <s v="correo compartido por Ambriz Ruiz Jair Alejandro &lt;jairar@soriana.com&gt;"/>
    <e v="#N/A"/>
  </r>
  <r>
    <n v="391177"/>
    <x v="116"/>
    <n v="309144.48"/>
    <n v="0"/>
    <n v="49463.116800000003"/>
    <n v="358607.61"/>
    <n v="358607.59"/>
    <m/>
    <m/>
    <m/>
    <n v="0"/>
    <n v="309144.48"/>
    <n v="0"/>
    <n v="49463.116800000003"/>
    <n v="358607.5968"/>
    <m/>
    <m/>
    <m/>
    <n v="0"/>
    <n v="3324974.97"/>
    <s v="NO ES TOP"/>
    <n v="309144.48"/>
    <n v="358607.5968"/>
    <n v="1.3199999986682087E-2"/>
    <n v="0"/>
    <s v="Aplicar"/>
    <n v="4"/>
    <n v="0"/>
    <n v="0"/>
    <x v="1"/>
    <x v="4"/>
    <s v="Samuel"/>
    <m/>
    <m/>
    <m/>
    <m/>
    <m/>
    <m/>
    <m/>
    <m/>
    <m/>
    <m/>
    <m/>
    <m/>
    <m/>
    <m/>
    <s v="PAULINA_A@GCP-TISSUE.COM.MX"/>
  </r>
  <r>
    <n v="15606"/>
    <x v="117"/>
    <n v="303210.96441707999"/>
    <n v="0"/>
    <n v="48513.754306732793"/>
    <n v="351724.75000000017"/>
    <n v="351724.75"/>
    <m/>
    <m/>
    <m/>
    <n v="0"/>
    <n v="303210.96441707999"/>
    <n v="0"/>
    <n v="48513.754306732793"/>
    <n v="351724.71872381278"/>
    <m/>
    <m/>
    <m/>
    <n v="0"/>
    <n v="1210994.58"/>
    <s v="NO ES TOP"/>
    <n v="303210.96441707999"/>
    <n v="351724.71872381278"/>
    <n v="3.1276187393814325E-2"/>
    <n v="0"/>
    <s v="Aplicado"/>
    <n v="4"/>
    <n v="0"/>
    <n v="0"/>
    <x v="1"/>
    <x v="4"/>
    <s v="Sareé"/>
    <m/>
    <m/>
    <m/>
    <m/>
    <m/>
    <m/>
    <m/>
    <m/>
    <m/>
    <m/>
    <m/>
    <m/>
    <m/>
    <m/>
    <s v="laura.alvarado@wella.com"/>
  </r>
  <r>
    <n v="20436"/>
    <x v="118"/>
    <n v="197985.4818132885"/>
    <n v="104932.30536104291"/>
    <n v="48466.845983893028"/>
    <n v="351384.56621600001"/>
    <n v="351384.57"/>
    <m/>
    <m/>
    <m/>
    <n v="0"/>
    <n v="197985.4818132885"/>
    <n v="104932.30536104291"/>
    <n v="48466.845983893028"/>
    <n v="351384.6331582244"/>
    <m/>
    <m/>
    <m/>
    <n v="0"/>
    <n v="2123942.21"/>
    <s v="NO ES TOP"/>
    <n v="197985.4818132885"/>
    <n v="351384.6331582244"/>
    <n v="-6.694222439546138E-2"/>
    <n v="0"/>
    <s v="Aplicar"/>
    <n v="4"/>
    <n v="0"/>
    <n v="0"/>
    <x v="1"/>
    <x v="4"/>
    <s v="Yessica"/>
    <m/>
    <m/>
    <m/>
    <m/>
    <m/>
    <m/>
    <m/>
    <m/>
    <m/>
    <m/>
    <m/>
    <m/>
    <m/>
    <m/>
    <s v="Ismael.Ramon@BeamSuntory.com"/>
  </r>
  <r>
    <n v="97071"/>
    <x v="119"/>
    <n v="321220.79999999993"/>
    <n v="0"/>
    <n v="27715.814400000003"/>
    <n v="348936.59"/>
    <n v="348936.59"/>
    <m/>
    <m/>
    <m/>
    <n v="0"/>
    <n v="321220.79999999993"/>
    <n v="0"/>
    <n v="27715.814400000003"/>
    <n v="348936.61439999996"/>
    <m/>
    <m/>
    <m/>
    <n v="0"/>
    <n v="1651195.74"/>
    <s v="NO ES TOP"/>
    <n v="321220.79999999993"/>
    <n v="348936.61439999996"/>
    <n v="-2.4399999936576933E-2"/>
    <n v="0"/>
    <s v="Aplicado"/>
    <n v="4"/>
    <n v="0"/>
    <n v="0"/>
    <x v="1"/>
    <x v="4"/>
    <s v="Luis"/>
    <m/>
    <m/>
    <m/>
    <m/>
    <m/>
    <m/>
    <m/>
    <m/>
    <m/>
    <m/>
    <m/>
    <m/>
    <m/>
    <m/>
    <s v="roberto.calderon@genommalab.com"/>
  </r>
  <r>
    <n v="11544"/>
    <x v="120"/>
    <n v="321758.43324456509"/>
    <n v="19495.62775956521"/>
    <n v="399.11199999999997"/>
    <n v="341653.16999999993"/>
    <n v="341653.17"/>
    <m/>
    <m/>
    <m/>
    <n v="0"/>
    <n v="321758.43324456509"/>
    <n v="19495.62775956521"/>
    <n v="399.11199999999997"/>
    <n v="341653.17300413031"/>
    <m/>
    <m/>
    <m/>
    <n v="0"/>
    <n v="649966.56000000006"/>
    <s v="NO ES TOP"/>
    <n v="321758.43324456509"/>
    <n v="341653.17300413031"/>
    <n v="-3.0041303834877908E-3"/>
    <n v="0"/>
    <s v="Aplicado"/>
    <n v="4"/>
    <n v="0"/>
    <n v="0"/>
    <x v="1"/>
    <x v="4"/>
    <s v="Samuel"/>
    <m/>
    <m/>
    <m/>
    <m/>
    <m/>
    <m/>
    <m/>
    <m/>
    <m/>
    <m/>
    <m/>
    <m/>
    <m/>
    <m/>
    <e v="#N/A"/>
  </r>
  <r>
    <n v="26831"/>
    <x v="121"/>
    <n v="336250.07908752403"/>
    <n v="0"/>
    <n v="0"/>
    <n v="336250.08"/>
    <n v="128396.78"/>
    <m/>
    <m/>
    <m/>
    <n v="0"/>
    <n v="336250.07908752403"/>
    <n v="0"/>
    <n v="0"/>
    <n v="336250.07908752403"/>
    <m/>
    <m/>
    <m/>
    <n v="0"/>
    <m/>
    <s v="NO ES TOP"/>
    <n v="336250.07908752403"/>
    <n v="336250.07908752403"/>
    <n v="9.1247598174959421E-4"/>
    <n v="0"/>
    <s v="Aplicar"/>
    <n v="4"/>
    <n v="1"/>
    <s v="proveedor con tema del 2020 al 2024 por la clausula"/>
    <x v="0"/>
    <x v="2"/>
    <s v="Olfi"/>
    <n v="336250.08"/>
    <s v="DETALLE DE LOS CARGOS EN EL PORTAL"/>
    <n v="6"/>
    <s v="NO"/>
    <d v="2026-01-19T00:00:00"/>
    <d v="2026-01-19T00:00:00"/>
    <m/>
    <m/>
    <s v="Proveedor solicito detalle y se le hizo llegar"/>
    <s v="Casos abiertos( En proceso)"/>
    <s v="X"/>
    <m/>
    <m/>
    <s v="correo compartido por Ambriz Ruiz Jair Alejandro &lt;jairar@soriana.com&gt;"/>
    <s v="alejandro.solorzano@proteinol.com.mx"/>
  </r>
  <r>
    <n v="315838"/>
    <x v="122"/>
    <n v="280053.8"/>
    <n v="0"/>
    <n v="44808.611699999994"/>
    <n v="324862.32999999996"/>
    <n v="0"/>
    <m/>
    <m/>
    <m/>
    <n v="0"/>
    <n v="280053.8"/>
    <n v="0"/>
    <n v="44808.611699999994"/>
    <n v="324862.4117"/>
    <m/>
    <m/>
    <m/>
    <n v="0"/>
    <n v="823139.12"/>
    <s v="NO ES TOP"/>
    <n v="280053.8"/>
    <n v="324862.4117"/>
    <n v="-8.1700000038836151E-2"/>
    <n v="0"/>
    <s v="Aplicar"/>
    <n v="4"/>
    <n v="3"/>
    <s v="Se envio correo el 17-feb-26 solicitando las evidencias "/>
    <x v="0"/>
    <x v="2"/>
    <s v="Olfi"/>
    <n v="324862.32999999996"/>
    <s v="DETALLE DE LOS CARGOS EN EL PORTAL"/>
    <m/>
    <m/>
    <d v="2026-01-16T00:00:00"/>
    <d v="2026-01-19T00:00:00"/>
    <s v="Si"/>
    <m/>
    <s v="Proveedor solicito detalle y se le hizo llegar_x000a_Se contacto pero no ha enviado soportes para validar"/>
    <s v="Casos abiertos( En proceso)"/>
    <m/>
    <s v="X"/>
    <m/>
    <s v="Raul Castillo recibio correo en cuenta soriana"/>
    <e v="#N/A"/>
  </r>
  <r>
    <n v="90589"/>
    <x v="123"/>
    <n v="323205.01837348699"/>
    <n v="0"/>
    <n v="0"/>
    <n v="323205.07"/>
    <n v="323205.01"/>
    <m/>
    <m/>
    <m/>
    <n v="0"/>
    <n v="323205.01837348699"/>
    <n v="0"/>
    <n v="0"/>
    <n v="323205.01837348699"/>
    <m/>
    <m/>
    <m/>
    <n v="0"/>
    <n v="639142.39"/>
    <s v="NO ES TOP"/>
    <n v="323205.01837348699"/>
    <n v="323205.01837348699"/>
    <n v="5.1626513013616204E-2"/>
    <n v="0"/>
    <s v="Aplicar"/>
    <n v="4"/>
    <n v="0"/>
    <s v="Sin contacto de proveedor"/>
    <x v="1"/>
    <x v="4"/>
    <s v="Mario"/>
    <m/>
    <m/>
    <m/>
    <m/>
    <m/>
    <m/>
    <m/>
    <m/>
    <m/>
    <m/>
    <m/>
    <m/>
    <m/>
    <m/>
    <e v="#N/A"/>
  </r>
  <r>
    <n v="7542"/>
    <x v="124"/>
    <n v="298118.80460872198"/>
    <n v="23849.504368697759"/>
    <n v="0"/>
    <n v="321968.34999999998"/>
    <n v="321968.34999999998"/>
    <m/>
    <m/>
    <m/>
    <n v="0"/>
    <n v="298118.80460872198"/>
    <n v="23849.504368697759"/>
    <n v="0"/>
    <n v="321968.30897741974"/>
    <m/>
    <m/>
    <m/>
    <n v="0"/>
    <n v="969861.16"/>
    <s v="NO ES TOP"/>
    <n v="298118.80460872198"/>
    <n v="321968.30897741974"/>
    <n v="4.102258023340255E-2"/>
    <n v="0"/>
    <s v="Aplicado"/>
    <n v="4"/>
    <n v="0"/>
    <s v="sin comentarios del proveedor"/>
    <x v="1"/>
    <x v="4"/>
    <s v="Marcela"/>
    <m/>
    <m/>
    <m/>
    <m/>
    <m/>
    <m/>
    <m/>
    <m/>
    <m/>
    <m/>
    <m/>
    <m/>
    <m/>
    <m/>
    <e v="#N/A"/>
  </r>
  <r>
    <n v="387977"/>
    <x v="125"/>
    <n v="275350.02938666404"/>
    <n v="0"/>
    <n v="44056.024201866239"/>
    <n v="319406.03000000003"/>
    <n v="319406.03000000003"/>
    <m/>
    <m/>
    <m/>
    <n v="0"/>
    <n v="275350.02938666404"/>
    <n v="0"/>
    <n v="44056.024201866239"/>
    <n v="319406.05358853028"/>
    <m/>
    <m/>
    <m/>
    <n v="0"/>
    <n v="637644.14"/>
    <s v="NO ES TOP"/>
    <n v="275350.02938666404"/>
    <n v="319406.05358853028"/>
    <n v="-2.3588530253618956E-2"/>
    <n v="0"/>
    <s v="Aplicar"/>
    <n v="4"/>
    <n v="0"/>
    <n v="0"/>
    <x v="1"/>
    <x v="4"/>
    <s v="Yessica"/>
    <m/>
    <m/>
    <m/>
    <m/>
    <m/>
    <m/>
    <m/>
    <m/>
    <m/>
    <m/>
    <m/>
    <m/>
    <m/>
    <m/>
    <s v="cobranza@exportprint.mx"/>
  </r>
  <r>
    <n v="93591"/>
    <x v="126"/>
    <n v="301946.31033576798"/>
    <n v="0"/>
    <n v="0"/>
    <n v="301946.31"/>
    <n v="301946.31"/>
    <m/>
    <m/>
    <m/>
    <n v="0"/>
    <n v="301946.31033576798"/>
    <n v="0"/>
    <n v="0"/>
    <n v="301946.31033576798"/>
    <m/>
    <m/>
    <m/>
    <n v="0"/>
    <n v="2591226.4"/>
    <s v="NO ES TOP"/>
    <n v="301946.31033576798"/>
    <n v="301946.31033576798"/>
    <n v="-3.3576798159629107E-4"/>
    <n v="0"/>
    <s v="Aplicado"/>
    <n v="4"/>
    <n v="0"/>
    <n v="0"/>
    <x v="0"/>
    <x v="5"/>
    <s v="Perla"/>
    <n v="301946.31"/>
    <s v="NO PROCEDE DEBIDO A QUE EXISTE UN ERRO EN EL CALCULO "/>
    <n v="2"/>
    <m/>
    <d v="2026-02-09T00:00:00"/>
    <m/>
    <m/>
    <m/>
    <m/>
    <m/>
    <m/>
    <m/>
    <m/>
    <m/>
    <s v="eduardo.zatarain@pilgrims.com"/>
  </r>
  <r>
    <n v="943"/>
    <x v="127"/>
    <n v="257653.60293544998"/>
    <n v="0"/>
    <n v="41224.659"/>
    <n v="298878.25339999993"/>
    <n v="298878.24"/>
    <m/>
    <m/>
    <m/>
    <n v="0"/>
    <n v="257653.60293544998"/>
    <n v="0"/>
    <n v="41224.659"/>
    <n v="298878.26193544996"/>
    <m/>
    <m/>
    <m/>
    <n v="0"/>
    <n v="987815.31"/>
    <s v="NO ES TOP"/>
    <n v="257653.60293544998"/>
    <n v="298878.26193544996"/>
    <n v="-8.535450033377856E-3"/>
    <n v="0"/>
    <s v="Aplicado"/>
    <n v="4"/>
    <n v="0"/>
    <n v="0"/>
    <x v="1"/>
    <x v="4"/>
    <s v="Sareé"/>
    <m/>
    <m/>
    <m/>
    <m/>
    <m/>
    <d v="2026-01-28T00:00:00"/>
    <m/>
    <m/>
    <s v="Se  le comparte el detalle al proveedor"/>
    <s v="Casos abiertos( En proceso)"/>
    <m/>
    <s v="X"/>
    <m/>
    <m/>
    <e v="#N/A"/>
  </r>
  <r>
    <n v="36152"/>
    <x v="128"/>
    <n v="298263.64581100101"/>
    <n v="0"/>
    <n v="0"/>
    <n v="298263.62999999995"/>
    <n v="298263.63"/>
    <m/>
    <m/>
    <m/>
    <n v="0"/>
    <n v="298263.64581100101"/>
    <n v="0"/>
    <n v="0"/>
    <n v="298263.64581100101"/>
    <m/>
    <m/>
    <m/>
    <n v="0"/>
    <m/>
    <s v="NO ES TOP"/>
    <n v="298263.64581100101"/>
    <n v="298263.64581100101"/>
    <n v="-1.5811001067049801E-2"/>
    <n v="0"/>
    <s v="Aplicar"/>
    <n v="4"/>
    <n v="1"/>
    <s v="se le comparte la información a proveedor 1 contacto"/>
    <x v="0"/>
    <x v="2"/>
    <s v="Raul"/>
    <n v="298263.63"/>
    <s v="DETALLE DE LOS CARGOS EN EL PORTAL"/>
    <m/>
    <m/>
    <d v="2026-01-22T00:00:00"/>
    <m/>
    <m/>
    <m/>
    <s v="Proveedor solicito detalle y se le hizo llegar"/>
    <s v="Casos abiertos( En proceso)"/>
    <s v="X"/>
    <m/>
    <s v="X"/>
    <m/>
    <s v="danielrodriguez02@coca-cola.com"/>
  </r>
  <r>
    <n v="314815"/>
    <x v="129"/>
    <n v="292805.63561095798"/>
    <n v="986.06320000000005"/>
    <n v="125.12479999999999"/>
    <n v="293916.81999999995"/>
    <n v="293916.82"/>
    <m/>
    <m/>
    <m/>
    <n v="0"/>
    <n v="292805.63561095798"/>
    <n v="986.06320000000005"/>
    <n v="125.12479999999999"/>
    <n v="293916.82361095794"/>
    <m/>
    <m/>
    <m/>
    <n v="0"/>
    <m/>
    <s v="NO ES TOP"/>
    <n v="292805.63561095798"/>
    <n v="293916.82361095794"/>
    <n v="-3.6109579959884286E-3"/>
    <m/>
    <s v="Aplicado"/>
    <n v="4"/>
    <n v="0"/>
    <n v="0"/>
    <x v="1"/>
    <x v="4"/>
    <s v="Jessica"/>
    <m/>
    <m/>
    <m/>
    <m/>
    <m/>
    <m/>
    <m/>
    <m/>
    <m/>
    <m/>
    <m/>
    <m/>
    <m/>
    <m/>
    <s v="jbocanegra@achfood.com.mx"/>
  </r>
  <r>
    <n v="49601"/>
    <x v="130"/>
    <n v="249464.299644602"/>
    <n v="0"/>
    <n v="39914.287943136325"/>
    <n v="289378.56"/>
    <n v="289378.57"/>
    <m/>
    <m/>
    <m/>
    <n v="0"/>
    <n v="249464.299644602"/>
    <n v="0"/>
    <n v="39914.287943136325"/>
    <n v="289378.58758773829"/>
    <m/>
    <m/>
    <m/>
    <n v="0"/>
    <n v="1471305.47"/>
    <s v="NO ES TOP"/>
    <n v="249464.299644602"/>
    <n v="289378.58758773829"/>
    <n v="-2.7587738295551389E-2"/>
    <n v="0"/>
    <s v="Aplicar"/>
    <n v="4"/>
    <n v="0"/>
    <s v="sin acercamiento por proveedor"/>
    <x v="1"/>
    <x v="4"/>
    <s v="Raul"/>
    <m/>
    <m/>
    <m/>
    <m/>
    <m/>
    <m/>
    <m/>
    <m/>
    <m/>
    <m/>
    <m/>
    <m/>
    <m/>
    <m/>
    <s v="MIRIAM.MORALES@HENKEL.COM"/>
  </r>
  <r>
    <n v="33241"/>
    <x v="131"/>
    <n v="249396.46418810054"/>
    <n v="0"/>
    <n v="39903.446170096075"/>
    <n v="289299.92"/>
    <n v="289299.90999999997"/>
    <m/>
    <m/>
    <m/>
    <n v="0"/>
    <n v="249396.46418810054"/>
    <n v="0"/>
    <n v="39903.446170096075"/>
    <n v="289299.91035819659"/>
    <m/>
    <m/>
    <m/>
    <n v="0"/>
    <n v="1156554.92"/>
    <s v="NO ES TOP"/>
    <n v="249396.46418810054"/>
    <n v="289299.91035819659"/>
    <n v="9.6418033936060965E-3"/>
    <n v="0"/>
    <s v="Aplicar"/>
    <n v="4"/>
    <n v="0"/>
    <n v="0"/>
    <x v="1"/>
    <x v="4"/>
    <s v="Belem"/>
    <m/>
    <m/>
    <m/>
    <m/>
    <m/>
    <m/>
    <m/>
    <m/>
    <m/>
    <m/>
    <m/>
    <m/>
    <m/>
    <m/>
    <e v="#N/A"/>
  </r>
  <r>
    <n v="201"/>
    <x v="132"/>
    <n v="248399.84"/>
    <n v="0"/>
    <n v="39743.974399999999"/>
    <n v="288143.82999999996"/>
    <n v="288143.83"/>
    <m/>
    <m/>
    <m/>
    <n v="0"/>
    <n v="248399.84"/>
    <n v="0"/>
    <n v="39743.974399999999"/>
    <n v="288143.81439999997"/>
    <m/>
    <m/>
    <m/>
    <n v="0"/>
    <n v="81285.179999999993"/>
    <s v="NO ES TOP"/>
    <n v="248399.84"/>
    <n v="288143.81439999997"/>
    <n v="1.5599999984260648E-2"/>
    <n v="0"/>
    <s v="Aplicar"/>
    <n v="4"/>
    <n v="0"/>
    <s v="Sin contacto de proveedor"/>
    <x v="1"/>
    <x v="4"/>
    <s v="Mario"/>
    <m/>
    <m/>
    <m/>
    <m/>
    <m/>
    <m/>
    <m/>
    <m/>
    <m/>
    <m/>
    <m/>
    <m/>
    <m/>
    <m/>
    <e v="#N/A"/>
  </r>
  <r>
    <n v="40279"/>
    <x v="133"/>
    <n v="261272.62853087598"/>
    <n v="19988.847202774079"/>
    <n v="0"/>
    <n v="281261.6188"/>
    <n v="281261.61"/>
    <m/>
    <m/>
    <m/>
    <n v="0"/>
    <n v="261272.62853087598"/>
    <n v="19988.847202774079"/>
    <n v="0"/>
    <n v="281261.47573365003"/>
    <m/>
    <m/>
    <m/>
    <n v="0"/>
    <n v="847652.48"/>
    <s v="NO ES TOP"/>
    <n v="261272.62853087598"/>
    <n v="281261.47573365003"/>
    <n v="0.1430663499631919"/>
    <n v="0"/>
    <s v="Aplicar"/>
    <n v="4"/>
    <n v="0"/>
    <s v="sin comentarios del proveedor"/>
    <x v="1"/>
    <x v="4"/>
    <s v="Marcela"/>
    <m/>
    <m/>
    <m/>
    <m/>
    <m/>
    <m/>
    <m/>
    <m/>
    <m/>
    <m/>
    <m/>
    <m/>
    <m/>
    <m/>
    <e v="#N/A"/>
  </r>
  <r>
    <n v="26138"/>
    <x v="134"/>
    <n v="242077.98090947518"/>
    <n v="0"/>
    <n v="27285.856"/>
    <n v="269363.86039999995"/>
    <n v="269363.86"/>
    <m/>
    <m/>
    <m/>
    <n v="0"/>
    <n v="242077.98090947518"/>
    <n v="0"/>
    <n v="27285.856"/>
    <n v="269363.83690947515"/>
    <m/>
    <m/>
    <m/>
    <n v="0"/>
    <n v="1292308.81"/>
    <s v="NO ES TOP"/>
    <n v="242077.98090947518"/>
    <n v="269363.83690947515"/>
    <n v="2.3490524792578071E-2"/>
    <n v="0"/>
    <s v="Aplicado"/>
    <n v="4"/>
    <n v="0"/>
    <n v="0"/>
    <x v="1"/>
    <x v="4"/>
    <s v="Yessenia"/>
    <m/>
    <m/>
    <m/>
    <m/>
    <m/>
    <m/>
    <m/>
    <m/>
    <m/>
    <m/>
    <m/>
    <m/>
    <m/>
    <m/>
    <s v="humberto.varela@oetker.com"/>
  </r>
  <r>
    <n v="24927"/>
    <x v="135"/>
    <n v="186146.19382640003"/>
    <n v="46386.393899999995"/>
    <n v="36231.527800000003"/>
    <n v="268764.16019999998"/>
    <n v="268764.15999999997"/>
    <m/>
    <m/>
    <m/>
    <n v="0"/>
    <n v="186146.19382640003"/>
    <n v="46386.393899999995"/>
    <n v="36231.527800000003"/>
    <n v="268764.11552640004"/>
    <m/>
    <m/>
    <m/>
    <n v="0"/>
    <n v="2281446.4500000002"/>
    <s v="NO ES TOP"/>
    <n v="186146.19382640003"/>
    <n v="268764.11552640004"/>
    <n v="4.4673599943052977E-2"/>
    <n v="0"/>
    <s v="Aplicar"/>
    <n v="4"/>
    <n v="2"/>
    <m/>
    <x v="0"/>
    <x v="2"/>
    <s v="Belem"/>
    <n v="164846"/>
    <s v="SOLICTA EL REEMBOLSO DEBIDO A QUE ESTOS PEDIDOS FUERON REPORTADOS CON EL COMPRADOR"/>
    <n v="2"/>
    <m/>
    <d v="2026-02-03T00:00:00"/>
    <m/>
    <m/>
    <m/>
    <s v="Proveedor envia correos soportes donde solicita la ampliacion de los pedidos uno por bajo volumen y otro por fallas en el sistema en las remisiones, solicita la ampliacion de los dos pedidos, sin embargo no se tiene respuesta por parte de Soriana, se envia respuesta el 5/Feb/26 comentando que la diferencia reclamada es procedente al no tener la confirmacion interna.  Proveedor envia correo nuevamente solicitando apoyo al comprador para confirmar la omision de cobro."/>
    <m/>
    <s v=" "/>
    <m/>
    <m/>
    <m/>
    <e v="#N/A"/>
  </r>
  <r>
    <n v="327148"/>
    <x v="136"/>
    <n v="231474.16511999999"/>
    <n v="0"/>
    <n v="37035.866499999996"/>
    <n v="268510.03520000004"/>
    <n v="0"/>
    <m/>
    <m/>
    <m/>
    <n v="0"/>
    <n v="231474.16511999999"/>
    <n v="0"/>
    <n v="37035.866499999996"/>
    <n v="268510.03161999997"/>
    <m/>
    <m/>
    <m/>
    <n v="0"/>
    <n v="1147255.18"/>
    <s v="NO ES TOP"/>
    <n v="231474.16511999999"/>
    <n v="268510.03161999997"/>
    <n v="3.5800000769086182E-3"/>
    <n v="0"/>
    <s v="Aplicar"/>
    <n v="4"/>
    <n v="0"/>
    <n v="0"/>
    <x v="1"/>
    <x v="4"/>
    <s v="Belem"/>
    <m/>
    <m/>
    <m/>
    <m/>
    <m/>
    <m/>
    <m/>
    <m/>
    <m/>
    <m/>
    <m/>
    <m/>
    <m/>
    <m/>
    <e v="#N/A"/>
  </r>
  <r>
    <n v="152561"/>
    <x v="137"/>
    <n v="229805.7333580892"/>
    <n v="0"/>
    <n v="36768.917337294268"/>
    <n v="266574.65999999997"/>
    <n v="266574.65999999997"/>
    <m/>
    <m/>
    <m/>
    <n v="0"/>
    <n v="229805.7333580892"/>
    <n v="0"/>
    <n v="36768.917337294268"/>
    <n v="266574.65069538349"/>
    <m/>
    <m/>
    <m/>
    <n v="0"/>
    <n v="1806986.96"/>
    <s v="NO ES TOP"/>
    <n v="229805.7333580892"/>
    <n v="266574.65069538349"/>
    <n v="9.3046164838597178E-3"/>
    <n v="0"/>
    <s v="Aplicado"/>
    <n v="4"/>
    <n v="0"/>
    <n v="0"/>
    <x v="1"/>
    <x v="4"/>
    <s v="Olfi"/>
    <m/>
    <m/>
    <m/>
    <m/>
    <m/>
    <m/>
    <m/>
    <m/>
    <m/>
    <m/>
    <m/>
    <m/>
    <m/>
    <m/>
    <e v="#N/A"/>
  </r>
  <r>
    <n v="332296"/>
    <x v="138"/>
    <n v="228117.72000000006"/>
    <n v="0"/>
    <n v="36498.826399999998"/>
    <n v="264616.51"/>
    <n v="264616.53999999998"/>
    <m/>
    <m/>
    <m/>
    <n v="0"/>
    <n v="228117.72000000006"/>
    <n v="0"/>
    <n v="36498.826399999998"/>
    <n v="264616.54640000005"/>
    <m/>
    <m/>
    <m/>
    <n v="0"/>
    <n v="369000.68"/>
    <s v="NO ES TOP"/>
    <n v="228117.72000000006"/>
    <n v="264616.54640000005"/>
    <n v="-3.6400000040885061E-2"/>
    <n v="0"/>
    <s v="Aplicar"/>
    <n v="4"/>
    <n v="0"/>
    <n v="0"/>
    <x v="1"/>
    <x v="4"/>
    <s v="Belem"/>
    <m/>
    <m/>
    <m/>
    <m/>
    <m/>
    <m/>
    <m/>
    <m/>
    <m/>
    <m/>
    <m/>
    <m/>
    <m/>
    <m/>
    <e v="#N/A"/>
  </r>
  <r>
    <n v="328658"/>
    <x v="139"/>
    <n v="225683.12"/>
    <n v="0"/>
    <n v="36036.350900000005"/>
    <n v="261719.64999999997"/>
    <n v="0"/>
    <m/>
    <m/>
    <m/>
    <n v="0"/>
    <n v="225683.12"/>
    <n v="0"/>
    <n v="36036.350900000005"/>
    <n v="261719.47090000001"/>
    <m/>
    <m/>
    <m/>
    <n v="0"/>
    <n v="1107485.4099999999"/>
    <s v="NO ES TOP"/>
    <n v="225683.12"/>
    <n v="261719.47090000001"/>
    <n v="0.17909999995026737"/>
    <n v="0"/>
    <s v="Aplicar"/>
    <n v="4"/>
    <n v="0"/>
    <n v="0"/>
    <x v="1"/>
    <x v="4"/>
    <s v="Belem"/>
    <m/>
    <m/>
    <m/>
    <m/>
    <m/>
    <m/>
    <m/>
    <m/>
    <m/>
    <m/>
    <m/>
    <m/>
    <m/>
    <m/>
    <e v="#N/A"/>
  </r>
  <r>
    <n v="325670"/>
    <x v="140"/>
    <n v="227169.03894894346"/>
    <n v="0"/>
    <n v="33232.574619604238"/>
    <n v="260401.57000000007"/>
    <n v="260401.57"/>
    <m/>
    <m/>
    <m/>
    <n v="0"/>
    <n v="227169.03894894346"/>
    <n v="0"/>
    <n v="33232.574619604238"/>
    <n v="260401.61356854771"/>
    <m/>
    <m/>
    <m/>
    <n v="0"/>
    <m/>
    <s v="NO ES TOP"/>
    <n v="227169.03894894346"/>
    <n v="260401.61356854771"/>
    <n v="-4.3568547640461475E-2"/>
    <n v="0"/>
    <s v="Aplicado"/>
    <n v="4"/>
    <n v="0"/>
    <n v="0"/>
    <x v="1"/>
    <x v="4"/>
    <s v="Andrea"/>
    <m/>
    <m/>
    <m/>
    <m/>
    <m/>
    <m/>
    <m/>
    <m/>
    <m/>
    <m/>
    <m/>
    <m/>
    <m/>
    <m/>
    <s v="alejandro.jactthar@kdrp.com"/>
  </r>
  <r>
    <n v="26393"/>
    <x v="141"/>
    <n v="223893.68"/>
    <n v="0"/>
    <n v="35822.988799999999"/>
    <n v="259716.65999999997"/>
    <n v="259716.66"/>
    <n v="223893.68"/>
    <m/>
    <n v="35822.988799999999"/>
    <n v="259716.66879999998"/>
    <m/>
    <n v="0"/>
    <n v="0"/>
    <n v="0"/>
    <m/>
    <m/>
    <m/>
    <n v="0"/>
    <n v="187691.15"/>
    <s v="NO ES TOP"/>
    <n v="223893.68"/>
    <n v="259716.66879999998"/>
    <n v="-8.8000000105239451E-3"/>
    <s v="4 parcialidades"/>
    <s v="Aplicado"/>
    <n v="4"/>
    <n v="0"/>
    <s v="Autorizado por Proveedor"/>
    <x v="0"/>
    <x v="3"/>
    <s v="Mario"/>
    <n v="259716.65999999997"/>
    <s v="DETALLE DE LOS CARGOS EN EL PORTAL"/>
    <n v="1"/>
    <m/>
    <d v="2026-01-20T00:00:00"/>
    <d v="2026-01-20T00:00:00"/>
    <m/>
    <m/>
    <s v="Proveedor confirma diferencia, requiere 4 parcialidades. Se informa a Proveedor no se pueden generar las parcialidades y se ajusta de acuerdo al saldo."/>
    <s v="Casos cerrados"/>
    <s v="X"/>
    <m/>
    <m/>
    <s v="Se envía manual para validación del desglose de ajuste. Proveedor confirma diferencia, requiere 4 parcialidades."/>
    <e v="#N/A"/>
  </r>
  <r>
    <n v="221226"/>
    <x v="142"/>
    <n v="258217.35592169201"/>
    <n v="0"/>
    <n v="0"/>
    <n v="258217.37000000002"/>
    <n v="124285.93"/>
    <m/>
    <m/>
    <m/>
    <n v="0"/>
    <n v="258217.35592169201"/>
    <n v="0"/>
    <n v="0"/>
    <n v="258217.35592169201"/>
    <m/>
    <m/>
    <m/>
    <n v="0"/>
    <n v="374067.54"/>
    <s v="NO ES TOP"/>
    <n v="258217.35592169201"/>
    <n v="258217.35592169201"/>
    <n v="1.4078308013267815E-2"/>
    <m/>
    <s v="Aplicar"/>
    <n v="4"/>
    <n v="0"/>
    <s v="Sin acercamiento por parte del proveedor, actualmente pendiente auditoria del 2020-2024"/>
    <x v="1"/>
    <x v="4"/>
    <s v="Erika"/>
    <m/>
    <m/>
    <m/>
    <m/>
    <m/>
    <m/>
    <m/>
    <m/>
    <m/>
    <m/>
    <m/>
    <m/>
    <m/>
    <m/>
    <s v="iceron@salsascastillo.com"/>
  </r>
  <r>
    <n v="8613"/>
    <x v="143"/>
    <n v="222084.41116088399"/>
    <n v="0"/>
    <n v="35533.509978261442"/>
    <n v="257617.91479999997"/>
    <n v="211173.92"/>
    <n v="182046.48"/>
    <m/>
    <n v="29127.439999999999"/>
    <n v="211173.92"/>
    <m/>
    <m/>
    <m/>
    <n v="0"/>
    <n v="40037.93"/>
    <m/>
    <n v="6406.07"/>
    <n v="46444"/>
    <n v="126063.7"/>
    <s v="NO ES TOP"/>
    <n v="222084.41"/>
    <n v="257617.92000000001"/>
    <n v="-5.2000000432599336E-3"/>
    <m/>
    <s v="Cerrado/Aplicar"/>
    <n v="4"/>
    <n v="0"/>
    <n v="0"/>
    <x v="0"/>
    <x v="3"/>
    <s v="Perla"/>
    <n v="159642.25"/>
    <m/>
    <n v="2"/>
    <m/>
    <d v="2026-01-27T00:00:00"/>
    <d v="2026-01-27T00:00:00"/>
    <m/>
    <m/>
    <s v="Proveedor acepta parte del monto"/>
    <m/>
    <s v="X"/>
    <m/>
    <m/>
    <m/>
    <e v="#N/A"/>
  </r>
  <r>
    <n v="16636"/>
    <x v="144"/>
    <n v="257030.58445999998"/>
    <n v="136.11599999999999"/>
    <n v="0"/>
    <n v="257166.70449999999"/>
    <n v="39094.71"/>
    <m/>
    <m/>
    <m/>
    <n v="0"/>
    <n v="257030.58445999998"/>
    <n v="136.11599999999999"/>
    <n v="0"/>
    <n v="257166.70045999999"/>
    <m/>
    <m/>
    <m/>
    <n v="0"/>
    <n v="2231291.5699999998"/>
    <s v="NO ES TOP"/>
    <n v="257030.58445999998"/>
    <n v="257166.70045999999"/>
    <n v="4.0399999998044223E-3"/>
    <m/>
    <s v="Aplicar"/>
    <n v="4"/>
    <n v="0"/>
    <s v="Sin acercamiento por parte de proveedor"/>
    <x v="1"/>
    <x v="4"/>
    <s v="Samuel"/>
    <m/>
    <m/>
    <m/>
    <m/>
    <m/>
    <m/>
    <m/>
    <m/>
    <m/>
    <m/>
    <m/>
    <m/>
    <m/>
    <m/>
    <e v="#N/A"/>
  </r>
  <r>
    <n v="318980"/>
    <x v="145"/>
    <n v="211547.92000000004"/>
    <n v="0"/>
    <n v="33847.6132"/>
    <n v="245395.50000000003"/>
    <n v="99599.66"/>
    <m/>
    <m/>
    <m/>
    <n v="0"/>
    <n v="211547.92000000004"/>
    <n v="0"/>
    <n v="33847.6132"/>
    <n v="245395.53320000003"/>
    <m/>
    <m/>
    <m/>
    <n v="0"/>
    <n v="60839.06"/>
    <s v="NO ES TOP"/>
    <n v="211547.92000000004"/>
    <n v="245395.53320000003"/>
    <n v="-3.3200000005308539E-2"/>
    <m/>
    <s v="Aplicar"/>
    <n v="4"/>
    <n v="0"/>
    <n v="0"/>
    <x v="1"/>
    <x v="4"/>
    <s v="Francisco"/>
    <m/>
    <m/>
    <m/>
    <m/>
    <m/>
    <m/>
    <m/>
    <m/>
    <m/>
    <m/>
    <m/>
    <m/>
    <m/>
    <m/>
    <e v="#N/A"/>
  </r>
  <r>
    <n v="398289"/>
    <x v="146"/>
    <n v="209333.7562529"/>
    <n v="0"/>
    <n v="33493.401100000003"/>
    <n v="242827.15959999998"/>
    <n v="242827.15"/>
    <m/>
    <m/>
    <m/>
    <n v="0"/>
    <n v="209333.7562529"/>
    <n v="0"/>
    <n v="33493.401100000003"/>
    <n v="242827.15735290002"/>
    <m/>
    <m/>
    <m/>
    <n v="0"/>
    <n v="341891.62"/>
    <s v="NO ES TOP"/>
    <n v="209333.7562529"/>
    <n v="242827.15735290002"/>
    <n v="2.2470999683719128E-3"/>
    <m/>
    <s v="Aplicar"/>
    <n v="4"/>
    <n v="0"/>
    <n v="0"/>
    <x v="1"/>
    <x v="4"/>
    <s v="Yessica"/>
    <m/>
    <m/>
    <m/>
    <m/>
    <m/>
    <m/>
    <m/>
    <m/>
    <m/>
    <m/>
    <m/>
    <m/>
    <m/>
    <m/>
    <e v="#N/A"/>
  </r>
  <r>
    <n v="9943"/>
    <x v="147"/>
    <n v="232617.76827155001"/>
    <n v="0"/>
    <n v="7944.9552000000003"/>
    <n v="240562.72820000001"/>
    <n v="240562.74"/>
    <m/>
    <m/>
    <m/>
    <n v="0"/>
    <n v="232617.76827155001"/>
    <n v="0"/>
    <n v="7944.9552000000003"/>
    <n v="240562.72347155001"/>
    <m/>
    <m/>
    <m/>
    <n v="0"/>
    <n v="592439.52"/>
    <s v="NO ES TOP"/>
    <n v="232617.76827155001"/>
    <n v="240562.72347155001"/>
    <n v="4.7284500033129007E-3"/>
    <m/>
    <s v="Aplicado"/>
    <n v="4"/>
    <n v="0"/>
    <n v="0"/>
    <x v="1"/>
    <x v="4"/>
    <s v="Erika"/>
    <m/>
    <m/>
    <m/>
    <m/>
    <m/>
    <m/>
    <m/>
    <m/>
    <m/>
    <m/>
    <m/>
    <m/>
    <m/>
    <m/>
    <e v="#N/A"/>
  </r>
  <r>
    <n v="300210"/>
    <x v="148"/>
    <n v="203401.21000000002"/>
    <n v="0"/>
    <n v="32544.193599999999"/>
    <n v="235945.4"/>
    <n v="0"/>
    <m/>
    <m/>
    <m/>
    <n v="0"/>
    <n v="203401.21000000002"/>
    <n v="0"/>
    <n v="32544.193599999999"/>
    <n v="235945.40360000002"/>
    <m/>
    <m/>
    <m/>
    <n v="0"/>
    <n v="141673.41"/>
    <s v="NO ES TOP"/>
    <n v="203401.21000000002"/>
    <n v="235945.40360000002"/>
    <n v="-3.6000000254716724E-3"/>
    <m/>
    <s v="Aplicar"/>
    <n v="4"/>
    <n v="0"/>
    <s v="Sin contacto de proveedor"/>
    <x v="1"/>
    <x v="4"/>
    <s v="Mario"/>
    <m/>
    <m/>
    <m/>
    <m/>
    <m/>
    <m/>
    <m/>
    <m/>
    <m/>
    <m/>
    <m/>
    <m/>
    <m/>
    <m/>
    <e v="#N/A"/>
  </r>
  <r>
    <n v="319335"/>
    <x v="149"/>
    <n v="203208.96999999997"/>
    <n v="0"/>
    <n v="32513.4352"/>
    <n v="235722.38"/>
    <n v="235722.38"/>
    <m/>
    <m/>
    <m/>
    <n v="0"/>
    <n v="203208.96999999997"/>
    <n v="0"/>
    <n v="32513.4352"/>
    <n v="235722.40519999998"/>
    <m/>
    <m/>
    <m/>
    <n v="0"/>
    <n v="80982.22"/>
    <s v="NO ES TOP"/>
    <n v="203208.96999999997"/>
    <n v="235722.40519999998"/>
    <n v="-2.5199999974574894E-2"/>
    <m/>
    <s v="Aplicado"/>
    <n v="4"/>
    <n v="0"/>
    <s v="Proveedor solo ha respondido por diferencias del 20-24"/>
    <x v="1"/>
    <x v="4"/>
    <s v="Mario"/>
    <m/>
    <m/>
    <m/>
    <m/>
    <m/>
    <m/>
    <m/>
    <m/>
    <m/>
    <m/>
    <m/>
    <m/>
    <m/>
    <m/>
    <e v="#N/A"/>
  </r>
  <r>
    <n v="22666"/>
    <x v="150"/>
    <n v="202342.80999999997"/>
    <n v="0"/>
    <n v="32374.849599999994"/>
    <n v="234717.6"/>
    <n v="157054"/>
    <m/>
    <m/>
    <m/>
    <n v="0"/>
    <n v="202342.80999999997"/>
    <n v="0"/>
    <n v="32374.849599999994"/>
    <n v="234717.65959999996"/>
    <m/>
    <m/>
    <m/>
    <n v="0"/>
    <n v="469284.18"/>
    <s v="NO ES TOP"/>
    <n v="202342.80999999997"/>
    <n v="234717.65959999996"/>
    <n v="-5.9599999949568883E-2"/>
    <m/>
    <s v="Aplicar"/>
    <n v="4"/>
    <n v="1"/>
    <s v="1 contacto se le comparte la información"/>
    <x v="0"/>
    <x v="2"/>
    <s v="Erika"/>
    <n v="234717.6"/>
    <s v="NO PROCEDE DEBIDO A QUE EXISTE UN ERRO EN EL CALCULO "/>
    <n v="8"/>
    <m/>
    <d v="2026-02-09T00:00:00"/>
    <m/>
    <m/>
    <m/>
    <m/>
    <m/>
    <m/>
    <m/>
    <m/>
    <m/>
    <e v="#N/A"/>
  </r>
  <r>
    <n v="308651"/>
    <x v="151"/>
    <n v="232163.33000000002"/>
    <n v="0"/>
    <n v="0"/>
    <n v="232163.33000000002"/>
    <n v="232163.33"/>
    <m/>
    <m/>
    <m/>
    <n v="0"/>
    <n v="232163.33000000002"/>
    <n v="0"/>
    <n v="0"/>
    <n v="232163.33000000002"/>
    <m/>
    <m/>
    <m/>
    <n v="0"/>
    <n v="2269586.7200000002"/>
    <s v="NO ES TOP"/>
    <n v="232163.33000000002"/>
    <n v="232163.33000000002"/>
    <n v="0"/>
    <m/>
    <s v="Aplicar"/>
    <n v="4"/>
    <n v="0"/>
    <n v="0"/>
    <x v="1"/>
    <x v="4"/>
    <s v="Francisco"/>
    <m/>
    <m/>
    <m/>
    <m/>
    <m/>
    <m/>
    <m/>
    <m/>
    <m/>
    <m/>
    <m/>
    <m/>
    <m/>
    <m/>
    <e v="#N/A"/>
  </r>
  <r>
    <n v="9264"/>
    <x v="152"/>
    <n v="182778.68991783797"/>
    <n v="17247.516"/>
    <n v="32004.192946854084"/>
    <n v="232030.4"/>
    <n v="232030.4"/>
    <m/>
    <m/>
    <m/>
    <n v="0"/>
    <n v="182778.68991783797"/>
    <n v="17247.516"/>
    <n v="32004.192946854084"/>
    <n v="232030.39886469205"/>
    <m/>
    <m/>
    <m/>
    <n v="0"/>
    <n v="271668.90999999997"/>
    <s v="NO ES TOP"/>
    <n v="182778.68991783797"/>
    <n v="232030.39886469205"/>
    <n v="1.1353079462423921E-3"/>
    <m/>
    <s v="Aplicado"/>
    <n v="4"/>
    <n v="0"/>
    <n v="0"/>
    <x v="0"/>
    <x v="2"/>
    <s v="Erika"/>
    <n v="232030.4"/>
    <s v="DETALLE DE LOS CARGOS Y OC EN EL PORTAL"/>
    <m/>
    <m/>
    <d v="2026-01-28T00:00:00"/>
    <d v="2026-01-28T00:00:00"/>
    <m/>
    <m/>
    <s v="Se le manda correo al proveedor, informandole sobre la auditoria del 2025"/>
    <s v="Casos abiertos( En proceso)"/>
    <m/>
    <m/>
    <m/>
    <m/>
    <e v="#N/A"/>
  </r>
  <r>
    <n v="13773"/>
    <x v="153"/>
    <n v="199289"/>
    <n v="0"/>
    <n v="31886.239999999998"/>
    <n v="231175.24"/>
    <n v="10684.99"/>
    <m/>
    <m/>
    <m/>
    <n v="0"/>
    <n v="199289"/>
    <n v="0"/>
    <n v="31886.239999999998"/>
    <n v="231175.24"/>
    <m/>
    <m/>
    <m/>
    <n v="0"/>
    <n v="605374.05000000005"/>
    <s v="NO ES TOP"/>
    <n v="199289"/>
    <n v="231175.24"/>
    <n v="0"/>
    <m/>
    <s v="Aplicar"/>
    <n v="4"/>
    <n v="0"/>
    <s v="Sin respuesta"/>
    <x v="1"/>
    <x v="4"/>
    <s v="Olfi"/>
    <m/>
    <m/>
    <m/>
    <m/>
    <m/>
    <m/>
    <m/>
    <m/>
    <m/>
    <m/>
    <m/>
    <m/>
    <m/>
    <m/>
    <s v="GALAMILLA@PREMIUMBEERS.COM.MX"/>
  </r>
  <r>
    <n v="397315"/>
    <x v="154"/>
    <n v="228770.40825110502"/>
    <n v="0"/>
    <n v="2000.6972105977602"/>
    <n v="230771.1139"/>
    <n v="0"/>
    <m/>
    <m/>
    <m/>
    <n v="0"/>
    <n v="228770.40825110502"/>
    <n v="0"/>
    <n v="2000.6972105977602"/>
    <n v="230771.10546170277"/>
    <m/>
    <m/>
    <m/>
    <n v="0"/>
    <n v="855199.97"/>
    <s v="NO ES TOP"/>
    <n v="228770.40825110502"/>
    <n v="230771.10546170277"/>
    <n v="8.4382972272578627E-3"/>
    <m/>
    <s v="Aplicar"/>
    <n v="4"/>
    <n v="0"/>
    <s v="Sin contacto de proveedor"/>
    <x v="1"/>
    <x v="4"/>
    <s v="Luis"/>
    <m/>
    <m/>
    <m/>
    <m/>
    <m/>
    <m/>
    <m/>
    <m/>
    <m/>
    <m/>
    <m/>
    <m/>
    <m/>
    <m/>
    <s v="BORTOLOTTI Horacio &lt;horacio.bortolotti@danone.com"/>
  </r>
  <r>
    <n v="12560"/>
    <x v="155"/>
    <n v="195833.07959226807"/>
    <n v="0"/>
    <n v="31333.292734762879"/>
    <n v="227166.32"/>
    <n v="227166.32"/>
    <m/>
    <m/>
    <m/>
    <n v="0"/>
    <n v="195833.07959226807"/>
    <n v="0"/>
    <n v="31333.292734762879"/>
    <n v="227166.37232703096"/>
    <m/>
    <m/>
    <m/>
    <n v="0"/>
    <n v="1850688.6"/>
    <s v="NO ES TOP"/>
    <n v="195833.07959226807"/>
    <n v="227166.37232703096"/>
    <n v="-5.2327030949527398E-2"/>
    <m/>
    <s v="Aplicado"/>
    <n v="4"/>
    <n v="0"/>
    <n v="0"/>
    <x v="1"/>
    <x v="4"/>
    <s v="Francisco"/>
    <m/>
    <m/>
    <m/>
    <m/>
    <m/>
    <m/>
    <m/>
    <m/>
    <m/>
    <m/>
    <m/>
    <m/>
    <m/>
    <m/>
    <e v="#N/A"/>
  </r>
  <r>
    <n v="318493"/>
    <x v="156"/>
    <n v="195274.96"/>
    <n v="0"/>
    <n v="31243.993599999998"/>
    <n v="226518.94000000003"/>
    <n v="226518.94"/>
    <m/>
    <m/>
    <m/>
    <n v="0"/>
    <n v="195274.96"/>
    <n v="0"/>
    <n v="31243.993599999998"/>
    <n v="226518.95359999998"/>
    <m/>
    <m/>
    <m/>
    <n v="0"/>
    <n v="175210.67"/>
    <s v="NO ES TOP"/>
    <n v="195274.96"/>
    <n v="226518.95359999998"/>
    <n v="-1.3599999947473407E-2"/>
    <m/>
    <s v="Aplicado"/>
    <n v="4"/>
    <n v="0"/>
    <n v="0"/>
    <x v="1"/>
    <x v="4"/>
    <s v="Francisco"/>
    <m/>
    <m/>
    <m/>
    <m/>
    <m/>
    <m/>
    <m/>
    <m/>
    <m/>
    <m/>
    <m/>
    <m/>
    <m/>
    <m/>
    <e v="#N/A"/>
  </r>
  <r>
    <n v="8684"/>
    <x v="157"/>
    <n v="191150.91788764799"/>
    <n v="0"/>
    <n v="30584.146808103676"/>
    <n v="221735.11490000004"/>
    <n v="221735.06"/>
    <m/>
    <m/>
    <m/>
    <n v="0"/>
    <n v="191150.91788764799"/>
    <n v="0"/>
    <n v="30584.146808103676"/>
    <n v="221735.06469575167"/>
    <m/>
    <m/>
    <m/>
    <n v="0"/>
    <n v="796521.4"/>
    <s v="NO ES TOP"/>
    <n v="191150.91788764799"/>
    <n v="221735.06469575167"/>
    <n v="5.0204248371301219E-2"/>
    <m/>
    <s v="Aplicar"/>
    <n v="4"/>
    <n v="0"/>
    <n v="0"/>
    <x v="1"/>
    <x v="4"/>
    <s v="Jessica"/>
    <m/>
    <m/>
    <m/>
    <m/>
    <m/>
    <m/>
    <m/>
    <m/>
    <m/>
    <m/>
    <m/>
    <m/>
    <m/>
    <m/>
    <e v="#N/A"/>
  </r>
  <r>
    <n v="11077"/>
    <x v="158"/>
    <n v="189864.61999999994"/>
    <n v="0"/>
    <n v="30378.339200000002"/>
    <n v="220242.97000000003"/>
    <n v="220242.97"/>
    <m/>
    <m/>
    <m/>
    <n v="0"/>
    <n v="189864.61999999994"/>
    <n v="0"/>
    <n v="30378.339200000002"/>
    <n v="220242.95919999992"/>
    <m/>
    <m/>
    <m/>
    <n v="0"/>
    <n v="1225469.6000000001"/>
    <s v="NO ES TOP"/>
    <n v="189864.61999999994"/>
    <n v="220242.95919999992"/>
    <n v="1.0800000105518848E-2"/>
    <m/>
    <s v="Aplicado"/>
    <n v="4"/>
    <n v="0"/>
    <s v="Sin contacto de proveedor"/>
    <x v="1"/>
    <x v="4"/>
    <s v="Mario"/>
    <m/>
    <m/>
    <m/>
    <m/>
    <m/>
    <m/>
    <m/>
    <m/>
    <m/>
    <m/>
    <m/>
    <m/>
    <m/>
    <m/>
    <e v="#N/A"/>
  </r>
  <r>
    <n v="311159"/>
    <x v="159"/>
    <n v="189068.26999999996"/>
    <n v="0"/>
    <n v="29987.373800000001"/>
    <n v="219055.65"/>
    <n v="219055.64"/>
    <m/>
    <m/>
    <m/>
    <n v="0"/>
    <n v="189068.26999999996"/>
    <n v="0"/>
    <n v="29987.373800000001"/>
    <n v="219055.64379999996"/>
    <m/>
    <m/>
    <m/>
    <n v="0"/>
    <n v="221361.93"/>
    <s v="NO ES TOP"/>
    <n v="189068.26999999996"/>
    <n v="219055.64379999996"/>
    <n v="6.200000032549724E-3"/>
    <m/>
    <s v="Revisión"/>
    <n v="4"/>
    <n v="3"/>
    <s v="Proveedor envía soporte por dupicado de pedido, se dio seguimiento en tres correos"/>
    <x v="0"/>
    <x v="2"/>
    <s v="Luis"/>
    <n v="180039.21"/>
    <s v="CARGOS MAL APLICADOS DEBIDO A QUE ESTOS SI FUERON ENTREGADOS "/>
    <n v="1"/>
    <s v="SI"/>
    <d v="2026-01-26T00:00:00"/>
    <d v="2026-01-26T00:00:00"/>
    <m/>
    <m/>
    <s v="Se comparte información a proveedor con el detalle del folio solicitado"/>
    <m/>
    <s v="X"/>
    <m/>
    <m/>
    <m/>
    <e v="#N/A"/>
  </r>
  <r>
    <n v="384552"/>
    <x v="48"/>
    <n v="188228.02469999995"/>
    <n v="0"/>
    <n v="30116.483899999999"/>
    <n v="218344.47540000005"/>
    <n v="173461.94"/>
    <m/>
    <m/>
    <m/>
    <n v="0"/>
    <n v="188228.02469999995"/>
    <n v="0"/>
    <n v="30116.483899999999"/>
    <n v="218344.50859999994"/>
    <m/>
    <m/>
    <m/>
    <n v="0"/>
    <n v="1078512.73"/>
    <s v="NO ES TOP"/>
    <n v="188228.02469999995"/>
    <n v="218344.50859999994"/>
    <n v="-3.3199999888893217E-2"/>
    <m/>
    <s v="Aplicar"/>
    <n v="4"/>
    <n v="0"/>
    <s v="Sin acercamiento por parte de proveedor"/>
    <x v="1"/>
    <x v="4"/>
    <s v="Samuel"/>
    <m/>
    <m/>
    <m/>
    <m/>
    <m/>
    <m/>
    <m/>
    <m/>
    <m/>
    <m/>
    <m/>
    <m/>
    <m/>
    <m/>
    <e v="#N/A"/>
  </r>
  <r>
    <n v="307900"/>
    <x v="160"/>
    <n v="186768.93732174"/>
    <n v="0"/>
    <n v="29883.029971478398"/>
    <n v="216651.96000000002"/>
    <n v="216651.96"/>
    <m/>
    <m/>
    <m/>
    <n v="0"/>
    <n v="186768.93732174"/>
    <n v="0"/>
    <n v="29883.029971478398"/>
    <n v="216651.96729321839"/>
    <m/>
    <m/>
    <m/>
    <n v="0"/>
    <n v="976666.06"/>
    <s v="NO ES TOP"/>
    <n v="186768.93732174"/>
    <n v="216651.96729321839"/>
    <n v="-7.2932183684315532E-3"/>
    <m/>
    <s v="Aplicar"/>
    <n v="4"/>
    <n v="0"/>
    <s v="Sin acercamiento por parte del proveedor, actualmente pendiente auditoria del 2020-2024"/>
    <x v="1"/>
    <x v="4"/>
    <s v="Erika"/>
    <m/>
    <m/>
    <m/>
    <m/>
    <m/>
    <m/>
    <m/>
    <m/>
    <m/>
    <m/>
    <m/>
    <m/>
    <m/>
    <m/>
    <e v="#N/A"/>
  </r>
  <r>
    <n v="229732"/>
    <x v="161"/>
    <n v="209443.383902723"/>
    <n v="5848.1951621886001"/>
    <n v="0"/>
    <n v="215291.55000000002"/>
    <n v="215291.55"/>
    <m/>
    <m/>
    <m/>
    <n v="0"/>
    <n v="209443.383902723"/>
    <n v="5848.1951621886001"/>
    <n v="0"/>
    <n v="215291.57906491161"/>
    <m/>
    <m/>
    <m/>
    <n v="0"/>
    <n v="500919.34"/>
    <s v="NO ES TOP"/>
    <n v="209443.383902723"/>
    <n v="215291.57906491161"/>
    <n v="-2.906491159228608E-2"/>
    <m/>
    <s v="Aplicado"/>
    <n v="4"/>
    <n v="0"/>
    <n v="0"/>
    <x v="1"/>
    <x v="4"/>
    <s v="Olfi"/>
    <m/>
    <m/>
    <m/>
    <m/>
    <m/>
    <d v="2026-01-28T00:00:00"/>
    <m/>
    <m/>
    <s v="Se le manda soporte a proveedor "/>
    <s v="Casos abiertos( En proceso)"/>
    <m/>
    <s v="X"/>
    <m/>
    <m/>
    <e v="#N/A"/>
  </r>
  <r>
    <n v="206466"/>
    <x v="162"/>
    <n v="184141.24382747195"/>
    <n v="0"/>
    <n v="29462.599012395502"/>
    <n v="213603.89"/>
    <n v="213603.54"/>
    <m/>
    <m/>
    <m/>
    <n v="0"/>
    <n v="184141.24382747195"/>
    <n v="0"/>
    <n v="29462.599012395502"/>
    <n v="213603.84283986746"/>
    <m/>
    <m/>
    <m/>
    <n v="0"/>
    <n v="1332522.53"/>
    <s v="NO ES TOP"/>
    <n v="184141.24382747195"/>
    <n v="213603.84283986746"/>
    <n v="4.7160132555291057E-2"/>
    <m/>
    <s v="Aplicar"/>
    <n v="4"/>
    <n v="0"/>
    <s v="Sin contacto de proveedor"/>
    <x v="1"/>
    <x v="4"/>
    <s v="Mario"/>
    <m/>
    <m/>
    <m/>
    <m/>
    <m/>
    <m/>
    <m/>
    <m/>
    <m/>
    <m/>
    <m/>
    <m/>
    <m/>
    <m/>
    <e v="#N/A"/>
  </r>
  <r>
    <n v="70664"/>
    <x v="163"/>
    <n v="183038.017560129"/>
    <n v="0"/>
    <n v="29286.107309620642"/>
    <n v="212324.08000000002"/>
    <n v="212324.08"/>
    <m/>
    <m/>
    <m/>
    <n v="0"/>
    <n v="183038.017560129"/>
    <n v="0"/>
    <n v="29286.107309620642"/>
    <n v="212324.12486974965"/>
    <m/>
    <m/>
    <m/>
    <n v="0"/>
    <n v="542004.5"/>
    <s v="NO ES TOP"/>
    <n v="183038.017560129"/>
    <n v="212324.12486974965"/>
    <n v="-4.4869749632198364E-2"/>
    <m/>
    <s v="Aplicado"/>
    <n v="4"/>
    <n v="0"/>
    <n v="0"/>
    <x v="1"/>
    <x v="4"/>
    <s v="Jessica"/>
    <m/>
    <m/>
    <m/>
    <m/>
    <m/>
    <m/>
    <m/>
    <m/>
    <m/>
    <m/>
    <m/>
    <m/>
    <m/>
    <m/>
    <e v="#N/A"/>
  </r>
  <r>
    <n v="333336"/>
    <x v="164"/>
    <n v="180561.54871439992"/>
    <n v="0"/>
    <n v="28889.847794304002"/>
    <n v="209451.39"/>
    <n v="0"/>
    <m/>
    <m/>
    <m/>
    <n v="0"/>
    <n v="180561.54871439992"/>
    <n v="0"/>
    <n v="28889.847794304002"/>
    <n v="209451.39650870391"/>
    <m/>
    <m/>
    <m/>
    <n v="0"/>
    <n v="19821.11"/>
    <s v="NO ES TOP"/>
    <n v="180561.54871439992"/>
    <n v="209451.39650870391"/>
    <n v="-6.5087038965430111E-3"/>
    <m/>
    <s v="Aplicar"/>
    <n v="4"/>
    <n v="0"/>
    <n v="0"/>
    <x v="1"/>
    <x v="4"/>
    <s v="Francisco"/>
    <m/>
    <m/>
    <m/>
    <m/>
    <m/>
    <m/>
    <m/>
    <m/>
    <m/>
    <m/>
    <m/>
    <m/>
    <m/>
    <m/>
    <e v="#N/A"/>
  </r>
  <r>
    <n v="3860"/>
    <x v="165"/>
    <n v="208872.33999999997"/>
    <n v="0"/>
    <n v="0"/>
    <n v="208872.33999999997"/>
    <n v="208872.34"/>
    <m/>
    <m/>
    <m/>
    <n v="0"/>
    <n v="208872.33999999997"/>
    <n v="0"/>
    <n v="0"/>
    <n v="208872.33999999997"/>
    <m/>
    <m/>
    <m/>
    <n v="0"/>
    <n v="173909.9"/>
    <s v="NO ES TOP"/>
    <n v="208872.33999999997"/>
    <n v="208872.33999999997"/>
    <n v="0"/>
    <m/>
    <s v="Aplicado"/>
    <n v="4"/>
    <n v="0"/>
    <n v="0"/>
    <x v="1"/>
    <x v="4"/>
    <s v="Erika"/>
    <m/>
    <m/>
    <m/>
    <m/>
    <m/>
    <m/>
    <m/>
    <m/>
    <m/>
    <m/>
    <m/>
    <m/>
    <m/>
    <m/>
    <s v="ventas2@miym.com.mx"/>
  </r>
  <r>
    <n v="55004"/>
    <x v="55"/>
    <n v="177280.01"/>
    <n v="0"/>
    <n v="28364.801900000002"/>
    <n v="205644.79"/>
    <n v="205644.79"/>
    <m/>
    <m/>
    <m/>
    <n v="0"/>
    <n v="177280.01"/>
    <n v="0"/>
    <n v="28364.801900000002"/>
    <n v="205644.8119"/>
    <m/>
    <m/>
    <m/>
    <n v="0"/>
    <m/>
    <s v="NO ES TOP"/>
    <n v="177280.01"/>
    <n v="205644.8119"/>
    <n v="-2.1899999992456287E-2"/>
    <m/>
    <s v="Aplicado"/>
    <n v="4"/>
    <n v="0"/>
    <n v="0"/>
    <x v="1"/>
    <x v="4"/>
    <s v="Samuel"/>
    <m/>
    <m/>
    <m/>
    <m/>
    <m/>
    <m/>
    <m/>
    <m/>
    <m/>
    <m/>
    <m/>
    <m/>
    <m/>
    <m/>
    <s v="CARLOTA.AGUIRRE@GIS.COM.MX"/>
  </r>
  <r>
    <n v="348557"/>
    <x v="166"/>
    <n v="174627.69"/>
    <n v="0"/>
    <n v="27940.430399999997"/>
    <n v="202568.11"/>
    <n v="202568.11"/>
    <m/>
    <m/>
    <m/>
    <n v="0"/>
    <n v="174627.69"/>
    <n v="0"/>
    <n v="27940.430399999997"/>
    <n v="202568.12040000001"/>
    <m/>
    <m/>
    <m/>
    <n v="0"/>
    <m/>
    <s v="NO ES TOP"/>
    <n v="174627.69"/>
    <n v="202568.12040000001"/>
    <n v="-1.0400000028312206E-2"/>
    <m/>
    <s v="Aplicar"/>
    <n v="4"/>
    <n v="2"/>
    <s v="2 contactos, pendiente validar margen "/>
    <x v="0"/>
    <x v="2"/>
    <s v="Erika"/>
    <n v="202568.11"/>
    <s v="DETALLE DE LOS CARGOS EN EL PORTAL"/>
    <m/>
    <m/>
    <d v="2026-01-26T00:00:00"/>
    <d v="2026-01-26T00:00:00"/>
    <m/>
    <m/>
    <s v="Proveedor solicito detalle y se le hizo llegar"/>
    <m/>
    <s v="X"/>
    <m/>
    <m/>
    <m/>
    <s v="MONTSERRAT.IZQUIERDO@AGUAVIENTO.COM"/>
  </r>
  <r>
    <n v="52670"/>
    <x v="167"/>
    <n v="173040.32"/>
    <n v="0"/>
    <n v="27686.451199999996"/>
    <n v="200726.8"/>
    <n v="0"/>
    <m/>
    <m/>
    <m/>
    <n v="0"/>
    <n v="173040.32"/>
    <n v="0"/>
    <n v="27686.451199999996"/>
    <n v="200726.77120000002"/>
    <n v="0"/>
    <m/>
    <m/>
    <n v="0"/>
    <n v="1116402.48"/>
    <s v="NO ES TOP"/>
    <n v="173040.32"/>
    <n v="200726.77120000002"/>
    <n v="2.8799999970942736E-2"/>
    <m/>
    <s v="Revisión"/>
    <n v="4"/>
    <n v="2"/>
    <s v="2 contactos, proveedor comparte carta en donde menciona que no debe penalizarse el NS para la cat de higiene "/>
    <x v="0"/>
    <x v="0"/>
    <s v="Sareé"/>
    <m/>
    <m/>
    <m/>
    <m/>
    <m/>
    <d v="2026-10-28T00:00:00"/>
    <d v="2026-10-28T00:00:00"/>
    <d v="2026-10-28T00:00:00"/>
    <s v="Proveedor comparte contrato actualizado donde no aplica nivel de servicio"/>
    <m/>
    <m/>
    <m/>
    <m/>
    <m/>
    <s v="MARGARITAGUADALUPE.GONZALEZ@RECKITT.COM"/>
  </r>
  <r>
    <n v="17183"/>
    <x v="168"/>
    <n v="168591.59999999998"/>
    <n v="0"/>
    <n v="26974.655999999995"/>
    <n v="195566.30000000002"/>
    <n v="0"/>
    <m/>
    <m/>
    <m/>
    <n v="0"/>
    <n v="168591.59999999998"/>
    <n v="0"/>
    <n v="26974.655999999995"/>
    <n v="195566.25599999996"/>
    <m/>
    <m/>
    <m/>
    <n v="0"/>
    <n v="1133495.3999999999"/>
    <s v="NO ES TOP"/>
    <n v="168591.59999999998"/>
    <n v="195566.25599999996"/>
    <n v="4.4000000052619725E-2"/>
    <m/>
    <s v="Aplicar"/>
    <n v="4"/>
    <n v="0"/>
    <s v="Sin contacto de proveedor"/>
    <x v="1"/>
    <x v="4"/>
    <s v="Mario"/>
    <m/>
    <m/>
    <m/>
    <m/>
    <m/>
    <m/>
    <m/>
    <m/>
    <m/>
    <m/>
    <m/>
    <m/>
    <m/>
    <m/>
    <e v="#N/A"/>
  </r>
  <r>
    <n v="9263"/>
    <x v="169"/>
    <n v="168036.17999999996"/>
    <n v="0"/>
    <n v="26885.798399999996"/>
    <n v="194921.95999999996"/>
    <n v="194921.97"/>
    <m/>
    <m/>
    <m/>
    <n v="0"/>
    <n v="168036.17999999996"/>
    <n v="0"/>
    <n v="26885.798399999996"/>
    <n v="194921.97839999996"/>
    <m/>
    <m/>
    <m/>
    <n v="0"/>
    <n v="131529.59"/>
    <s v="NO ES TOP"/>
    <n v="168036.17999999996"/>
    <n v="194921.97839999996"/>
    <n v="-1.840000000083819E-2"/>
    <m/>
    <s v="Aplicar"/>
    <n v="4"/>
    <n v="0"/>
    <s v="Sin acercamiento por parte de proveedor"/>
    <x v="1"/>
    <x v="4"/>
    <s v="Samuel"/>
    <m/>
    <m/>
    <m/>
    <m/>
    <m/>
    <m/>
    <m/>
    <m/>
    <m/>
    <m/>
    <m/>
    <m/>
    <m/>
    <m/>
    <e v="#N/A"/>
  </r>
  <r>
    <n v="885"/>
    <x v="170"/>
    <n v="162633.99999999997"/>
    <n v="0"/>
    <n v="26021.455600000001"/>
    <n v="188655.53000000003"/>
    <n v="188655.45"/>
    <m/>
    <m/>
    <m/>
    <n v="0"/>
    <n v="162633.99999999997"/>
    <n v="0"/>
    <n v="26021.455600000001"/>
    <n v="188655.45559999999"/>
    <m/>
    <m/>
    <m/>
    <n v="0"/>
    <n v="1096864.3400000001"/>
    <s v="NO ES TOP"/>
    <n v="162633.99999999997"/>
    <n v="188655.45559999999"/>
    <n v="7.4400000041350722E-2"/>
    <m/>
    <s v="Aplicar"/>
    <n v="4"/>
    <n v="0"/>
    <s v="Sin contacto de proveedor"/>
    <x v="1"/>
    <x v="4"/>
    <s v="Luis"/>
    <m/>
    <m/>
    <m/>
    <m/>
    <m/>
    <m/>
    <m/>
    <m/>
    <m/>
    <m/>
    <m/>
    <m/>
    <m/>
    <m/>
    <e v="#N/A"/>
  </r>
  <r>
    <n v="206417"/>
    <x v="171"/>
    <n v="186580.51933283647"/>
    <n v="0"/>
    <n v="0"/>
    <n v="186580.53999999998"/>
    <n v="186580.54"/>
    <m/>
    <m/>
    <m/>
    <n v="0"/>
    <n v="186580.51933283647"/>
    <n v="0"/>
    <n v="0"/>
    <n v="186580.51933283647"/>
    <m/>
    <m/>
    <m/>
    <n v="0"/>
    <n v="416401.78"/>
    <s v="NO ES TOP"/>
    <n v="186580.51933283647"/>
    <n v="186580.51933283647"/>
    <n v="2.0667163509642705E-2"/>
    <m/>
    <s v="Aplicado"/>
    <n v="4"/>
    <n v="0"/>
    <n v="0"/>
    <x v="1"/>
    <x v="4"/>
    <s v="Olfi"/>
    <m/>
    <m/>
    <m/>
    <m/>
    <m/>
    <m/>
    <m/>
    <m/>
    <m/>
    <m/>
    <m/>
    <m/>
    <m/>
    <m/>
    <s v="eduardo.pena@lechesanmarcos.com.mx"/>
  </r>
  <r>
    <n v="9506"/>
    <x v="172"/>
    <n v="186479.81999999998"/>
    <n v="0"/>
    <n v="0"/>
    <n v="186479.81999999998"/>
    <n v="186479.82"/>
    <m/>
    <m/>
    <m/>
    <n v="0"/>
    <n v="186479.81999999998"/>
    <n v="0"/>
    <n v="0"/>
    <n v="186479.81999999998"/>
    <m/>
    <m/>
    <m/>
    <n v="0"/>
    <m/>
    <s v="NO ES TOP"/>
    <n v="186479.81999999998"/>
    <n v="186479.81999999998"/>
    <n v="0"/>
    <m/>
    <s v="Aplicado"/>
    <n v="4"/>
    <n v="0"/>
    <n v="0"/>
    <x v="1"/>
    <x v="4"/>
    <s v="Olfi"/>
    <m/>
    <m/>
    <m/>
    <m/>
    <m/>
    <m/>
    <m/>
    <m/>
    <m/>
    <m/>
    <m/>
    <m/>
    <m/>
    <m/>
    <s v="federico.rodriguez@cremeria-americana.com.mx"/>
  </r>
  <r>
    <n v="388801"/>
    <x v="173"/>
    <n v="156694.99968393499"/>
    <n v="0"/>
    <n v="25071.1999494296"/>
    <n v="181766.26"/>
    <n v="572"/>
    <m/>
    <m/>
    <m/>
    <n v="0"/>
    <n v="156694.99968393499"/>
    <n v="0"/>
    <n v="25071.1999494296"/>
    <n v="181766.19963336459"/>
    <m/>
    <m/>
    <m/>
    <n v="0"/>
    <n v="244464.55"/>
    <s v="NO ES TOP"/>
    <n v="156694.99968393499"/>
    <n v="181766.19963336459"/>
    <n v="6.0366635414538905E-2"/>
    <m/>
    <s v="Aplicar"/>
    <n v="4"/>
    <n v="0"/>
    <n v="0"/>
    <x v="1"/>
    <x v="4"/>
    <s v="Belem"/>
    <m/>
    <m/>
    <m/>
    <m/>
    <m/>
    <m/>
    <m/>
    <m/>
    <m/>
    <m/>
    <m/>
    <m/>
    <m/>
    <m/>
    <e v="#N/A"/>
  </r>
  <r>
    <n v="21844"/>
    <x v="174"/>
    <n v="180095.14889697559"/>
    <n v="0"/>
    <n v="0"/>
    <n v="180095.16510000001"/>
    <n v="12497.69"/>
    <m/>
    <m/>
    <m/>
    <n v="0"/>
    <n v="180095.14889697559"/>
    <n v="0"/>
    <n v="0"/>
    <n v="180095.14889697559"/>
    <m/>
    <m/>
    <m/>
    <n v="0"/>
    <m/>
    <s v="NO ES TOP"/>
    <n v="180095.14889697559"/>
    <n v="180095.14889697559"/>
    <n v="1.6203024424612522E-2"/>
    <m/>
    <s v="Aplicar"/>
    <n v="4"/>
    <n v="0"/>
    <s v="Sin acercamiento por parte de proveedor"/>
    <x v="1"/>
    <x v="4"/>
    <s v="Sareé"/>
    <m/>
    <m/>
    <m/>
    <m/>
    <m/>
    <m/>
    <m/>
    <m/>
    <m/>
    <m/>
    <m/>
    <m/>
    <m/>
    <m/>
    <s v="amancilla@campofresco.com.mx"/>
  </r>
  <r>
    <n v="392183"/>
    <x v="175"/>
    <n v="152311.541980104"/>
    <n v="0"/>
    <n v="24369.854116816638"/>
    <n v="176681.39"/>
    <n v="176681.39"/>
    <m/>
    <m/>
    <m/>
    <n v="0"/>
    <n v="152311.541980104"/>
    <n v="0"/>
    <n v="24369.854116816638"/>
    <n v="176681.39609692062"/>
    <m/>
    <m/>
    <m/>
    <n v="0"/>
    <n v="25384.6"/>
    <s v="NO ES TOP"/>
    <n v="152311.541980104"/>
    <n v="176681.39609692062"/>
    <n v="-6.0969206097070128E-3"/>
    <m/>
    <s v="Aplicado"/>
    <n v="4"/>
    <n v="0"/>
    <s v="Sin contacto de proveedor"/>
    <x v="1"/>
    <x v="4"/>
    <s v="Mario"/>
    <m/>
    <m/>
    <m/>
    <m/>
    <m/>
    <m/>
    <m/>
    <m/>
    <m/>
    <m/>
    <m/>
    <m/>
    <m/>
    <m/>
    <e v="#N/A"/>
  </r>
  <r>
    <n v="55814"/>
    <x v="176"/>
    <n v="171441.06"/>
    <n v="2482.5024000000003"/>
    <n v="0"/>
    <n v="173923.56"/>
    <n v="173923.56"/>
    <m/>
    <m/>
    <m/>
    <n v="0"/>
    <n v="171441.06"/>
    <n v="2482.5024000000003"/>
    <n v="0"/>
    <n v="173923.5624"/>
    <m/>
    <m/>
    <m/>
    <n v="0"/>
    <m/>
    <s v="NO ES TOP"/>
    <n v="171441.06"/>
    <n v="173923.5624"/>
    <n v="-2.3999999975785613E-3"/>
    <m/>
    <s v="Aplicado"/>
    <n v="4"/>
    <n v="0"/>
    <n v="0"/>
    <x v="1"/>
    <x v="4"/>
    <s v="Yessica"/>
    <m/>
    <m/>
    <m/>
    <m/>
    <m/>
    <m/>
    <m/>
    <m/>
    <m/>
    <m/>
    <m/>
    <m/>
    <m/>
    <m/>
    <s v="lmeza@rich.com"/>
  </r>
  <r>
    <n v="82875"/>
    <x v="177"/>
    <n v="162255.21959211802"/>
    <n v="0"/>
    <n v="0"/>
    <n v="162255.21650000001"/>
    <n v="105847.2"/>
    <m/>
    <m/>
    <m/>
    <n v="0"/>
    <n v="162255.21959211802"/>
    <n v="0"/>
    <n v="0"/>
    <n v="162255.21959211802"/>
    <m/>
    <m/>
    <m/>
    <n v="0"/>
    <n v="1110110.6399999999"/>
    <s v="NO ES TOP"/>
    <n v="162255.21959211802"/>
    <n v="162255.21959211802"/>
    <n v="-3.0921180150471628E-3"/>
    <m/>
    <s v="Aplicar"/>
    <n v="4"/>
    <n v="0"/>
    <n v="0"/>
    <x v="1"/>
    <x v="4"/>
    <s v="Yessica"/>
    <m/>
    <m/>
    <m/>
    <m/>
    <m/>
    <m/>
    <m/>
    <m/>
    <m/>
    <m/>
    <m/>
    <m/>
    <m/>
    <m/>
    <e v="#N/A"/>
  </r>
  <r>
    <n v="16433"/>
    <x v="178"/>
    <n v="137443.82999999999"/>
    <n v="0"/>
    <n v="21991.029800000004"/>
    <n v="159434.88"/>
    <n v="159434.51999999999"/>
    <m/>
    <m/>
    <m/>
    <n v="0"/>
    <n v="137443.82999999999"/>
    <n v="0"/>
    <n v="21991.029800000004"/>
    <n v="159434.85979999998"/>
    <m/>
    <m/>
    <m/>
    <n v="0"/>
    <n v="375750.38"/>
    <s v="NO ES TOP"/>
    <n v="137443.82999999999"/>
    <n v="159434.85979999998"/>
    <n v="2.0200000028125942E-2"/>
    <m/>
    <s v="Aplicar"/>
    <n v="4"/>
    <n v="0"/>
    <s v="Sin acercamiento por parte del proveedor"/>
    <x v="1"/>
    <x v="4"/>
    <s v="Erika"/>
    <m/>
    <m/>
    <m/>
    <m/>
    <m/>
    <m/>
    <m/>
    <m/>
    <m/>
    <m/>
    <m/>
    <m/>
    <m/>
    <m/>
    <e v="#N/A"/>
  </r>
  <r>
    <n v="8939"/>
    <x v="179"/>
    <n v="155960.33757873203"/>
    <n v="0"/>
    <n v="0"/>
    <n v="155960.34000000003"/>
    <n v="130896.48"/>
    <m/>
    <m/>
    <m/>
    <n v="0"/>
    <n v="130896.48"/>
    <n v="0"/>
    <n v="0"/>
    <n v="130896.48"/>
    <n v="25063.85757873203"/>
    <n v="0"/>
    <n v="0"/>
    <n v="25063.85757873203"/>
    <n v="25063.86"/>
    <s v="NO ES TOP"/>
    <n v="155960.33757873203"/>
    <n v="155960.33757873203"/>
    <n v="2.4212680000346154E-3"/>
    <m/>
    <s v="Revisión"/>
    <n v="4"/>
    <n v="7"/>
    <s v="17-feb-26 - El proveedor envió su última respuesta indicando que los soportes enviados proceden. Sin embargo, mencionan que aún no cuentan con una confirmación por parte del área Comercial, por lo que el caso permanece en validación interna. Proveedor corresponde a la familia de Soriana."/>
    <x v="0"/>
    <x v="2"/>
    <s v="Samuel"/>
    <n v="155960.34000000003"/>
    <s v="DETALLE DE LOS CARGOS EN EL PORTAL"/>
    <n v="1"/>
    <m/>
    <d v="2026-01-19T00:00:00"/>
    <d v="2026-01-19T00:00:00"/>
    <m/>
    <m/>
    <s v="Se atiende a proveedor con los soportes, donde solo se procede a la cancelacion del importe de 25,063.86, quedando en espera de los soportes (Confirmacion Area Comercia) del resto del importe 130,896.48."/>
    <m/>
    <s v="X"/>
    <m/>
    <m/>
    <s v="La improcedencia del monto se esta evaluando debido a que las confirmaciones se realizaban por via telefonica "/>
    <s v="garratia@productosdass.com"/>
  </r>
  <r>
    <n v="53306"/>
    <x v="180"/>
    <n v="153239.51095569599"/>
    <n v="0"/>
    <n v="0"/>
    <n v="153239.50999999998"/>
    <n v="153239.51"/>
    <m/>
    <m/>
    <m/>
    <n v="0"/>
    <n v="153239.51095569599"/>
    <n v="0"/>
    <n v="0"/>
    <n v="153239.51095569599"/>
    <m/>
    <m/>
    <m/>
    <n v="0"/>
    <m/>
    <s v="NO ES TOP"/>
    <n v="153239.51095569599"/>
    <n v="153239.51095569599"/>
    <n v="-9.5569601398892701E-4"/>
    <m/>
    <s v="Aplicado"/>
    <n v="4"/>
    <n v="0"/>
    <n v="0"/>
    <x v="1"/>
    <x v="4"/>
    <s v="Sareé"/>
    <m/>
    <m/>
    <m/>
    <m/>
    <m/>
    <m/>
    <m/>
    <m/>
    <m/>
    <m/>
    <m/>
    <m/>
    <m/>
    <m/>
    <s v="g.angeles@lastur.com.mx"/>
  </r>
  <r>
    <n v="97741"/>
    <x v="181"/>
    <n v="150218.13190374503"/>
    <n v="0"/>
    <n v="0"/>
    <n v="150218.13000000003"/>
    <n v="150218.12"/>
    <m/>
    <m/>
    <m/>
    <n v="0"/>
    <n v="150218.13190374503"/>
    <n v="0"/>
    <n v="0"/>
    <n v="150218.13190374503"/>
    <m/>
    <m/>
    <m/>
    <n v="0"/>
    <n v="617142.30000000005"/>
    <s v="NO ES TOP"/>
    <n v="150218.13190374503"/>
    <n v="150218.13190374503"/>
    <n v="-1.9037449965253472E-3"/>
    <m/>
    <s v="Aplicar"/>
    <n v="4"/>
    <n v="0"/>
    <s v="Sin contacto de proveedor"/>
    <x v="1"/>
    <x v="4"/>
    <s v="Mario"/>
    <m/>
    <m/>
    <m/>
    <m/>
    <m/>
    <m/>
    <m/>
    <m/>
    <m/>
    <m/>
    <m/>
    <m/>
    <m/>
    <m/>
    <e v="#N/A"/>
  </r>
  <r>
    <n v="392092"/>
    <x v="182"/>
    <n v="149810.21000000002"/>
    <n v="0"/>
    <n v="0"/>
    <n v="149810.21000000002"/>
    <n v="149810.21"/>
    <m/>
    <m/>
    <m/>
    <n v="0"/>
    <n v="149810.21000000002"/>
    <n v="0"/>
    <n v="0"/>
    <n v="149810.21000000002"/>
    <m/>
    <m/>
    <m/>
    <n v="0"/>
    <n v="1003100.45"/>
    <s v="NO ES TOP"/>
    <n v="149810.21000000002"/>
    <n v="149810.21000000002"/>
    <n v="0"/>
    <m/>
    <s v="Aplicado"/>
    <n v="4"/>
    <n v="0"/>
    <n v="0"/>
    <x v="1"/>
    <x v="4"/>
    <s v="Jessica"/>
    <m/>
    <m/>
    <m/>
    <m/>
    <m/>
    <m/>
    <m/>
    <m/>
    <m/>
    <m/>
    <m/>
    <m/>
    <m/>
    <m/>
    <e v="#N/A"/>
  </r>
  <r>
    <n v="8859"/>
    <x v="183"/>
    <n v="128845.09000000001"/>
    <n v="0"/>
    <n v="20615.214399999997"/>
    <n v="149460.27000000002"/>
    <n v="79158.649999999994"/>
    <m/>
    <m/>
    <m/>
    <n v="0"/>
    <n v="128845.09000000001"/>
    <n v="0"/>
    <n v="20615.214399999997"/>
    <n v="149460.30440000002"/>
    <m/>
    <m/>
    <m/>
    <n v="0"/>
    <n v="198331.54"/>
    <s v="NO ES TOP"/>
    <n v="128845.09000000001"/>
    <n v="149460.30440000002"/>
    <n v="-3.4400000004097819E-2"/>
    <m/>
    <s v="Aplicar"/>
    <n v="4"/>
    <n v="0"/>
    <s v="Sin acercamiento por parte de proveedor"/>
    <x v="1"/>
    <x v="4"/>
    <s v="Samuel"/>
    <m/>
    <m/>
    <m/>
    <m/>
    <m/>
    <m/>
    <m/>
    <m/>
    <m/>
    <m/>
    <m/>
    <m/>
    <m/>
    <m/>
    <e v="#N/A"/>
  </r>
  <r>
    <n v="96610"/>
    <x v="184"/>
    <n v="144960.196116915"/>
    <n v="0"/>
    <n v="3678.7744000000002"/>
    <n v="148638.96"/>
    <n v="148638.96"/>
    <m/>
    <m/>
    <m/>
    <n v="0"/>
    <n v="144960.196116915"/>
    <n v="0"/>
    <n v="3678.7744000000002"/>
    <n v="148638.970516915"/>
    <m/>
    <m/>
    <m/>
    <n v="0"/>
    <n v="934232.13"/>
    <s v="NO ES TOP"/>
    <n v="144960.196116915"/>
    <n v="148638.970516915"/>
    <n v="-1.0516915004700422E-2"/>
    <m/>
    <s v="Aplicado"/>
    <n v="4"/>
    <n v="0"/>
    <n v="0"/>
    <x v="1"/>
    <x v="4"/>
    <s v="Sareé"/>
    <m/>
    <m/>
    <m/>
    <m/>
    <m/>
    <m/>
    <m/>
    <m/>
    <m/>
    <m/>
    <m/>
    <m/>
    <m/>
    <m/>
    <e v="#N/A"/>
  </r>
  <r>
    <n v="210369"/>
    <x v="185"/>
    <n v="147408.97"/>
    <n v="0"/>
    <n v="0"/>
    <n v="147408.97"/>
    <n v="41112"/>
    <n v="41111.97"/>
    <m/>
    <m/>
    <n v="41111.97"/>
    <m/>
    <n v="0"/>
    <n v="0"/>
    <n v="0"/>
    <n v="106297"/>
    <m/>
    <m/>
    <n v="106297"/>
    <n v="340224.41"/>
    <s v="NO ES TOP"/>
    <n v="147408.97"/>
    <n v="147408.97"/>
    <n v="0"/>
    <m/>
    <s v="Cerrado/Aplicar"/>
    <n v="4"/>
    <n v="0"/>
    <n v="0"/>
    <x v="0"/>
    <x v="3"/>
    <s v="Erika"/>
    <m/>
    <m/>
    <m/>
    <m/>
    <d v="2026-01-29T00:00:00"/>
    <d v="2026-01-29T00:00:00"/>
    <d v="2026-01-29T00:00:00"/>
    <m/>
    <s v="Proveedor manda evidencia de pedidos no procedentes debido a productos reportados como descatalogados."/>
    <s v="Casos abiertos( En proceso)"/>
    <m/>
    <s v="X"/>
    <m/>
    <s v="Raul Castillo recibio correo en cuenta soriana"/>
    <e v="#N/A"/>
  </r>
  <r>
    <n v="11619"/>
    <x v="186"/>
    <n v="99462.845571719517"/>
    <n v="26357.667126505668"/>
    <n v="20131.281979716026"/>
    <n v="145951.79999999999"/>
    <n v="145951.79999999999"/>
    <m/>
    <m/>
    <m/>
    <n v="0"/>
    <n v="99462.845571719517"/>
    <n v="26357.667126505668"/>
    <n v="20131.281979716026"/>
    <n v="145951.79467794122"/>
    <m/>
    <m/>
    <m/>
    <n v="0"/>
    <n v="743381.88"/>
    <s v="NO ES TOP"/>
    <n v="99462.845571719517"/>
    <n v="145951.79467794122"/>
    <n v="5.3220587724354118E-3"/>
    <m/>
    <s v="Aplicado"/>
    <n v="4"/>
    <n v="0"/>
    <n v="0"/>
    <x v="1"/>
    <x v="4"/>
    <s v="Andrea"/>
    <m/>
    <m/>
    <m/>
    <m/>
    <m/>
    <m/>
    <m/>
    <m/>
    <m/>
    <m/>
    <m/>
    <m/>
    <m/>
    <m/>
    <e v="#N/A"/>
  </r>
  <r>
    <n v="5614"/>
    <x v="187"/>
    <n v="123518.3"/>
    <n v="0"/>
    <n v="19762.928"/>
    <n v="143281.24"/>
    <n v="143281.24"/>
    <m/>
    <m/>
    <m/>
    <n v="0"/>
    <n v="123518.3"/>
    <n v="0"/>
    <n v="19762.928"/>
    <n v="143281.228"/>
    <m/>
    <m/>
    <m/>
    <n v="0"/>
    <n v="258237.28"/>
    <s v="NO ES TOP"/>
    <n v="123518.3"/>
    <n v="143281.228"/>
    <n v="1.1999999987892807E-2"/>
    <m/>
    <s v="Aplicar"/>
    <n v="4"/>
    <n v="0"/>
    <s v="Sin contacto de proveedor"/>
    <x v="1"/>
    <x v="4"/>
    <s v="Mario"/>
    <m/>
    <m/>
    <m/>
    <m/>
    <m/>
    <m/>
    <m/>
    <m/>
    <m/>
    <m/>
    <m/>
    <m/>
    <m/>
    <m/>
    <e v="#N/A"/>
  </r>
  <r>
    <n v="21356"/>
    <x v="53"/>
    <n v="141485.33000000002"/>
    <n v="0"/>
    <n v="0"/>
    <n v="141485.33000000002"/>
    <n v="141485.32999999999"/>
    <m/>
    <m/>
    <m/>
    <n v="0"/>
    <n v="141485.33000000002"/>
    <n v="0"/>
    <n v="0"/>
    <n v="141485.33000000002"/>
    <m/>
    <m/>
    <m/>
    <n v="0"/>
    <n v="956210.21"/>
    <s v="NO ES TOP"/>
    <n v="141485.33000000002"/>
    <n v="141485.33000000002"/>
    <n v="0"/>
    <m/>
    <s v="Aplicar"/>
    <n v="4"/>
    <n v="0"/>
    <n v="0"/>
    <x v="1"/>
    <x v="4"/>
    <s v="Belem"/>
    <m/>
    <m/>
    <m/>
    <m/>
    <m/>
    <m/>
    <m/>
    <m/>
    <m/>
    <m/>
    <m/>
    <m/>
    <m/>
    <m/>
    <s v="MAYTEVARGAS051099@HOTMAIL.COM"/>
  </r>
  <r>
    <n v="23597"/>
    <x v="188"/>
    <n v="120674.90648057978"/>
    <n v="0"/>
    <n v="19307.985036892765"/>
    <n v="139982.88999999998"/>
    <n v="139982.89000000001"/>
    <m/>
    <m/>
    <m/>
    <n v="0"/>
    <n v="120674.90648057978"/>
    <n v="0"/>
    <n v="19307.985036892765"/>
    <n v="139982.89151747254"/>
    <m/>
    <m/>
    <m/>
    <n v="0"/>
    <m/>
    <s v="NO ES TOP"/>
    <n v="120674.90648057978"/>
    <n v="139982.89151747254"/>
    <n v="-1.517472555860877E-3"/>
    <m/>
    <s v="Aplicar"/>
    <n v="4"/>
    <n v="4"/>
    <s v="18-02-2026, Sin respuesta al dia hoy, se le solicito los soportes de cancelacion (4 correos de Seguimiento)"/>
    <x v="0"/>
    <x v="2"/>
    <s v="Yessica"/>
    <m/>
    <m/>
    <m/>
    <m/>
    <d v="2026-01-22T00:00:00"/>
    <d v="2026-01-23T00:00:00"/>
    <m/>
    <d v="2026-01-22T00:00:00"/>
    <s v="Reunion Presencial. Proveedor quedó en compartir nuevo acuerdo comercial donde no esta pactada la clausula de NS"/>
    <m/>
    <m/>
    <s v="X"/>
    <m/>
    <s v="Se llevó a cabo una reunión presencial con el proveedor el 22 de enero. Durante la sesión, el proveedor informó que validará la información internamente para posteriormente proporcionar sus comentarios y los soportes correspondientes, ya que, de acuerdo con su revisión preliminar, considera que la observación no procede."/>
    <s v="joaquin.velazquez@mabe.com.mx"/>
  </r>
  <r>
    <n v="321786"/>
    <x v="189"/>
    <n v="119250.732622896"/>
    <n v="0"/>
    <n v="19080.11791966336"/>
    <n v="138330.9"/>
    <n v="138330.85"/>
    <m/>
    <m/>
    <m/>
    <n v="0"/>
    <n v="119250.732622896"/>
    <n v="0"/>
    <n v="19080.11791966336"/>
    <n v="138330.85054255935"/>
    <m/>
    <m/>
    <m/>
    <n v="0"/>
    <n v="159187.14000000001"/>
    <s v="NO ES TOP"/>
    <n v="119250.732622896"/>
    <n v="138330.85054255935"/>
    <n v="4.9457440647529438E-2"/>
    <m/>
    <s v="Aplicar"/>
    <n v="4"/>
    <n v="0"/>
    <s v="Sin acercamiento por parte del proveedor"/>
    <x v="1"/>
    <x v="4"/>
    <s v="Erika"/>
    <m/>
    <m/>
    <m/>
    <m/>
    <m/>
    <m/>
    <m/>
    <m/>
    <m/>
    <m/>
    <m/>
    <m/>
    <m/>
    <m/>
    <e v="#N/A"/>
  </r>
  <r>
    <n v="321729"/>
    <x v="190"/>
    <n v="119022.20733068819"/>
    <n v="0"/>
    <n v="19043.553172910099"/>
    <n v="138065.76"/>
    <n v="138065.76"/>
    <m/>
    <m/>
    <m/>
    <n v="0"/>
    <n v="119022.20733068819"/>
    <n v="0"/>
    <n v="19043.553172910099"/>
    <n v="138065.76050359829"/>
    <m/>
    <m/>
    <m/>
    <n v="0"/>
    <m/>
    <s v="NO ES TOP"/>
    <n v="119022.20733068819"/>
    <n v="138065.76050359829"/>
    <n v="-5.0359827582724392E-4"/>
    <m/>
    <s v="Aplicado"/>
    <n v="4"/>
    <n v="0"/>
    <n v="0"/>
    <x v="1"/>
    <x v="4"/>
    <s v="Francisco"/>
    <m/>
    <m/>
    <m/>
    <m/>
    <m/>
    <m/>
    <m/>
    <m/>
    <m/>
    <m/>
    <m/>
    <m/>
    <m/>
    <m/>
    <e v="#N/A"/>
  </r>
  <r>
    <n v="21889"/>
    <x v="191"/>
    <n v="137171.98441723801"/>
    <n v="0"/>
    <n v="0"/>
    <n v="137171.99"/>
    <n v="137171.99"/>
    <m/>
    <m/>
    <m/>
    <n v="0"/>
    <n v="137171.98441723801"/>
    <n v="0"/>
    <n v="0"/>
    <n v="137171.98441723801"/>
    <m/>
    <m/>
    <m/>
    <n v="0"/>
    <n v="321670.25"/>
    <s v="NO ES TOP"/>
    <n v="137171.98441723801"/>
    <n v="137171.98441723801"/>
    <n v="5.5827619798947126E-3"/>
    <m/>
    <s v="Aplicar"/>
    <n v="4"/>
    <n v="0"/>
    <n v="0"/>
    <x v="1"/>
    <x v="4"/>
    <s v="Francisco"/>
    <m/>
    <m/>
    <m/>
    <m/>
    <m/>
    <m/>
    <m/>
    <m/>
    <m/>
    <m/>
    <m/>
    <m/>
    <m/>
    <m/>
    <e v="#N/A"/>
  </r>
  <r>
    <n v="22065"/>
    <x v="192"/>
    <n v="117177"/>
    <n v="0"/>
    <n v="18748.32"/>
    <n v="135925.34999999998"/>
    <n v="88634.76"/>
    <m/>
    <m/>
    <m/>
    <n v="0"/>
    <n v="117177"/>
    <n v="0"/>
    <n v="18748.32"/>
    <n v="135925.32"/>
    <m/>
    <m/>
    <m/>
    <n v="0"/>
    <n v="1346057.3"/>
    <s v="NO ES TOP"/>
    <n v="117177"/>
    <n v="135925.32"/>
    <n v="2.9999999969732016E-2"/>
    <m/>
    <s v="Aplicar"/>
    <n v="4"/>
    <n v="0"/>
    <s v="sin comentarios del proveedor"/>
    <x v="1"/>
    <x v="4"/>
    <s v="Marcela"/>
    <m/>
    <m/>
    <m/>
    <m/>
    <m/>
    <m/>
    <m/>
    <m/>
    <m/>
    <m/>
    <m/>
    <m/>
    <m/>
    <m/>
    <e v="#N/A"/>
  </r>
  <r>
    <n v="52035"/>
    <x v="193"/>
    <n v="117107.443120376"/>
    <n v="0"/>
    <n v="18737.19089926016"/>
    <n v="135844.63"/>
    <n v="0"/>
    <m/>
    <m/>
    <m/>
    <n v="0"/>
    <n v="117107.443120376"/>
    <n v="0"/>
    <n v="18737.19089926016"/>
    <n v="135844.63401963617"/>
    <m/>
    <m/>
    <m/>
    <n v="0"/>
    <n v="233224.6"/>
    <s v="NO ES TOP"/>
    <n v="117107.443120376"/>
    <n v="135844.63401963617"/>
    <n v="-4.0196361660491675E-3"/>
    <m/>
    <s v="Aplicar"/>
    <n v="4"/>
    <n v="1"/>
    <s v="Notificación de la Auditoria con la información, sin respuesta por parte del Proveedor."/>
    <x v="0"/>
    <x v="2"/>
    <s v="Perla"/>
    <n v="135844.63"/>
    <s v="DETALLE DE LOS CARGOS EN EL PORTAL"/>
    <m/>
    <m/>
    <d v="2026-01-19T00:00:00"/>
    <d v="2026-01-19T00:00:00"/>
    <m/>
    <m/>
    <m/>
    <m/>
    <s v="X"/>
    <m/>
    <m/>
    <m/>
    <s v="juanignacio@bonmoro.com"/>
  </r>
  <r>
    <n v="3773"/>
    <x v="194"/>
    <n v="135366.128537824"/>
    <n v="0"/>
    <n v="0"/>
    <n v="135366.13"/>
    <n v="135366.13"/>
    <m/>
    <m/>
    <m/>
    <n v="0"/>
    <n v="135366.128537824"/>
    <n v="0"/>
    <n v="0"/>
    <n v="135366.128537824"/>
    <m/>
    <m/>
    <m/>
    <n v="0"/>
    <n v="783936.82"/>
    <s v="NO ES TOP"/>
    <n v="135366.128537824"/>
    <n v="135366.128537824"/>
    <n v="1.4621760055888444E-3"/>
    <m/>
    <s v="Aplicado"/>
    <n v="4"/>
    <n v="0"/>
    <n v="0"/>
    <x v="1"/>
    <x v="4"/>
    <s v="Olfi"/>
    <m/>
    <m/>
    <m/>
    <m/>
    <m/>
    <m/>
    <m/>
    <m/>
    <m/>
    <m/>
    <m/>
    <m/>
    <m/>
    <m/>
    <s v="alex.ramirez@oleico.com"/>
  </r>
  <r>
    <n v="20016"/>
    <x v="195"/>
    <n v="110799.71999999999"/>
    <n v="0"/>
    <n v="17727.9552"/>
    <n v="128527.67"/>
    <n v="128527.67"/>
    <m/>
    <m/>
    <m/>
    <n v="0"/>
    <n v="110799.71999999999"/>
    <n v="0"/>
    <n v="17727.9552"/>
    <n v="128527.67519999998"/>
    <m/>
    <m/>
    <m/>
    <n v="0"/>
    <n v="1024392.6"/>
    <s v="NO ES TOP"/>
    <n v="110799.71999999999"/>
    <n v="128527.67519999998"/>
    <n v="-5.1999999850522727E-3"/>
    <m/>
    <s v="Aplicar"/>
    <n v="4"/>
    <n v="0"/>
    <n v="0"/>
    <x v="1"/>
    <x v="4"/>
    <s v="Francisco"/>
    <m/>
    <m/>
    <m/>
    <m/>
    <m/>
    <m/>
    <m/>
    <m/>
    <m/>
    <m/>
    <m/>
    <m/>
    <m/>
    <m/>
    <s v="lvillamil@fotorama.com.mx"/>
  </r>
  <r>
    <n v="191"/>
    <x v="196"/>
    <n v="117991.04704336701"/>
    <n v="9439.2837927453602"/>
    <n v="0"/>
    <n v="127430.3043"/>
    <n v="127430.3"/>
    <m/>
    <m/>
    <m/>
    <n v="0"/>
    <n v="117991.04704336701"/>
    <n v="9439.2837927453602"/>
    <n v="0"/>
    <n v="127430.33083611238"/>
    <m/>
    <m/>
    <m/>
    <n v="0"/>
    <n v="605042.23"/>
    <s v="NO ES TOP"/>
    <n v="117991.04704336701"/>
    <n v="127430.33083611238"/>
    <n v="-2.6536112374742515E-2"/>
    <m/>
    <s v="Aplicado"/>
    <n v="4"/>
    <n v="0"/>
    <n v="0"/>
    <x v="1"/>
    <x v="4"/>
    <s v="Andrea"/>
    <m/>
    <m/>
    <m/>
    <m/>
    <m/>
    <m/>
    <m/>
    <m/>
    <m/>
    <m/>
    <m/>
    <m/>
    <m/>
    <m/>
    <e v="#N/A"/>
  </r>
  <r>
    <n v="64345"/>
    <x v="197"/>
    <n v="107984.72000000002"/>
    <n v="0"/>
    <n v="17277.533599999999"/>
    <n v="125262.25"/>
    <n v="125262.25"/>
    <m/>
    <m/>
    <m/>
    <n v="0"/>
    <n v="107984.72000000002"/>
    <n v="0"/>
    <n v="17277.533599999999"/>
    <n v="125262.25360000001"/>
    <m/>
    <m/>
    <m/>
    <n v="0"/>
    <n v="202615.14"/>
    <s v="NO ES TOP"/>
    <n v="107984.72000000002"/>
    <n v="125262.25360000001"/>
    <n v="-3.6000000109197572E-3"/>
    <m/>
    <s v="Aplicado"/>
    <n v="4"/>
    <n v="0"/>
    <n v="0"/>
    <x v="1"/>
    <x v="4"/>
    <s v="Francisco"/>
    <m/>
    <m/>
    <m/>
    <m/>
    <m/>
    <m/>
    <m/>
    <m/>
    <m/>
    <m/>
    <m/>
    <m/>
    <m/>
    <m/>
    <e v="#N/A"/>
  </r>
  <r>
    <n v="89540"/>
    <x v="198"/>
    <n v="123613.79"/>
    <n v="0"/>
    <n v="0"/>
    <n v="123613.79"/>
    <n v="123613.79"/>
    <m/>
    <m/>
    <m/>
    <n v="0"/>
    <n v="123613.79"/>
    <n v="0"/>
    <n v="0"/>
    <n v="123613.79"/>
    <m/>
    <m/>
    <m/>
    <n v="0"/>
    <n v="164891.17000000001"/>
    <s v="NO ES TOP"/>
    <n v="123613.79"/>
    <n v="123613.79"/>
    <n v="0"/>
    <m/>
    <s v="Aplicar"/>
    <n v="4"/>
    <n v="0"/>
    <n v="0"/>
    <x v="1"/>
    <x v="4"/>
    <s v="Belem"/>
    <m/>
    <m/>
    <m/>
    <m/>
    <m/>
    <m/>
    <m/>
    <m/>
    <m/>
    <m/>
    <m/>
    <m/>
    <m/>
    <m/>
    <e v="#N/A"/>
  </r>
  <r>
    <n v="309468"/>
    <x v="199"/>
    <n v="103050.21"/>
    <n v="0"/>
    <n v="16488.018100000001"/>
    <n v="119538.18"/>
    <n v="119538.18"/>
    <m/>
    <m/>
    <m/>
    <n v="0"/>
    <n v="103050.21"/>
    <n v="0"/>
    <n v="16488.018100000001"/>
    <n v="119538.22810000001"/>
    <m/>
    <m/>
    <m/>
    <n v="0"/>
    <n v="251269.11"/>
    <s v="NO ES TOP"/>
    <n v="103050.21"/>
    <n v="119538.22810000001"/>
    <n v="-4.8100000014528632E-2"/>
    <m/>
    <s v="Aplicado"/>
    <n v="4"/>
    <n v="0"/>
    <s v="sin comentarios del proveedor"/>
    <x v="1"/>
    <x v="4"/>
    <s v="Marcela"/>
    <m/>
    <m/>
    <m/>
    <m/>
    <m/>
    <m/>
    <m/>
    <m/>
    <m/>
    <m/>
    <m/>
    <m/>
    <m/>
    <m/>
    <e v="#N/A"/>
  </r>
  <r>
    <n v="22053"/>
    <x v="200"/>
    <n v="117337.47"/>
    <n v="0"/>
    <n v="253.2704"/>
    <n v="117590.74000000002"/>
    <n v="117590.74"/>
    <m/>
    <m/>
    <m/>
    <n v="0"/>
    <n v="117337.47"/>
    <n v="0"/>
    <n v="253.2704"/>
    <n v="117590.7404"/>
    <m/>
    <m/>
    <m/>
    <n v="0"/>
    <n v="3322.53"/>
    <s v="NO ES TOP"/>
    <n v="117337.47"/>
    <n v="117590.7404"/>
    <n v="-3.9999997534323484E-4"/>
    <m/>
    <s v="Aplicar"/>
    <n v="4"/>
    <n v="0"/>
    <s v="sin comentarios del proveedor"/>
    <x v="1"/>
    <x v="4"/>
    <s v="Marcela"/>
    <m/>
    <m/>
    <m/>
    <m/>
    <m/>
    <m/>
    <m/>
    <m/>
    <m/>
    <m/>
    <m/>
    <m/>
    <m/>
    <m/>
    <e v="#N/A"/>
  </r>
  <r>
    <n v="303895"/>
    <x v="83"/>
    <n v="115380.78"/>
    <n v="0"/>
    <n v="0"/>
    <n v="115380.78"/>
    <n v="115380.78"/>
    <m/>
    <m/>
    <m/>
    <n v="0"/>
    <n v="115380.78"/>
    <n v="0"/>
    <n v="0"/>
    <n v="115380.78"/>
    <m/>
    <m/>
    <m/>
    <n v="0"/>
    <m/>
    <s v="NO ES TOP"/>
    <n v="115380.78"/>
    <n v="115380.78"/>
    <n v="0"/>
    <m/>
    <s v="Aplicado"/>
    <n v="4"/>
    <n v="0"/>
    <s v="Proveedor solo ha respondido por diferencias del 20-24"/>
    <x v="1"/>
    <x v="4"/>
    <s v="Mario"/>
    <m/>
    <m/>
    <m/>
    <m/>
    <m/>
    <m/>
    <m/>
    <m/>
    <m/>
    <m/>
    <m/>
    <m/>
    <m/>
    <m/>
    <s v="jesus@dcoloso.com.mx                           "/>
  </r>
  <r>
    <n v="6470"/>
    <x v="201"/>
    <n v="115000.26"/>
    <n v="0"/>
    <n v="0"/>
    <n v="115000.26"/>
    <n v="115000.26"/>
    <m/>
    <m/>
    <m/>
    <n v="0"/>
    <n v="115000.26"/>
    <n v="0"/>
    <n v="0"/>
    <n v="115000.26"/>
    <m/>
    <m/>
    <m/>
    <n v="0"/>
    <n v="432422.52"/>
    <s v="NO ES TOP"/>
    <n v="115000.26"/>
    <n v="115000.26"/>
    <n v="0"/>
    <m/>
    <s v="Aplicado"/>
    <n v="4"/>
    <n v="0"/>
    <n v="0"/>
    <x v="1"/>
    <x v="4"/>
    <s v="Andrea"/>
    <m/>
    <m/>
    <m/>
    <m/>
    <m/>
    <m/>
    <m/>
    <m/>
    <m/>
    <m/>
    <m/>
    <m/>
    <m/>
    <m/>
    <e v="#N/A"/>
  </r>
  <r>
    <n v="61846"/>
    <x v="202"/>
    <n v="114220.96207406801"/>
    <n v="0"/>
    <n v="0"/>
    <n v="114220.96580000001"/>
    <n v="114220.97"/>
    <m/>
    <m/>
    <m/>
    <n v="0"/>
    <n v="114220.96207406801"/>
    <n v="0"/>
    <n v="0"/>
    <n v="114220.96207406801"/>
    <m/>
    <m/>
    <m/>
    <n v="0"/>
    <n v="727843.87"/>
    <s v="NO ES TOP"/>
    <n v="114220.96207406801"/>
    <n v="114220.96207406801"/>
    <n v="3.7259319942677394E-3"/>
    <m/>
    <s v="Aplicar "/>
    <n v="4"/>
    <n v="4"/>
    <s v="24-feb-2026, sin respuesta al dia de hoy ,  se notifico a proveedor que debido aque no se  envio el soporte de  cancelacion lo solicitado, se procedera con analisis interno para su aplicacion."/>
    <x v="0"/>
    <x v="5"/>
    <s v="Yessenia"/>
    <n v="7361.49"/>
    <s v="CARGOS YA APLICADOS ANTERIORMENTE (CARGO IMPROCEDENTE)"/>
    <n v="1"/>
    <s v="SI"/>
    <d v="2026-01-21T00:00:00"/>
    <d v="2026-01-21T00:00:00"/>
    <m/>
    <m/>
    <s v="Presenta informacion aclaraciones, pero no contundente para la cancelacion y solicita informacion "/>
    <m/>
    <s v="X"/>
    <m/>
    <m/>
    <s v="correo compartido por Ambriz Ruiz Jair Alejandro &lt;jairar@soriana.com&gt;"/>
    <e v="#N/A"/>
  </r>
  <r>
    <n v="30494"/>
    <x v="203"/>
    <n v="92494.939999999988"/>
    <n v="0"/>
    <n v="14799.190400000001"/>
    <n v="107294.16"/>
    <n v="107294.16"/>
    <n v="92494.94"/>
    <m/>
    <n v="14799.19"/>
    <n v="107294.13"/>
    <n v="0"/>
    <n v="0"/>
    <n v="0"/>
    <n v="0"/>
    <m/>
    <m/>
    <m/>
    <n v="0"/>
    <n v="117303.5"/>
    <s v="NO ES TOP"/>
    <n v="92494.94"/>
    <n v="107294.13"/>
    <n v="2.9999999998835847E-2"/>
    <m/>
    <s v="Aplicar"/>
    <n v="4"/>
    <n v="3"/>
    <s v="Proveedor autoriza importe de nivel de servicio"/>
    <x v="0"/>
    <x v="2"/>
    <s v="Marcela"/>
    <m/>
    <m/>
    <m/>
    <m/>
    <d v="2026-01-20T00:00:00"/>
    <d v="2026-01-23T00:00:00"/>
    <m/>
    <m/>
    <s v="Se comparte información a proveedor para su validación"/>
    <m/>
    <m/>
    <s v="X"/>
    <m/>
    <m/>
    <e v="#N/A"/>
  </r>
  <r>
    <n v="92767"/>
    <x v="204"/>
    <n v="94270.415962450003"/>
    <n v="0"/>
    <n v="12221.508400000001"/>
    <n v="106491.74669999999"/>
    <n v="86626.47"/>
    <n v="76544.37"/>
    <n v="0"/>
    <n v="10082.11"/>
    <n v="86626.48"/>
    <n v="17726.05"/>
    <n v="0"/>
    <n v="2139.3984"/>
    <n v="19865.448400000001"/>
    <m/>
    <m/>
    <m/>
    <n v="0"/>
    <n v="164683.79999999999"/>
    <s v="NO ES TOP"/>
    <n v="94270.42"/>
    <n v="106491.9284"/>
    <n v="-0.18170000001555309"/>
    <m/>
    <s v="Aplicar"/>
    <n v="4"/>
    <n v="4"/>
    <s v="9 - feb -2026, Sin respuesta al dia de hoy, se le solicito los soportes de cancelacion (4 correos de Seguimiento)"/>
    <x v="0"/>
    <x v="2"/>
    <s v="Yessenia"/>
    <m/>
    <m/>
    <m/>
    <m/>
    <d v="2026-01-20T00:00:00"/>
    <d v="2026-01-20T00:00:00"/>
    <m/>
    <m/>
    <s v="Se manda correo 29 de enero con la infromación a detalle a proveedor, de acuerdo con solicitud en correo"/>
    <m/>
    <m/>
    <s v="X"/>
    <m/>
    <s v="Se acercó el proveedor con Raul solicitando el detalle correspondiente."/>
    <e v="#N/A"/>
  </r>
  <r>
    <n v="77974"/>
    <x v="205"/>
    <n v="91224.528335501993"/>
    <n v="0"/>
    <n v="14595.903333680322"/>
    <n v="105820.43000000001"/>
    <n v="0"/>
    <n v="3088.92"/>
    <n v="0"/>
    <n v="494.21"/>
    <n v="3583.13"/>
    <n v="88135.6"/>
    <n v="0"/>
    <n v="14101.693333680323"/>
    <n v="102237.29333368033"/>
    <m/>
    <m/>
    <m/>
    <n v="0"/>
    <n v="224066.42"/>
    <s v="NO ES TOP"/>
    <n v="91224.52"/>
    <n v="105820.42333368033"/>
    <n v="6.666319677606225E-3"/>
    <m/>
    <s v="Aplicar"/>
    <n v="4"/>
    <n v="6"/>
    <s v="17 - feb -2026, Sin respuesta al dia de hoy, se le solicito los soportes de cancelacion, solomente indico que recabaria la informacion en conjunto con el area comercial (6 correos de Seguimiento)"/>
    <x v="0"/>
    <x v="2"/>
    <s v="Yessenia"/>
    <m/>
    <m/>
    <m/>
    <m/>
    <d v="2026-01-20T00:00:00"/>
    <d v="2026-01-20T00:00:00"/>
    <m/>
    <m/>
    <s v="Proveedor menciona esta revisando la información."/>
    <m/>
    <m/>
    <s v="X"/>
    <m/>
    <s v="Se acercó el proveedor Jonathan Huerta (jonathan.huerta@unionkids.com.mx) vía correo electrónico solicitando información, ya que identificó en su cuenta la aplicación de un cargo por fill rate y pidió el detalle correspondiente."/>
    <s v="isaac@unionkids.com.mx"/>
  </r>
  <r>
    <n v="9275"/>
    <x v="206"/>
    <n v="87926.100692049993"/>
    <n v="0"/>
    <n v="14068.201710728003"/>
    <n v="101994.25000000003"/>
    <n v="0"/>
    <m/>
    <m/>
    <m/>
    <n v="0"/>
    <n v="87926.100692049993"/>
    <n v="0"/>
    <n v="14068.201710728003"/>
    <n v="101994.30240277799"/>
    <m/>
    <m/>
    <m/>
    <n v="0"/>
    <n v="83762.710000000006"/>
    <s v="NO ES TOP"/>
    <n v="87926.100692049993"/>
    <n v="101994.30240277799"/>
    <n v="-5.240277796110604E-2"/>
    <m/>
    <s v="Aplicar"/>
    <n v="4"/>
    <n v="0"/>
    <n v="0"/>
    <x v="1"/>
    <x v="4"/>
    <s v="Jessica"/>
    <m/>
    <m/>
    <m/>
    <m/>
    <m/>
    <m/>
    <m/>
    <m/>
    <m/>
    <m/>
    <m/>
    <m/>
    <m/>
    <m/>
    <s v="ANALISTA@PLASTICOSLAARDILLA.COM"/>
  </r>
  <r>
    <n v="453"/>
    <x v="207"/>
    <n v="69219.684597632004"/>
    <n v="18343.216568372478"/>
    <n v="14010.064050560719"/>
    <n v="101572.96"/>
    <n v="101572.96"/>
    <m/>
    <m/>
    <m/>
    <n v="0"/>
    <n v="69219.684597632004"/>
    <n v="18343.216568372478"/>
    <n v="14010.064050560719"/>
    <n v="101572.96521656519"/>
    <m/>
    <m/>
    <m/>
    <n v="0"/>
    <n v="10939.47"/>
    <s v="NO ES TOP"/>
    <n v="69219.684597632004"/>
    <n v="101572.96521656519"/>
    <n v="-5.2165651868563145E-3"/>
    <m/>
    <s v="Aplicar"/>
    <n v="4"/>
    <n v="0"/>
    <s v="Sin contacto de proveedor"/>
    <x v="1"/>
    <x v="4"/>
    <s v="Luis"/>
    <m/>
    <m/>
    <m/>
    <m/>
    <m/>
    <m/>
    <m/>
    <m/>
    <m/>
    <m/>
    <m/>
    <m/>
    <m/>
    <m/>
    <s v="dnunez@vctdgm.com"/>
  </r>
  <r>
    <n v="21986"/>
    <x v="208"/>
    <n v="87351.74"/>
    <n v="0"/>
    <n v="13976.278399999999"/>
    <n v="101328.02"/>
    <n v="101328.02"/>
    <m/>
    <m/>
    <m/>
    <n v="0"/>
    <n v="87351.74"/>
    <n v="0"/>
    <n v="13976.278399999999"/>
    <n v="101328.0184"/>
    <m/>
    <m/>
    <m/>
    <n v="0"/>
    <n v="395019.81"/>
    <s v="NO ES TOP"/>
    <n v="87351.74"/>
    <n v="101328.0184"/>
    <n v="1.6000000032363459E-3"/>
    <m/>
    <s v="Aplicado"/>
    <n v="4"/>
    <n v="0"/>
    <n v="0"/>
    <x v="1"/>
    <x v="4"/>
    <s v="Jessica"/>
    <m/>
    <m/>
    <m/>
    <m/>
    <m/>
    <m/>
    <m/>
    <m/>
    <m/>
    <m/>
    <m/>
    <m/>
    <m/>
    <m/>
    <e v="#N/A"/>
  </r>
  <r>
    <n v="21778"/>
    <x v="209"/>
    <n v="86649.970990525006"/>
    <n v="0"/>
    <n v="13864.021358483998"/>
    <n v="100513.99999999999"/>
    <n v="37885.03"/>
    <m/>
    <m/>
    <m/>
    <n v="0"/>
    <n v="86649.970990525006"/>
    <n v="0"/>
    <n v="13864.021358483998"/>
    <n v="100513.992349009"/>
    <m/>
    <m/>
    <m/>
    <n v="0"/>
    <n v="11676.13"/>
    <s v="NO ES TOP"/>
    <n v="86649.970990525006"/>
    <n v="100513.992349009"/>
    <n v="7.6509909849846736E-3"/>
    <m/>
    <s v="Aplicar"/>
    <n v="4"/>
    <n v="0"/>
    <n v="0"/>
    <x v="1"/>
    <x v="4"/>
    <s v="Belem"/>
    <m/>
    <m/>
    <m/>
    <m/>
    <m/>
    <m/>
    <m/>
    <m/>
    <m/>
    <m/>
    <m/>
    <m/>
    <m/>
    <m/>
    <e v="#N/A"/>
  </r>
  <r>
    <n v="9957"/>
    <x v="210"/>
    <n v="86059.709999999977"/>
    <n v="0"/>
    <n v="13769.54"/>
    <n v="99829.219999999987"/>
    <n v="99829.22"/>
    <m/>
    <m/>
    <m/>
    <n v="0"/>
    <n v="86059.709999999977"/>
    <n v="0"/>
    <n v="13769.54"/>
    <n v="99829.249999999971"/>
    <m/>
    <m/>
    <m/>
    <n v="0"/>
    <n v="793735.48"/>
    <s v="NO ES TOP"/>
    <n v="86059.709999999977"/>
    <n v="99829.249999999971"/>
    <n v="-2.9999999984283932E-2"/>
    <m/>
    <s v="Aplicado"/>
    <n v="4"/>
    <n v="0"/>
    <n v="0"/>
    <x v="1"/>
    <x v="4"/>
    <s v="Perla"/>
    <m/>
    <m/>
    <m/>
    <m/>
    <m/>
    <m/>
    <m/>
    <m/>
    <m/>
    <m/>
    <m/>
    <m/>
    <m/>
    <m/>
    <e v="#N/A"/>
  </r>
  <r>
    <n v="90159"/>
    <x v="211"/>
    <n v="85608.874821152"/>
    <n v="0"/>
    <n v="13697.422971384321"/>
    <n v="99306.33"/>
    <n v="99306.33"/>
    <m/>
    <m/>
    <m/>
    <n v="0"/>
    <n v="85608.874821152"/>
    <n v="0"/>
    <n v="13697.422971384321"/>
    <n v="99306.297792536323"/>
    <m/>
    <m/>
    <m/>
    <n v="0"/>
    <m/>
    <s v="NO ES TOP"/>
    <n v="85608.874821152"/>
    <n v="99306.297792536323"/>
    <n v="3.2207463678787462E-2"/>
    <m/>
    <s v="Aplicado"/>
    <n v="4"/>
    <n v="0"/>
    <s v="sin comentarios del proveedor"/>
    <x v="1"/>
    <x v="4"/>
    <s v="Marcela"/>
    <m/>
    <m/>
    <m/>
    <m/>
    <m/>
    <m/>
    <m/>
    <m/>
    <m/>
    <m/>
    <m/>
    <m/>
    <m/>
    <m/>
    <s v="MCASTILLOF@REALCLEAN.COM.MX"/>
  </r>
  <r>
    <n v="90258"/>
    <x v="8"/>
    <n v="89677.439375000002"/>
    <n v="7018.5879499999992"/>
    <n v="0"/>
    <n v="96696.02"/>
    <n v="83880.44"/>
    <n v="77811.44"/>
    <n v="6069"/>
    <m/>
    <n v="83880.44"/>
    <m/>
    <n v="0"/>
    <n v="0"/>
    <n v="0"/>
    <n v="11866"/>
    <n v="949"/>
    <m/>
    <n v="12815"/>
    <m/>
    <s v="NO ES TOP"/>
    <n v="89677.440000000002"/>
    <n v="96695.44"/>
    <n v="0.58000000000174623"/>
    <m/>
    <s v="Cerrado/Aplicar"/>
    <n v="4"/>
    <n v="0"/>
    <n v="0"/>
    <x v="0"/>
    <x v="3"/>
    <s v="Erika"/>
    <n v="96696.02"/>
    <s v="DETALLE DE LOS CARGOS EN EL PORTAL"/>
    <m/>
    <m/>
    <d v="2026-01-20T00:00:00"/>
    <d v="2026-03-09T00:00:00"/>
    <m/>
    <m/>
    <s v="Proveedor comparte evidencia de improcedencia de ambos numeros y del caso Ruben esta enterado"/>
    <s v="Casos abiertos( En proceso)"/>
    <s v="X"/>
    <m/>
    <m/>
    <s v="En reunión proveedor nos comenta que ya descargo la información del portal sin embargo requiere la fecha pedido"/>
    <s v="pprimost@hersheys.com"/>
  </r>
  <r>
    <n v="23431"/>
    <x v="212"/>
    <n v="83138.388342300779"/>
    <n v="0"/>
    <n v="13302.142134768124"/>
    <n v="96440.54"/>
    <n v="0"/>
    <m/>
    <m/>
    <m/>
    <n v="0"/>
    <n v="83138.388342300779"/>
    <n v="0"/>
    <n v="13302.142134768124"/>
    <n v="96440.530477068911"/>
    <m/>
    <m/>
    <m/>
    <n v="0"/>
    <n v="162870.82999999999"/>
    <s v="NO ES TOP"/>
    <n v="83138.388342300779"/>
    <n v="96440.530477068911"/>
    <n v="9.5229310827562585E-3"/>
    <m/>
    <s v="Aplicar"/>
    <n v="4"/>
    <n v="0"/>
    <s v="Sin contacto de proveedor"/>
    <x v="1"/>
    <x v="4"/>
    <s v="Mario"/>
    <m/>
    <m/>
    <m/>
    <m/>
    <m/>
    <m/>
    <m/>
    <m/>
    <m/>
    <m/>
    <m/>
    <m/>
    <m/>
    <m/>
    <e v="#N/A"/>
  </r>
  <r>
    <n v="304329"/>
    <x v="213"/>
    <n v="80702.289999999994"/>
    <n v="0"/>
    <n v="12912.366400000001"/>
    <n v="93614.719999999987"/>
    <n v="93614.65"/>
    <m/>
    <m/>
    <m/>
    <n v="0"/>
    <n v="80702.289999999994"/>
    <n v="0"/>
    <n v="12912.366400000001"/>
    <n v="93614.656399999993"/>
    <m/>
    <m/>
    <m/>
    <n v="0"/>
    <n v="372232.02"/>
    <s v="NO ES TOP"/>
    <n v="80702.289999999994"/>
    <n v="93614.656399999993"/>
    <n v="6.3599999994039536E-2"/>
    <m/>
    <s v="Aplicar"/>
    <n v="4"/>
    <n v="0"/>
    <n v="0"/>
    <x v="1"/>
    <x v="4"/>
    <s v="Andrea"/>
    <m/>
    <m/>
    <m/>
    <m/>
    <m/>
    <m/>
    <m/>
    <m/>
    <m/>
    <m/>
    <m/>
    <m/>
    <m/>
    <m/>
    <e v="#N/A"/>
  </r>
  <r>
    <n v="25528"/>
    <x v="214"/>
    <n v="90711.043871980015"/>
    <n v="0"/>
    <n v="31.575959999999998"/>
    <n v="90742.62000000001"/>
    <n v="90742.61"/>
    <m/>
    <m/>
    <m/>
    <n v="0"/>
    <n v="90711.043871980015"/>
    <n v="0"/>
    <n v="31.575959999999998"/>
    <n v="90742.619831980017"/>
    <m/>
    <m/>
    <m/>
    <n v="0"/>
    <m/>
    <s v="NO ES TOP"/>
    <n v="90711.043871980015"/>
    <n v="90742.619831980017"/>
    <n v="1.6801999299786985E-4"/>
    <m/>
    <s v="Aplicar"/>
    <n v="4"/>
    <n v="0"/>
    <s v="sin comentarios del proveedor"/>
    <x v="1"/>
    <x v="4"/>
    <s v="Marcela"/>
    <m/>
    <m/>
    <m/>
    <m/>
    <m/>
    <m/>
    <m/>
    <m/>
    <m/>
    <m/>
    <m/>
    <m/>
    <m/>
    <m/>
    <e v="#N/A"/>
  </r>
  <r>
    <n v="24836"/>
    <x v="215"/>
    <n v="78494.070000000007"/>
    <n v="5358.6376"/>
    <n v="1841.7760000000001"/>
    <n v="85694.48000000001"/>
    <n v="85694.48"/>
    <m/>
    <m/>
    <m/>
    <n v="0"/>
    <n v="78494.070000000007"/>
    <n v="5358.6376"/>
    <n v="1841.7760000000001"/>
    <n v="85694.483600000007"/>
    <m/>
    <m/>
    <m/>
    <n v="0"/>
    <n v="119076.03"/>
    <s v="NO ES TOP"/>
    <n v="78494.070000000007"/>
    <n v="85694.483600000007"/>
    <n v="-3.599999996367842E-3"/>
    <m/>
    <s v="Aplicar"/>
    <n v="4"/>
    <n v="0"/>
    <n v="0"/>
    <x v="1"/>
    <x v="4"/>
    <s v="Yessenia"/>
    <m/>
    <m/>
    <m/>
    <m/>
    <m/>
    <m/>
    <m/>
    <m/>
    <m/>
    <m/>
    <m/>
    <m/>
    <m/>
    <m/>
    <e v="#N/A"/>
  </r>
  <r>
    <n v="3160"/>
    <x v="216"/>
    <n v="83169.930000000008"/>
    <n v="0"/>
    <n v="0"/>
    <n v="83169.930000000008"/>
    <n v="59544.93"/>
    <n v="59544.93"/>
    <m/>
    <m/>
    <n v="59544.93"/>
    <n v="0"/>
    <n v="0"/>
    <n v="0"/>
    <n v="0"/>
    <n v="23625"/>
    <m/>
    <m/>
    <n v="23625"/>
    <m/>
    <s v="NO ES TOP"/>
    <n v="83169.929999999993"/>
    <n v="83169.929999999993"/>
    <n v="0"/>
    <m/>
    <s v="Revisión"/>
    <n v="4"/>
    <n v="3"/>
    <s v="En respuesta para el cierre con Proveedor."/>
    <x v="0"/>
    <x v="5"/>
    <s v="Jessica"/>
    <n v="22331.360000000001"/>
    <s v="NO APLICA EL CRAGO DEBIDO A QUE SE ENTREGO COMPLETO "/>
    <n v="2"/>
    <m/>
    <d v="2026-02-04T00:00:00"/>
    <m/>
    <m/>
    <m/>
    <m/>
    <m/>
    <m/>
    <m/>
    <m/>
    <m/>
    <s v="luis.gonzalez@grupochantilly.com.mx"/>
  </r>
  <r>
    <n v="20623"/>
    <x v="217"/>
    <n v="81605.092730149205"/>
    <n v="0"/>
    <n v="0"/>
    <n v="81605.09"/>
    <n v="81605.09"/>
    <m/>
    <m/>
    <m/>
    <n v="0"/>
    <n v="81605.092730149205"/>
    <n v="0"/>
    <n v="0"/>
    <n v="81605.092730149205"/>
    <m/>
    <m/>
    <m/>
    <n v="0"/>
    <n v="405024.98"/>
    <s v="NO ES TOP"/>
    <n v="81605.092730149205"/>
    <n v="81605.092730149205"/>
    <n v="-2.7301492082187906E-3"/>
    <m/>
    <s v="Aplicado"/>
    <n v="4"/>
    <n v="0"/>
    <n v="0"/>
    <x v="1"/>
    <x v="4"/>
    <s v="Jessica"/>
    <m/>
    <m/>
    <m/>
    <m/>
    <m/>
    <m/>
    <m/>
    <m/>
    <m/>
    <m/>
    <m/>
    <m/>
    <m/>
    <m/>
    <e v="#N/A"/>
  </r>
  <r>
    <n v="335307"/>
    <x v="218"/>
    <n v="79689.460000000006"/>
    <n v="0"/>
    <n v="0"/>
    <n v="79689.460000000006"/>
    <n v="79689.460000000006"/>
    <m/>
    <m/>
    <m/>
    <n v="0"/>
    <n v="79689.460000000006"/>
    <n v="0"/>
    <n v="0"/>
    <n v="79689.460000000006"/>
    <m/>
    <m/>
    <m/>
    <n v="0"/>
    <n v="522293.99"/>
    <s v="NO ES TOP"/>
    <n v="79689.460000000006"/>
    <n v="79689.460000000006"/>
    <n v="0"/>
    <m/>
    <s v="Aplicado"/>
    <n v="4"/>
    <n v="0"/>
    <s v="sin comentarios del proveedor"/>
    <x v="1"/>
    <x v="4"/>
    <s v="Marcela"/>
    <m/>
    <m/>
    <m/>
    <m/>
    <m/>
    <m/>
    <m/>
    <m/>
    <m/>
    <m/>
    <m/>
    <m/>
    <m/>
    <m/>
    <e v="#N/A"/>
  </r>
  <r>
    <n v="79582"/>
    <x v="219"/>
    <n v="68060.249999999985"/>
    <n v="0"/>
    <n v="10889.665400000002"/>
    <n v="78949.900000000009"/>
    <n v="78949.91"/>
    <m/>
    <m/>
    <m/>
    <n v="0"/>
    <n v="68060.249999999985"/>
    <n v="0"/>
    <n v="10889.665400000002"/>
    <n v="78949.915399999983"/>
    <m/>
    <m/>
    <m/>
    <n v="0"/>
    <n v="12917.81"/>
    <s v="NO ES TOP"/>
    <n v="68060.249999999985"/>
    <n v="78949.915399999983"/>
    <n v="-1.5399999974761158E-2"/>
    <m/>
    <s v="Aplicar"/>
    <n v="4"/>
    <n v="0"/>
    <n v="0"/>
    <x v="1"/>
    <x v="4"/>
    <s v="Belem"/>
    <m/>
    <m/>
    <m/>
    <m/>
    <m/>
    <m/>
    <m/>
    <m/>
    <m/>
    <m/>
    <m/>
    <m/>
    <m/>
    <m/>
    <e v="#N/A"/>
  </r>
  <r>
    <n v="14296"/>
    <x v="220"/>
    <n v="77554.720000000001"/>
    <n v="0"/>
    <n v="0"/>
    <n v="77554.720000000001"/>
    <n v="77554.720000000001"/>
    <m/>
    <m/>
    <m/>
    <n v="0"/>
    <n v="77554.720000000001"/>
    <n v="0"/>
    <n v="0"/>
    <n v="77554.720000000001"/>
    <m/>
    <m/>
    <m/>
    <n v="0"/>
    <n v="298198.58"/>
    <s v="NO ES TOP"/>
    <n v="77554.720000000001"/>
    <n v="77554.720000000001"/>
    <n v="0"/>
    <m/>
    <s v="Aplicado"/>
    <n v="4"/>
    <n v="0"/>
    <n v="0"/>
    <x v="1"/>
    <x v="4"/>
    <s v="Francisco"/>
    <m/>
    <m/>
    <m/>
    <m/>
    <m/>
    <m/>
    <m/>
    <m/>
    <m/>
    <m/>
    <m/>
    <m/>
    <m/>
    <m/>
    <e v="#N/A"/>
  </r>
  <r>
    <n v="90647"/>
    <x v="221"/>
    <n v="66410.877228915197"/>
    <n v="0"/>
    <n v="10625.740356626429"/>
    <n v="77036.62"/>
    <n v="77036.62"/>
    <m/>
    <m/>
    <m/>
    <n v="0"/>
    <n v="66410.877228915197"/>
    <n v="0"/>
    <n v="10625.740356626429"/>
    <n v="77036.617585541622"/>
    <m/>
    <m/>
    <m/>
    <n v="0"/>
    <n v="714437.37"/>
    <s v="NO ES TOP"/>
    <n v="66410.877228915197"/>
    <n v="77036.617585541622"/>
    <n v="2.4144583730958402E-3"/>
    <m/>
    <s v="Aplicado"/>
    <n v="4"/>
    <n v="0"/>
    <n v="0"/>
    <x v="1"/>
    <x v="4"/>
    <s v="Perla"/>
    <m/>
    <m/>
    <m/>
    <m/>
    <m/>
    <m/>
    <m/>
    <m/>
    <m/>
    <m/>
    <m/>
    <m/>
    <m/>
    <m/>
    <e v="#N/A"/>
  </r>
  <r>
    <n v="64881"/>
    <x v="222"/>
    <n v="74705.08"/>
    <n v="933.89279999999997"/>
    <n v="0"/>
    <n v="75638.97"/>
    <n v="75638.97"/>
    <m/>
    <m/>
    <m/>
    <n v="0"/>
    <n v="74705.08"/>
    <n v="933.89279999999997"/>
    <n v="0"/>
    <n v="75638.972800000003"/>
    <m/>
    <m/>
    <m/>
    <n v="0"/>
    <n v="46699.7"/>
    <s v="NO ES TOP"/>
    <n v="74705.08"/>
    <n v="75638.972800000003"/>
    <n v="-2.8000000020256266E-3"/>
    <m/>
    <s v="Aplicar"/>
    <n v="4"/>
    <n v="0"/>
    <s v="Sin acercamiento por parte de proveedor"/>
    <x v="1"/>
    <x v="4"/>
    <s v="Samuel"/>
    <m/>
    <m/>
    <m/>
    <m/>
    <m/>
    <m/>
    <m/>
    <m/>
    <m/>
    <m/>
    <m/>
    <m/>
    <m/>
    <m/>
    <e v="#N/A"/>
  </r>
  <r>
    <n v="25957"/>
    <x v="223"/>
    <n v="64419.904999999984"/>
    <n v="0"/>
    <n v="10307.2464"/>
    <n v="74727.14"/>
    <n v="149454.29"/>
    <m/>
    <m/>
    <m/>
    <n v="0"/>
    <n v="64419.904999999984"/>
    <n v="0"/>
    <n v="10307.2464"/>
    <n v="74727.151399999988"/>
    <m/>
    <m/>
    <m/>
    <n v="0"/>
    <m/>
    <s v="NO ES TOP"/>
    <n v="64419.904999999984"/>
    <n v="74727.151399999988"/>
    <n v="-1.1399999988498166E-2"/>
    <m/>
    <s v="Aplicar"/>
    <n v="4"/>
    <n v="0"/>
    <s v="sin acercamiento por proveedor"/>
    <x v="1"/>
    <x v="4"/>
    <s v="Raul"/>
    <m/>
    <m/>
    <m/>
    <m/>
    <m/>
    <m/>
    <m/>
    <m/>
    <m/>
    <m/>
    <m/>
    <m/>
    <m/>
    <m/>
    <s v="normag@granmark.com.mx"/>
  </r>
  <r>
    <n v="394510"/>
    <x v="224"/>
    <n v="73725.56"/>
    <n v="0"/>
    <n v="0"/>
    <n v="73725.56"/>
    <n v="73725.56"/>
    <m/>
    <m/>
    <m/>
    <n v="0"/>
    <n v="73725.56"/>
    <n v="0"/>
    <n v="0"/>
    <n v="73725.56"/>
    <m/>
    <m/>
    <m/>
    <n v="0"/>
    <n v="6648.39"/>
    <s v="NO ES TOP"/>
    <n v="73725.56"/>
    <n v="73725.56"/>
    <n v="0"/>
    <m/>
    <s v="Aplicado"/>
    <n v="4"/>
    <n v="0"/>
    <n v="0"/>
    <x v="1"/>
    <x v="4"/>
    <s v="Andrea"/>
    <m/>
    <m/>
    <m/>
    <m/>
    <m/>
    <m/>
    <m/>
    <m/>
    <m/>
    <m/>
    <m/>
    <m/>
    <m/>
    <m/>
    <e v="#N/A"/>
  </r>
  <r>
    <n v="374645"/>
    <x v="225"/>
    <n v="42074.149125000004"/>
    <n v="20053.194636250002"/>
    <n v="9940.3749218000012"/>
    <n v="72067.73"/>
    <n v="0"/>
    <m/>
    <m/>
    <m/>
    <n v="0"/>
    <n v="42074.149125000004"/>
    <n v="20053.194636250002"/>
    <n v="9940.3749218000012"/>
    <n v="72067.718683050014"/>
    <m/>
    <m/>
    <m/>
    <n v="0"/>
    <n v="97278"/>
    <s v="NO ES TOP"/>
    <n v="42074.149125000004"/>
    <n v="72067.718683050014"/>
    <n v="1.1316949981846847E-2"/>
    <m/>
    <s v="Aplicar"/>
    <n v="4"/>
    <n v="2"/>
    <s v="sin comentarios del proveedor"/>
    <x v="0"/>
    <x v="2"/>
    <s v="Marcela"/>
    <m/>
    <s v="Se envie el detalle, se envia por correo en analisis y manual de descarga"/>
    <m/>
    <m/>
    <d v="2026-01-22T00:00:00"/>
    <d v="2026-01-28T00:00:00"/>
    <m/>
    <m/>
    <s v="Llega correo de parte de proveedor a correo t_belemmn"/>
    <m/>
    <m/>
    <s v="X"/>
    <m/>
    <m/>
    <e v="#N/A"/>
  </r>
  <r>
    <n v="40089"/>
    <x v="226"/>
    <n v="61997.84"/>
    <n v="0"/>
    <n v="9919.66"/>
    <n v="71917.47"/>
    <n v="71917.47"/>
    <m/>
    <m/>
    <m/>
    <n v="0"/>
    <n v="61997.84"/>
    <n v="0"/>
    <n v="9919.66"/>
    <n v="71917.5"/>
    <m/>
    <m/>
    <m/>
    <n v="0"/>
    <n v="574253.15"/>
    <s v="NO ES TOP"/>
    <n v="61997.84"/>
    <n v="71917.5"/>
    <n v="-2.9999999998835847E-2"/>
    <m/>
    <s v="Aplicado"/>
    <n v="4"/>
    <n v="0"/>
    <n v="0"/>
    <x v="1"/>
    <x v="4"/>
    <s v="Belem"/>
    <m/>
    <m/>
    <m/>
    <m/>
    <m/>
    <m/>
    <m/>
    <m/>
    <m/>
    <m/>
    <m/>
    <m/>
    <m/>
    <m/>
    <e v="#N/A"/>
  </r>
  <r>
    <n v="20456"/>
    <x v="227"/>
    <n v="71609.136306073997"/>
    <n v="0"/>
    <n v="0"/>
    <n v="71609.14"/>
    <n v="92777.98"/>
    <m/>
    <m/>
    <m/>
    <n v="0"/>
    <n v="71609.136306073997"/>
    <n v="0"/>
    <n v="0"/>
    <n v="71609.136306073997"/>
    <m/>
    <m/>
    <m/>
    <n v="0"/>
    <n v="722116.81"/>
    <s v="NO ES TOP"/>
    <n v="71609.136306073997"/>
    <n v="71609.136306073997"/>
    <n v="3.6939260025974363E-3"/>
    <m/>
    <s v="Aplicado"/>
    <n v="4"/>
    <n v="0"/>
    <n v="0"/>
    <x v="1"/>
    <x v="4"/>
    <s v="Yessenia"/>
    <m/>
    <m/>
    <m/>
    <m/>
    <m/>
    <m/>
    <m/>
    <m/>
    <m/>
    <m/>
    <m/>
    <m/>
    <m/>
    <m/>
    <s v="p.cases@delli.mx"/>
  </r>
  <r>
    <n v="395053"/>
    <x v="228"/>
    <n v="61580.149519192004"/>
    <n v="0"/>
    <n v="9852.823923070704"/>
    <n v="71432.97"/>
    <n v="0"/>
    <m/>
    <m/>
    <m/>
    <n v="0"/>
    <n v="61580.149519192004"/>
    <n v="0"/>
    <n v="9852.823923070704"/>
    <n v="71432.973442262708"/>
    <m/>
    <m/>
    <m/>
    <n v="0"/>
    <n v="137787.01999999999"/>
    <s v="NO ES TOP"/>
    <n v="61580.149519192004"/>
    <n v="71432.973442262708"/>
    <n v="-3.4422627068124712E-3"/>
    <m/>
    <s v="Aplicado"/>
    <n v="4"/>
    <n v="0"/>
    <n v="0"/>
    <x v="1"/>
    <x v="4"/>
    <s v="Raul"/>
    <m/>
    <m/>
    <m/>
    <m/>
    <m/>
    <m/>
    <m/>
    <m/>
    <m/>
    <m/>
    <m/>
    <m/>
    <m/>
    <m/>
    <s v="rguzmans@italika.com.mx"/>
  </r>
  <r>
    <n v="7034"/>
    <x v="229"/>
    <n v="66327.549999999988"/>
    <n v="4990.4472000000005"/>
    <n v="0"/>
    <n v="71318.06"/>
    <n v="71318.06"/>
    <m/>
    <m/>
    <m/>
    <n v="0"/>
    <n v="66327.549999999988"/>
    <n v="4990.4472000000005"/>
    <n v="0"/>
    <n v="71317.997199999983"/>
    <m/>
    <m/>
    <m/>
    <n v="0"/>
    <n v="948399.76"/>
    <s v="NO ES TOP"/>
    <n v="66327.549999999988"/>
    <n v="71317.997199999983"/>
    <n v="6.2800000014249235E-2"/>
    <m/>
    <s v="Aplicado"/>
    <n v="4"/>
    <n v="0"/>
    <n v="0"/>
    <x v="1"/>
    <x v="4"/>
    <s v="Yessica"/>
    <m/>
    <m/>
    <m/>
    <m/>
    <m/>
    <m/>
    <m/>
    <m/>
    <m/>
    <m/>
    <m/>
    <m/>
    <m/>
    <m/>
    <e v="#N/A"/>
  </r>
  <r>
    <n v="22605"/>
    <x v="230"/>
    <n v="71036.680000000008"/>
    <n v="0"/>
    <n v="0"/>
    <n v="71036.680000000008"/>
    <n v="71036.679999999993"/>
    <m/>
    <m/>
    <m/>
    <n v="0"/>
    <n v="71036.680000000008"/>
    <n v="0"/>
    <n v="0"/>
    <n v="71036.680000000008"/>
    <m/>
    <m/>
    <m/>
    <n v="0"/>
    <n v="214330.93"/>
    <s v="NO ES TOP"/>
    <n v="71036.680000000008"/>
    <n v="71036.680000000008"/>
    <n v="0"/>
    <m/>
    <s v="Aplicar"/>
    <n v="4"/>
    <n v="2"/>
    <s v="Proveedor no presenta soportes de improcedencia, ultima fecha de seguimiento 20 de febrero 2026, dos correos de seguimiento"/>
    <x v="0"/>
    <x v="2"/>
    <s v="Luis"/>
    <m/>
    <m/>
    <m/>
    <m/>
    <d v="2026-01-29T00:00:00"/>
    <d v="2026-01-29T00:00:00"/>
    <m/>
    <m/>
    <s v="Se envia información a la cuenta de proveedor que se contactó por medio de aclaraciones"/>
    <m/>
    <m/>
    <m/>
    <m/>
    <m/>
    <e v="#N/A"/>
  </r>
  <r>
    <n v="79681"/>
    <x v="231"/>
    <n v="47909.674776871499"/>
    <n v="13127.609825278545"/>
    <n v="9765.9656003439995"/>
    <n v="70803.25"/>
    <n v="70803.25"/>
    <m/>
    <m/>
    <m/>
    <n v="0"/>
    <n v="47909.674776871499"/>
    <n v="13127.609825278545"/>
    <n v="9765.9656003439995"/>
    <n v="70803.250202494048"/>
    <m/>
    <m/>
    <m/>
    <n v="0"/>
    <n v="118285.27"/>
    <s v="NO ES TOP"/>
    <n v="47909.674776871499"/>
    <n v="70803.250202494048"/>
    <n v="-2.0249404769856483E-4"/>
    <m/>
    <s v="Aplicar"/>
    <n v="4"/>
    <n v="0"/>
    <n v="0"/>
    <x v="1"/>
    <x v="4"/>
    <s v="Yessica"/>
    <m/>
    <m/>
    <m/>
    <m/>
    <m/>
    <m/>
    <m/>
    <m/>
    <m/>
    <m/>
    <m/>
    <m/>
    <m/>
    <m/>
    <s v="jbarajas@idiriunite.com"/>
  </r>
  <r>
    <n v="397521"/>
    <x v="232"/>
    <n v="60327.02"/>
    <n v="0"/>
    <n v="9652.3231999999989"/>
    <n v="69979.350000000006"/>
    <n v="69979.34"/>
    <m/>
    <m/>
    <m/>
    <n v="0"/>
    <n v="60327.02"/>
    <n v="0"/>
    <n v="9652.3231999999989"/>
    <n v="69979.343200000003"/>
    <m/>
    <m/>
    <m/>
    <n v="0"/>
    <n v="560849.54"/>
    <s v="NO ES TOP"/>
    <n v="60327.02"/>
    <n v="69979.343200000003"/>
    <n v="6.8000000028405339E-3"/>
    <m/>
    <s v="Aplicar"/>
    <n v="4"/>
    <n v="0"/>
    <s v="sin comentarios del proveedor"/>
    <x v="1"/>
    <x v="4"/>
    <s v="Marcela"/>
    <m/>
    <m/>
    <m/>
    <m/>
    <m/>
    <m/>
    <m/>
    <m/>
    <m/>
    <m/>
    <m/>
    <m/>
    <m/>
    <m/>
    <e v="#N/A"/>
  </r>
  <r>
    <n v="18614"/>
    <x v="233"/>
    <n v="58643.59"/>
    <n v="0"/>
    <n v="9382.9743999999992"/>
    <n v="68026.570000000007"/>
    <n v="68026.570000000007"/>
    <m/>
    <m/>
    <m/>
    <n v="0"/>
    <n v="58643.59"/>
    <n v="0"/>
    <n v="9382.9743999999992"/>
    <n v="68026.564400000003"/>
    <m/>
    <m/>
    <m/>
    <n v="0"/>
    <n v="455736.57"/>
    <s v="NO ES TOP"/>
    <n v="58643.59"/>
    <n v="68026.564400000003"/>
    <n v="5.6000000040512532E-3"/>
    <m/>
    <s v="Aplicado"/>
    <n v="4"/>
    <n v="0"/>
    <n v="0"/>
    <x v="1"/>
    <x v="4"/>
    <s v="Andrea"/>
    <m/>
    <m/>
    <m/>
    <m/>
    <m/>
    <m/>
    <m/>
    <m/>
    <m/>
    <m/>
    <m/>
    <m/>
    <m/>
    <m/>
    <e v="#N/A"/>
  </r>
  <r>
    <n v="390518"/>
    <x v="234"/>
    <n v="59065.53"/>
    <n v="0"/>
    <n v="8956.6971000000012"/>
    <n v="68022.260000000009"/>
    <n v="68022.23"/>
    <m/>
    <m/>
    <m/>
    <n v="0"/>
    <n v="59065.53"/>
    <n v="0"/>
    <n v="8956.6971000000012"/>
    <n v="68022.227100000004"/>
    <m/>
    <m/>
    <m/>
    <n v="0"/>
    <n v="80474.28"/>
    <s v="NO ES TOP"/>
    <n v="59065.53"/>
    <n v="68022.227100000004"/>
    <n v="3.2900000005611219E-2"/>
    <m/>
    <s v="Aplicar"/>
    <n v="4"/>
    <n v="0"/>
    <s v="Sin acercamiento por parte de proveedor"/>
    <x v="1"/>
    <x v="4"/>
    <s v="Sareé"/>
    <m/>
    <m/>
    <m/>
    <m/>
    <m/>
    <m/>
    <m/>
    <m/>
    <m/>
    <m/>
    <m/>
    <m/>
    <m/>
    <m/>
    <e v="#N/A"/>
  </r>
  <r>
    <n v="20780"/>
    <x v="235"/>
    <n v="58078.509999999995"/>
    <n v="0"/>
    <n v="9292.5616000000009"/>
    <n v="67371.08"/>
    <n v="0"/>
    <m/>
    <m/>
    <m/>
    <n v="0"/>
    <n v="58078.509999999995"/>
    <n v="0"/>
    <n v="9292.5616000000009"/>
    <n v="67371.071599999996"/>
    <m/>
    <m/>
    <m/>
    <n v="0"/>
    <n v="16962.25"/>
    <s v="NO ES TOP"/>
    <n v="58078.509999999995"/>
    <n v="67371.071599999996"/>
    <n v="8.4000000060768798E-3"/>
    <m/>
    <s v="Aplicar"/>
    <n v="4"/>
    <n v="0"/>
    <s v="Sin acercamiento por parte de proveedor"/>
    <x v="1"/>
    <x v="4"/>
    <s v="Samuel"/>
    <m/>
    <m/>
    <m/>
    <m/>
    <m/>
    <m/>
    <m/>
    <m/>
    <m/>
    <m/>
    <m/>
    <m/>
    <m/>
    <m/>
    <e v="#N/A"/>
  </r>
  <r>
    <n v="22225"/>
    <x v="236"/>
    <n v="57869.600000000006"/>
    <n v="0"/>
    <n v="9259.1360000000022"/>
    <n v="67128.740000000005"/>
    <n v="0"/>
    <m/>
    <m/>
    <m/>
    <n v="0"/>
    <n v="57869.600000000006"/>
    <n v="0"/>
    <n v="9259.1360000000022"/>
    <n v="67128.736000000004"/>
    <m/>
    <m/>
    <m/>
    <n v="0"/>
    <m/>
    <s v="NO ES TOP"/>
    <n v="57869.600000000006"/>
    <n v="67128.736000000004"/>
    <n v="4.0000000008149073E-3"/>
    <m/>
    <s v="Aplicar"/>
    <n v="4"/>
    <n v="0"/>
    <n v="0"/>
    <x v="1"/>
    <x v="4"/>
    <s v="Jessica"/>
    <m/>
    <m/>
    <m/>
    <m/>
    <m/>
    <m/>
    <m/>
    <m/>
    <m/>
    <m/>
    <m/>
    <m/>
    <m/>
    <m/>
    <s v="federico.baig@happytee.mx"/>
  </r>
  <r>
    <n v="4502"/>
    <x v="105"/>
    <n v="61958.30000000001"/>
    <n v="4956.6639999999998"/>
    <n v="0"/>
    <n v="66914.960000000006"/>
    <n v="66914.960000000006"/>
    <m/>
    <m/>
    <m/>
    <n v="0"/>
    <n v="61958.30000000001"/>
    <n v="4956.6639999999998"/>
    <n v="0"/>
    <n v="66914.964000000007"/>
    <m/>
    <m/>
    <m/>
    <n v="0"/>
    <n v="387964.12"/>
    <s v="NO ES TOP"/>
    <n v="61958.30000000001"/>
    <n v="66914.964000000007"/>
    <n v="-4.0000000008149073E-3"/>
    <m/>
    <s v="Aplicar"/>
    <n v="4"/>
    <n v="0"/>
    <s v="Sin respuesta"/>
    <x v="1"/>
    <x v="4"/>
    <s v="Olfi"/>
    <m/>
    <m/>
    <m/>
    <m/>
    <m/>
    <m/>
    <m/>
    <m/>
    <m/>
    <m/>
    <m/>
    <m/>
    <m/>
    <m/>
    <e v="#N/A"/>
  </r>
  <r>
    <n v="466"/>
    <x v="237"/>
    <n v="56988.759999999987"/>
    <n v="0"/>
    <n v="9118.2595999999994"/>
    <n v="66107.05"/>
    <n v="66107.05"/>
    <m/>
    <m/>
    <m/>
    <n v="0"/>
    <n v="56988.759999999987"/>
    <n v="0"/>
    <n v="9118.2595999999994"/>
    <n v="66107.019599999985"/>
    <m/>
    <m/>
    <m/>
    <n v="0"/>
    <n v="369618.51"/>
    <s v="NO ES TOP"/>
    <n v="56988.759999999987"/>
    <n v="66107.019599999985"/>
    <n v="3.0400000017834827E-2"/>
    <m/>
    <s v="Aplicado"/>
    <n v="4"/>
    <n v="0"/>
    <n v="0"/>
    <x v="1"/>
    <x v="4"/>
    <s v="Francisco"/>
    <m/>
    <m/>
    <m/>
    <m/>
    <m/>
    <m/>
    <m/>
    <m/>
    <m/>
    <m/>
    <m/>
    <m/>
    <m/>
    <m/>
    <e v="#N/A"/>
  </r>
  <r>
    <n v="322602"/>
    <x v="238"/>
    <n v="56335.36129796"/>
    <n v="0"/>
    <n v="9013.7077076736005"/>
    <n v="65349.069999999985"/>
    <n v="65349.07"/>
    <m/>
    <m/>
    <m/>
    <n v="0"/>
    <n v="55528.09"/>
    <n v="0"/>
    <n v="8884.5400000000009"/>
    <n v="64412.63"/>
    <n v="807.27"/>
    <m/>
    <n v="129.16"/>
    <n v="936.43"/>
    <m/>
    <s v="NO ES TOP"/>
    <n v="56335.359999999993"/>
    <n v="65349.06"/>
    <n v="9.9999999874853529E-3"/>
    <m/>
    <s v="Aplicar"/>
    <n v="4"/>
    <n v="1"/>
    <n v="0"/>
    <x v="0"/>
    <x v="2"/>
    <s v="Samuel"/>
    <n v="936.43"/>
    <s v="CARGOS YA APLICADOS ANTERIORMENTE (CARGO IMPROCEDENTE)"/>
    <n v="1"/>
    <m/>
    <d v="2026-01-28T00:00:00"/>
    <m/>
    <m/>
    <m/>
    <m/>
    <m/>
    <m/>
    <m/>
    <m/>
    <m/>
    <e v="#N/A"/>
  </r>
  <r>
    <n v="12229"/>
    <x v="239"/>
    <n v="61186.023607834999"/>
    <n v="3830.5218886268003"/>
    <n v="0"/>
    <n v="65016.547896461801"/>
    <n v="0"/>
    <m/>
    <m/>
    <m/>
    <n v="0"/>
    <n v="61186.023607834999"/>
    <n v="3830.5218886268003"/>
    <n v="0"/>
    <n v="65016.545496461797"/>
    <m/>
    <m/>
    <m/>
    <n v="0"/>
    <m/>
    <s v="NO ES TOP"/>
    <n v="61186.023607834999"/>
    <n v="65016.545496461797"/>
    <n v="2.4000000048545189E-3"/>
    <m/>
    <s v="Revisión"/>
    <n v="4"/>
    <n v="4"/>
    <s v="23-Feb-26 Solicitamos respuesta a proveedor, quedo de darla el 06 de Febrero"/>
    <x v="0"/>
    <x v="5"/>
    <s v="Mario"/>
    <n v="51712.05"/>
    <s v="NO PROCEDE EL CARGO DEBIDO A QUE EL PROVEEDOR INFORMO QUE NO SE ENTREGARIA "/>
    <n v="2"/>
    <m/>
    <d v="2026-02-09T00:00:00"/>
    <m/>
    <m/>
    <m/>
    <m/>
    <m/>
    <m/>
    <m/>
    <m/>
    <m/>
    <s v="crojano@rodiniainternacional.com"/>
  </r>
  <r>
    <n v="314161"/>
    <x v="240"/>
    <n v="55935.38"/>
    <n v="0"/>
    <n v="8949.6607999999997"/>
    <n v="64885.01"/>
    <n v="64885.01"/>
    <m/>
    <m/>
    <m/>
    <n v="0"/>
    <n v="55935.38"/>
    <n v="0"/>
    <n v="8949.6607999999997"/>
    <n v="64885.040799999995"/>
    <m/>
    <m/>
    <m/>
    <n v="0"/>
    <n v="113103.58"/>
    <s v="NO ES TOP"/>
    <n v="55935.38"/>
    <n v="64885.040799999995"/>
    <n v="-3.0799999993178062E-2"/>
    <m/>
    <s v="Aplicado"/>
    <n v="4"/>
    <n v="0"/>
    <n v="0"/>
    <x v="1"/>
    <x v="4"/>
    <s v="Sareé"/>
    <m/>
    <m/>
    <m/>
    <m/>
    <m/>
    <m/>
    <m/>
    <m/>
    <m/>
    <m/>
    <m/>
    <m/>
    <m/>
    <m/>
    <e v="#N/A"/>
  </r>
  <r>
    <n v="11601"/>
    <x v="241"/>
    <n v="53386.049999999996"/>
    <n v="0"/>
    <n v="8541.7710999999981"/>
    <n v="61927.819999999992"/>
    <n v="33189.480000000003"/>
    <m/>
    <m/>
    <m/>
    <n v="0"/>
    <n v="53386.049999999996"/>
    <n v="0"/>
    <n v="8541.7710999999981"/>
    <n v="61927.821099999994"/>
    <m/>
    <m/>
    <m/>
    <n v="0"/>
    <n v="40313.1"/>
    <s v="NO ES TOP"/>
    <n v="53386.049999999996"/>
    <n v="61927.821099999994"/>
    <n v="-1.1000000013154931E-3"/>
    <m/>
    <s v="Aplicar"/>
    <n v="4"/>
    <n v="0"/>
    <s v="Sin acercamiento por parte de proveedor"/>
    <x v="1"/>
    <x v="4"/>
    <s v="Sareé"/>
    <m/>
    <m/>
    <m/>
    <m/>
    <m/>
    <m/>
    <m/>
    <m/>
    <m/>
    <m/>
    <m/>
    <m/>
    <m/>
    <m/>
    <e v="#N/A"/>
  </r>
  <r>
    <n v="9580"/>
    <x v="242"/>
    <n v="52171.88"/>
    <n v="0"/>
    <n v="8347.4795000000013"/>
    <n v="60519.38"/>
    <n v="48124"/>
    <m/>
    <m/>
    <m/>
    <n v="0"/>
    <n v="52171.88"/>
    <n v="0"/>
    <n v="8347.4795000000013"/>
    <n v="60519.359499999999"/>
    <m/>
    <m/>
    <m/>
    <n v="0"/>
    <n v="42599.72"/>
    <s v="NO ES TOP"/>
    <n v="52171.88"/>
    <n v="60519.359499999999"/>
    <n v="2.0499999998719431E-2"/>
    <m/>
    <s v="Aplicar"/>
    <n v="4"/>
    <n v="0"/>
    <s v="Sin acercamiento por parte de proveedor"/>
    <x v="1"/>
    <x v="4"/>
    <s v="Samuel"/>
    <m/>
    <m/>
    <m/>
    <m/>
    <m/>
    <m/>
    <m/>
    <m/>
    <m/>
    <m/>
    <m/>
    <m/>
    <m/>
    <m/>
    <e v="#N/A"/>
  </r>
  <r>
    <n v="7325"/>
    <x v="243"/>
    <n v="48276.86"/>
    <n v="0"/>
    <n v="7724.2975999999999"/>
    <n v="56001.18"/>
    <n v="56001.18"/>
    <m/>
    <m/>
    <m/>
    <n v="0"/>
    <n v="48276.86"/>
    <n v="0"/>
    <n v="7724.2975999999999"/>
    <n v="56001.157599999999"/>
    <m/>
    <m/>
    <m/>
    <n v="0"/>
    <m/>
    <s v="NO ES TOP"/>
    <n v="48276.86"/>
    <n v="56001.157599999999"/>
    <n v="2.2400000001653098E-2"/>
    <m/>
    <s v="Aplicado"/>
    <n v="4"/>
    <n v="0"/>
    <n v="0"/>
    <x v="1"/>
    <x v="4"/>
    <s v="Belem"/>
    <m/>
    <m/>
    <m/>
    <m/>
    <m/>
    <m/>
    <m/>
    <m/>
    <m/>
    <m/>
    <m/>
    <m/>
    <m/>
    <m/>
    <s v="gabriel.hinojosa@wecareproducts.com.mx"/>
  </r>
  <r>
    <n v="24687"/>
    <x v="244"/>
    <n v="46715.042026260002"/>
    <n v="0"/>
    <n v="7474.4067242016008"/>
    <n v="54189.45"/>
    <n v="0"/>
    <m/>
    <m/>
    <m/>
    <n v="0"/>
    <n v="46715.042026260002"/>
    <n v="0"/>
    <n v="7474.4067242016008"/>
    <n v="54189.448750461605"/>
    <m/>
    <m/>
    <m/>
    <n v="0"/>
    <m/>
    <s v="NO ES TOP"/>
    <n v="46715.042026260002"/>
    <n v="54189.448750461605"/>
    <n v="1.2495383925852366E-3"/>
    <m/>
    <s v="Aplicar"/>
    <n v="4"/>
    <n v="2"/>
    <s v="Proveedor no presenta soportes de improcedencia, ultima fecha de seguimiento 20 de febrero 2026, dos correos de seguimiento"/>
    <x v="0"/>
    <x v="2"/>
    <s v="Luis"/>
    <n v="54189.45"/>
    <s v="DETALLE DE LOS CARGOS EN EL PORTAL"/>
    <n v="2"/>
    <s v="NO"/>
    <d v="2026-01-19T00:00:00"/>
    <d v="2026-01-19T00:00:00"/>
    <d v="2026-01-19T00:00:00"/>
    <m/>
    <s v="Proveedor se encuentra en revisión del saldo compartido"/>
    <m/>
    <s v="X"/>
    <m/>
    <m/>
    <s v="correo compartido por Ambriz Ruiz Jair Alejandro &lt;jairar@soriana.com&gt;"/>
    <s v="CREDITO@PRINSEL.COM"/>
  </r>
  <r>
    <n v="307017"/>
    <x v="245"/>
    <n v="54040.695506760007"/>
    <n v="0"/>
    <n v="0"/>
    <n v="54040.790000000008"/>
    <n v="54040.79"/>
    <m/>
    <m/>
    <m/>
    <n v="0"/>
    <n v="54040.695506760007"/>
    <n v="0"/>
    <n v="0"/>
    <n v="54040.695506760007"/>
    <m/>
    <m/>
    <m/>
    <n v="0"/>
    <m/>
    <s v="NO ES TOP"/>
    <n v="54040.695506760007"/>
    <n v="54040.695506760007"/>
    <n v="9.4493240001611412E-2"/>
    <m/>
    <s v="Aplicado"/>
    <n v="4"/>
    <n v="0"/>
    <n v="0"/>
    <x v="1"/>
    <x v="4"/>
    <s v="Olfi"/>
    <m/>
    <m/>
    <m/>
    <m/>
    <m/>
    <m/>
    <m/>
    <m/>
    <m/>
    <m/>
    <m/>
    <m/>
    <m/>
    <m/>
    <s v="gerojas@piscimex.com.mx"/>
  </r>
  <r>
    <n v="60681"/>
    <x v="246"/>
    <n v="45163.810000000005"/>
    <n v="0"/>
    <n v="7226.2366000000002"/>
    <n v="52390.010000000009"/>
    <n v="15980.06"/>
    <m/>
    <m/>
    <m/>
    <n v="0"/>
    <n v="45163.810000000005"/>
    <n v="0"/>
    <n v="7226.2366000000002"/>
    <n v="52390.046600000001"/>
    <m/>
    <m/>
    <m/>
    <n v="0"/>
    <n v="24246.080000000002"/>
    <s v="NO ES TOP"/>
    <n v="45163.810000000005"/>
    <n v="52390.046600000001"/>
    <n v="-3.659999999217689E-2"/>
    <m/>
    <s v="Aplicar"/>
    <n v="4"/>
    <n v="0"/>
    <n v="0"/>
    <x v="1"/>
    <x v="4"/>
    <s v="Francisco"/>
    <m/>
    <m/>
    <m/>
    <m/>
    <m/>
    <m/>
    <m/>
    <m/>
    <m/>
    <m/>
    <m/>
    <m/>
    <m/>
    <m/>
    <e v="#N/A"/>
  </r>
  <r>
    <n v="21157"/>
    <x v="247"/>
    <n v="44422.99"/>
    <n v="0"/>
    <n v="7107.6783999999998"/>
    <n v="51530.68"/>
    <n v="51530.68"/>
    <m/>
    <m/>
    <m/>
    <n v="0"/>
    <n v="44422.99"/>
    <n v="0"/>
    <n v="7107.6783999999998"/>
    <n v="51530.668399999995"/>
    <m/>
    <m/>
    <m/>
    <n v="0"/>
    <m/>
    <s v="NO ES TOP"/>
    <n v="44422.99"/>
    <n v="51530.668399999995"/>
    <n v="1.1600000005273614E-2"/>
    <m/>
    <s v="Aplicado"/>
    <n v="4"/>
    <n v="0"/>
    <n v="0"/>
    <x v="1"/>
    <x v="4"/>
    <s v="Sareé"/>
    <m/>
    <m/>
    <m/>
    <m/>
    <m/>
    <m/>
    <m/>
    <m/>
    <m/>
    <m/>
    <m/>
    <m/>
    <m/>
    <m/>
    <s v="LUIS.TRINIDAD@TCL.COM"/>
  </r>
  <r>
    <n v="99861"/>
    <x v="248"/>
    <n v="50470.48"/>
    <n v="0"/>
    <n v="0"/>
    <n v="50470.48"/>
    <n v="50470.48"/>
    <m/>
    <m/>
    <m/>
    <n v="0"/>
    <n v="50470.48"/>
    <n v="0"/>
    <n v="0"/>
    <n v="50470.48"/>
    <m/>
    <m/>
    <m/>
    <n v="0"/>
    <n v="416854.91"/>
    <s v="NO ES TOP"/>
    <n v="50470.48"/>
    <n v="50470.48"/>
    <n v="0"/>
    <m/>
    <s v="Aplicado"/>
    <n v="4"/>
    <n v="0"/>
    <n v="0"/>
    <x v="1"/>
    <x v="4"/>
    <s v="Olfi"/>
    <m/>
    <m/>
    <m/>
    <m/>
    <m/>
    <m/>
    <m/>
    <m/>
    <m/>
    <m/>
    <m/>
    <m/>
    <m/>
    <m/>
    <e v="#N/A"/>
  </r>
  <r>
    <n v="20859"/>
    <x v="249"/>
    <n v="43281.33"/>
    <n v="0"/>
    <n v="6925.0051999999996"/>
    <n v="50206.34"/>
    <n v="50206.35"/>
    <m/>
    <m/>
    <m/>
    <n v="0"/>
    <n v="43281.33"/>
    <n v="0"/>
    <n v="6925.0051999999996"/>
    <n v="50206.335200000001"/>
    <m/>
    <m/>
    <m/>
    <n v="0"/>
    <n v="476753.04"/>
    <s v="NO ES TOP"/>
    <n v="43281.33"/>
    <n v="50206.335200000001"/>
    <n v="4.7999999951571226E-3"/>
    <m/>
    <s v="Aplicar"/>
    <n v="4"/>
    <n v="0"/>
    <n v="0"/>
    <x v="1"/>
    <x v="4"/>
    <s v="Andrea"/>
    <m/>
    <m/>
    <m/>
    <m/>
    <m/>
    <m/>
    <m/>
    <m/>
    <m/>
    <m/>
    <m/>
    <m/>
    <m/>
    <m/>
    <e v="#N/A"/>
  </r>
  <r>
    <n v="28241"/>
    <x v="250"/>
    <n v="40821.930000000008"/>
    <n v="1647.2943000000002"/>
    <n v="6795.0558000000001"/>
    <n v="49264.259999999995"/>
    <n v="49264.26"/>
    <m/>
    <m/>
    <m/>
    <n v="0"/>
    <n v="40821.930000000008"/>
    <n v="1647.2943000000002"/>
    <n v="6795.0558000000001"/>
    <n v="49264.280100000011"/>
    <m/>
    <m/>
    <m/>
    <n v="0"/>
    <n v="422532.21"/>
    <s v="NO ES TOP"/>
    <n v="40821.930000000008"/>
    <n v="49264.280100000011"/>
    <n v="-2.0100000016100239E-2"/>
    <m/>
    <s v="Aplicado"/>
    <n v="4"/>
    <n v="0"/>
    <n v="0"/>
    <x v="1"/>
    <x v="4"/>
    <s v="Andrea"/>
    <m/>
    <m/>
    <m/>
    <m/>
    <m/>
    <m/>
    <m/>
    <m/>
    <m/>
    <m/>
    <m/>
    <m/>
    <m/>
    <m/>
    <e v="#N/A"/>
  </r>
  <r>
    <n v="20539"/>
    <x v="251"/>
    <n v="41943.960802699992"/>
    <n v="0"/>
    <n v="6711.0337284320003"/>
    <n v="48654.99"/>
    <n v="0"/>
    <m/>
    <m/>
    <m/>
    <n v="0"/>
    <n v="37656.92"/>
    <n v="0"/>
    <n v="6025.1137284320002"/>
    <n v="43682.033728431998"/>
    <n v="4287.04"/>
    <m/>
    <n v="685.92"/>
    <n v="4972.96"/>
    <n v="80327.509999999995"/>
    <s v="NO ES TOP"/>
    <n v="41943.96"/>
    <n v="48654.993728431997"/>
    <n v="-3.7284319987520576E-3"/>
    <m/>
    <s v="Revisión"/>
    <n v="4"/>
    <n v="3"/>
    <s v="En validación de parte de auditoría los soportes enviados por proveedor, trescorreos de seguimiento y una reunión"/>
    <x v="0"/>
    <x v="5"/>
    <s v="Luis"/>
    <n v="48654.99"/>
    <s v="DETALLE DE LOS CARGOS EN EL PORTAL"/>
    <m/>
    <m/>
    <d v="2026-01-20T00:00:00"/>
    <d v="2026-01-21T00:00:00"/>
    <d v="2026-01-21T00:00:00"/>
    <m/>
    <s v="Proveedor se encuentra en revisión del saldo compartido"/>
    <m/>
    <m/>
    <s v="X"/>
    <m/>
    <m/>
    <s v="smm@biotrade.com.mx"/>
  </r>
  <r>
    <n v="314567"/>
    <x v="252"/>
    <n v="39378.299999999996"/>
    <n v="0"/>
    <n v="6300.5279999999993"/>
    <n v="45678.86"/>
    <n v="45678.86"/>
    <m/>
    <m/>
    <m/>
    <n v="0"/>
    <n v="39378.299999999996"/>
    <n v="0"/>
    <n v="6300.5279999999993"/>
    <n v="45678.827999999994"/>
    <m/>
    <m/>
    <m/>
    <n v="0"/>
    <n v="685775.42"/>
    <s v="NO ES TOP"/>
    <n v="39378.299999999996"/>
    <n v="45678.827999999994"/>
    <n v="3.2000000006519258E-2"/>
    <m/>
    <s v="Aplicar"/>
    <n v="4"/>
    <n v="2"/>
    <s v="02 contactos_x000a_22 ene : Se envia Manual para visualizar Detalle de NS -Proveedo confirma_x000a_28 ene : se envia correo de cierre de aclaración"/>
    <x v="0"/>
    <x v="2"/>
    <s v="Andrea"/>
    <n v="45678.86"/>
    <s v="DETALLE DE LOS CARGOS EN EL PORTAL"/>
    <n v="6"/>
    <s v="NO"/>
    <d v="2026-01-21T00:00:00"/>
    <d v="2026-01-22T00:00:00"/>
    <d v="2026-01-22T00:00:00"/>
    <m/>
    <s v="28 ene 2026: Se envia correo, informando que concluimos la aclaracion con la información enviada. "/>
    <s v="Casos abiertos( En proceso)"/>
    <s v="X"/>
    <m/>
    <m/>
    <m/>
    <e v="#N/A"/>
  </r>
  <r>
    <n v="381202"/>
    <x v="253"/>
    <n v="39519.820000000007"/>
    <n v="3161.5855999999994"/>
    <n v="0"/>
    <n v="42681.380000000005"/>
    <n v="42681.38"/>
    <m/>
    <m/>
    <m/>
    <n v="0"/>
    <n v="39519.820000000007"/>
    <n v="3161.5855999999994"/>
    <n v="0"/>
    <n v="42681.405600000006"/>
    <m/>
    <m/>
    <m/>
    <n v="0"/>
    <n v="418503.85"/>
    <s v="NO ES TOP"/>
    <n v="39519.820000000007"/>
    <n v="42681.405600000006"/>
    <n v="-2.5600000000849832E-2"/>
    <m/>
    <s v="Aplicado"/>
    <n v="4"/>
    <n v="0"/>
    <s v="sin comentarios del proveedor"/>
    <x v="1"/>
    <x v="4"/>
    <s v="Marcela"/>
    <m/>
    <m/>
    <m/>
    <m/>
    <m/>
    <m/>
    <m/>
    <m/>
    <m/>
    <m/>
    <m/>
    <m/>
    <m/>
    <m/>
    <e v="#N/A"/>
  </r>
  <r>
    <n v="87270"/>
    <x v="254"/>
    <n v="36399.94"/>
    <n v="0"/>
    <n v="5823.9903999999988"/>
    <n v="42223.89"/>
    <n v="42223.89"/>
    <m/>
    <m/>
    <m/>
    <n v="0"/>
    <n v="36399.94"/>
    <n v="0"/>
    <n v="5823.9903999999988"/>
    <n v="42223.930399999997"/>
    <m/>
    <m/>
    <m/>
    <n v="0"/>
    <n v="100709.57"/>
    <s v="NO ES TOP"/>
    <n v="36399.94"/>
    <n v="42223.930399999997"/>
    <n v="-4.0399999998044223E-2"/>
    <m/>
    <s v="Aplicado"/>
    <n v="4"/>
    <n v="0"/>
    <n v="0"/>
    <x v="1"/>
    <x v="4"/>
    <s v="Perla"/>
    <m/>
    <m/>
    <m/>
    <m/>
    <m/>
    <m/>
    <m/>
    <m/>
    <m/>
    <m/>
    <m/>
    <m/>
    <m/>
    <m/>
    <e v="#N/A"/>
  </r>
  <r>
    <n v="301531"/>
    <x v="255"/>
    <n v="38012.700000000004"/>
    <n v="84.289599999999993"/>
    <n v="2299.5504000000001"/>
    <n v="40396.53"/>
    <n v="40396.53"/>
    <m/>
    <m/>
    <m/>
    <n v="0"/>
    <n v="38012.700000000004"/>
    <n v="84.289599999999993"/>
    <n v="2299.5504000000001"/>
    <n v="40396.54"/>
    <m/>
    <m/>
    <m/>
    <n v="0"/>
    <n v="255675.09"/>
    <s v="NO ES TOP"/>
    <n v="38012.700000000004"/>
    <n v="40396.54"/>
    <n v="-1.0000000002037268E-2"/>
    <m/>
    <s v="Aplicado"/>
    <n v="4"/>
    <n v="0"/>
    <n v="0"/>
    <x v="1"/>
    <x v="4"/>
    <s v="Perla"/>
    <m/>
    <m/>
    <m/>
    <m/>
    <m/>
    <m/>
    <m/>
    <m/>
    <m/>
    <m/>
    <m/>
    <m/>
    <m/>
    <m/>
    <e v="#N/A"/>
  </r>
  <r>
    <n v="80853"/>
    <x v="256"/>
    <n v="39947.79"/>
    <n v="0"/>
    <n v="0"/>
    <n v="39947.79"/>
    <n v="39947.79"/>
    <m/>
    <m/>
    <m/>
    <n v="0"/>
    <n v="39947.79"/>
    <n v="0"/>
    <n v="0"/>
    <n v="39947.79"/>
    <m/>
    <m/>
    <m/>
    <n v="0"/>
    <n v="20937.03"/>
    <s v="NO ES TOP"/>
    <n v="39947.79"/>
    <n v="39947.79"/>
    <n v="0"/>
    <m/>
    <s v="Aplicado"/>
    <n v="4"/>
    <n v="0"/>
    <n v="0"/>
    <x v="1"/>
    <x v="4"/>
    <s v="Perla"/>
    <m/>
    <m/>
    <m/>
    <m/>
    <m/>
    <m/>
    <m/>
    <m/>
    <m/>
    <m/>
    <m/>
    <m/>
    <m/>
    <m/>
    <e v="#N/A"/>
  </r>
  <r>
    <n v="59493"/>
    <x v="257"/>
    <n v="33824.939999999995"/>
    <n v="0"/>
    <n v="5411.9726000000001"/>
    <n v="39236.92"/>
    <n v="39236.92"/>
    <m/>
    <m/>
    <m/>
    <n v="0"/>
    <n v="33824.939999999995"/>
    <n v="0"/>
    <n v="5411.9726000000001"/>
    <n v="39236.912599999996"/>
    <m/>
    <m/>
    <m/>
    <n v="0"/>
    <n v="20015.21"/>
    <s v="NO ES TOP"/>
    <n v="33824.939999999995"/>
    <n v="39236.912599999996"/>
    <n v="7.4000000022351742E-3"/>
    <m/>
    <s v="Aplicado"/>
    <n v="4"/>
    <n v="0"/>
    <s v="sin comentarios del proveedor"/>
    <x v="1"/>
    <x v="4"/>
    <s v="Marcela"/>
    <m/>
    <m/>
    <m/>
    <m/>
    <m/>
    <m/>
    <m/>
    <m/>
    <m/>
    <m/>
    <m/>
    <m/>
    <m/>
    <m/>
    <e v="#N/A"/>
  </r>
  <r>
    <n v="27011"/>
    <x v="258"/>
    <n v="36169.810000000005"/>
    <n v="2893.5819999999999"/>
    <n v="0"/>
    <n v="39063.399999999987"/>
    <n v="39063.4"/>
    <m/>
    <m/>
    <m/>
    <n v="0"/>
    <n v="36169.810000000005"/>
    <n v="2893.5819999999999"/>
    <n v="0"/>
    <n v="39063.392000000007"/>
    <m/>
    <m/>
    <m/>
    <n v="0"/>
    <n v="262665.17"/>
    <s v="NO ES TOP"/>
    <n v="36169.810000000005"/>
    <n v="39063.392000000007"/>
    <n v="7.9999999798019417E-3"/>
    <m/>
    <s v="Aplicado"/>
    <n v="4"/>
    <n v="0"/>
    <n v="0"/>
    <x v="1"/>
    <x v="4"/>
    <s v="Yessica"/>
    <m/>
    <m/>
    <m/>
    <m/>
    <m/>
    <m/>
    <m/>
    <m/>
    <m/>
    <m/>
    <m/>
    <m/>
    <m/>
    <m/>
    <e v="#N/A"/>
  </r>
  <r>
    <n v="20777"/>
    <x v="259"/>
    <n v="33538.102687815997"/>
    <n v="0"/>
    <n v="5366.0983300505595"/>
    <n v="38904.239999999998"/>
    <n v="0"/>
    <m/>
    <m/>
    <m/>
    <n v="0"/>
    <n v="33538.102687815997"/>
    <n v="0"/>
    <n v="5366.0983300505595"/>
    <n v="38904.201017866559"/>
    <m/>
    <m/>
    <m/>
    <n v="0"/>
    <n v="58662.96"/>
    <s v="NO ES TOP"/>
    <n v="33538.102687815997"/>
    <n v="38904.201017866559"/>
    <n v="3.8982133439276367E-2"/>
    <m/>
    <s v="Aplicar"/>
    <n v="4"/>
    <n v="0"/>
    <s v="Sin respuesta"/>
    <x v="1"/>
    <x v="4"/>
    <s v="Olfi"/>
    <m/>
    <m/>
    <m/>
    <m/>
    <m/>
    <m/>
    <m/>
    <m/>
    <m/>
    <m/>
    <m/>
    <m/>
    <m/>
    <m/>
    <e v="#N/A"/>
  </r>
  <r>
    <n v="1398"/>
    <x v="260"/>
    <n v="33512.42"/>
    <n v="0"/>
    <n v="5361.9938999999995"/>
    <n v="38874.42"/>
    <n v="38874.42"/>
    <m/>
    <m/>
    <m/>
    <n v="0"/>
    <n v="33512.42"/>
    <n v="0"/>
    <n v="5361.9938999999995"/>
    <n v="38874.4139"/>
    <m/>
    <m/>
    <m/>
    <n v="0"/>
    <n v="29474.68"/>
    <s v="NO ES TOP"/>
    <n v="33512.42"/>
    <n v="38874.4139"/>
    <n v="6.0999999986961484E-3"/>
    <m/>
    <s v="Aplicado"/>
    <n v="4"/>
    <n v="0"/>
    <n v="0"/>
    <x v="1"/>
    <x v="4"/>
    <s v="Perla"/>
    <m/>
    <m/>
    <m/>
    <m/>
    <m/>
    <m/>
    <m/>
    <m/>
    <m/>
    <m/>
    <m/>
    <m/>
    <m/>
    <m/>
    <e v="#N/A"/>
  </r>
  <r>
    <n v="66951"/>
    <x v="261"/>
    <n v="38217.031937576001"/>
    <n v="0"/>
    <n v="0"/>
    <n v="38217.040000000001"/>
    <n v="38217.040000000001"/>
    <m/>
    <m/>
    <m/>
    <n v="0"/>
    <n v="38217.031937576001"/>
    <n v="0"/>
    <n v="0"/>
    <n v="38217.031937576001"/>
    <m/>
    <m/>
    <m/>
    <n v="0"/>
    <n v="855143.04"/>
    <s v="NO ES TOP"/>
    <n v="38217.031937576001"/>
    <n v="38217.031937576001"/>
    <n v="8.0624239999451675E-3"/>
    <m/>
    <s v="Aplicado"/>
    <n v="4"/>
    <n v="0"/>
    <n v="0"/>
    <x v="1"/>
    <x v="4"/>
    <s v="Yessica"/>
    <m/>
    <m/>
    <m/>
    <m/>
    <m/>
    <m/>
    <m/>
    <m/>
    <m/>
    <m/>
    <m/>
    <m/>
    <m/>
    <m/>
    <s v="igarcia@blueretailsolutions.com"/>
  </r>
  <r>
    <n v="337956"/>
    <x v="262"/>
    <n v="36620.53"/>
    <n v="0"/>
    <n v="240.69759999999999"/>
    <n v="36861.229999999996"/>
    <n v="36861.230000000003"/>
    <m/>
    <m/>
    <m/>
    <n v="0"/>
    <n v="36620.53"/>
    <n v="0"/>
    <n v="240.69759999999999"/>
    <n v="36861.227599999998"/>
    <m/>
    <m/>
    <m/>
    <n v="0"/>
    <n v="151689.97"/>
    <s v="NO ES TOP"/>
    <n v="36620.53"/>
    <n v="36861.227599999998"/>
    <n v="2.3999999975785613E-3"/>
    <m/>
    <s v="Aplicado"/>
    <n v="4"/>
    <n v="0"/>
    <n v="0"/>
    <x v="1"/>
    <x v="4"/>
    <s v="Samuel"/>
    <m/>
    <m/>
    <m/>
    <m/>
    <m/>
    <m/>
    <m/>
    <m/>
    <m/>
    <m/>
    <m/>
    <m/>
    <m/>
    <m/>
    <e v="#N/A"/>
  </r>
  <r>
    <n v="391961"/>
    <x v="263"/>
    <n v="31621.769108163997"/>
    <n v="0"/>
    <n v="5059.4830573062409"/>
    <n v="36681.26"/>
    <n v="0"/>
    <m/>
    <m/>
    <m/>
    <n v="0"/>
    <n v="31621.769108163997"/>
    <n v="0"/>
    <n v="5059.4830573062409"/>
    <n v="36681.252165470236"/>
    <m/>
    <m/>
    <m/>
    <n v="0"/>
    <n v="147022.98000000001"/>
    <s v="NO ES TOP"/>
    <n v="31621.769108163997"/>
    <n v="36681.252165470236"/>
    <n v="7.8345297661144286E-3"/>
    <m/>
    <s v="Aplicado"/>
    <n v="4"/>
    <n v="0"/>
    <n v="0"/>
    <x v="1"/>
    <x v="4"/>
    <s v="Yessenia"/>
    <m/>
    <m/>
    <m/>
    <m/>
    <m/>
    <m/>
    <m/>
    <m/>
    <m/>
    <m/>
    <m/>
    <m/>
    <m/>
    <m/>
    <e v="#N/A"/>
  </r>
  <r>
    <n v="56051"/>
    <x v="264"/>
    <n v="31564.748761247483"/>
    <n v="0"/>
    <n v="5050.3598017996001"/>
    <n v="36615.14"/>
    <n v="0"/>
    <m/>
    <m/>
    <m/>
    <n v="0"/>
    <n v="31564.748761247483"/>
    <n v="0"/>
    <n v="5050.3598017996001"/>
    <n v="36615.108563047084"/>
    <m/>
    <m/>
    <m/>
    <n v="0"/>
    <n v="77266.89"/>
    <s v="NO ES TOP"/>
    <n v="31564.748761247483"/>
    <n v="36615.108563047084"/>
    <n v="3.1436952915100846E-2"/>
    <m/>
    <s v="Aplicar"/>
    <n v="4"/>
    <n v="0"/>
    <n v="0"/>
    <x v="1"/>
    <x v="4"/>
    <s v="Yessica"/>
    <m/>
    <m/>
    <m/>
    <m/>
    <m/>
    <m/>
    <m/>
    <m/>
    <m/>
    <m/>
    <m/>
    <m/>
    <m/>
    <m/>
    <e v="#N/A"/>
  </r>
  <r>
    <n v="86199"/>
    <x v="265"/>
    <n v="32669.469314187998"/>
    <n v="2613.57144513504"/>
    <n v="0"/>
    <n v="35283.040000000008"/>
    <n v="35283.040000000001"/>
    <m/>
    <m/>
    <m/>
    <n v="0"/>
    <n v="32669.469314187998"/>
    <n v="2613.57144513504"/>
    <n v="0"/>
    <n v="35283.040759323041"/>
    <m/>
    <m/>
    <m/>
    <n v="0"/>
    <n v="872274.14"/>
    <s v="NO ES TOP"/>
    <n v="32669.469314187998"/>
    <n v="35283.040759323041"/>
    <n v="-7.5932303298031911E-4"/>
    <m/>
    <s v="Aplicado"/>
    <n v="4"/>
    <n v="0"/>
    <n v="0"/>
    <x v="1"/>
    <x v="4"/>
    <s v="Yessenia"/>
    <m/>
    <m/>
    <m/>
    <m/>
    <m/>
    <m/>
    <m/>
    <m/>
    <m/>
    <m/>
    <m/>
    <m/>
    <m/>
    <m/>
    <e v="#N/A"/>
  </r>
  <r>
    <n v="50989"/>
    <x v="266"/>
    <n v="35242.769999999997"/>
    <n v="0"/>
    <n v="0"/>
    <n v="35242.769999999997"/>
    <n v="35242.769999999997"/>
    <m/>
    <m/>
    <m/>
    <n v="0"/>
    <n v="35242.769999999997"/>
    <n v="0"/>
    <n v="0"/>
    <n v="35242.769999999997"/>
    <m/>
    <m/>
    <m/>
    <n v="0"/>
    <n v="1006828.75"/>
    <s v="NO ES TOP"/>
    <n v="35242.769999999997"/>
    <n v="35242.769999999997"/>
    <n v="0"/>
    <m/>
    <s v="Aplicado"/>
    <n v="4"/>
    <n v="0"/>
    <n v="0"/>
    <x v="1"/>
    <x v="4"/>
    <s v="Belem"/>
    <m/>
    <m/>
    <m/>
    <m/>
    <m/>
    <m/>
    <m/>
    <m/>
    <m/>
    <m/>
    <m/>
    <m/>
    <m/>
    <m/>
    <e v="#N/A"/>
  </r>
  <r>
    <n v="64840"/>
    <x v="267"/>
    <n v="34871.719999999994"/>
    <n v="0"/>
    <n v="0"/>
    <n v="34871.719999999994"/>
    <n v="34871.72"/>
    <m/>
    <m/>
    <m/>
    <n v="0"/>
    <n v="34871.719999999994"/>
    <n v="0"/>
    <n v="0"/>
    <n v="34871.719999999994"/>
    <m/>
    <m/>
    <m/>
    <n v="0"/>
    <n v="474913.19"/>
    <s v="NO ES TOP"/>
    <n v="34871.719999999994"/>
    <n v="34871.719999999994"/>
    <n v="0"/>
    <m/>
    <s v="Aplicado"/>
    <n v="4"/>
    <n v="0"/>
    <n v="0"/>
    <x v="1"/>
    <x v="4"/>
    <s v="Jessica"/>
    <m/>
    <m/>
    <m/>
    <m/>
    <m/>
    <m/>
    <m/>
    <m/>
    <m/>
    <m/>
    <m/>
    <m/>
    <m/>
    <m/>
    <e v="#N/A"/>
  </r>
  <r>
    <n v="327460"/>
    <x v="268"/>
    <n v="32237.780000000002"/>
    <n v="1681.1259000000002"/>
    <n v="741.24800000000005"/>
    <n v="34660.14"/>
    <n v="34660.14"/>
    <m/>
    <m/>
    <m/>
    <n v="0"/>
    <n v="32237.780000000002"/>
    <n v="1681.1259000000002"/>
    <n v="741.24800000000005"/>
    <n v="34660.153900000005"/>
    <m/>
    <m/>
    <m/>
    <n v="0"/>
    <n v="400848.85"/>
    <s v="NO ES TOP"/>
    <n v="32237.780000000002"/>
    <n v="34660.153900000005"/>
    <n v="-1.3900000005378388E-2"/>
    <m/>
    <s v="Aplicado"/>
    <n v="4"/>
    <n v="0"/>
    <m/>
    <x v="1"/>
    <x v="4"/>
    <s v="Luis"/>
    <m/>
    <m/>
    <m/>
    <m/>
    <m/>
    <m/>
    <m/>
    <m/>
    <m/>
    <m/>
    <m/>
    <m/>
    <m/>
    <m/>
    <e v="#N/A"/>
  </r>
  <r>
    <n v="302786"/>
    <x v="269"/>
    <n v="28391.040863447004"/>
    <n v="0"/>
    <n v="4542.5223381515198"/>
    <n v="32933.56"/>
    <n v="0"/>
    <m/>
    <m/>
    <m/>
    <n v="0"/>
    <n v="28391.040863447004"/>
    <n v="0"/>
    <n v="4542.5223381515198"/>
    <n v="32933.563201598525"/>
    <m/>
    <m/>
    <m/>
    <n v="0"/>
    <n v="208059.74"/>
    <s v="NO ES TOP"/>
    <n v="28391.040863447004"/>
    <n v="32933.563201598525"/>
    <n v="-3.2015985270845704E-3"/>
    <m/>
    <s v="Aplicar"/>
    <n v="4"/>
    <n v="0"/>
    <s v="sin comentarios del proveedor"/>
    <x v="1"/>
    <x v="4"/>
    <s v="Marcela"/>
    <m/>
    <m/>
    <m/>
    <m/>
    <m/>
    <m/>
    <m/>
    <m/>
    <m/>
    <m/>
    <m/>
    <m/>
    <m/>
    <m/>
    <e v="#N/A"/>
  </r>
  <r>
    <n v="6052"/>
    <x v="270"/>
    <n v="28210.659999999996"/>
    <n v="0"/>
    <n v="4513.7056000000002"/>
    <n v="32724.370000000003"/>
    <n v="32724.37"/>
    <m/>
    <m/>
    <m/>
    <n v="0"/>
    <n v="28210.659999999996"/>
    <n v="0"/>
    <n v="4513.7056000000002"/>
    <n v="32724.365599999997"/>
    <m/>
    <m/>
    <m/>
    <n v="0"/>
    <n v="87000.71"/>
    <s v="NO ES TOP"/>
    <n v="28210.659999999996"/>
    <n v="32724.365599999997"/>
    <n v="4.4000000052619725E-3"/>
    <m/>
    <s v="Aplicar"/>
    <n v="4"/>
    <n v="0"/>
    <s v="Sin contacto de proveedor"/>
    <x v="1"/>
    <x v="4"/>
    <s v="Mario"/>
    <m/>
    <m/>
    <m/>
    <m/>
    <m/>
    <m/>
    <m/>
    <m/>
    <m/>
    <m/>
    <m/>
    <m/>
    <m/>
    <m/>
    <e v="#N/A"/>
  </r>
  <r>
    <n v="36137"/>
    <x v="271"/>
    <n v="28106.13"/>
    <n v="0"/>
    <n v="4496.9808000000003"/>
    <n v="32603.11"/>
    <n v="32603.11"/>
    <m/>
    <m/>
    <m/>
    <n v="0"/>
    <n v="28106.13"/>
    <n v="0"/>
    <n v="4496.9808000000003"/>
    <n v="32603.110800000002"/>
    <m/>
    <m/>
    <m/>
    <n v="0"/>
    <n v="7709.62"/>
    <s v="NO ES TOP"/>
    <n v="28106.13"/>
    <n v="32603.110800000002"/>
    <n v="-8.0000000161817297E-4"/>
    <m/>
    <s v="Aplicar"/>
    <n v="4"/>
    <n v="1"/>
    <s v="1 contacto, se le comparta el archivo al proveedor"/>
    <x v="0"/>
    <x v="2"/>
    <s v="Sareé"/>
    <n v="32603.11"/>
    <s v="NO RECONOCE EL CARGO APLICADO"/>
    <n v="5"/>
    <s v="NO"/>
    <d v="2026-01-21T00:00:00"/>
    <d v="2026-01-22T00:00:00"/>
    <m/>
    <m/>
    <s v="Proveedor solicito detalle y se le hizo llegar"/>
    <s v="Casos abiertos( En proceso)"/>
    <s v="X"/>
    <m/>
    <m/>
    <m/>
    <e v="#N/A"/>
  </r>
  <r>
    <n v="87221"/>
    <x v="272"/>
    <n v="27339.61"/>
    <n v="0"/>
    <n v="4374.3375999999998"/>
    <n v="31713.950000000004"/>
    <n v="31713.95"/>
    <m/>
    <m/>
    <m/>
    <n v="0"/>
    <n v="27339.61"/>
    <n v="0"/>
    <n v="4374.3375999999998"/>
    <n v="31713.9476"/>
    <m/>
    <m/>
    <m/>
    <n v="0"/>
    <n v="2856"/>
    <s v="NO ES TOP"/>
    <n v="27339.61"/>
    <n v="31713.9476"/>
    <n v="2.4000000048545189E-3"/>
    <m/>
    <s v="Aplicado"/>
    <n v="4"/>
    <n v="0"/>
    <n v="0"/>
    <x v="1"/>
    <x v="4"/>
    <s v="Francisco"/>
    <m/>
    <m/>
    <m/>
    <m/>
    <m/>
    <m/>
    <m/>
    <m/>
    <m/>
    <m/>
    <m/>
    <m/>
    <m/>
    <m/>
    <e v="#N/A"/>
  </r>
  <r>
    <n v="381970"/>
    <x v="273"/>
    <n v="26976.6"/>
    <n v="0"/>
    <n v="4316.2560000000003"/>
    <n v="31292.856"/>
    <n v="31292.86"/>
    <m/>
    <m/>
    <m/>
    <n v="0"/>
    <n v="26976.6"/>
    <n v="0"/>
    <n v="4316.2560000000003"/>
    <n v="31292.856"/>
    <m/>
    <m/>
    <m/>
    <n v="0"/>
    <n v="23326.14"/>
    <s v="NO ES TOP"/>
    <n v="26976.6"/>
    <n v="31292.856"/>
    <n v="0"/>
    <m/>
    <s v="Aplicar"/>
    <n v="4"/>
    <n v="0"/>
    <s v="sin acercamiento por proveedor"/>
    <x v="1"/>
    <x v="4"/>
    <s v="Raul"/>
    <m/>
    <m/>
    <m/>
    <m/>
    <m/>
    <m/>
    <m/>
    <m/>
    <m/>
    <m/>
    <m/>
    <m/>
    <m/>
    <m/>
    <s v="alfredo.castanedachagolla@gepp.com"/>
  </r>
  <r>
    <n v="10948"/>
    <x v="274"/>
    <n v="31239.35"/>
    <n v="0"/>
    <n v="0"/>
    <n v="31239.35"/>
    <n v="0"/>
    <m/>
    <m/>
    <m/>
    <n v="0"/>
    <n v="31239.35"/>
    <n v="0"/>
    <n v="0"/>
    <n v="31239.35"/>
    <m/>
    <m/>
    <m/>
    <n v="0"/>
    <n v="35536.239999999998"/>
    <s v="NO ES TOP"/>
    <n v="31239.35"/>
    <n v="31239.35"/>
    <n v="0"/>
    <m/>
    <s v="Aplicar"/>
    <n v="4"/>
    <n v="0"/>
    <s v="Sin acercamiento por parte de proveedor"/>
    <x v="1"/>
    <x v="4"/>
    <s v="Sareé"/>
    <m/>
    <m/>
    <m/>
    <m/>
    <m/>
    <m/>
    <m/>
    <m/>
    <m/>
    <m/>
    <m/>
    <m/>
    <m/>
    <m/>
    <e v="#N/A"/>
  </r>
  <r>
    <n v="487"/>
    <x v="275"/>
    <n v="26469.770000000004"/>
    <n v="0"/>
    <n v="4235.1632"/>
    <n v="30704.93"/>
    <n v="30704.93"/>
    <m/>
    <m/>
    <m/>
    <n v="0"/>
    <n v="26469.770000000004"/>
    <n v="0"/>
    <n v="4235.1632"/>
    <n v="30704.933200000003"/>
    <m/>
    <m/>
    <m/>
    <n v="0"/>
    <n v="46239.09"/>
    <s v="NO ES TOP"/>
    <n v="26469.770000000004"/>
    <n v="30704.933200000003"/>
    <n v="-3.2000000028347131E-3"/>
    <m/>
    <s v="Aplicado"/>
    <n v="4"/>
    <n v="0"/>
    <n v="0"/>
    <x v="1"/>
    <x v="4"/>
    <s v="Francisco"/>
    <m/>
    <m/>
    <m/>
    <m/>
    <m/>
    <m/>
    <m/>
    <m/>
    <m/>
    <m/>
    <m/>
    <m/>
    <m/>
    <m/>
    <e v="#N/A"/>
  </r>
  <r>
    <n v="226092"/>
    <x v="276"/>
    <n v="20819.2336346128"/>
    <n v="5517.09711317238"/>
    <n v="4213.8129716456197"/>
    <n v="30550.160000000003"/>
    <n v="30550.16"/>
    <m/>
    <m/>
    <m/>
    <n v="0"/>
    <n v="20819.2336346128"/>
    <n v="5517.09711317238"/>
    <n v="4213.8129716456197"/>
    <n v="30550.143719430798"/>
    <m/>
    <m/>
    <m/>
    <n v="0"/>
    <n v="362385.09"/>
    <s v="NO ES TOP"/>
    <n v="20819.2336346128"/>
    <n v="30550.143719430798"/>
    <n v="1.6280569205264328E-2"/>
    <m/>
    <s v="Aplicar"/>
    <n v="4"/>
    <n v="0"/>
    <s v="Sin acercamiento por parte de proveedor"/>
    <x v="1"/>
    <x v="4"/>
    <s v="Samuel"/>
    <m/>
    <m/>
    <m/>
    <m/>
    <m/>
    <m/>
    <m/>
    <m/>
    <m/>
    <m/>
    <m/>
    <m/>
    <m/>
    <m/>
    <e v="#N/A"/>
  </r>
  <r>
    <n v="391011"/>
    <x v="277"/>
    <n v="25199.73"/>
    <n v="0"/>
    <n v="4031.9567999999999"/>
    <n v="29231.7"/>
    <n v="29232.09"/>
    <m/>
    <m/>
    <m/>
    <n v="0"/>
    <n v="25199.73"/>
    <n v="0"/>
    <n v="4031.9567999999999"/>
    <n v="29231.686799999999"/>
    <m/>
    <m/>
    <m/>
    <n v="0"/>
    <n v="9039.8799999999992"/>
    <s v="NO ES TOP"/>
    <n v="25199.73"/>
    <n v="29231.686799999999"/>
    <n v="1.3200000001234002E-2"/>
    <m/>
    <s v="Aplicar"/>
    <n v="4"/>
    <n v="0"/>
    <s v="Sin acercamiento por parte de proveedor"/>
    <x v="1"/>
    <x v="4"/>
    <s v="Samuel"/>
    <m/>
    <m/>
    <m/>
    <m/>
    <m/>
    <m/>
    <m/>
    <m/>
    <m/>
    <m/>
    <m/>
    <m/>
    <m/>
    <m/>
    <e v="#N/A"/>
  </r>
  <r>
    <n v="73528"/>
    <x v="278"/>
    <n v="25055.383671184005"/>
    <n v="0"/>
    <n v="4008.86898738944"/>
    <n v="29064.249999999996"/>
    <n v="0"/>
    <m/>
    <m/>
    <m/>
    <n v="0"/>
    <n v="25055.383671184005"/>
    <n v="0"/>
    <n v="4008.86898738944"/>
    <n v="29064.252658573445"/>
    <m/>
    <m/>
    <m/>
    <n v="0"/>
    <n v="10235.07"/>
    <s v="NO ES TOP"/>
    <n v="25055.383671184005"/>
    <n v="29064.252658573445"/>
    <n v="-2.658573448570678E-3"/>
    <m/>
    <s v="Aplicar"/>
    <n v="4"/>
    <n v="0"/>
    <n v="0"/>
    <x v="1"/>
    <x v="4"/>
    <s v="Belem"/>
    <m/>
    <m/>
    <m/>
    <m/>
    <m/>
    <m/>
    <m/>
    <m/>
    <m/>
    <m/>
    <m/>
    <m/>
    <m/>
    <m/>
    <e v="#N/A"/>
  </r>
  <r>
    <n v="396234"/>
    <x v="279"/>
    <n v="24788.137393540801"/>
    <n v="0"/>
    <n v="3966.1019829665274"/>
    <n v="28754.29"/>
    <n v="28754.29"/>
    <m/>
    <m/>
    <m/>
    <n v="0"/>
    <n v="24788.137393540801"/>
    <n v="0"/>
    <n v="3966.1019829665274"/>
    <n v="28754.239376507328"/>
    <m/>
    <m/>
    <m/>
    <n v="0"/>
    <n v="113153.43"/>
    <s v="NO ES TOP"/>
    <n v="24788.137393540801"/>
    <n v="28754.239376507328"/>
    <n v="5.062349267245736E-2"/>
    <m/>
    <s v="Aplicado"/>
    <n v="4"/>
    <n v="0"/>
    <m/>
    <x v="1"/>
    <x v="4"/>
    <s v="Luis"/>
    <m/>
    <m/>
    <m/>
    <m/>
    <m/>
    <m/>
    <m/>
    <m/>
    <m/>
    <m/>
    <m/>
    <m/>
    <m/>
    <m/>
    <e v="#N/A"/>
  </r>
  <r>
    <n v="12246"/>
    <x v="280"/>
    <n v="28547.25"/>
    <n v="0"/>
    <n v="0"/>
    <n v="28547.25"/>
    <n v="28547.25"/>
    <m/>
    <m/>
    <m/>
    <n v="0"/>
    <n v="28547.25"/>
    <n v="0"/>
    <n v="0"/>
    <n v="28547.25"/>
    <m/>
    <m/>
    <m/>
    <n v="0"/>
    <n v="17394.849999999999"/>
    <s v="NO ES TOP"/>
    <n v="28547.25"/>
    <n v="28547.25"/>
    <n v="0"/>
    <m/>
    <s v="Aplicado"/>
    <n v="4"/>
    <n v="0"/>
    <m/>
    <x v="1"/>
    <x v="4"/>
    <s v="Luis"/>
    <m/>
    <m/>
    <m/>
    <m/>
    <m/>
    <m/>
    <m/>
    <m/>
    <m/>
    <m/>
    <m/>
    <m/>
    <m/>
    <m/>
    <e v="#N/A"/>
  </r>
  <r>
    <n v="308721"/>
    <x v="281"/>
    <n v="23288.649001843005"/>
    <n v="0"/>
    <n v="3646.7089402948804"/>
    <n v="26935.340000000004"/>
    <n v="26935.35"/>
    <m/>
    <m/>
    <m/>
    <n v="0"/>
    <n v="23288.649001843005"/>
    <n v="0"/>
    <n v="3646.7089402948804"/>
    <n v="26935.357942137885"/>
    <m/>
    <m/>
    <m/>
    <n v="0"/>
    <m/>
    <s v="NO ES TOP"/>
    <n v="23288.649001843005"/>
    <n v="26935.357942137885"/>
    <n v="-1.7942137881618692E-2"/>
    <m/>
    <s v="Aplicar"/>
    <n v="4"/>
    <n v="0"/>
    <n v="0"/>
    <x v="1"/>
    <x v="4"/>
    <s v="Yessenia"/>
    <m/>
    <m/>
    <m/>
    <m/>
    <m/>
    <m/>
    <m/>
    <m/>
    <m/>
    <m/>
    <m/>
    <m/>
    <m/>
    <m/>
    <e v="#N/A"/>
  </r>
  <r>
    <n v="4404"/>
    <x v="282"/>
    <n v="23186.02"/>
    <n v="0"/>
    <n v="3709.7805999999996"/>
    <n v="26895.94"/>
    <n v="26895.94"/>
    <m/>
    <m/>
    <m/>
    <n v="0"/>
    <n v="23186.02"/>
    <n v="0"/>
    <n v="3709.7805999999996"/>
    <n v="26895.800599999999"/>
    <m/>
    <m/>
    <m/>
    <n v="0"/>
    <n v="16270.37"/>
    <s v="NO ES TOP"/>
    <n v="23186.02"/>
    <n v="26895.800599999999"/>
    <n v="0.13940000000002328"/>
    <m/>
    <s v="Aplicado"/>
    <n v="4"/>
    <n v="0"/>
    <n v="0"/>
    <x v="1"/>
    <x v="4"/>
    <s v="Yessica"/>
    <m/>
    <m/>
    <m/>
    <m/>
    <m/>
    <m/>
    <m/>
    <m/>
    <m/>
    <m/>
    <m/>
    <m/>
    <m/>
    <m/>
    <e v="#N/A"/>
  </r>
  <r>
    <n v="203749"/>
    <x v="283"/>
    <n v="22446.83"/>
    <n v="0"/>
    <n v="3591.4928"/>
    <n v="26038.32"/>
    <n v="26038.32"/>
    <m/>
    <m/>
    <m/>
    <n v="0"/>
    <n v="22446.83"/>
    <n v="0"/>
    <n v="3591.4928"/>
    <n v="26038.322800000002"/>
    <m/>
    <m/>
    <m/>
    <n v="0"/>
    <n v="162976.04999999999"/>
    <s v="NO ES TOP"/>
    <n v="22446.83"/>
    <n v="26038.322800000002"/>
    <n v="-2.8000000020256266E-3"/>
    <m/>
    <s v="Aplicado"/>
    <n v="4"/>
    <n v="0"/>
    <n v="0"/>
    <x v="1"/>
    <x v="4"/>
    <s v="Francisco"/>
    <m/>
    <m/>
    <m/>
    <m/>
    <m/>
    <m/>
    <m/>
    <m/>
    <m/>
    <m/>
    <m/>
    <m/>
    <m/>
    <m/>
    <e v="#N/A"/>
  </r>
  <r>
    <n v="312017"/>
    <x v="284"/>
    <n v="25810.789999999994"/>
    <n v="0"/>
    <n v="0"/>
    <n v="25810.789999999994"/>
    <n v="25810.79"/>
    <m/>
    <m/>
    <m/>
    <n v="0"/>
    <n v="25810.789999999994"/>
    <n v="0"/>
    <n v="0"/>
    <n v="25810.789999999994"/>
    <m/>
    <m/>
    <m/>
    <n v="0"/>
    <n v="352721.39"/>
    <s v="NO ES TOP"/>
    <n v="25810.789999999994"/>
    <n v="25810.789999999994"/>
    <n v="0"/>
    <m/>
    <s v="Aplicado"/>
    <n v="4"/>
    <n v="0"/>
    <n v="0"/>
    <x v="1"/>
    <x v="4"/>
    <s v="Jessica"/>
    <m/>
    <m/>
    <m/>
    <m/>
    <m/>
    <m/>
    <m/>
    <m/>
    <m/>
    <m/>
    <m/>
    <m/>
    <m/>
    <m/>
    <e v="#N/A"/>
  </r>
  <r>
    <n v="329763"/>
    <x v="285"/>
    <n v="22230.299800000001"/>
    <n v="0"/>
    <n v="3556.8480000000004"/>
    <n v="25787.123399999997"/>
    <n v="25787.119999999999"/>
    <m/>
    <m/>
    <m/>
    <n v="0"/>
    <n v="22230.299800000001"/>
    <n v="0"/>
    <n v="3556.8480000000004"/>
    <n v="25787.147800000002"/>
    <m/>
    <m/>
    <m/>
    <n v="0"/>
    <m/>
    <s v="NO ES TOP"/>
    <n v="22230.299800000001"/>
    <n v="25787.147800000002"/>
    <n v="-2.440000000569853E-2"/>
    <m/>
    <s v="Aplicado"/>
    <n v="4"/>
    <n v="0"/>
    <n v="0"/>
    <x v="1"/>
    <x v="4"/>
    <s v="Olfi"/>
    <m/>
    <m/>
    <m/>
    <m/>
    <m/>
    <m/>
    <m/>
    <m/>
    <m/>
    <m/>
    <m/>
    <m/>
    <m/>
    <m/>
    <e v="#N/A"/>
  </r>
  <r>
    <n v="77933"/>
    <x v="286"/>
    <n v="22135.75"/>
    <n v="0"/>
    <n v="3541.72"/>
    <n v="25677.47"/>
    <n v="25677.47"/>
    <m/>
    <m/>
    <m/>
    <n v="0"/>
    <n v="22135.75"/>
    <n v="0"/>
    <n v="3541.72"/>
    <n v="25677.47"/>
    <m/>
    <m/>
    <m/>
    <n v="0"/>
    <n v="54203.08"/>
    <s v="NO ES TOP"/>
    <n v="22135.75"/>
    <n v="25677.47"/>
    <n v="0"/>
    <m/>
    <s v="Aplicar"/>
    <n v="4"/>
    <n v="1"/>
    <s v="sin respuesta del proveedor a detalle enviado"/>
    <x v="0"/>
    <x v="2"/>
    <s v="Marcela"/>
    <n v="2188.5300000000002"/>
    <s v="CALCULO DEL PORCENTAJE DE NIVEL DE SERVICIO"/>
    <n v="1"/>
    <s v="SI"/>
    <d v="2026-01-26T00:00:00"/>
    <d v="2026-01-27T00:00:00"/>
    <m/>
    <m/>
    <s v="Se le comparte proceso para visualizar el detalle en portal"/>
    <s v="Casos abiertos( En proceso)"/>
    <s v="X"/>
    <m/>
    <m/>
    <s v="Se le comparte el detalle al proveedor"/>
    <e v="#N/A"/>
  </r>
  <r>
    <n v="387779"/>
    <x v="287"/>
    <n v="21516.455869416"/>
    <n v="0"/>
    <n v="3442.6329391065601"/>
    <n v="24959.09"/>
    <n v="24959.09"/>
    <m/>
    <m/>
    <m/>
    <n v="0"/>
    <n v="21516.455869416"/>
    <n v="0"/>
    <n v="3442.6329391065601"/>
    <n v="24959.08880852256"/>
    <m/>
    <m/>
    <m/>
    <n v="0"/>
    <n v="576833.03"/>
    <s v="NO ES TOP"/>
    <n v="21516.455869416"/>
    <n v="24959.08880852256"/>
    <n v="1.1914774404431228E-3"/>
    <m/>
    <s v="Aplicar"/>
    <n v="4"/>
    <n v="0"/>
    <n v="0"/>
    <x v="1"/>
    <x v="4"/>
    <s v="Andrea"/>
    <m/>
    <m/>
    <m/>
    <m/>
    <m/>
    <m/>
    <m/>
    <m/>
    <m/>
    <m/>
    <m/>
    <m/>
    <m/>
    <m/>
    <e v="#N/A"/>
  </r>
  <r>
    <n v="20845"/>
    <x v="288"/>
    <n v="21475.68"/>
    <n v="0"/>
    <n v="3436.1088"/>
    <n v="24911.78"/>
    <n v="10340.77"/>
    <m/>
    <m/>
    <m/>
    <n v="0"/>
    <n v="21475.68"/>
    <n v="0"/>
    <n v="3436.1088"/>
    <n v="24911.788800000002"/>
    <m/>
    <m/>
    <m/>
    <n v="0"/>
    <n v="18833.95"/>
    <s v="NO ES TOP"/>
    <n v="21475.68"/>
    <n v="24911.788800000002"/>
    <n v="-8.8000000032479875E-3"/>
    <m/>
    <s v="Aplicar"/>
    <n v="4"/>
    <n v="0"/>
    <n v="0"/>
    <x v="1"/>
    <x v="4"/>
    <s v="Yessenia"/>
    <m/>
    <m/>
    <m/>
    <m/>
    <m/>
    <m/>
    <m/>
    <m/>
    <m/>
    <m/>
    <m/>
    <m/>
    <m/>
    <m/>
    <e v="#N/A"/>
  </r>
  <r>
    <n v="345983"/>
    <x v="289"/>
    <n v="24365.25"/>
    <n v="0"/>
    <n v="0"/>
    <n v="24365.25"/>
    <n v="24365.25"/>
    <m/>
    <m/>
    <m/>
    <n v="0"/>
    <n v="24365.25"/>
    <n v="0"/>
    <n v="0"/>
    <n v="24365.25"/>
    <m/>
    <m/>
    <m/>
    <n v="0"/>
    <n v="382112.52"/>
    <s v="NO ES TOP"/>
    <n v="24365.25"/>
    <n v="24365.25"/>
    <n v="0"/>
    <m/>
    <s v="Aplicado"/>
    <n v="4"/>
    <n v="0"/>
    <s v="Sin contacto de proveedor"/>
    <x v="1"/>
    <x v="4"/>
    <s v="Mario"/>
    <m/>
    <m/>
    <m/>
    <m/>
    <m/>
    <m/>
    <m/>
    <m/>
    <m/>
    <m/>
    <m/>
    <m/>
    <m/>
    <m/>
    <e v="#N/A"/>
  </r>
  <r>
    <n v="16200"/>
    <x v="290"/>
    <n v="23143.370890109803"/>
    <n v="0"/>
    <n v="0"/>
    <n v="23143.37"/>
    <n v="23143.37"/>
    <m/>
    <m/>
    <m/>
    <n v="0"/>
    <n v="23143.370890109803"/>
    <n v="0"/>
    <n v="0"/>
    <n v="23143.370890109803"/>
    <m/>
    <m/>
    <m/>
    <n v="0"/>
    <m/>
    <s v="NO ES TOP"/>
    <n v="23143.370890109803"/>
    <n v="23143.370890109803"/>
    <n v="-8.9010980445891619E-4"/>
    <m/>
    <s v="Aplicado"/>
    <n v="4"/>
    <n v="0"/>
    <n v="0"/>
    <x v="1"/>
    <x v="4"/>
    <s v="Yessica"/>
    <m/>
    <m/>
    <m/>
    <m/>
    <m/>
    <m/>
    <m/>
    <m/>
    <m/>
    <m/>
    <m/>
    <m/>
    <m/>
    <m/>
    <s v="erangel@alimentoscazerola.com"/>
  </r>
  <r>
    <n v="314807"/>
    <x v="291"/>
    <n v="19790.580000000002"/>
    <n v="0"/>
    <n v="3166.4928"/>
    <n v="22957.07"/>
    <n v="0"/>
    <m/>
    <m/>
    <m/>
    <n v="0"/>
    <n v="19790.580000000002"/>
    <n v="0"/>
    <n v="3166.4928"/>
    <n v="22957.072800000002"/>
    <m/>
    <m/>
    <m/>
    <n v="0"/>
    <n v="478549.74"/>
    <s v="NO ES TOP"/>
    <n v="19790.580000000002"/>
    <n v="22957.072800000002"/>
    <n v="-2.8000000020256266E-3"/>
    <m/>
    <s v="Aplicar"/>
    <n v="4"/>
    <n v="0"/>
    <s v="Sin contacto de proveedor"/>
    <x v="1"/>
    <x v="4"/>
    <s v="Luis"/>
    <m/>
    <m/>
    <m/>
    <m/>
    <m/>
    <m/>
    <m/>
    <m/>
    <m/>
    <m/>
    <m/>
    <m/>
    <m/>
    <m/>
    <e v="#N/A"/>
  </r>
  <r>
    <n v="385534"/>
    <x v="292"/>
    <n v="19153.807755703998"/>
    <n v="0"/>
    <n v="3064.6195409126403"/>
    <n v="22218.41"/>
    <n v="22218.41"/>
    <m/>
    <m/>
    <m/>
    <n v="0"/>
    <n v="19153.807755703998"/>
    <n v="0"/>
    <n v="3064.6195409126403"/>
    <n v="22218.427296616639"/>
    <m/>
    <m/>
    <m/>
    <n v="0"/>
    <n v="161114.23999999999"/>
    <s v="NO ES TOP"/>
    <n v="19153.807755703998"/>
    <n v="22218.427296616639"/>
    <n v="-1.7296616639214335E-2"/>
    <m/>
    <s v="Aplicar"/>
    <n v="4"/>
    <n v="1"/>
    <s v="Se envió detalle de pedidos penalizados  el 4 de febrero y no ha contestado el proveedor"/>
    <x v="0"/>
    <x v="2"/>
    <s v="Francisco"/>
    <n v="22218.41"/>
    <s v="DETALLE DE LOS CARGOS EN EL PORTAL"/>
    <m/>
    <m/>
    <d v="2026-02-04T00:00:00"/>
    <m/>
    <m/>
    <m/>
    <s v="Se envió le detalle de los pedidos ya que no podia visualizarlos en el Portal"/>
    <m/>
    <m/>
    <m/>
    <m/>
    <m/>
    <e v="#N/A"/>
  </r>
  <r>
    <n v="322206"/>
    <x v="293"/>
    <n v="18692.240000000002"/>
    <n v="0"/>
    <n v="2990.739"/>
    <n v="21682.9"/>
    <n v="21682.9"/>
    <m/>
    <m/>
    <m/>
    <n v="0"/>
    <n v="18692.240000000002"/>
    <n v="0"/>
    <n v="2990.739"/>
    <n v="21682.979000000003"/>
    <m/>
    <m/>
    <m/>
    <n v="0"/>
    <n v="150383.42000000001"/>
    <s v="NO ES TOP"/>
    <n v="18692.240000000002"/>
    <n v="21682.979000000003"/>
    <n v="-7.9000000001542503E-2"/>
    <m/>
    <s v="Aplicar"/>
    <n v="4"/>
    <n v="0"/>
    <n v="0"/>
    <x v="1"/>
    <x v="4"/>
    <s v="Jessica"/>
    <m/>
    <m/>
    <m/>
    <m/>
    <m/>
    <m/>
    <m/>
    <m/>
    <m/>
    <m/>
    <m/>
    <m/>
    <m/>
    <m/>
    <e v="#N/A"/>
  </r>
  <r>
    <n v="101113"/>
    <x v="294"/>
    <n v="18530.670000000002"/>
    <n v="0"/>
    <n v="2964.9230000000007"/>
    <n v="21495.589999999997"/>
    <n v="21495.59"/>
    <m/>
    <m/>
    <m/>
    <n v="0"/>
    <n v="18530.670000000002"/>
    <n v="0"/>
    <n v="2964.9230000000007"/>
    <n v="21495.593000000001"/>
    <m/>
    <m/>
    <m/>
    <n v="0"/>
    <m/>
    <s v="NO ES TOP"/>
    <n v="18530.670000000002"/>
    <n v="21495.593000000001"/>
    <n v="-3.0000000042491592E-3"/>
    <m/>
    <s v="Aplicado"/>
    <n v="4"/>
    <n v="0"/>
    <s v="Sin contacto de proveedor"/>
    <x v="1"/>
    <x v="4"/>
    <s v="Mario"/>
    <m/>
    <m/>
    <m/>
    <m/>
    <m/>
    <m/>
    <m/>
    <m/>
    <m/>
    <m/>
    <m/>
    <m/>
    <m/>
    <m/>
    <e v="#N/A"/>
  </r>
  <r>
    <n v="227439"/>
    <x v="295"/>
    <n v="18004.03"/>
    <n v="0"/>
    <n v="2880.6448"/>
    <n v="20884.68"/>
    <n v="20884.68"/>
    <m/>
    <m/>
    <m/>
    <n v="0"/>
    <n v="18004.03"/>
    <n v="0"/>
    <n v="2880.6448"/>
    <n v="20884.674800000001"/>
    <m/>
    <m/>
    <m/>
    <n v="0"/>
    <n v="27778.95"/>
    <s v="NO ES TOP"/>
    <n v="18004.03"/>
    <n v="20884.674800000001"/>
    <n v="5.1999999996041879E-3"/>
    <m/>
    <s v="Aplicado"/>
    <n v="4"/>
    <n v="0"/>
    <m/>
    <x v="1"/>
    <x v="4"/>
    <s v="Luis"/>
    <m/>
    <m/>
    <m/>
    <m/>
    <m/>
    <m/>
    <m/>
    <m/>
    <m/>
    <m/>
    <m/>
    <m/>
    <m/>
    <m/>
    <e v="#N/A"/>
  </r>
  <r>
    <n v="1530"/>
    <x v="296"/>
    <n v="20017.239999999998"/>
    <n v="0"/>
    <n v="0"/>
    <n v="20017.239999999998"/>
    <n v="20017.240000000002"/>
    <m/>
    <m/>
    <m/>
    <n v="0"/>
    <n v="20017.239999999998"/>
    <n v="0"/>
    <n v="0"/>
    <n v="20017.239999999998"/>
    <m/>
    <m/>
    <m/>
    <n v="0"/>
    <n v="138816.87"/>
    <s v="NO ES TOP"/>
    <n v="20017.239999999998"/>
    <n v="20017.239999999998"/>
    <n v="0"/>
    <m/>
    <s v="Aplicado"/>
    <n v="4"/>
    <n v="0"/>
    <n v="0"/>
    <x v="1"/>
    <x v="4"/>
    <s v="Sareé"/>
    <m/>
    <m/>
    <m/>
    <m/>
    <m/>
    <m/>
    <m/>
    <m/>
    <m/>
    <m/>
    <m/>
    <m/>
    <m/>
    <m/>
    <e v="#N/A"/>
  </r>
  <r>
    <n v="309401"/>
    <x v="297"/>
    <n v="17148.760000000002"/>
    <n v="0"/>
    <n v="2743.8015999999998"/>
    <n v="19892.57"/>
    <n v="19892.57"/>
    <m/>
    <m/>
    <m/>
    <n v="0"/>
    <n v="17148.760000000002"/>
    <n v="0"/>
    <n v="2743.8015999999998"/>
    <n v="19892.561600000001"/>
    <m/>
    <m/>
    <m/>
    <n v="0"/>
    <n v="414252.67"/>
    <s v="NO ES TOP"/>
    <n v="17148.760000000002"/>
    <n v="19892.561600000001"/>
    <n v="8.3999999988009222E-3"/>
    <m/>
    <s v="Aplicar"/>
    <n v="4"/>
    <n v="0"/>
    <n v="0"/>
    <x v="1"/>
    <x v="4"/>
    <s v="Yessenia"/>
    <m/>
    <m/>
    <m/>
    <m/>
    <m/>
    <m/>
    <m/>
    <m/>
    <m/>
    <m/>
    <m/>
    <m/>
    <m/>
    <m/>
    <e v="#N/A"/>
  </r>
  <r>
    <n v="388736"/>
    <x v="298"/>
    <n v="16761.09"/>
    <n v="0"/>
    <n v="2681.7743999999998"/>
    <n v="19442.87"/>
    <n v="19442.87"/>
    <m/>
    <m/>
    <m/>
    <n v="0"/>
    <n v="16761.09"/>
    <n v="0"/>
    <n v="2681.7743999999998"/>
    <n v="19442.864399999999"/>
    <m/>
    <m/>
    <m/>
    <n v="0"/>
    <n v="785.48"/>
    <s v="NO ES TOP"/>
    <n v="16761.09"/>
    <n v="19442.864399999999"/>
    <n v="5.6000000004132744E-3"/>
    <m/>
    <s v="Aplicado"/>
    <n v="4"/>
    <n v="0"/>
    <n v="0"/>
    <x v="1"/>
    <x v="4"/>
    <s v="Yessenia"/>
    <m/>
    <m/>
    <m/>
    <m/>
    <m/>
    <m/>
    <m/>
    <m/>
    <m/>
    <m/>
    <m/>
    <m/>
    <m/>
    <m/>
    <e v="#N/A"/>
  </r>
  <r>
    <n v="77289"/>
    <x v="299"/>
    <n v="16492.91"/>
    <n v="0"/>
    <n v="2638.8656000000001"/>
    <n v="19131.77"/>
    <n v="19131.77"/>
    <m/>
    <m/>
    <m/>
    <n v="0"/>
    <n v="16492.91"/>
    <n v="0"/>
    <n v="2638.8656000000001"/>
    <n v="19131.775600000001"/>
    <m/>
    <m/>
    <m/>
    <n v="0"/>
    <n v="43900.67"/>
    <s v="NO ES TOP"/>
    <n v="16492.91"/>
    <n v="19131.775600000001"/>
    <n v="-5.6000000004132744E-3"/>
    <m/>
    <s v="Aplicado"/>
    <n v="4"/>
    <n v="0"/>
    <m/>
    <x v="1"/>
    <x v="4"/>
    <s v="Luis"/>
    <m/>
    <m/>
    <m/>
    <m/>
    <m/>
    <m/>
    <m/>
    <m/>
    <m/>
    <m/>
    <m/>
    <m/>
    <m/>
    <m/>
    <s v="jorge.armando@pascual.com.mx"/>
  </r>
  <r>
    <n v="4830"/>
    <x v="300"/>
    <n v="19128.419999999998"/>
    <n v="0"/>
    <n v="0"/>
    <n v="19128.419999999998"/>
    <n v="19128.419999999998"/>
    <m/>
    <m/>
    <m/>
    <n v="0"/>
    <n v="19128.419999999998"/>
    <n v="0"/>
    <n v="0"/>
    <n v="19128.419999999998"/>
    <m/>
    <m/>
    <m/>
    <n v="0"/>
    <n v="208566.13"/>
    <s v="NO ES TOP"/>
    <n v="19128.419999999998"/>
    <n v="19128.419999999998"/>
    <n v="0"/>
    <m/>
    <s v="Aplicado"/>
    <n v="4"/>
    <n v="0"/>
    <n v="0"/>
    <x v="1"/>
    <x v="4"/>
    <s v="Olfi"/>
    <m/>
    <m/>
    <m/>
    <m/>
    <m/>
    <m/>
    <m/>
    <m/>
    <m/>
    <m/>
    <m/>
    <m/>
    <m/>
    <m/>
    <s v="JFGALMACEN@ILSAFRIGO.COM.MX"/>
  </r>
  <r>
    <n v="15331"/>
    <x v="301"/>
    <n v="17942.349999999999"/>
    <n v="343.84160000000003"/>
    <n v="0"/>
    <n v="18286.189999999999"/>
    <n v="18286.189999999999"/>
    <m/>
    <m/>
    <m/>
    <n v="0"/>
    <n v="17942.349999999999"/>
    <n v="343.84160000000003"/>
    <n v="0"/>
    <n v="18286.191599999998"/>
    <m/>
    <m/>
    <m/>
    <n v="0"/>
    <n v="34573.879999999997"/>
    <s v="NO ES TOP"/>
    <n v="17942.349999999999"/>
    <n v="18286.191599999998"/>
    <n v="-1.5999999995983671E-3"/>
    <m/>
    <s v="Aplicado"/>
    <n v="4"/>
    <n v="0"/>
    <n v="0"/>
    <x v="1"/>
    <x v="4"/>
    <s v="Francisco"/>
    <m/>
    <m/>
    <m/>
    <m/>
    <m/>
    <m/>
    <m/>
    <m/>
    <m/>
    <m/>
    <m/>
    <m/>
    <m/>
    <m/>
    <e v="#N/A"/>
  </r>
  <r>
    <n v="666"/>
    <x v="302"/>
    <n v="15515.62"/>
    <n v="0"/>
    <n v="2482.4992000000002"/>
    <n v="17998.11"/>
    <n v="17998.11"/>
    <m/>
    <m/>
    <m/>
    <n v="0"/>
    <n v="15515.62"/>
    <n v="0"/>
    <n v="2482.4992000000002"/>
    <n v="17998.119200000001"/>
    <m/>
    <m/>
    <m/>
    <n v="0"/>
    <n v="71878.929999999993"/>
    <s v="NO ES TOP"/>
    <n v="15515.62"/>
    <n v="17998.119200000001"/>
    <n v="-9.2000000004190952E-3"/>
    <m/>
    <s v="Aplicar"/>
    <n v="4"/>
    <n v="0"/>
    <n v="0"/>
    <x v="1"/>
    <x v="4"/>
    <s v="Andrea"/>
    <m/>
    <m/>
    <m/>
    <m/>
    <m/>
    <m/>
    <m/>
    <m/>
    <m/>
    <m/>
    <m/>
    <m/>
    <m/>
    <m/>
    <e v="#N/A"/>
  </r>
  <r>
    <n v="342493"/>
    <x v="303"/>
    <n v="15461.130000000001"/>
    <n v="0"/>
    <n v="2473.7808"/>
    <n v="17934.920000000002"/>
    <n v="17934.919999999998"/>
    <m/>
    <m/>
    <m/>
    <n v="0"/>
    <n v="15461.130000000001"/>
    <n v="0"/>
    <n v="2473.7808"/>
    <n v="17934.910800000001"/>
    <m/>
    <m/>
    <m/>
    <n v="0"/>
    <n v="25299.74"/>
    <s v="NO ES TOP"/>
    <n v="15461.130000000001"/>
    <n v="17934.910800000001"/>
    <n v="9.2000000004190952E-3"/>
    <m/>
    <s v="Aplicado"/>
    <n v="4"/>
    <n v="0"/>
    <m/>
    <x v="1"/>
    <x v="4"/>
    <s v="Luis"/>
    <m/>
    <m/>
    <m/>
    <m/>
    <m/>
    <m/>
    <m/>
    <m/>
    <m/>
    <m/>
    <m/>
    <m/>
    <m/>
    <m/>
    <e v="#N/A"/>
  </r>
  <r>
    <n v="312082"/>
    <x v="304"/>
    <n v="15342.73"/>
    <n v="0"/>
    <n v="2454.8630000000003"/>
    <n v="17797.57"/>
    <n v="0"/>
    <m/>
    <m/>
    <m/>
    <n v="0"/>
    <n v="14977.56"/>
    <n v="0"/>
    <n v="2396.4330000000004"/>
    <n v="17373.992999999999"/>
    <n v="365.17"/>
    <n v="0"/>
    <n v="58.43"/>
    <n v="423.6"/>
    <n v="40095.58"/>
    <s v="NO ES TOP"/>
    <n v="15342.73"/>
    <n v="17797.592999999997"/>
    <n v="-2.2999999997409759E-2"/>
    <m/>
    <s v="Revisión"/>
    <n v="4"/>
    <n v="2"/>
    <s v="Se envia correo el 9 de feb con el  resultado del análisis,se solicitan soportes para lo pendiente"/>
    <x v="0"/>
    <x v="5"/>
    <s v="Olfi"/>
    <n v="726.7"/>
    <s v="RECHAZO DEL CEDIS SI ENTREGO EN TIEMPO "/>
    <n v="1"/>
    <m/>
    <d v="2026-02-06T00:00:00"/>
    <m/>
    <m/>
    <m/>
    <s v="Se envia análisis y resultado del monto reclamado"/>
    <m/>
    <m/>
    <m/>
    <m/>
    <m/>
    <e v="#N/A"/>
  </r>
  <r>
    <n v="385559"/>
    <x v="305"/>
    <n v="15129.05"/>
    <n v="0"/>
    <n v="2420.6480000000001"/>
    <n v="17549.689999999999"/>
    <n v="17549.689999999999"/>
    <n v="15129.05"/>
    <n v="0"/>
    <n v="2420.6480000000001"/>
    <n v="17549.698"/>
    <n v="0"/>
    <n v="0"/>
    <n v="0"/>
    <n v="0"/>
    <m/>
    <m/>
    <m/>
    <n v="0"/>
    <n v="55991.95"/>
    <s v="NO ES TOP"/>
    <n v="15129.05"/>
    <n v="17549.698"/>
    <n v="-8.0000000016298145E-3"/>
    <m/>
    <s v="Aplicado"/>
    <n v="4"/>
    <n v="0"/>
    <n v="0"/>
    <x v="0"/>
    <x v="3"/>
    <s v="Yessenia"/>
    <n v="17549.689999999999"/>
    <s v="ERROR EN EL CALCULO DEL CARGO SOLICTA EL REEMBOLSO"/>
    <n v="1"/>
    <m/>
    <d v="2026-01-28T00:00:00"/>
    <d v="2026-01-28T00:00:00"/>
    <m/>
    <m/>
    <s v="Se envía correo con respuesta sobre el margen solictado por proveedor, posterirmente proveedor da respuesta y acepta el difencial "/>
    <s v="Casos cerrados"/>
    <s v="X"/>
    <m/>
    <m/>
    <s v="correo compartido por Ambriz Ruiz Jair Alejandro &lt;jairar@soriana.com&gt;"/>
    <e v="#N/A"/>
  </r>
  <r>
    <n v="20870"/>
    <x v="306"/>
    <n v="15122.79"/>
    <n v="0"/>
    <n v="2419.6464000000001"/>
    <n v="17542.43"/>
    <n v="17542.43"/>
    <m/>
    <m/>
    <m/>
    <n v="0"/>
    <n v="15122.79"/>
    <n v="0"/>
    <n v="2419.6464000000001"/>
    <n v="17542.436400000002"/>
    <m/>
    <m/>
    <m/>
    <n v="0"/>
    <n v="140745.88"/>
    <s v="NO ES TOP"/>
    <n v="15122.79"/>
    <n v="17542.436400000002"/>
    <n v="-6.4000000020314474E-3"/>
    <m/>
    <s v="Aplicado"/>
    <n v="4"/>
    <n v="0"/>
    <n v="0"/>
    <x v="1"/>
    <x v="4"/>
    <s v="Andrea"/>
    <m/>
    <m/>
    <m/>
    <m/>
    <m/>
    <m/>
    <m/>
    <m/>
    <m/>
    <m/>
    <m/>
    <m/>
    <m/>
    <m/>
    <e v="#N/A"/>
  </r>
  <r>
    <n v="397547"/>
    <x v="307"/>
    <n v="15089.28"/>
    <n v="0"/>
    <n v="2414.2847999999999"/>
    <n v="17503.57"/>
    <n v="17503.57"/>
    <m/>
    <m/>
    <m/>
    <n v="0"/>
    <n v="15089.28"/>
    <n v="0"/>
    <n v="2414.2847999999999"/>
    <n v="17503.5648"/>
    <m/>
    <m/>
    <m/>
    <n v="0"/>
    <n v="44793.87"/>
    <s v="NO ES TOP"/>
    <n v="15089.28"/>
    <n v="17503.5648"/>
    <n v="5.1999999996041879E-3"/>
    <m/>
    <s v="Aplicar"/>
    <n v="4"/>
    <n v="0"/>
    <s v="Sin acercamiento por parte del proveedor"/>
    <x v="1"/>
    <x v="4"/>
    <s v="Erika"/>
    <m/>
    <m/>
    <m/>
    <m/>
    <m/>
    <m/>
    <m/>
    <m/>
    <m/>
    <m/>
    <m/>
    <m/>
    <m/>
    <m/>
    <e v="#N/A"/>
  </r>
  <r>
    <n v="391219"/>
    <x v="308"/>
    <n v="15086.306681131999"/>
    <n v="0"/>
    <n v="2413.8090689811197"/>
    <n v="17500.13"/>
    <n v="17500.13"/>
    <m/>
    <m/>
    <m/>
    <n v="0"/>
    <n v="15086.306681131999"/>
    <n v="0"/>
    <n v="2413.8090689811197"/>
    <n v="17500.115750113117"/>
    <m/>
    <m/>
    <m/>
    <n v="0"/>
    <n v="62962.5"/>
    <s v="NO ES TOP"/>
    <n v="15086.306681131999"/>
    <n v="17500.115750113117"/>
    <n v="1.4249886884499574E-2"/>
    <m/>
    <s v="Aplicado"/>
    <n v="4"/>
    <n v="0"/>
    <n v="0"/>
    <x v="1"/>
    <x v="4"/>
    <s v="Francisco"/>
    <m/>
    <m/>
    <m/>
    <m/>
    <m/>
    <m/>
    <m/>
    <m/>
    <m/>
    <m/>
    <m/>
    <m/>
    <m/>
    <m/>
    <e v="#N/A"/>
  </r>
  <r>
    <n v="339457"/>
    <x v="309"/>
    <n v="15067.04"/>
    <n v="0"/>
    <n v="2410.7264"/>
    <n v="17477.759999999998"/>
    <n v="17477.759999999998"/>
    <m/>
    <m/>
    <m/>
    <n v="0"/>
    <n v="15067.04"/>
    <n v="0"/>
    <n v="2410.7264"/>
    <n v="17477.7664"/>
    <m/>
    <m/>
    <m/>
    <n v="0"/>
    <n v="238248.02"/>
    <s v="NO ES TOP"/>
    <n v="15067.04"/>
    <n v="17477.7664"/>
    <n v="-6.4000000020314474E-3"/>
    <m/>
    <s v="Aplicar"/>
    <n v="4"/>
    <n v="1"/>
    <s v="Se le comparte Manual, sin respuesta todavia, 1 solo contacto"/>
    <x v="0"/>
    <x v="2"/>
    <s v="Olfi"/>
    <n v="17477.759999999998"/>
    <s v="DETALLE DE LOS CARGOS EN EL PORTAL"/>
    <n v="1"/>
    <s v="NO"/>
    <d v="2026-01-20T00:00:00"/>
    <d v="2026-01-20T00:00:00"/>
    <m/>
    <m/>
    <s v="Proveedor solicito detalle y se le hizo llegar"/>
    <s v="Casos abiertos( En proceso)"/>
    <s v="X"/>
    <m/>
    <m/>
    <s v="Envío de manual para validación de ajustes en Portal."/>
    <s v="sergio.alanis@papelsanfrancisco.com"/>
  </r>
  <r>
    <n v="384958"/>
    <x v="310"/>
    <n v="16903.074899900002"/>
    <n v="0"/>
    <n v="0"/>
    <n v="16903.0749"/>
    <n v="16903.080000000002"/>
    <m/>
    <m/>
    <m/>
    <n v="0"/>
    <n v="16903.074899900002"/>
    <n v="0"/>
    <n v="0"/>
    <n v="16903.074899900002"/>
    <m/>
    <m/>
    <m/>
    <n v="0"/>
    <n v="46920.06"/>
    <s v="NO ES TOP"/>
    <n v="16903.074899900002"/>
    <n v="16903.074899900002"/>
    <n v="9.9997123470529914E-8"/>
    <m/>
    <s v="Aplicado"/>
    <n v="4"/>
    <n v="0"/>
    <n v="0"/>
    <x v="1"/>
    <x v="4"/>
    <s v="Jessica"/>
    <m/>
    <m/>
    <m/>
    <m/>
    <m/>
    <m/>
    <m/>
    <m/>
    <m/>
    <m/>
    <m/>
    <m/>
    <m/>
    <m/>
    <e v="#N/A"/>
  </r>
  <r>
    <n v="3566"/>
    <x v="311"/>
    <n v="16461.23"/>
    <n v="0"/>
    <n v="0"/>
    <n v="16461.23"/>
    <n v="16461.23"/>
    <m/>
    <m/>
    <m/>
    <n v="0"/>
    <n v="16461.23"/>
    <n v="0"/>
    <n v="0"/>
    <n v="16461.23"/>
    <m/>
    <m/>
    <m/>
    <n v="0"/>
    <m/>
    <s v="NO ES TOP"/>
    <n v="16461.23"/>
    <n v="16461.23"/>
    <n v="0"/>
    <m/>
    <s v="Aplicado"/>
    <n v="4"/>
    <n v="0"/>
    <n v="0"/>
    <x v="1"/>
    <x v="4"/>
    <s v="Yessica"/>
    <m/>
    <m/>
    <m/>
    <m/>
    <m/>
    <m/>
    <m/>
    <m/>
    <m/>
    <m/>
    <m/>
    <m/>
    <m/>
    <m/>
    <s v="danielabrambila@mercantilmx.com"/>
  </r>
  <r>
    <n v="309807"/>
    <x v="312"/>
    <n v="12985.57"/>
    <n v="0"/>
    <n v="2077.6912000000002"/>
    <n v="15063.25"/>
    <n v="15063.25"/>
    <m/>
    <m/>
    <m/>
    <n v="0"/>
    <n v="12985.57"/>
    <n v="0"/>
    <n v="2077.6912000000002"/>
    <n v="15063.261200000001"/>
    <m/>
    <m/>
    <m/>
    <n v="0"/>
    <n v="300432.64000000001"/>
    <s v="NO ES TOP"/>
    <n v="12985.57"/>
    <n v="15063.261200000001"/>
    <n v="-1.1200000000826549E-2"/>
    <m/>
    <s v="Aplicar"/>
    <n v="4"/>
    <n v="0"/>
    <s v="Sin acercamiento por parte de proveedor"/>
    <x v="1"/>
    <x v="4"/>
    <s v="Sareé"/>
    <m/>
    <m/>
    <m/>
    <m/>
    <m/>
    <m/>
    <m/>
    <m/>
    <m/>
    <m/>
    <m/>
    <m/>
    <m/>
    <m/>
    <e v="#N/A"/>
  </r>
  <r>
    <n v="313908"/>
    <x v="313"/>
    <n v="12172.01"/>
    <n v="0"/>
    <n v="1947.5215999999998"/>
    <n v="14119.53"/>
    <n v="14119.53"/>
    <m/>
    <m/>
    <m/>
    <n v="0"/>
    <n v="12172.01"/>
    <n v="0"/>
    <n v="1947.5215999999998"/>
    <n v="14119.5316"/>
    <m/>
    <m/>
    <m/>
    <n v="0"/>
    <n v="27151.72"/>
    <s v="NO ES TOP"/>
    <n v="12172.01"/>
    <n v="14119.5316"/>
    <n v="-1.5999999995983671E-3"/>
    <m/>
    <s v="Aplicado"/>
    <n v="4"/>
    <n v="0"/>
    <n v="0"/>
    <x v="1"/>
    <x v="4"/>
    <s v="Olfi"/>
    <m/>
    <m/>
    <m/>
    <m/>
    <m/>
    <m/>
    <m/>
    <m/>
    <m/>
    <m/>
    <m/>
    <m/>
    <m/>
    <m/>
    <e v="#N/A"/>
  </r>
  <r>
    <n v="19398"/>
    <x v="314"/>
    <n v="11948.46"/>
    <n v="0"/>
    <n v="1911.7536"/>
    <n v="13860.21"/>
    <n v="13860.21"/>
    <m/>
    <m/>
    <m/>
    <n v="0"/>
    <n v="11948.46"/>
    <n v="0"/>
    <n v="1911.7536"/>
    <n v="13860.213599999999"/>
    <m/>
    <m/>
    <m/>
    <n v="0"/>
    <n v="7430.35"/>
    <s v="NO ES TOP"/>
    <n v="11948.46"/>
    <n v="13860.213599999999"/>
    <n v="-3.6000000000058208E-3"/>
    <m/>
    <s v="Aplicar"/>
    <n v="4"/>
    <n v="0"/>
    <s v="Sin acercamiento por parte de proveedor"/>
    <x v="1"/>
    <x v="4"/>
    <s v="Samuel"/>
    <m/>
    <m/>
    <m/>
    <m/>
    <m/>
    <m/>
    <m/>
    <m/>
    <m/>
    <m/>
    <m/>
    <m/>
    <m/>
    <m/>
    <e v="#N/A"/>
  </r>
  <r>
    <n v="61325"/>
    <x v="315"/>
    <n v="11774.919999999998"/>
    <n v="0"/>
    <n v="1883.9786999999999"/>
    <n v="13658.900000000001"/>
    <n v="13658.9"/>
    <m/>
    <m/>
    <m/>
    <n v="0"/>
    <n v="11774.919999999998"/>
    <n v="0"/>
    <n v="1883.9786999999999"/>
    <n v="13658.898699999998"/>
    <m/>
    <m/>
    <m/>
    <n v="0"/>
    <n v="276074.38"/>
    <s v="NO ES TOP"/>
    <n v="11774.919999999998"/>
    <n v="13658.898699999998"/>
    <n v="1.3000000035390258E-3"/>
    <m/>
    <s v="Aplicado"/>
    <n v="4"/>
    <n v="0"/>
    <n v="0"/>
    <x v="1"/>
    <x v="4"/>
    <s v="Belem"/>
    <m/>
    <m/>
    <m/>
    <m/>
    <m/>
    <m/>
    <m/>
    <m/>
    <m/>
    <m/>
    <m/>
    <m/>
    <m/>
    <m/>
    <e v="#N/A"/>
  </r>
  <r>
    <n v="40949"/>
    <x v="316"/>
    <n v="13514.79"/>
    <n v="0"/>
    <n v="0"/>
    <n v="13514.79"/>
    <n v="0"/>
    <m/>
    <m/>
    <m/>
    <n v="0"/>
    <n v="0"/>
    <n v="0"/>
    <n v="0"/>
    <n v="0"/>
    <n v="13514.79"/>
    <m/>
    <m/>
    <n v="13514.79"/>
    <n v="72441.990000000005"/>
    <s v="NO ES TOP"/>
    <n v="13514.79"/>
    <n v="13514.79"/>
    <n v="0"/>
    <m/>
    <s v="Cerrado"/>
    <n v="4"/>
    <n v="3"/>
    <s v="Proveedor envió soporte de que el Cedis le devolvio la mercancía como sobrante"/>
    <x v="0"/>
    <x v="5"/>
    <s v="Francisco"/>
    <n v="13514.79"/>
    <s v="SOLICTA EL REEMBOLSO DEBIDO A QUE ESTOS PEDIDOS FUERON REPORTADOS CON EL COMPRADOR"/>
    <n v="1"/>
    <m/>
    <d v="2026-02-03T00:00:00"/>
    <m/>
    <m/>
    <m/>
    <s v="Validaciòn de soporte."/>
    <m/>
    <m/>
    <m/>
    <m/>
    <m/>
    <e v="#N/A"/>
  </r>
  <r>
    <n v="380402"/>
    <x v="317"/>
    <n v="11838.24"/>
    <n v="947.05920000000003"/>
    <n v="0"/>
    <n v="12785.3"/>
    <n v="12785.3"/>
    <m/>
    <m/>
    <m/>
    <n v="0"/>
    <n v="11838.24"/>
    <n v="947.05920000000003"/>
    <n v="0"/>
    <n v="12785.299199999999"/>
    <m/>
    <m/>
    <m/>
    <n v="0"/>
    <n v="14024.27"/>
    <s v="NO ES TOP"/>
    <n v="11838.24"/>
    <n v="12785.299199999999"/>
    <n v="7.9999999979918357E-4"/>
    <m/>
    <s v="Aplicado"/>
    <n v="4"/>
    <n v="0"/>
    <m/>
    <x v="1"/>
    <x v="4"/>
    <s v="Luis"/>
    <m/>
    <m/>
    <m/>
    <m/>
    <m/>
    <m/>
    <m/>
    <m/>
    <m/>
    <m/>
    <m/>
    <m/>
    <m/>
    <m/>
    <e v="#N/A"/>
  </r>
  <r>
    <n v="21753"/>
    <x v="318"/>
    <n v="12620.7"/>
    <n v="0"/>
    <n v="0"/>
    <n v="12620.7"/>
    <n v="3307.42"/>
    <m/>
    <m/>
    <m/>
    <n v="0"/>
    <n v="12620.7"/>
    <n v="0"/>
    <n v="0"/>
    <n v="12620.7"/>
    <m/>
    <m/>
    <m/>
    <n v="0"/>
    <n v="630148.76"/>
    <s v="NO ES TOP"/>
    <n v="12620.7"/>
    <n v="12620.7"/>
    <n v="0"/>
    <m/>
    <s v="Aplicar"/>
    <n v="4"/>
    <n v="0"/>
    <s v="Sin contacto de proveedor"/>
    <x v="1"/>
    <x v="4"/>
    <s v="Luis"/>
    <m/>
    <m/>
    <m/>
    <m/>
    <m/>
    <m/>
    <m/>
    <m/>
    <m/>
    <m/>
    <m/>
    <m/>
    <m/>
    <m/>
    <e v="#N/A"/>
  </r>
  <r>
    <n v="342584"/>
    <x v="319"/>
    <n v="10197.85"/>
    <n v="0"/>
    <n v="1631.6559999999999"/>
    <n v="11829.5"/>
    <n v="11829.5"/>
    <m/>
    <m/>
    <m/>
    <n v="0"/>
    <n v="10197.85"/>
    <n v="0"/>
    <n v="1631.6559999999999"/>
    <n v="11829.506000000001"/>
    <m/>
    <m/>
    <m/>
    <n v="0"/>
    <n v="54107.64"/>
    <s v="NO ES TOP"/>
    <n v="10197.85"/>
    <n v="11829.506000000001"/>
    <n v="-6.0000000012223609E-3"/>
    <m/>
    <s v="Aplicado"/>
    <n v="4"/>
    <n v="0"/>
    <n v="0"/>
    <x v="1"/>
    <x v="4"/>
    <s v="Samuel"/>
    <m/>
    <m/>
    <m/>
    <m/>
    <m/>
    <m/>
    <m/>
    <m/>
    <m/>
    <m/>
    <m/>
    <m/>
    <m/>
    <m/>
    <e v="#N/A"/>
  </r>
  <r>
    <n v="383711"/>
    <x v="320"/>
    <n v="9288.8632409579986"/>
    <n v="0"/>
    <n v="1486.2181185532802"/>
    <n v="10775.07"/>
    <n v="10775.07"/>
    <m/>
    <m/>
    <m/>
    <n v="0"/>
    <n v="9288.8632409579986"/>
    <n v="0"/>
    <n v="1486.2181185532802"/>
    <n v="10775.08135951128"/>
    <m/>
    <m/>
    <m/>
    <n v="0"/>
    <m/>
    <s v="NO ES TOP"/>
    <n v="9288.8632409579986"/>
    <n v="10775.08135951128"/>
    <n v="-1.1359511279806611E-2"/>
    <m/>
    <s v="Aplicar"/>
    <n v="4"/>
    <n v="0"/>
    <s v="Sin contacto de proveedor"/>
    <x v="1"/>
    <x v="4"/>
    <s v="Luis"/>
    <m/>
    <m/>
    <m/>
    <m/>
    <m/>
    <m/>
    <m/>
    <m/>
    <m/>
    <m/>
    <m/>
    <m/>
    <m/>
    <m/>
    <e v="#N/A"/>
  </r>
  <r>
    <n v="38232"/>
    <x v="321"/>
    <n v="9975.3799999999992"/>
    <n v="798.03039999999999"/>
    <n v="0"/>
    <n v="10773.41"/>
    <n v="10773.41"/>
    <m/>
    <m/>
    <m/>
    <n v="0"/>
    <n v="9975.3799999999992"/>
    <n v="798.03039999999999"/>
    <n v="0"/>
    <n v="10773.410399999999"/>
    <m/>
    <m/>
    <m/>
    <n v="0"/>
    <n v="84985.35"/>
    <s v="NO ES TOP"/>
    <n v="9975.3799999999992"/>
    <n v="10773.410399999999"/>
    <n v="-3.9999999899009708E-4"/>
    <m/>
    <s v="Aplicado"/>
    <n v="4"/>
    <n v="0"/>
    <n v="0"/>
    <x v="1"/>
    <x v="4"/>
    <s v="Olfi"/>
    <m/>
    <m/>
    <m/>
    <m/>
    <m/>
    <m/>
    <m/>
    <m/>
    <m/>
    <m/>
    <m/>
    <m/>
    <m/>
    <m/>
    <e v="#N/A"/>
  </r>
  <r>
    <n v="394882"/>
    <x v="322"/>
    <n v="9123.4499999999989"/>
    <n v="0"/>
    <n v="1459.752"/>
    <n v="10583.199999999999"/>
    <n v="10583.2"/>
    <m/>
    <m/>
    <m/>
    <n v="0"/>
    <n v="9123.4499999999989"/>
    <n v="0"/>
    <n v="1459.752"/>
    <n v="10583.201999999999"/>
    <m/>
    <m/>
    <m/>
    <n v="0"/>
    <n v="65232.18"/>
    <s v="NO ES TOP"/>
    <n v="9123.4499999999989"/>
    <n v="10583.201999999999"/>
    <n v="-2.0000000004074536E-3"/>
    <m/>
    <s v="Aplicado"/>
    <n v="4"/>
    <n v="0"/>
    <n v="0"/>
    <x v="1"/>
    <x v="4"/>
    <s v="Yessenia"/>
    <m/>
    <m/>
    <m/>
    <m/>
    <m/>
    <m/>
    <m/>
    <m/>
    <m/>
    <m/>
    <m/>
    <m/>
    <m/>
    <m/>
    <e v="#N/A"/>
  </r>
  <r>
    <n v="85449"/>
    <x v="323"/>
    <n v="10004.75"/>
    <n v="0"/>
    <n v="0"/>
    <n v="10004.75"/>
    <n v="10004.75"/>
    <m/>
    <m/>
    <m/>
    <n v="0"/>
    <n v="10004.75"/>
    <n v="0"/>
    <n v="0"/>
    <n v="10004.75"/>
    <m/>
    <m/>
    <m/>
    <n v="0"/>
    <n v="72429.929999999993"/>
    <s v="NO ES TOP"/>
    <n v="10004.75"/>
    <n v="10004.75"/>
    <n v="0"/>
    <m/>
    <s v="Aplicado"/>
    <n v="4"/>
    <n v="0"/>
    <n v="0"/>
    <x v="1"/>
    <x v="4"/>
    <s v="Andrea"/>
    <m/>
    <m/>
    <m/>
    <m/>
    <m/>
    <m/>
    <m/>
    <m/>
    <m/>
    <m/>
    <m/>
    <m/>
    <m/>
    <m/>
    <e v="#N/A"/>
  </r>
  <r>
    <n v="390278"/>
    <x v="324"/>
    <n v="8514.6711906639994"/>
    <n v="0"/>
    <n v="1362.3473905062401"/>
    <n v="9877.02"/>
    <n v="9877.02"/>
    <m/>
    <m/>
    <m/>
    <n v="0"/>
    <n v="8514.6711906639994"/>
    <n v="0"/>
    <n v="1362.3473905062401"/>
    <n v="9877.0185811702395"/>
    <m/>
    <m/>
    <m/>
    <n v="0"/>
    <n v="30599.27"/>
    <s v="NO ES TOP"/>
    <n v="8514.6711906639994"/>
    <n v="9877.0185811702395"/>
    <n v="1.4188297609507572E-3"/>
    <m/>
    <s v="Aplicado"/>
    <n v="4"/>
    <n v="0"/>
    <n v="0"/>
    <x v="1"/>
    <x v="4"/>
    <s v="Erika"/>
    <m/>
    <m/>
    <m/>
    <m/>
    <m/>
    <m/>
    <m/>
    <m/>
    <m/>
    <m/>
    <m/>
    <m/>
    <m/>
    <m/>
    <e v="#N/A"/>
  </r>
  <r>
    <n v="40972"/>
    <x v="325"/>
    <n v="8422.165141000005"/>
    <n v="0"/>
    <n v="1347.5464225600001"/>
    <n v="9769.7100000000009"/>
    <n v="9769.7099999999991"/>
    <m/>
    <m/>
    <m/>
    <n v="0"/>
    <n v="8422.165141000005"/>
    <n v="0"/>
    <n v="1347.5464225600001"/>
    <n v="9769.7115635600057"/>
    <m/>
    <m/>
    <m/>
    <n v="0"/>
    <n v="322302.61"/>
    <s v="NO ES TOP"/>
    <n v="8422.165141000005"/>
    <n v="9769.7115635600057"/>
    <n v="-1.563560004797182E-3"/>
    <m/>
    <s v="Aplicar"/>
    <n v="4"/>
    <n v="0"/>
    <s v="Sin contacto de proveedor"/>
    <x v="1"/>
    <x v="4"/>
    <s v="Mario"/>
    <m/>
    <m/>
    <m/>
    <m/>
    <m/>
    <m/>
    <m/>
    <m/>
    <m/>
    <m/>
    <m/>
    <m/>
    <m/>
    <m/>
    <e v="#N/A"/>
  </r>
  <r>
    <n v="390716"/>
    <x v="326"/>
    <n v="9651.3963480000002"/>
    <n v="24.572800000000001"/>
    <n v="0"/>
    <n v="9675.9663"/>
    <n v="9675.9699999999993"/>
    <m/>
    <m/>
    <m/>
    <n v="0"/>
    <n v="9651.3963480000002"/>
    <n v="24.572800000000001"/>
    <n v="0"/>
    <n v="9675.9691480000001"/>
    <m/>
    <m/>
    <m/>
    <n v="0"/>
    <n v="139374.14000000001"/>
    <s v="NO ES TOP"/>
    <n v="9651.3963480000002"/>
    <n v="9675.9691480000001"/>
    <n v="-2.8480000000854488E-3"/>
    <m/>
    <s v="Aplicado"/>
    <n v="4"/>
    <n v="0"/>
    <n v="0"/>
    <x v="1"/>
    <x v="4"/>
    <s v="Andrea"/>
    <m/>
    <m/>
    <m/>
    <m/>
    <m/>
    <m/>
    <m/>
    <m/>
    <m/>
    <m/>
    <m/>
    <m/>
    <m/>
    <m/>
    <e v="#N/A"/>
  </r>
  <r>
    <n v="9348"/>
    <x v="327"/>
    <n v="8220.14"/>
    <n v="0"/>
    <n v="1315.2224000000001"/>
    <n v="9535.35"/>
    <n v="9535.35"/>
    <m/>
    <m/>
    <m/>
    <n v="0"/>
    <n v="8220.14"/>
    <n v="0"/>
    <n v="1315.2224000000001"/>
    <n v="9535.3624"/>
    <m/>
    <m/>
    <m/>
    <n v="0"/>
    <n v="54350.5"/>
    <s v="NO ES TOP"/>
    <n v="8220.14"/>
    <n v="9535.3624"/>
    <n v="-1.2399999999615829E-2"/>
    <m/>
    <s v="Aplicado"/>
    <n v="4"/>
    <n v="0"/>
    <n v="0"/>
    <x v="1"/>
    <x v="4"/>
    <s v="Sareé"/>
    <m/>
    <m/>
    <m/>
    <m/>
    <m/>
    <m/>
    <m/>
    <m/>
    <m/>
    <m/>
    <m/>
    <m/>
    <m/>
    <m/>
    <e v="#N/A"/>
  </r>
  <r>
    <n v="6348"/>
    <x v="328"/>
    <n v="7929.86"/>
    <n v="0"/>
    <n v="1268.7775999999999"/>
    <n v="9198.64"/>
    <n v="0"/>
    <m/>
    <m/>
    <m/>
    <n v="0"/>
    <n v="7929.86"/>
    <n v="0"/>
    <n v="1268.7775999999999"/>
    <n v="9198.6376"/>
    <m/>
    <m/>
    <m/>
    <n v="0"/>
    <m/>
    <s v="NO ES TOP"/>
    <n v="7929.86"/>
    <n v="9198.6376"/>
    <n v="2.3999999993975507E-3"/>
    <m/>
    <s v="Aplicar"/>
    <n v="4"/>
    <n v="0"/>
    <s v="Sin acercamiento por parte de proveedor"/>
    <x v="1"/>
    <x v="4"/>
    <s v="Sareé"/>
    <m/>
    <m/>
    <m/>
    <m/>
    <m/>
    <m/>
    <m/>
    <m/>
    <m/>
    <m/>
    <m/>
    <m/>
    <m/>
    <m/>
    <e v="#N/A"/>
  </r>
  <r>
    <n v="327080"/>
    <x v="329"/>
    <n v="8467.02"/>
    <n v="0"/>
    <n v="0"/>
    <n v="8467.02"/>
    <n v="8467.02"/>
    <m/>
    <m/>
    <m/>
    <n v="0"/>
    <n v="8467.02"/>
    <n v="0"/>
    <n v="0"/>
    <n v="8467.02"/>
    <m/>
    <m/>
    <m/>
    <n v="0"/>
    <n v="403758.09"/>
    <s v="NO ES TOP"/>
    <n v="8467.02"/>
    <n v="8467.02"/>
    <n v="0"/>
    <m/>
    <s v="Aplicado"/>
    <n v="4"/>
    <n v="0"/>
    <n v="0"/>
    <x v="1"/>
    <x v="4"/>
    <s v="Raul"/>
    <m/>
    <m/>
    <m/>
    <m/>
    <m/>
    <m/>
    <m/>
    <m/>
    <m/>
    <m/>
    <m/>
    <m/>
    <m/>
    <m/>
    <e v="#N/A"/>
  </r>
  <r>
    <n v="9888"/>
    <x v="330"/>
    <n v="7596.3799999999992"/>
    <n v="581.70399999999995"/>
    <n v="52.012799999999999"/>
    <n v="8230.1"/>
    <n v="8230.1"/>
    <m/>
    <m/>
    <m/>
    <n v="0"/>
    <n v="7596.3799999999992"/>
    <n v="581.70399999999995"/>
    <n v="52.012799999999999"/>
    <n v="8230.0967999999993"/>
    <m/>
    <m/>
    <m/>
    <n v="0"/>
    <n v="26092.84"/>
    <s v="NO ES TOP"/>
    <n v="7596.3799999999992"/>
    <n v="8230.0967999999993"/>
    <n v="3.2000000010157237E-3"/>
    <m/>
    <s v="Aplicado"/>
    <n v="4"/>
    <n v="0"/>
    <n v="0"/>
    <x v="1"/>
    <x v="4"/>
    <s v="Belem"/>
    <m/>
    <m/>
    <m/>
    <m/>
    <m/>
    <m/>
    <m/>
    <m/>
    <m/>
    <m/>
    <m/>
    <m/>
    <m/>
    <m/>
    <e v="#N/A"/>
  </r>
  <r>
    <n v="93872"/>
    <x v="331"/>
    <n v="7799.25"/>
    <n v="0"/>
    <n v="31.514700000000001"/>
    <n v="7830.76"/>
    <n v="7830.76"/>
    <m/>
    <m/>
    <m/>
    <n v="0"/>
    <n v="7799.25"/>
    <n v="0"/>
    <n v="31.514700000000001"/>
    <n v="7830.7646999999997"/>
    <m/>
    <m/>
    <m/>
    <n v="0"/>
    <n v="94952.38"/>
    <s v="NO ES TOP"/>
    <n v="7799.25"/>
    <n v="7830.7646999999997"/>
    <n v="-4.6999999995023245E-3"/>
    <m/>
    <s v="Aplicado"/>
    <n v="4"/>
    <n v="0"/>
    <n v="0"/>
    <x v="1"/>
    <x v="4"/>
    <s v="Jessica"/>
    <m/>
    <m/>
    <m/>
    <m/>
    <m/>
    <m/>
    <m/>
    <m/>
    <m/>
    <m/>
    <m/>
    <m/>
    <m/>
    <m/>
    <e v="#N/A"/>
  </r>
  <r>
    <n v="74310"/>
    <x v="332"/>
    <n v="7116.38"/>
    <n v="0"/>
    <n v="0"/>
    <n v="7116.38"/>
    <n v="7116.38"/>
    <m/>
    <m/>
    <m/>
    <n v="0"/>
    <n v="7116.38"/>
    <n v="0"/>
    <n v="0"/>
    <n v="7116.38"/>
    <m/>
    <m/>
    <m/>
    <n v="0"/>
    <m/>
    <s v="NO ES TOP"/>
    <n v="7116.38"/>
    <n v="7116.38"/>
    <n v="0"/>
    <m/>
    <s v="Aplicado"/>
    <n v="4"/>
    <n v="0"/>
    <n v="0"/>
    <x v="1"/>
    <x v="4"/>
    <s v="Jessica"/>
    <m/>
    <m/>
    <m/>
    <m/>
    <m/>
    <m/>
    <m/>
    <m/>
    <m/>
    <m/>
    <m/>
    <m/>
    <m/>
    <m/>
    <s v="CARLOS.VIDAURRI@VIDAURRI.MX"/>
  </r>
  <r>
    <n v="11423"/>
    <x v="333"/>
    <n v="6635.91"/>
    <n v="0"/>
    <n v="434.0752"/>
    <n v="7069.99"/>
    <n v="7069.99"/>
    <m/>
    <m/>
    <m/>
    <n v="0"/>
    <n v="6635.91"/>
    <n v="0"/>
    <n v="434.0752"/>
    <n v="7069.9852000000001"/>
    <m/>
    <m/>
    <m/>
    <n v="0"/>
    <n v="51209.8"/>
    <s v="NO ES TOP"/>
    <n v="6635.91"/>
    <n v="7069.9852000000001"/>
    <n v="4.7999999997045961E-3"/>
    <m/>
    <s v="Aplicado"/>
    <n v="4"/>
    <n v="0"/>
    <n v="0"/>
    <x v="1"/>
    <x v="4"/>
    <s v="Yessica"/>
    <m/>
    <m/>
    <m/>
    <m/>
    <m/>
    <m/>
    <m/>
    <m/>
    <m/>
    <m/>
    <m/>
    <m/>
    <m/>
    <m/>
    <e v="#N/A"/>
  </r>
  <r>
    <n v="8474"/>
    <x v="334"/>
    <n v="5831.79"/>
    <n v="0"/>
    <n v="933.08640000000003"/>
    <n v="6764.8700000000008"/>
    <n v="6764.87"/>
    <m/>
    <m/>
    <m/>
    <n v="0"/>
    <n v="5831.79"/>
    <n v="0"/>
    <n v="933.08640000000003"/>
    <n v="6764.8764000000001"/>
    <m/>
    <m/>
    <m/>
    <n v="0"/>
    <n v="596798.27"/>
    <s v="NO ES TOP"/>
    <n v="5831.79"/>
    <n v="6764.8764000000001"/>
    <n v="-6.3999999993029633E-3"/>
    <m/>
    <s v="Aplicar"/>
    <n v="4"/>
    <n v="0"/>
    <s v="sin respuesta"/>
    <x v="1"/>
    <x v="4"/>
    <s v="Olfi"/>
    <m/>
    <m/>
    <m/>
    <m/>
    <m/>
    <m/>
    <m/>
    <m/>
    <m/>
    <m/>
    <m/>
    <m/>
    <m/>
    <m/>
    <e v="#N/A"/>
  </r>
  <r>
    <n v="3604"/>
    <x v="179"/>
    <n v="6694.96"/>
    <n v="0"/>
    <n v="0"/>
    <n v="6694.96"/>
    <n v="6694.96"/>
    <m/>
    <m/>
    <m/>
    <n v="0"/>
    <n v="6694.96"/>
    <n v="0"/>
    <n v="0"/>
    <n v="6694.96"/>
    <m/>
    <m/>
    <m/>
    <n v="0"/>
    <n v="148688.15"/>
    <s v="NO ES TOP"/>
    <n v="6694.96"/>
    <n v="6694.96"/>
    <n v="0"/>
    <m/>
    <s v="Aplicado"/>
    <n v="4"/>
    <n v="0"/>
    <n v="0"/>
    <x v="1"/>
    <x v="4"/>
    <s v="Francisco"/>
    <m/>
    <m/>
    <m/>
    <m/>
    <m/>
    <m/>
    <m/>
    <m/>
    <m/>
    <m/>
    <m/>
    <m/>
    <m/>
    <m/>
    <e v="#N/A"/>
  </r>
  <r>
    <n v="89383"/>
    <x v="335"/>
    <n v="5761.76"/>
    <n v="0"/>
    <n v="921.88260000000002"/>
    <n v="6683.64"/>
    <n v="6683.64"/>
    <m/>
    <m/>
    <m/>
    <n v="0"/>
    <n v="5761.76"/>
    <n v="0"/>
    <n v="921.88260000000002"/>
    <n v="6683.6426000000001"/>
    <m/>
    <m/>
    <m/>
    <n v="0"/>
    <n v="37112.699999999997"/>
    <s v="NO ES TOP"/>
    <n v="5761.76"/>
    <n v="6683.6426000000001"/>
    <n v="-2.599999999802094E-3"/>
    <m/>
    <s v="Aplicado"/>
    <n v="4"/>
    <n v="0"/>
    <s v="sin comentarios del proveedor"/>
    <x v="1"/>
    <x v="4"/>
    <s v="Marcela"/>
    <m/>
    <m/>
    <m/>
    <m/>
    <m/>
    <m/>
    <m/>
    <m/>
    <m/>
    <m/>
    <m/>
    <m/>
    <m/>
    <m/>
    <e v="#N/A"/>
  </r>
  <r>
    <n v="1402"/>
    <x v="336"/>
    <n v="6572.83"/>
    <n v="0"/>
    <n v="4.181"/>
    <n v="6577.01"/>
    <n v="0"/>
    <m/>
    <m/>
    <m/>
    <n v="0"/>
    <n v="6572.83"/>
    <n v="0"/>
    <n v="4.181"/>
    <n v="6577.0109999999995"/>
    <m/>
    <m/>
    <m/>
    <n v="0"/>
    <n v="22535.03"/>
    <s v="NO ES TOP"/>
    <n v="6572.83"/>
    <n v="6577.0109999999995"/>
    <n v="-9.9999999929423211E-4"/>
    <m/>
    <s v="Aplicar"/>
    <n v="4"/>
    <n v="0"/>
    <n v="0"/>
    <x v="1"/>
    <x v="4"/>
    <s v="Andrea"/>
    <m/>
    <m/>
    <m/>
    <m/>
    <m/>
    <m/>
    <m/>
    <m/>
    <m/>
    <m/>
    <m/>
    <m/>
    <m/>
    <m/>
    <e v="#N/A"/>
  </r>
  <r>
    <n v="40477"/>
    <x v="337"/>
    <n v="6574.8300000000008"/>
    <n v="0"/>
    <n v="0"/>
    <n v="6574.8300000000008"/>
    <n v="6574.83"/>
    <m/>
    <m/>
    <m/>
    <n v="0"/>
    <n v="6574.8300000000008"/>
    <n v="0"/>
    <n v="0"/>
    <n v="6574.8300000000008"/>
    <m/>
    <m/>
    <m/>
    <n v="0"/>
    <n v="367338.21"/>
    <s v="NO ES TOP"/>
    <n v="6574.8300000000008"/>
    <n v="6574.8300000000008"/>
    <n v="0"/>
    <m/>
    <s v="Aplicado"/>
    <n v="4"/>
    <n v="0"/>
    <n v="0"/>
    <x v="1"/>
    <x v="4"/>
    <s v="Samuel"/>
    <m/>
    <m/>
    <m/>
    <m/>
    <m/>
    <m/>
    <m/>
    <m/>
    <m/>
    <m/>
    <m/>
    <m/>
    <m/>
    <m/>
    <e v="#N/A"/>
  </r>
  <r>
    <n v="13111"/>
    <x v="338"/>
    <n v="5628.22"/>
    <n v="0"/>
    <n v="900.51520000000005"/>
    <n v="6528.73"/>
    <n v="6528.73"/>
    <m/>
    <m/>
    <m/>
    <n v="0"/>
    <n v="5628.22"/>
    <n v="0"/>
    <n v="900.51520000000005"/>
    <n v="6528.7352000000001"/>
    <m/>
    <m/>
    <m/>
    <n v="0"/>
    <m/>
    <s v="NO ES TOP"/>
    <n v="5628.22"/>
    <n v="6528.7352000000001"/>
    <n v="-5.2000000005136826E-3"/>
    <m/>
    <s v="Aplicado"/>
    <n v="4"/>
    <n v="0"/>
    <n v="0"/>
    <x v="1"/>
    <x v="4"/>
    <s v="Belem"/>
    <m/>
    <m/>
    <m/>
    <m/>
    <m/>
    <m/>
    <m/>
    <m/>
    <m/>
    <m/>
    <m/>
    <m/>
    <m/>
    <m/>
    <e v="#N/A"/>
  </r>
  <r>
    <n v="17053"/>
    <x v="339"/>
    <n v="5956.76"/>
    <n v="0"/>
    <n v="0"/>
    <n v="5956.76"/>
    <n v="0"/>
    <m/>
    <m/>
    <m/>
    <n v="0"/>
    <n v="5956.76"/>
    <n v="0"/>
    <n v="0"/>
    <n v="5956.76"/>
    <m/>
    <m/>
    <m/>
    <n v="0"/>
    <n v="16420.990000000002"/>
    <s v="NO ES TOP"/>
    <n v="5956.76"/>
    <n v="5956.76"/>
    <n v="0"/>
    <m/>
    <s v="Aplicar"/>
    <n v="4"/>
    <n v="0"/>
    <s v="sin acercamiento por proveedor"/>
    <x v="1"/>
    <x v="4"/>
    <s v="Raul"/>
    <m/>
    <m/>
    <m/>
    <m/>
    <m/>
    <m/>
    <m/>
    <m/>
    <m/>
    <m/>
    <m/>
    <m/>
    <m/>
    <m/>
    <e v="#N/A"/>
  </r>
  <r>
    <n v="329680"/>
    <x v="340"/>
    <n v="5097.16"/>
    <n v="0"/>
    <n v="815.54560000000004"/>
    <n v="5912.7"/>
    <n v="5912.7"/>
    <m/>
    <m/>
    <m/>
    <n v="0"/>
    <n v="5097.16"/>
    <n v="0"/>
    <n v="815.54560000000004"/>
    <n v="5912.7056000000002"/>
    <m/>
    <m/>
    <m/>
    <n v="0"/>
    <n v="50367.22"/>
    <s v="NO ES TOP"/>
    <n v="5097.16"/>
    <n v="5912.7056000000002"/>
    <n v="-5.6000000004132744E-3"/>
    <m/>
    <s v="Aplicado"/>
    <n v="4"/>
    <n v="0"/>
    <m/>
    <x v="1"/>
    <x v="4"/>
    <s v="Luis"/>
    <m/>
    <m/>
    <m/>
    <m/>
    <m/>
    <m/>
    <m/>
    <m/>
    <m/>
    <m/>
    <m/>
    <m/>
    <m/>
    <m/>
    <e v="#N/A"/>
  </r>
  <r>
    <n v="16985"/>
    <x v="341"/>
    <n v="5028.8899999999994"/>
    <n v="0"/>
    <n v="804.62240000000008"/>
    <n v="5833.5"/>
    <n v="5833.5"/>
    <m/>
    <m/>
    <m/>
    <n v="0"/>
    <n v="5028.8899999999994"/>
    <n v="0"/>
    <n v="804.62240000000008"/>
    <n v="5833.5123999999996"/>
    <m/>
    <m/>
    <m/>
    <n v="0"/>
    <n v="254011.19"/>
    <s v="NO ES TOP"/>
    <n v="5028.8899999999994"/>
    <n v="5833.5123999999996"/>
    <n v="-1.2399999999615829E-2"/>
    <m/>
    <s v="Aplicado"/>
    <n v="4"/>
    <n v="0"/>
    <n v="0"/>
    <x v="1"/>
    <x v="4"/>
    <s v="Raul"/>
    <m/>
    <m/>
    <m/>
    <m/>
    <m/>
    <m/>
    <m/>
    <m/>
    <m/>
    <m/>
    <m/>
    <m/>
    <m/>
    <m/>
    <e v="#N/A"/>
  </r>
  <r>
    <n v="21597"/>
    <x v="342"/>
    <n v="5730.7"/>
    <n v="0"/>
    <n v="0"/>
    <n v="5730.7"/>
    <n v="5730.7"/>
    <m/>
    <m/>
    <m/>
    <n v="0"/>
    <n v="5730.7"/>
    <n v="0"/>
    <n v="0"/>
    <n v="5730.7"/>
    <m/>
    <m/>
    <m/>
    <n v="0"/>
    <n v="290473.27"/>
    <s v="NO ES TOP"/>
    <n v="5730.7"/>
    <n v="5730.7"/>
    <n v="0"/>
    <m/>
    <s v="Aplicado"/>
    <n v="4"/>
    <n v="0"/>
    <s v="sin comentarios del proveedor"/>
    <x v="1"/>
    <x v="4"/>
    <s v="Marcela"/>
    <m/>
    <m/>
    <m/>
    <m/>
    <m/>
    <m/>
    <m/>
    <m/>
    <m/>
    <m/>
    <m/>
    <m/>
    <m/>
    <m/>
    <e v="#N/A"/>
  </r>
  <r>
    <n v="62166"/>
    <x v="343"/>
    <n v="4911.18"/>
    <n v="0"/>
    <n v="785.78880000000004"/>
    <n v="5696.98"/>
    <n v="5696.98"/>
    <m/>
    <m/>
    <m/>
    <n v="0"/>
    <n v="4911.18"/>
    <n v="0"/>
    <n v="785.78880000000004"/>
    <n v="5696.9688000000006"/>
    <m/>
    <m/>
    <m/>
    <n v="0"/>
    <n v="37922.800000000003"/>
    <s v="NO ES TOP"/>
    <n v="4911.18"/>
    <n v="5696.9688000000006"/>
    <n v="1.1199999999007559E-2"/>
    <m/>
    <s v="Aplicado"/>
    <n v="4"/>
    <n v="0"/>
    <n v="0"/>
    <x v="1"/>
    <x v="4"/>
    <s v="Erika"/>
    <m/>
    <m/>
    <m/>
    <m/>
    <m/>
    <m/>
    <m/>
    <m/>
    <m/>
    <m/>
    <m/>
    <m/>
    <m/>
    <m/>
    <e v="#N/A"/>
  </r>
  <r>
    <n v="92692"/>
    <x v="344"/>
    <n v="4872.4399999999996"/>
    <n v="0"/>
    <n v="779.59040000000005"/>
    <n v="5652.03"/>
    <n v="5652.03"/>
    <m/>
    <m/>
    <m/>
    <n v="0"/>
    <n v="4872.4399999999996"/>
    <n v="0"/>
    <n v="779.59040000000005"/>
    <n v="5652.0303999999996"/>
    <m/>
    <m/>
    <m/>
    <n v="0"/>
    <n v="80961.62"/>
    <s v="NO ES TOP"/>
    <n v="4872.4399999999996"/>
    <n v="5652.0303999999996"/>
    <n v="-3.9999999989959178E-4"/>
    <m/>
    <s v="Aplicado"/>
    <n v="4"/>
    <n v="0"/>
    <n v="0"/>
    <x v="1"/>
    <x v="4"/>
    <s v="Sareé"/>
    <m/>
    <m/>
    <m/>
    <m/>
    <m/>
    <m/>
    <m/>
    <m/>
    <m/>
    <m/>
    <m/>
    <m/>
    <m/>
    <m/>
    <e v="#N/A"/>
  </r>
  <r>
    <n v="35576"/>
    <x v="345"/>
    <n v="4648.2777487520007"/>
    <n v="0"/>
    <n v="743.72443980031994"/>
    <n v="5392"/>
    <n v="5392"/>
    <m/>
    <m/>
    <m/>
    <n v="0"/>
    <n v="4648.2777487520007"/>
    <n v="0"/>
    <n v="743.72443980031994"/>
    <n v="5392.0021885523201"/>
    <m/>
    <m/>
    <m/>
    <n v="0"/>
    <n v="44436.67"/>
    <s v="NO ES TOP"/>
    <n v="4648.2777487520007"/>
    <n v="5392.0021885523201"/>
    <n v="-2.1885523201490287E-3"/>
    <m/>
    <s v="Aplicado"/>
    <n v="4"/>
    <n v="0"/>
    <n v="0"/>
    <x v="1"/>
    <x v="4"/>
    <s v="Raul"/>
    <m/>
    <m/>
    <m/>
    <m/>
    <m/>
    <m/>
    <m/>
    <m/>
    <m/>
    <m/>
    <m/>
    <m/>
    <m/>
    <m/>
    <e v="#N/A"/>
  </r>
  <r>
    <n v="20192"/>
    <x v="346"/>
    <n v="4606.03"/>
    <n v="0"/>
    <n v="736.96479999999997"/>
    <n v="5343"/>
    <n v="5343"/>
    <m/>
    <m/>
    <m/>
    <n v="0"/>
    <n v="4606.03"/>
    <n v="0"/>
    <n v="736.96479999999997"/>
    <n v="5342.9947999999995"/>
    <m/>
    <m/>
    <m/>
    <n v="0"/>
    <n v="553013.96"/>
    <s v="NO ES TOP"/>
    <n v="4606.03"/>
    <n v="5342.9947999999995"/>
    <n v="5.2000000005136826E-3"/>
    <m/>
    <s v="Aplicado"/>
    <n v="4"/>
    <n v="0"/>
    <n v="0"/>
    <x v="1"/>
    <x v="4"/>
    <s v="Belem"/>
    <m/>
    <m/>
    <m/>
    <m/>
    <m/>
    <m/>
    <m/>
    <m/>
    <m/>
    <m/>
    <m/>
    <m/>
    <m/>
    <m/>
    <e v="#N/A"/>
  </r>
  <r>
    <n v="97378"/>
    <x v="347"/>
    <n v="5007.76"/>
    <n v="0"/>
    <n v="0"/>
    <n v="5007.76"/>
    <n v="5007.76"/>
    <m/>
    <m/>
    <m/>
    <n v="0"/>
    <n v="5007.76"/>
    <n v="0"/>
    <n v="0"/>
    <n v="5007.76"/>
    <m/>
    <m/>
    <m/>
    <n v="0"/>
    <m/>
    <s v="NO ES TOP"/>
    <n v="5007.76"/>
    <n v="5007.76"/>
    <n v="0"/>
    <m/>
    <s v="Aplicado"/>
    <n v="4"/>
    <n v="0"/>
    <n v="0"/>
    <x v="1"/>
    <x v="4"/>
    <s v="Jessica"/>
    <m/>
    <m/>
    <m/>
    <m/>
    <m/>
    <m/>
    <m/>
    <m/>
    <m/>
    <m/>
    <m/>
    <m/>
    <m/>
    <m/>
    <e v="#N/A"/>
  </r>
  <r>
    <n v="395210"/>
    <x v="348"/>
    <n v="4835.984840375997"/>
    <n v="0"/>
    <n v="0"/>
    <n v="4835.9799999999996"/>
    <n v="0"/>
    <m/>
    <m/>
    <m/>
    <n v="0"/>
    <n v="4835.984840375997"/>
    <n v="0"/>
    <n v="0"/>
    <n v="4835.984840375997"/>
    <m/>
    <m/>
    <m/>
    <n v="0"/>
    <n v="619011.06000000006"/>
    <s v="NO ES TOP"/>
    <n v="4835.984840375997"/>
    <n v="4835.984840375997"/>
    <n v="-4.8403759974462446E-3"/>
    <m/>
    <s v="Aplicar"/>
    <n v="4"/>
    <n v="0"/>
    <n v="0"/>
    <x v="1"/>
    <x v="4"/>
    <s v="Yessica"/>
    <m/>
    <m/>
    <m/>
    <m/>
    <m/>
    <m/>
    <m/>
    <m/>
    <m/>
    <m/>
    <m/>
    <m/>
    <m/>
    <m/>
    <e v="#N/A"/>
  </r>
  <r>
    <n v="799"/>
    <x v="349"/>
    <n v="3860.56"/>
    <n v="0"/>
    <n v="617.68959999999993"/>
    <n v="4478.26"/>
    <n v="0"/>
    <m/>
    <m/>
    <m/>
    <n v="0"/>
    <n v="3860.56"/>
    <n v="0"/>
    <n v="617.68959999999993"/>
    <n v="4478.2496000000001"/>
    <m/>
    <m/>
    <m/>
    <n v="0"/>
    <n v="32086.98"/>
    <s v="NO ES TOP"/>
    <n v="3860.56"/>
    <n v="4478.2496000000001"/>
    <n v="1.0400000000117871E-2"/>
    <m/>
    <s v="Aplicar"/>
    <n v="4"/>
    <n v="0"/>
    <s v="sin respuesta"/>
    <x v="1"/>
    <x v="4"/>
    <s v="Olfi"/>
    <m/>
    <m/>
    <m/>
    <m/>
    <m/>
    <m/>
    <m/>
    <m/>
    <m/>
    <m/>
    <m/>
    <m/>
    <m/>
    <m/>
    <e v="#N/A"/>
  </r>
  <r>
    <n v="63255"/>
    <x v="350"/>
    <n v="4292.37"/>
    <n v="0"/>
    <n v="0"/>
    <n v="4292.37"/>
    <n v="4292.37"/>
    <m/>
    <m/>
    <m/>
    <n v="0"/>
    <n v="4292.37"/>
    <n v="0"/>
    <n v="0"/>
    <n v="4292.37"/>
    <m/>
    <m/>
    <m/>
    <n v="0"/>
    <n v="20952.2"/>
    <s v="NO ES TOP"/>
    <n v="4292.37"/>
    <n v="4292.37"/>
    <n v="0"/>
    <m/>
    <s v="Aplicado"/>
    <n v="4"/>
    <n v="0"/>
    <n v="0"/>
    <x v="1"/>
    <x v="4"/>
    <s v="Yessenia"/>
    <m/>
    <m/>
    <m/>
    <m/>
    <m/>
    <m/>
    <m/>
    <m/>
    <m/>
    <m/>
    <m/>
    <m/>
    <m/>
    <m/>
    <e v="#N/A"/>
  </r>
  <r>
    <n v="52449"/>
    <x v="290"/>
    <n v="4217.6200000000008"/>
    <n v="0"/>
    <n v="0"/>
    <n v="4217.6200000000008"/>
    <n v="4217.62"/>
    <m/>
    <m/>
    <m/>
    <n v="0"/>
    <n v="4217.6200000000008"/>
    <n v="0"/>
    <n v="0"/>
    <n v="4217.6200000000008"/>
    <m/>
    <m/>
    <m/>
    <n v="0"/>
    <n v="435477.85"/>
    <s v="NO ES TOP"/>
    <n v="4217.6200000000008"/>
    <n v="4217.6200000000008"/>
    <n v="0"/>
    <m/>
    <s v="Aplicado"/>
    <n v="4"/>
    <n v="0"/>
    <n v="0"/>
    <x v="1"/>
    <x v="4"/>
    <s v="Andrea"/>
    <m/>
    <m/>
    <m/>
    <m/>
    <m/>
    <m/>
    <m/>
    <m/>
    <m/>
    <m/>
    <m/>
    <m/>
    <m/>
    <m/>
    <s v="erangel@alimentoscazerola.com.mx"/>
  </r>
  <r>
    <n v="14535"/>
    <x v="351"/>
    <n v="3593.7425169819994"/>
    <n v="0"/>
    <n v="574.99880271711993"/>
    <n v="4168.75"/>
    <n v="4168.75"/>
    <m/>
    <m/>
    <m/>
    <n v="0"/>
    <n v="3593.7425169819994"/>
    <n v="0"/>
    <n v="574.99880271711993"/>
    <n v="4168.7413196991192"/>
    <m/>
    <m/>
    <m/>
    <n v="0"/>
    <n v="215425.5"/>
    <s v="NO ES TOP"/>
    <n v="3593.7425169819994"/>
    <n v="4168.7413196991192"/>
    <n v="8.6803008807692095E-3"/>
    <m/>
    <s v="Aplicado"/>
    <n v="4"/>
    <n v="0"/>
    <n v="0"/>
    <x v="1"/>
    <x v="4"/>
    <s v="Raul"/>
    <m/>
    <m/>
    <m/>
    <m/>
    <m/>
    <m/>
    <m/>
    <m/>
    <m/>
    <m/>
    <m/>
    <m/>
    <m/>
    <m/>
    <s v="AGC@ROYALKP.COM"/>
  </r>
  <r>
    <n v="3570"/>
    <x v="352"/>
    <n v="3589.78"/>
    <n v="0"/>
    <n v="574.36479999999995"/>
    <n v="4164.1400000000003"/>
    <n v="4164.1400000000003"/>
    <m/>
    <m/>
    <m/>
    <n v="0"/>
    <n v="3589.78"/>
    <n v="0"/>
    <n v="574.36479999999995"/>
    <n v="4164.1448"/>
    <m/>
    <m/>
    <m/>
    <n v="0"/>
    <n v="380416.08"/>
    <s v="NO ES TOP"/>
    <n v="3589.78"/>
    <n v="4164.1448"/>
    <n v="-4.7999999997045961E-3"/>
    <m/>
    <s v="Aplicado"/>
    <n v="4"/>
    <n v="0"/>
    <n v="0"/>
    <x v="1"/>
    <x v="4"/>
    <s v="Erika"/>
    <m/>
    <m/>
    <m/>
    <m/>
    <m/>
    <m/>
    <m/>
    <m/>
    <m/>
    <m/>
    <m/>
    <m/>
    <m/>
    <m/>
    <e v="#N/A"/>
  </r>
  <r>
    <n v="64311"/>
    <x v="353"/>
    <n v="3568.51"/>
    <n v="0"/>
    <n v="570.97169999999994"/>
    <n v="4139.4800000000005"/>
    <n v="4139.4799999999996"/>
    <m/>
    <m/>
    <m/>
    <n v="0"/>
    <n v="3568.51"/>
    <n v="0"/>
    <n v="570.97169999999994"/>
    <n v="4139.4817000000003"/>
    <m/>
    <m/>
    <m/>
    <n v="0"/>
    <n v="5399.57"/>
    <s v="NO ES TOP"/>
    <n v="3568.51"/>
    <n v="4139.4817000000003"/>
    <n v="-1.6999999998006388E-3"/>
    <m/>
    <s v="Aplicado"/>
    <n v="4"/>
    <n v="0"/>
    <n v="0"/>
    <x v="1"/>
    <x v="4"/>
    <s v="Sareé"/>
    <m/>
    <m/>
    <m/>
    <m/>
    <m/>
    <m/>
    <m/>
    <m/>
    <m/>
    <m/>
    <m/>
    <m/>
    <m/>
    <m/>
    <e v="#N/A"/>
  </r>
  <r>
    <n v="32821"/>
    <x v="354"/>
    <n v="3269.7799999999997"/>
    <n v="0"/>
    <n v="523.12469999999996"/>
    <n v="3792.91"/>
    <n v="3792.91"/>
    <m/>
    <m/>
    <m/>
    <n v="0"/>
    <n v="3269.7799999999997"/>
    <n v="0"/>
    <n v="523.12469999999996"/>
    <n v="3792.9046999999996"/>
    <m/>
    <m/>
    <m/>
    <n v="0"/>
    <n v="159654.22"/>
    <s v="NO ES TOP"/>
    <n v="3269.7799999999997"/>
    <n v="3792.9046999999996"/>
    <n v="5.3000000002612069E-3"/>
    <m/>
    <s v="Aplicado"/>
    <n v="4"/>
    <n v="0"/>
    <n v="0"/>
    <x v="1"/>
    <x v="4"/>
    <s v="Raul"/>
    <m/>
    <m/>
    <m/>
    <m/>
    <m/>
    <m/>
    <m/>
    <m/>
    <m/>
    <m/>
    <m/>
    <m/>
    <m/>
    <m/>
    <e v="#N/A"/>
  </r>
  <r>
    <n v="16807"/>
    <x v="355"/>
    <n v="3075.9900000000002"/>
    <n v="0"/>
    <n v="492.15840000000003"/>
    <n v="3568.14"/>
    <n v="3568.14"/>
    <m/>
    <m/>
    <m/>
    <n v="0"/>
    <n v="3075.9900000000002"/>
    <n v="0"/>
    <n v="492.15840000000003"/>
    <n v="3568.1484"/>
    <m/>
    <m/>
    <m/>
    <n v="0"/>
    <n v="161713.56"/>
    <s v="NO ES TOP"/>
    <n v="3075.9900000000002"/>
    <n v="3568.1484"/>
    <n v="-8.4000000001651642E-3"/>
    <m/>
    <s v="Aplicado"/>
    <n v="4"/>
    <n v="0"/>
    <n v="0"/>
    <x v="1"/>
    <x v="4"/>
    <s v="Belem"/>
    <m/>
    <m/>
    <m/>
    <m/>
    <m/>
    <m/>
    <m/>
    <m/>
    <m/>
    <m/>
    <m/>
    <m/>
    <m/>
    <m/>
    <e v="#N/A"/>
  </r>
  <r>
    <n v="44206"/>
    <x v="356"/>
    <n v="3057.15"/>
    <n v="0"/>
    <n v="489.12530000000004"/>
    <n v="3546.2700000000004"/>
    <n v="3546.27"/>
    <m/>
    <m/>
    <m/>
    <n v="0"/>
    <n v="3057.15"/>
    <n v="0"/>
    <n v="489.12530000000004"/>
    <n v="3546.2753000000002"/>
    <m/>
    <m/>
    <m/>
    <n v="0"/>
    <n v="22070.19"/>
    <s v="NO ES TOP"/>
    <n v="3057.15"/>
    <n v="3546.2753000000002"/>
    <n v="-5.2999999998064595E-3"/>
    <m/>
    <s v="Aplicar"/>
    <n v="4"/>
    <n v="0"/>
    <n v="0"/>
    <x v="1"/>
    <x v="4"/>
    <s v="Jessica"/>
    <m/>
    <m/>
    <m/>
    <m/>
    <m/>
    <m/>
    <m/>
    <m/>
    <m/>
    <m/>
    <m/>
    <m/>
    <m/>
    <m/>
    <e v="#N/A"/>
  </r>
  <r>
    <n v="167"/>
    <x v="357"/>
    <n v="3474.76"/>
    <n v="47.519999999999996"/>
    <n v="0"/>
    <n v="3522.2799999999997"/>
    <n v="3522.28"/>
    <m/>
    <m/>
    <m/>
    <n v="0"/>
    <n v="3474.76"/>
    <n v="47.519999999999996"/>
    <n v="0"/>
    <n v="3522.28"/>
    <m/>
    <m/>
    <m/>
    <n v="0"/>
    <n v="359488.83"/>
    <s v="NO ES TOP"/>
    <n v="3474.76"/>
    <n v="3522.28"/>
    <n v="0"/>
    <m/>
    <s v="Aplicado"/>
    <n v="4"/>
    <n v="0"/>
    <n v="0"/>
    <x v="1"/>
    <x v="4"/>
    <s v="Yessica"/>
    <m/>
    <m/>
    <m/>
    <m/>
    <m/>
    <m/>
    <m/>
    <m/>
    <m/>
    <m/>
    <m/>
    <m/>
    <m/>
    <m/>
    <e v="#N/A"/>
  </r>
  <r>
    <n v="10822"/>
    <x v="358"/>
    <n v="3018.43"/>
    <n v="0"/>
    <n v="482.94209999999998"/>
    <n v="3501.37"/>
    <n v="3501.37"/>
    <m/>
    <m/>
    <m/>
    <n v="0"/>
    <n v="3018.43"/>
    <n v="0"/>
    <n v="482.94209999999998"/>
    <n v="3501.3720999999996"/>
    <m/>
    <m/>
    <m/>
    <n v="0"/>
    <n v="111377.08"/>
    <s v="NO ES TOP"/>
    <n v="3018.43"/>
    <n v="3501.3720999999996"/>
    <n v="-2.0999999997002305E-3"/>
    <m/>
    <s v="Aplicado"/>
    <n v="4"/>
    <n v="0"/>
    <n v="0"/>
    <x v="1"/>
    <x v="4"/>
    <s v="Olfi"/>
    <m/>
    <m/>
    <m/>
    <m/>
    <m/>
    <m/>
    <m/>
    <m/>
    <m/>
    <m/>
    <m/>
    <m/>
    <m/>
    <m/>
    <e v="#N/A"/>
  </r>
  <r>
    <n v="319731"/>
    <x v="359"/>
    <n v="3447.7599999999993"/>
    <n v="0"/>
    <n v="0"/>
    <n v="3447.7599999999993"/>
    <n v="3447.76"/>
    <m/>
    <m/>
    <m/>
    <n v="0"/>
    <n v="3447.7599999999993"/>
    <n v="0"/>
    <n v="0"/>
    <n v="3447.7599999999993"/>
    <m/>
    <m/>
    <m/>
    <n v="0"/>
    <n v="106513.92"/>
    <s v="NO ES TOP"/>
    <n v="3447.7599999999993"/>
    <n v="3447.7599999999993"/>
    <n v="0"/>
    <m/>
    <s v="Aplicado"/>
    <n v="4"/>
    <n v="0"/>
    <s v="sin comentarios del proveedor"/>
    <x v="1"/>
    <x v="4"/>
    <s v="Marcela"/>
    <m/>
    <m/>
    <m/>
    <m/>
    <m/>
    <m/>
    <m/>
    <m/>
    <m/>
    <m/>
    <m/>
    <m/>
    <m/>
    <m/>
    <e v="#N/A"/>
  </r>
  <r>
    <n v="11657"/>
    <x v="360"/>
    <n v="2729.23"/>
    <n v="0"/>
    <n v="436.67679999999996"/>
    <n v="3165.9"/>
    <n v="3165.9"/>
    <m/>
    <m/>
    <m/>
    <n v="0"/>
    <n v="2729.23"/>
    <n v="0"/>
    <n v="436.67679999999996"/>
    <n v="3165.9067999999997"/>
    <m/>
    <m/>
    <m/>
    <n v="0"/>
    <n v="23072.33"/>
    <s v="NO ES TOP"/>
    <n v="2729.23"/>
    <n v="3165.9067999999997"/>
    <n v="-6.7999999996573024E-3"/>
    <m/>
    <s v="Aplicado"/>
    <n v="4"/>
    <n v="0"/>
    <n v="0"/>
    <x v="1"/>
    <x v="4"/>
    <s v="Andrea"/>
    <m/>
    <m/>
    <m/>
    <m/>
    <m/>
    <m/>
    <m/>
    <m/>
    <m/>
    <m/>
    <m/>
    <m/>
    <m/>
    <m/>
    <e v="#N/A"/>
  </r>
  <r>
    <n v="20793"/>
    <x v="361"/>
    <n v="2782.97"/>
    <n v="222.63759999999999"/>
    <n v="0"/>
    <n v="3005.6099999999992"/>
    <n v="0"/>
    <m/>
    <m/>
    <m/>
    <n v="0"/>
    <n v="2782.97"/>
    <n v="222.63759999999999"/>
    <n v="0"/>
    <n v="3005.6075999999998"/>
    <m/>
    <m/>
    <m/>
    <n v="0"/>
    <n v="70467.850000000006"/>
    <s v="NO ES TOP"/>
    <n v="2782.97"/>
    <n v="3005.6075999999998"/>
    <n v="2.3999999993975507E-3"/>
    <m/>
    <s v="Aplicar"/>
    <n v="4"/>
    <n v="0"/>
    <s v="sin acercamiento por proveedor"/>
    <x v="1"/>
    <x v="4"/>
    <s v="Raul"/>
    <m/>
    <m/>
    <m/>
    <m/>
    <m/>
    <m/>
    <m/>
    <m/>
    <m/>
    <m/>
    <m/>
    <m/>
    <m/>
    <m/>
    <e v="#N/A"/>
  </r>
  <r>
    <n v="4226"/>
    <x v="362"/>
    <n v="2521.66"/>
    <n v="0"/>
    <n v="403.46559999999999"/>
    <n v="2925.13"/>
    <n v="2925.13"/>
    <m/>
    <m/>
    <m/>
    <n v="0"/>
    <n v="2521.66"/>
    <n v="0"/>
    <n v="403.46559999999999"/>
    <n v="2925.1255999999998"/>
    <m/>
    <m/>
    <m/>
    <n v="0"/>
    <n v="244047.92"/>
    <s v="NO ES TOP"/>
    <n v="2521.66"/>
    <n v="2925.1255999999998"/>
    <n v="4.4000000002597517E-3"/>
    <m/>
    <s v="Aplicado"/>
    <n v="4"/>
    <n v="0"/>
    <n v="0"/>
    <x v="1"/>
    <x v="4"/>
    <s v="Erika"/>
    <m/>
    <m/>
    <m/>
    <m/>
    <m/>
    <m/>
    <m/>
    <m/>
    <m/>
    <m/>
    <m/>
    <m/>
    <m/>
    <m/>
    <e v="#N/A"/>
  </r>
  <r>
    <n v="22007"/>
    <x v="363"/>
    <n v="2450"/>
    <n v="0"/>
    <n v="392"/>
    <n v="2842"/>
    <n v="2842"/>
    <m/>
    <m/>
    <m/>
    <n v="0"/>
    <n v="2450"/>
    <n v="0"/>
    <n v="392"/>
    <n v="2842"/>
    <m/>
    <m/>
    <m/>
    <n v="0"/>
    <n v="95934.06"/>
    <s v="NO ES TOP"/>
    <n v="2450"/>
    <n v="2842"/>
    <n v="0"/>
    <m/>
    <s v="Aplicar"/>
    <n v="4"/>
    <n v="0"/>
    <s v="Sin acercamiento por parte de proveedor"/>
    <x v="1"/>
    <x v="4"/>
    <s v="Sareé"/>
    <m/>
    <m/>
    <m/>
    <m/>
    <m/>
    <m/>
    <m/>
    <m/>
    <m/>
    <m/>
    <m/>
    <m/>
    <m/>
    <m/>
    <e v="#N/A"/>
  </r>
  <r>
    <n v="345926"/>
    <x v="364"/>
    <n v="2392.7600000000002"/>
    <n v="0"/>
    <n v="382.84160000000003"/>
    <n v="2775.6"/>
    <n v="2775.6"/>
    <m/>
    <m/>
    <m/>
    <n v="0"/>
    <n v="2392.7600000000002"/>
    <n v="0"/>
    <n v="382.84160000000003"/>
    <n v="2775.6016000000004"/>
    <m/>
    <m/>
    <m/>
    <n v="0"/>
    <n v="22055.27"/>
    <s v="NO ES TOP"/>
    <n v="2392.7600000000002"/>
    <n v="2775.6016000000004"/>
    <n v="-1.6000000005078618E-3"/>
    <m/>
    <s v="Aplicar"/>
    <n v="4"/>
    <n v="0"/>
    <s v="sin acercamiento por proveedor"/>
    <x v="1"/>
    <x v="4"/>
    <s v="Raul"/>
    <m/>
    <m/>
    <m/>
    <m/>
    <m/>
    <m/>
    <m/>
    <m/>
    <m/>
    <m/>
    <m/>
    <m/>
    <m/>
    <m/>
    <e v="#N/A"/>
  </r>
  <r>
    <n v="44586"/>
    <x v="365"/>
    <n v="2761.5"/>
    <n v="0"/>
    <n v="0"/>
    <n v="2761.5"/>
    <n v="0"/>
    <m/>
    <m/>
    <m/>
    <n v="0"/>
    <n v="2761.5"/>
    <n v="0"/>
    <n v="0"/>
    <n v="2761.5"/>
    <m/>
    <m/>
    <m/>
    <n v="0"/>
    <n v="62028.81"/>
    <s v="NO ES TOP"/>
    <n v="2761.5"/>
    <n v="2761.5"/>
    <n v="0"/>
    <m/>
    <s v="Aplicar"/>
    <n v="4"/>
    <n v="0"/>
    <n v="0"/>
    <x v="1"/>
    <x v="4"/>
    <s v="Belem"/>
    <m/>
    <m/>
    <m/>
    <m/>
    <m/>
    <m/>
    <m/>
    <m/>
    <m/>
    <m/>
    <m/>
    <m/>
    <m/>
    <m/>
    <e v="#N/A"/>
  </r>
  <r>
    <n v="72231"/>
    <x v="366"/>
    <n v="2133.4499999999998"/>
    <n v="0"/>
    <n v="341.35199999999998"/>
    <n v="2474.8000000000002"/>
    <n v="2474.8000000000002"/>
    <m/>
    <m/>
    <m/>
    <n v="0"/>
    <n v="2133.4499999999998"/>
    <n v="0"/>
    <n v="341.35199999999998"/>
    <n v="2474.8019999999997"/>
    <m/>
    <m/>
    <m/>
    <n v="0"/>
    <m/>
    <s v="NO ES TOP"/>
    <n v="2133.4499999999998"/>
    <n v="2474.8019999999997"/>
    <n v="-1.9999999994979589E-3"/>
    <m/>
    <s v="Aplicado"/>
    <n v="4"/>
    <n v="0"/>
    <n v="0"/>
    <x v="1"/>
    <x v="4"/>
    <s v="Jessica"/>
    <m/>
    <m/>
    <m/>
    <m/>
    <m/>
    <m/>
    <m/>
    <m/>
    <m/>
    <m/>
    <m/>
    <m/>
    <m/>
    <m/>
    <e v="#N/A"/>
  </r>
  <r>
    <n v="306431"/>
    <x v="367"/>
    <n v="2428.41"/>
    <n v="0"/>
    <n v="0"/>
    <n v="2428.41"/>
    <n v="2428.41"/>
    <m/>
    <m/>
    <m/>
    <n v="0"/>
    <n v="2428.41"/>
    <n v="0"/>
    <n v="0"/>
    <n v="2428.41"/>
    <m/>
    <m/>
    <m/>
    <n v="0"/>
    <n v="36224.01"/>
    <s v="NO ES TOP"/>
    <n v="2428.41"/>
    <n v="2428.41"/>
    <n v="0"/>
    <m/>
    <s v="Aplicado"/>
    <n v="4"/>
    <n v="0"/>
    <n v="0"/>
    <x v="1"/>
    <x v="4"/>
    <s v="Yessica"/>
    <m/>
    <m/>
    <m/>
    <m/>
    <m/>
    <m/>
    <m/>
    <m/>
    <m/>
    <m/>
    <m/>
    <m/>
    <m/>
    <m/>
    <e v="#N/A"/>
  </r>
  <r>
    <n v="21914"/>
    <x v="368"/>
    <n v="2379.5849784319994"/>
    <n v="0"/>
    <n v="0"/>
    <n v="2379.58"/>
    <n v="2379.58"/>
    <m/>
    <m/>
    <m/>
    <n v="0"/>
    <n v="2379.5849784319994"/>
    <n v="0"/>
    <n v="0"/>
    <n v="2379.5849784319994"/>
    <m/>
    <m/>
    <m/>
    <n v="0"/>
    <n v="22569.31"/>
    <s v="NO ES TOP"/>
    <n v="2379.5849784319994"/>
    <n v="2379.5849784319994"/>
    <n v="-4.9784319994614634E-3"/>
    <m/>
    <s v="Aplicado"/>
    <n v="4"/>
    <n v="0"/>
    <n v="0"/>
    <x v="1"/>
    <x v="4"/>
    <s v="Olfi"/>
    <m/>
    <m/>
    <m/>
    <m/>
    <m/>
    <m/>
    <m/>
    <m/>
    <m/>
    <m/>
    <m/>
    <m/>
    <m/>
    <m/>
    <e v="#N/A"/>
  </r>
  <r>
    <n v="86421"/>
    <x v="369"/>
    <n v="2167.2399999999998"/>
    <n v="173.3792"/>
    <n v="0"/>
    <n v="2340.6"/>
    <n v="2340.6"/>
    <m/>
    <m/>
    <m/>
    <n v="0"/>
    <n v="2167.2399999999998"/>
    <n v="173.3792"/>
    <n v="0"/>
    <n v="2340.6191999999996"/>
    <m/>
    <m/>
    <m/>
    <n v="0"/>
    <n v="27849.919999999998"/>
    <s v="NO ES TOP"/>
    <n v="2167.2399999999998"/>
    <n v="2340.6191999999996"/>
    <n v="-1.9199999999727879E-2"/>
    <m/>
    <s v="Aplicado"/>
    <n v="4"/>
    <n v="0"/>
    <s v="sin comentarios del proveedor"/>
    <x v="1"/>
    <x v="4"/>
    <s v="Marcela"/>
    <m/>
    <m/>
    <m/>
    <m/>
    <m/>
    <m/>
    <m/>
    <m/>
    <m/>
    <m/>
    <m/>
    <m/>
    <m/>
    <m/>
    <e v="#N/A"/>
  </r>
  <r>
    <n v="349019"/>
    <x v="370"/>
    <n v="2078.48"/>
    <n v="0"/>
    <n v="0"/>
    <n v="2078.48"/>
    <n v="2078.48"/>
    <m/>
    <m/>
    <m/>
    <n v="0"/>
    <n v="2078.48"/>
    <n v="0"/>
    <n v="0"/>
    <n v="2078.48"/>
    <m/>
    <m/>
    <m/>
    <n v="0"/>
    <n v="129263.89"/>
    <s v="NO ES TOP"/>
    <n v="2078.48"/>
    <n v="2078.48"/>
    <n v="0"/>
    <m/>
    <s v="Aplicado"/>
    <n v="4"/>
    <n v="0"/>
    <n v="0"/>
    <x v="1"/>
    <x v="4"/>
    <s v="Andrea"/>
    <m/>
    <m/>
    <m/>
    <m/>
    <m/>
    <m/>
    <m/>
    <m/>
    <m/>
    <m/>
    <m/>
    <m/>
    <m/>
    <m/>
    <e v="#N/A"/>
  </r>
  <r>
    <n v="21109"/>
    <x v="371"/>
    <n v="1349.39"/>
    <n v="357.58850000000001"/>
    <n v="273.11650000000003"/>
    <n v="1980.1"/>
    <n v="1980.1"/>
    <m/>
    <m/>
    <m/>
    <n v="0"/>
    <n v="1349.39"/>
    <n v="357.58850000000001"/>
    <n v="273.11650000000003"/>
    <n v="1980.0950000000003"/>
    <m/>
    <m/>
    <m/>
    <n v="0"/>
    <n v="8768.65"/>
    <s v="NO ES TOP"/>
    <n v="1349.39"/>
    <n v="1980.0950000000003"/>
    <n v="4.999999999654392E-3"/>
    <m/>
    <s v="Aplicado"/>
    <n v="4"/>
    <n v="0"/>
    <n v="0"/>
    <x v="1"/>
    <x v="4"/>
    <s v="Raul"/>
    <m/>
    <m/>
    <m/>
    <m/>
    <m/>
    <m/>
    <m/>
    <m/>
    <m/>
    <m/>
    <m/>
    <m/>
    <m/>
    <m/>
    <e v="#N/A"/>
  </r>
  <r>
    <n v="20949"/>
    <x v="372"/>
    <n v="1690.3704882540069"/>
    <n v="0"/>
    <n v="270.45927812064002"/>
    <n v="1960.83"/>
    <n v="1960.83"/>
    <m/>
    <m/>
    <m/>
    <n v="0"/>
    <n v="1690.3704882540069"/>
    <n v="0"/>
    <n v="270.45927812064002"/>
    <n v="1960.8297663746469"/>
    <m/>
    <m/>
    <m/>
    <n v="0"/>
    <m/>
    <s v="NO ES TOP"/>
    <n v="1690.3704882540069"/>
    <n v="1960.8297663746469"/>
    <n v="2.3362535307569487E-4"/>
    <m/>
    <s v="Aplicar"/>
    <n v="4"/>
    <n v="0"/>
    <s v="Sin acercamiento por parte del proveedor"/>
    <x v="1"/>
    <x v="4"/>
    <s v="Erika"/>
    <m/>
    <m/>
    <m/>
    <m/>
    <m/>
    <m/>
    <m/>
    <m/>
    <m/>
    <m/>
    <m/>
    <m/>
    <m/>
    <m/>
    <s v="chuyroga@gmail.com"/>
  </r>
  <r>
    <n v="682"/>
    <x v="373"/>
    <n v="1914.7600000000002"/>
    <n v="0"/>
    <n v="0"/>
    <n v="1914.7600000000002"/>
    <n v="1914.76"/>
    <m/>
    <m/>
    <m/>
    <n v="0"/>
    <n v="1914.7600000000002"/>
    <n v="0"/>
    <n v="0"/>
    <n v="1914.7600000000002"/>
    <m/>
    <m/>
    <m/>
    <n v="0"/>
    <n v="7976.35"/>
    <s v="NO ES TOP"/>
    <n v="1914.7600000000002"/>
    <n v="1914.7600000000002"/>
    <n v="0"/>
    <m/>
    <s v="Aplicado"/>
    <n v="4"/>
    <n v="0"/>
    <n v="0"/>
    <x v="1"/>
    <x v="4"/>
    <s v="Sareé"/>
    <m/>
    <m/>
    <m/>
    <m/>
    <m/>
    <m/>
    <m/>
    <m/>
    <m/>
    <m/>
    <m/>
    <m/>
    <m/>
    <m/>
    <e v="#N/A"/>
  </r>
  <r>
    <n v="21783"/>
    <x v="374"/>
    <n v="1338.3"/>
    <n v="0"/>
    <n v="214.12799999999999"/>
    <n v="1552.43"/>
    <n v="0"/>
    <m/>
    <m/>
    <m/>
    <n v="0"/>
    <n v="1338.3"/>
    <n v="0"/>
    <n v="214.12799999999999"/>
    <n v="1552.4279999999999"/>
    <m/>
    <m/>
    <m/>
    <n v="0"/>
    <n v="87.6"/>
    <s v="NO ES TOP"/>
    <n v="1338.3"/>
    <n v="1552.4279999999999"/>
    <n v="2.00000000018008E-3"/>
    <m/>
    <s v="Aplicar"/>
    <n v="4"/>
    <n v="0"/>
    <s v="sin acercamiento por proveedor"/>
    <x v="1"/>
    <x v="4"/>
    <s v="Raul"/>
    <m/>
    <m/>
    <m/>
    <m/>
    <m/>
    <m/>
    <m/>
    <m/>
    <m/>
    <m/>
    <m/>
    <m/>
    <m/>
    <m/>
    <e v="#N/A"/>
  </r>
  <r>
    <n v="10426"/>
    <x v="375"/>
    <n v="1330.04"/>
    <n v="0"/>
    <n v="212.8064"/>
    <n v="1542.85"/>
    <n v="1542.85"/>
    <m/>
    <m/>
    <m/>
    <n v="0"/>
    <n v="1330.04"/>
    <n v="0"/>
    <n v="212.8064"/>
    <n v="1542.8463999999999"/>
    <m/>
    <m/>
    <m/>
    <n v="0"/>
    <m/>
    <s v="NO ES TOP"/>
    <n v="1330.04"/>
    <n v="1542.8463999999999"/>
    <n v="3.6000000000058208E-3"/>
    <m/>
    <s v="Aplicado"/>
    <n v="4"/>
    <n v="0"/>
    <n v="0"/>
    <x v="1"/>
    <x v="4"/>
    <s v="Belem"/>
    <m/>
    <m/>
    <m/>
    <m/>
    <m/>
    <m/>
    <m/>
    <m/>
    <m/>
    <m/>
    <m/>
    <m/>
    <m/>
    <m/>
    <e v="#N/A"/>
  </r>
  <r>
    <n v="34280"/>
    <x v="376"/>
    <n v="1192.7179900620001"/>
    <n v="0"/>
    <n v="190.83487840991998"/>
    <n v="1383.5600000000002"/>
    <n v="0"/>
    <m/>
    <m/>
    <m/>
    <n v="0"/>
    <n v="1192.7179900620001"/>
    <n v="0"/>
    <n v="190.83487840991998"/>
    <n v="1383.5528684719202"/>
    <m/>
    <m/>
    <m/>
    <n v="0"/>
    <n v="138445.45000000001"/>
    <s v="NO ES TOP"/>
    <n v="1192.7179900620001"/>
    <n v="1383.5528684719202"/>
    <n v="7.1315280799808534E-3"/>
    <m/>
    <s v="Aplicar"/>
    <n v="4"/>
    <n v="0"/>
    <n v="0"/>
    <x v="1"/>
    <x v="4"/>
    <s v="Jessica"/>
    <m/>
    <m/>
    <m/>
    <m/>
    <m/>
    <m/>
    <m/>
    <m/>
    <m/>
    <m/>
    <m/>
    <m/>
    <m/>
    <m/>
    <s v="clientes.principales@gcalco.com.mx"/>
  </r>
  <r>
    <n v="19196"/>
    <x v="377"/>
    <n v="1187.3200000000002"/>
    <n v="0"/>
    <n v="189.9588"/>
    <n v="1377.27"/>
    <n v="1377.27"/>
    <m/>
    <m/>
    <m/>
    <n v="0"/>
    <n v="1187.3200000000002"/>
    <n v="0"/>
    <n v="189.9588"/>
    <n v="1377.2788"/>
    <m/>
    <m/>
    <m/>
    <n v="0"/>
    <n v="60787.42"/>
    <s v="NO ES TOP"/>
    <n v="1187.3200000000002"/>
    <n v="1377.2788"/>
    <n v="-8.800000000064756E-3"/>
    <m/>
    <s v="Aplicar"/>
    <n v="4"/>
    <n v="0"/>
    <n v="0"/>
    <x v="1"/>
    <x v="4"/>
    <s v="Yessica"/>
    <m/>
    <m/>
    <m/>
    <m/>
    <m/>
    <m/>
    <m/>
    <m/>
    <m/>
    <m/>
    <m/>
    <m/>
    <m/>
    <m/>
    <e v="#N/A"/>
  </r>
  <r>
    <n v="2717"/>
    <x v="378"/>
    <n v="1011.61"/>
    <n v="0"/>
    <n v="161.85759999999999"/>
    <n v="1173.48"/>
    <n v="1173.48"/>
    <m/>
    <m/>
    <m/>
    <n v="0"/>
    <n v="1011.61"/>
    <n v="0"/>
    <n v="161.85759999999999"/>
    <n v="1173.4675999999999"/>
    <m/>
    <m/>
    <m/>
    <n v="0"/>
    <n v="180.59"/>
    <s v="NO ES TOP"/>
    <n v="1011.61"/>
    <n v="1173.4675999999999"/>
    <n v="1.2400000000070577E-2"/>
    <m/>
    <s v="Aplicado"/>
    <n v="4"/>
    <n v="0"/>
    <n v="0"/>
    <x v="1"/>
    <x v="4"/>
    <s v="Olfi"/>
    <m/>
    <m/>
    <m/>
    <m/>
    <m/>
    <m/>
    <m/>
    <m/>
    <m/>
    <m/>
    <m/>
    <m/>
    <m/>
    <m/>
    <e v="#N/A"/>
  </r>
  <r>
    <n v="26211"/>
    <x v="379"/>
    <n v="936.18000000000006"/>
    <n v="0"/>
    <n v="149.78880000000001"/>
    <n v="1085.97"/>
    <n v="1085.97"/>
    <m/>
    <m/>
    <m/>
    <n v="0"/>
    <n v="936.18000000000006"/>
    <n v="0"/>
    <n v="149.78880000000001"/>
    <n v="1085.9688000000001"/>
    <m/>
    <m/>
    <m/>
    <n v="0"/>
    <n v="7340.51"/>
    <s v="NO ES TOP"/>
    <n v="936.18000000000006"/>
    <n v="1085.9688000000001"/>
    <n v="1.199999999926149E-3"/>
    <m/>
    <s v="Aplicado"/>
    <n v="4"/>
    <n v="0"/>
    <s v="sin comentarios del proveedor"/>
    <x v="1"/>
    <x v="4"/>
    <s v="Marcela"/>
    <m/>
    <m/>
    <m/>
    <m/>
    <m/>
    <m/>
    <m/>
    <m/>
    <m/>
    <m/>
    <m/>
    <m/>
    <m/>
    <m/>
    <e v="#N/A"/>
  </r>
  <r>
    <n v="20257"/>
    <x v="380"/>
    <n v="959.77"/>
    <n v="76.781599999999997"/>
    <n v="0"/>
    <n v="1036.56"/>
    <n v="1036.56"/>
    <m/>
    <m/>
    <m/>
    <n v="0"/>
    <n v="959.77"/>
    <n v="76.781599999999997"/>
    <n v="0"/>
    <n v="1036.5516"/>
    <m/>
    <m/>
    <m/>
    <n v="0"/>
    <n v="234165.2"/>
    <s v="NO ES TOP"/>
    <n v="959.77"/>
    <n v="1036.5516"/>
    <n v="8.3999999999377906E-3"/>
    <m/>
    <s v="Aplicado"/>
    <n v="4"/>
    <n v="0"/>
    <n v="0"/>
    <x v="1"/>
    <x v="4"/>
    <s v="Samuel"/>
    <m/>
    <m/>
    <m/>
    <m/>
    <m/>
    <m/>
    <m/>
    <m/>
    <m/>
    <m/>
    <m/>
    <m/>
    <m/>
    <m/>
    <e v="#N/A"/>
  </r>
  <r>
    <n v="329516"/>
    <x v="381"/>
    <n v="825.24"/>
    <n v="0"/>
    <n v="132.03139999999999"/>
    <n v="957.27"/>
    <n v="0"/>
    <m/>
    <m/>
    <m/>
    <n v="0"/>
    <n v="825.24"/>
    <n v="0"/>
    <n v="132.03139999999999"/>
    <n v="957.27139999999997"/>
    <m/>
    <m/>
    <m/>
    <n v="0"/>
    <n v="26451.73"/>
    <s v="NO ES TOP"/>
    <n v="825.24"/>
    <n v="957.27139999999997"/>
    <n v="-1.3999999999896318E-3"/>
    <m/>
    <s v="Aplicar"/>
    <n v="4"/>
    <n v="0"/>
    <s v="sin acercamiento por proveedor"/>
    <x v="1"/>
    <x v="4"/>
    <s v="Raul"/>
    <m/>
    <m/>
    <m/>
    <m/>
    <m/>
    <m/>
    <m/>
    <m/>
    <m/>
    <m/>
    <m/>
    <m/>
    <m/>
    <m/>
    <e v="#N/A"/>
  </r>
  <r>
    <n v="28399"/>
    <x v="382"/>
    <n v="805.21"/>
    <n v="0"/>
    <n v="128.83359999999999"/>
    <n v="934.04"/>
    <n v="934.04"/>
    <m/>
    <m/>
    <m/>
    <n v="0"/>
    <n v="805.21"/>
    <n v="0"/>
    <n v="128.83359999999999"/>
    <n v="934.04359999999997"/>
    <m/>
    <m/>
    <m/>
    <n v="0"/>
    <n v="10119.709999999999"/>
    <s v="NO ES TOP"/>
    <n v="805.21"/>
    <n v="934.04359999999997"/>
    <n v="-3.6000000000058208E-3"/>
    <m/>
    <s v="Aplicado"/>
    <n v="4"/>
    <n v="0"/>
    <n v="0"/>
    <x v="1"/>
    <x v="4"/>
    <s v="Erika"/>
    <m/>
    <m/>
    <m/>
    <m/>
    <m/>
    <m/>
    <m/>
    <m/>
    <m/>
    <m/>
    <m/>
    <m/>
    <m/>
    <m/>
    <e v="#N/A"/>
  </r>
  <r>
    <n v="206706"/>
    <x v="383"/>
    <n v="877.71"/>
    <n v="0"/>
    <n v="0"/>
    <n v="877.71"/>
    <n v="877.71"/>
    <m/>
    <m/>
    <m/>
    <n v="0"/>
    <n v="877.71"/>
    <n v="0"/>
    <n v="0"/>
    <n v="877.71"/>
    <m/>
    <m/>
    <m/>
    <n v="0"/>
    <n v="93180.74"/>
    <s v="NO ES TOP"/>
    <n v="877.71"/>
    <n v="877.71"/>
    <n v="0"/>
    <m/>
    <s v="Aplicado"/>
    <n v="4"/>
    <n v="0"/>
    <n v="0"/>
    <x v="1"/>
    <x v="4"/>
    <s v="Sareé"/>
    <m/>
    <m/>
    <m/>
    <m/>
    <m/>
    <m/>
    <m/>
    <m/>
    <m/>
    <m/>
    <m/>
    <m/>
    <m/>
    <m/>
    <e v="#N/A"/>
  </r>
  <r>
    <n v="32961"/>
    <x v="384"/>
    <n v="675.36"/>
    <n v="0"/>
    <n v="108.05759999999999"/>
    <n v="783.42"/>
    <n v="783.42"/>
    <m/>
    <m/>
    <m/>
    <n v="0"/>
    <n v="675.36"/>
    <n v="0"/>
    <n v="108.05759999999999"/>
    <n v="783.41759999999999"/>
    <m/>
    <m/>
    <m/>
    <n v="0"/>
    <n v="53589.65"/>
    <s v="NO ES TOP"/>
    <n v="675.36"/>
    <n v="783.41759999999999"/>
    <n v="2.3999999999659849E-3"/>
    <m/>
    <s v="Aplicado"/>
    <n v="4"/>
    <n v="0"/>
    <n v="0"/>
    <x v="1"/>
    <x v="4"/>
    <s v="Raul"/>
    <m/>
    <m/>
    <m/>
    <m/>
    <m/>
    <m/>
    <m/>
    <m/>
    <m/>
    <m/>
    <m/>
    <m/>
    <m/>
    <m/>
    <e v="#N/A"/>
  </r>
  <r>
    <n v="16006"/>
    <x v="385"/>
    <n v="706.29367554249995"/>
    <n v="30.115957814280002"/>
    <n v="0"/>
    <n v="736.39"/>
    <n v="736.39"/>
    <m/>
    <m/>
    <m/>
    <n v="0"/>
    <n v="706.29367554249995"/>
    <n v="30.115957814280002"/>
    <n v="0"/>
    <n v="736.40963335677998"/>
    <m/>
    <m/>
    <m/>
    <n v="0"/>
    <m/>
    <s v="NO ES TOP"/>
    <n v="706.29367554249995"/>
    <n v="736.40963335677998"/>
    <n v="-1.9633356779991118E-2"/>
    <m/>
    <s v="Aplicado"/>
    <n v="4"/>
    <n v="0"/>
    <n v="0"/>
    <x v="1"/>
    <x v="4"/>
    <s v="Belem"/>
    <m/>
    <m/>
    <m/>
    <m/>
    <m/>
    <m/>
    <m/>
    <m/>
    <m/>
    <m/>
    <m/>
    <m/>
    <m/>
    <m/>
    <e v="#N/A"/>
  </r>
  <r>
    <n v="382523"/>
    <x v="386"/>
    <n v="602.02312305600856"/>
    <n v="0"/>
    <n v="96.323699688960005"/>
    <n v="698.35"/>
    <n v="698.35"/>
    <m/>
    <m/>
    <m/>
    <n v="0"/>
    <n v="602.02312305600856"/>
    <n v="0"/>
    <n v="96.323699688960005"/>
    <n v="698.34682274496856"/>
    <m/>
    <m/>
    <m/>
    <n v="0"/>
    <n v="282041.03000000003"/>
    <s v="NO ES TOP"/>
    <n v="602.02312305600856"/>
    <n v="698.34682274496856"/>
    <n v="3.1772550314599357E-3"/>
    <m/>
    <s v="Aplicar"/>
    <n v="4"/>
    <n v="0"/>
    <n v="0"/>
    <x v="1"/>
    <x v="4"/>
    <s v="Yessica"/>
    <m/>
    <m/>
    <m/>
    <m/>
    <m/>
    <m/>
    <m/>
    <m/>
    <m/>
    <m/>
    <m/>
    <m/>
    <m/>
    <m/>
    <s v="jc@bbl.mx"/>
  </r>
  <r>
    <n v="208678"/>
    <x v="387"/>
    <n v="631.47682532800025"/>
    <n v="50.518146026240004"/>
    <n v="0"/>
    <n v="681.99"/>
    <n v="681.99"/>
    <m/>
    <m/>
    <m/>
    <n v="0"/>
    <n v="631.47682532800025"/>
    <n v="50.518146026240004"/>
    <n v="0"/>
    <n v="681.99497135424031"/>
    <m/>
    <m/>
    <m/>
    <n v="0"/>
    <n v="212723.19"/>
    <s v="NO ES TOP"/>
    <n v="631.47682532800025"/>
    <n v="681.99497135424031"/>
    <n v="-4.9713542402969324E-3"/>
    <m/>
    <s v="Aplicado"/>
    <n v="4"/>
    <n v="0"/>
    <n v="0"/>
    <x v="1"/>
    <x v="4"/>
    <s v="Jessica"/>
    <m/>
    <m/>
    <m/>
    <m/>
    <m/>
    <m/>
    <m/>
    <m/>
    <m/>
    <m/>
    <m/>
    <m/>
    <m/>
    <m/>
    <e v="#N/A"/>
  </r>
  <r>
    <n v="327478"/>
    <x v="388"/>
    <n v="581.05999999999995"/>
    <n v="0"/>
    <n v="92.9696"/>
    <n v="674.02"/>
    <n v="674.02"/>
    <m/>
    <m/>
    <m/>
    <n v="0"/>
    <n v="581.05999999999995"/>
    <n v="0"/>
    <n v="92.9696"/>
    <n v="674.02959999999996"/>
    <m/>
    <m/>
    <m/>
    <n v="0"/>
    <n v="7362.36"/>
    <s v="NO ES TOP"/>
    <n v="581.05999999999995"/>
    <n v="674.02959999999996"/>
    <n v="-9.5999999999776264E-3"/>
    <m/>
    <s v="Aplicado"/>
    <n v="4"/>
    <n v="0"/>
    <n v="0"/>
    <x v="1"/>
    <x v="4"/>
    <s v="Olfi"/>
    <m/>
    <m/>
    <m/>
    <m/>
    <m/>
    <m/>
    <m/>
    <m/>
    <m/>
    <m/>
    <m/>
    <m/>
    <m/>
    <m/>
    <e v="#N/A"/>
  </r>
  <r>
    <n v="391672"/>
    <x v="389"/>
    <n v="577.57000000000005"/>
    <n v="0"/>
    <n v="92.411199999999994"/>
    <n v="669.99"/>
    <n v="669.99"/>
    <m/>
    <m/>
    <m/>
    <n v="0"/>
    <n v="577.57000000000005"/>
    <n v="0"/>
    <n v="92.411199999999994"/>
    <n v="669.98120000000006"/>
    <m/>
    <m/>
    <m/>
    <n v="0"/>
    <n v="58113.04"/>
    <s v="NO ES TOP"/>
    <n v="577.57000000000005"/>
    <n v="669.98120000000006"/>
    <n v="8.7999999999510692E-3"/>
    <m/>
    <s v="Aplicado"/>
    <n v="4"/>
    <n v="0"/>
    <s v="sin comentarios del proveedor"/>
    <x v="1"/>
    <x v="4"/>
    <s v="Marcela"/>
    <m/>
    <m/>
    <m/>
    <m/>
    <m/>
    <m/>
    <m/>
    <m/>
    <m/>
    <m/>
    <m/>
    <m/>
    <m/>
    <m/>
    <e v="#N/A"/>
  </r>
  <r>
    <n v="335240"/>
    <x v="390"/>
    <n v="465.46978239999999"/>
    <n v="0"/>
    <n v="74.466899999999995"/>
    <n v="539.93669999999997"/>
    <n v="539.92999999999995"/>
    <m/>
    <m/>
    <m/>
    <n v="0"/>
    <n v="465.46978239999999"/>
    <n v="0"/>
    <n v="74.466899999999995"/>
    <n v="539.9366824"/>
    <m/>
    <m/>
    <m/>
    <n v="0"/>
    <n v="424662.38"/>
    <s v="NO ES TOP"/>
    <n v="465.46978239999999"/>
    <n v="539.9366824"/>
    <n v="1.7599999978301639E-5"/>
    <m/>
    <s v="Aplicado"/>
    <n v="4"/>
    <n v="0"/>
    <n v="0"/>
    <x v="1"/>
    <x v="4"/>
    <s v="Andrea"/>
    <m/>
    <m/>
    <m/>
    <m/>
    <m/>
    <m/>
    <m/>
    <m/>
    <m/>
    <m/>
    <m/>
    <m/>
    <m/>
    <m/>
    <e v="#N/A"/>
  </r>
  <r>
    <n v="24125"/>
    <x v="391"/>
    <n v="427.02"/>
    <n v="0"/>
    <n v="68.3232"/>
    <n v="495.34"/>
    <n v="495.34"/>
    <m/>
    <m/>
    <m/>
    <n v="0"/>
    <n v="427.02"/>
    <n v="0"/>
    <n v="68.3232"/>
    <n v="495.34319999999997"/>
    <m/>
    <m/>
    <m/>
    <n v="0"/>
    <m/>
    <s v="NO ES TOP"/>
    <n v="427.02"/>
    <n v="495.34319999999997"/>
    <n v="-3.1999999999925421E-3"/>
    <m/>
    <s v="Aplicado"/>
    <n v="4"/>
    <n v="0"/>
    <n v="0"/>
    <x v="1"/>
    <x v="4"/>
    <s v="Raul"/>
    <m/>
    <m/>
    <m/>
    <m/>
    <m/>
    <m/>
    <m/>
    <m/>
    <m/>
    <m/>
    <m/>
    <m/>
    <m/>
    <m/>
    <e v="#N/A"/>
  </r>
  <r>
    <n v="3774"/>
    <x v="392"/>
    <n v="477.45"/>
    <n v="0"/>
    <n v="0"/>
    <n v="477.45"/>
    <n v="477.45"/>
    <m/>
    <m/>
    <m/>
    <n v="0"/>
    <n v="477.45"/>
    <n v="0"/>
    <n v="0"/>
    <n v="477.45"/>
    <m/>
    <m/>
    <m/>
    <n v="0"/>
    <n v="283975.15000000002"/>
    <s v="NO ES TOP"/>
    <n v="477.45"/>
    <n v="477.45"/>
    <n v="0"/>
    <m/>
    <s v="Aplicado"/>
    <n v="4"/>
    <n v="0"/>
    <n v="0"/>
    <x v="1"/>
    <x v="4"/>
    <s v="Erika"/>
    <m/>
    <m/>
    <m/>
    <m/>
    <m/>
    <m/>
    <m/>
    <m/>
    <m/>
    <m/>
    <m/>
    <m/>
    <m/>
    <m/>
    <e v="#N/A"/>
  </r>
  <r>
    <n v="98137"/>
    <x v="393"/>
    <n v="341.28999999999996"/>
    <n v="0"/>
    <n v="54.606400000000001"/>
    <n v="395.9"/>
    <n v="395.9"/>
    <m/>
    <m/>
    <m/>
    <n v="0"/>
    <n v="341.28999999999996"/>
    <n v="0"/>
    <n v="54.606400000000001"/>
    <n v="395.89639999999997"/>
    <m/>
    <m/>
    <m/>
    <n v="0"/>
    <n v="1491.54"/>
    <s v="NO ES TOP"/>
    <n v="341.28999999999996"/>
    <n v="395.89639999999997"/>
    <n v="3.6000000000058208E-3"/>
    <m/>
    <s v="Aplicar"/>
    <n v="4"/>
    <n v="0"/>
    <s v="Sin acercamiento por parte de proveedor"/>
    <x v="1"/>
    <x v="4"/>
    <s v="Sareé"/>
    <m/>
    <m/>
    <m/>
    <m/>
    <m/>
    <m/>
    <m/>
    <m/>
    <m/>
    <m/>
    <m/>
    <m/>
    <m/>
    <m/>
    <e v="#N/A"/>
  </r>
  <r>
    <n v="22795"/>
    <x v="394"/>
    <n v="386.21"/>
    <n v="0"/>
    <n v="0"/>
    <n v="386.21"/>
    <n v="386.21"/>
    <m/>
    <m/>
    <m/>
    <n v="0"/>
    <n v="386.21"/>
    <n v="0"/>
    <n v="0"/>
    <n v="386.21"/>
    <m/>
    <m/>
    <m/>
    <n v="0"/>
    <m/>
    <s v="NO ES TOP"/>
    <n v="386.21"/>
    <n v="386.21"/>
    <n v="0"/>
    <m/>
    <s v="Aplicado"/>
    <n v="4"/>
    <n v="0"/>
    <n v="0"/>
    <x v="1"/>
    <x v="4"/>
    <s v="Raul"/>
    <m/>
    <m/>
    <m/>
    <m/>
    <m/>
    <m/>
    <m/>
    <m/>
    <m/>
    <m/>
    <m/>
    <m/>
    <m/>
    <m/>
    <e v="#N/A"/>
  </r>
  <r>
    <n v="25874"/>
    <x v="327"/>
    <n v="324.88"/>
    <n v="0"/>
    <n v="51.980799999999995"/>
    <n v="376.86"/>
    <n v="376.86"/>
    <m/>
    <m/>
    <m/>
    <n v="0"/>
    <n v="324.88"/>
    <n v="0"/>
    <n v="51.980799999999995"/>
    <n v="376.86079999999998"/>
    <m/>
    <m/>
    <m/>
    <n v="0"/>
    <n v="21366.79"/>
    <s v="NO ES TOP"/>
    <n v="324.88"/>
    <n v="376.86079999999998"/>
    <n v="-7.9999999996971383E-4"/>
    <m/>
    <s v="Aplicar"/>
    <n v="4"/>
    <n v="0"/>
    <n v="0"/>
    <x v="1"/>
    <x v="4"/>
    <s v="Belem"/>
    <m/>
    <m/>
    <m/>
    <m/>
    <m/>
    <m/>
    <m/>
    <m/>
    <m/>
    <m/>
    <m/>
    <m/>
    <m/>
    <m/>
    <e v="#N/A"/>
  </r>
  <r>
    <n v="327049"/>
    <x v="395"/>
    <n v="326.166165229"/>
    <n v="26.093293218319999"/>
    <n v="0"/>
    <n v="352.26"/>
    <n v="352.26"/>
    <m/>
    <m/>
    <m/>
    <n v="0"/>
    <n v="326.166165229"/>
    <n v="26.093293218319999"/>
    <n v="0"/>
    <n v="352.25945844732001"/>
    <m/>
    <m/>
    <m/>
    <n v="0"/>
    <n v="34686.589999999997"/>
    <s v="NO ES TOP"/>
    <n v="326.166165229"/>
    <n v="352.25945844732001"/>
    <n v="5.4155267997657575E-4"/>
    <m/>
    <s v="Aplicado"/>
    <n v="4"/>
    <n v="0"/>
    <n v="0"/>
    <x v="1"/>
    <x v="4"/>
    <s v="Jessica"/>
    <m/>
    <m/>
    <m/>
    <m/>
    <m/>
    <m/>
    <m/>
    <m/>
    <m/>
    <m/>
    <m/>
    <m/>
    <m/>
    <m/>
    <e v="#N/A"/>
  </r>
  <r>
    <n v="10678"/>
    <x v="396"/>
    <n v="264.87"/>
    <n v="0"/>
    <n v="42.399299999999997"/>
    <n v="307.27"/>
    <n v="307.27"/>
    <m/>
    <m/>
    <m/>
    <n v="0"/>
    <n v="264.87"/>
    <n v="0"/>
    <n v="42.399299999999997"/>
    <n v="307.26929999999999"/>
    <m/>
    <m/>
    <m/>
    <n v="0"/>
    <n v="604.44000000000005"/>
    <s v="NO ES TOP"/>
    <n v="264.87"/>
    <n v="307.26929999999999"/>
    <n v="6.9999999999481588E-4"/>
    <m/>
    <s v="Aplicado"/>
    <n v="4"/>
    <n v="0"/>
    <n v="0"/>
    <x v="1"/>
    <x v="4"/>
    <s v="Yessica"/>
    <m/>
    <m/>
    <m/>
    <m/>
    <m/>
    <m/>
    <m/>
    <m/>
    <m/>
    <m/>
    <m/>
    <m/>
    <m/>
    <m/>
    <e v="#N/A"/>
  </r>
  <r>
    <n v="20168"/>
    <x v="397"/>
    <n v="230.40505619999999"/>
    <n v="0"/>
    <n v="36.864808992"/>
    <n v="267.27"/>
    <n v="267.27"/>
    <m/>
    <m/>
    <m/>
    <n v="0"/>
    <n v="230.40505619999999"/>
    <n v="0"/>
    <n v="36.864808992"/>
    <n v="267.269865192"/>
    <m/>
    <m/>
    <m/>
    <n v="0"/>
    <m/>
    <s v="NO ES TOP"/>
    <n v="230.40505619999999"/>
    <n v="267.269865192"/>
    <n v="1.3480799998433213E-4"/>
    <m/>
    <s v="Aplicado"/>
    <n v="4"/>
    <n v="0"/>
    <n v="0"/>
    <x v="1"/>
    <x v="4"/>
    <s v="Olfi"/>
    <m/>
    <m/>
    <m/>
    <m/>
    <m/>
    <m/>
    <m/>
    <m/>
    <m/>
    <m/>
    <m/>
    <m/>
    <m/>
    <m/>
    <e v="#N/A"/>
  </r>
  <r>
    <n v="28209"/>
    <x v="398"/>
    <n v="217.68"/>
    <n v="0"/>
    <n v="34.826300000000003"/>
    <n v="252.51"/>
    <n v="252.51"/>
    <m/>
    <m/>
    <m/>
    <n v="0"/>
    <n v="217.68"/>
    <n v="0"/>
    <n v="34.826300000000003"/>
    <n v="252.50630000000001"/>
    <m/>
    <m/>
    <m/>
    <n v="0"/>
    <n v="46825.2"/>
    <s v="NO ES TOP"/>
    <n v="217.68"/>
    <n v="252.50630000000001"/>
    <n v="3.6999999999807187E-3"/>
    <m/>
    <s v="Aplicado"/>
    <n v="4"/>
    <n v="0"/>
    <s v="sin comentarios del proveedor"/>
    <x v="1"/>
    <x v="4"/>
    <s v="Marcela"/>
    <m/>
    <m/>
    <m/>
    <m/>
    <m/>
    <m/>
    <m/>
    <m/>
    <m/>
    <m/>
    <m/>
    <m/>
    <m/>
    <m/>
    <e v="#N/A"/>
  </r>
  <r>
    <n v="11160"/>
    <x v="399"/>
    <n v="231.82"/>
    <n v="18.5486"/>
    <n v="0"/>
    <n v="250.37"/>
    <n v="250.37"/>
    <m/>
    <m/>
    <m/>
    <n v="0"/>
    <n v="231.82"/>
    <n v="18.5486"/>
    <n v="0"/>
    <n v="250.36859999999999"/>
    <m/>
    <m/>
    <m/>
    <n v="0"/>
    <n v="65673.81"/>
    <s v="NO ES TOP"/>
    <n v="231.82"/>
    <n v="250.36859999999999"/>
    <n v="1.4000000000180535E-3"/>
    <m/>
    <s v="Aplicado"/>
    <n v="4"/>
    <n v="0"/>
    <n v="0"/>
    <x v="1"/>
    <x v="4"/>
    <s v="Andrea"/>
    <m/>
    <m/>
    <m/>
    <m/>
    <m/>
    <m/>
    <m/>
    <m/>
    <m/>
    <m/>
    <m/>
    <m/>
    <m/>
    <m/>
    <e v="#N/A"/>
  </r>
  <r>
    <n v="28407"/>
    <x v="400"/>
    <n v="205.57329379999999"/>
    <n v="0"/>
    <n v="32.891727007999997"/>
    <n v="238.47"/>
    <n v="238.47"/>
    <m/>
    <m/>
    <m/>
    <n v="0"/>
    <n v="205.57329379999999"/>
    <n v="0"/>
    <n v="32.891727007999997"/>
    <n v="238.46502080799999"/>
    <m/>
    <m/>
    <m/>
    <n v="0"/>
    <n v="34156.71"/>
    <s v="NO ES TOP"/>
    <n v="205.57329379999999"/>
    <n v="238.46502080799999"/>
    <n v="4.9791920000075152E-3"/>
    <m/>
    <s v="Aplicar"/>
    <n v="4"/>
    <n v="0"/>
    <s v="sin acercamiento por proveedor"/>
    <x v="1"/>
    <x v="4"/>
    <s v="Raul"/>
    <m/>
    <m/>
    <m/>
    <m/>
    <m/>
    <m/>
    <m/>
    <m/>
    <m/>
    <m/>
    <m/>
    <m/>
    <m/>
    <m/>
    <e v="#N/A"/>
  </r>
  <r>
    <n v="2013"/>
    <x v="401"/>
    <n v="200.56"/>
    <n v="0"/>
    <n v="32.089599999999997"/>
    <n v="232.65"/>
    <n v="0"/>
    <m/>
    <m/>
    <m/>
    <n v="0"/>
    <n v="200.56"/>
    <n v="0"/>
    <n v="32.089599999999997"/>
    <n v="232.64959999999999"/>
    <m/>
    <m/>
    <m/>
    <n v="0"/>
    <n v="14992.39"/>
    <s v="NO ES TOP"/>
    <n v="200.56"/>
    <n v="232.64959999999999"/>
    <n v="4.0000000001327862E-4"/>
    <m/>
    <s v="Aplicar"/>
    <n v="4"/>
    <n v="0"/>
    <s v="Sin acercamiento por parte del proveedor"/>
    <x v="1"/>
    <x v="4"/>
    <s v="Erika"/>
    <m/>
    <m/>
    <m/>
    <m/>
    <m/>
    <m/>
    <m/>
    <m/>
    <m/>
    <m/>
    <m/>
    <m/>
    <m/>
    <m/>
    <e v="#N/A"/>
  </r>
  <r>
    <n v="339069"/>
    <x v="402"/>
    <n v="215.13"/>
    <n v="17.2104"/>
    <n v="0"/>
    <n v="232.34"/>
    <n v="232.34"/>
    <m/>
    <m/>
    <m/>
    <n v="0"/>
    <n v="215.13"/>
    <n v="17.2104"/>
    <n v="0"/>
    <n v="232.34039999999999"/>
    <m/>
    <m/>
    <m/>
    <n v="0"/>
    <n v="11949.15"/>
    <s v="NO ES TOP"/>
    <n v="215.13"/>
    <n v="232.34039999999999"/>
    <n v="-3.9999999998485691E-4"/>
    <m/>
    <s v="Aplicado"/>
    <n v="4"/>
    <n v="0"/>
    <n v="0"/>
    <x v="1"/>
    <x v="4"/>
    <s v="Sareé"/>
    <m/>
    <m/>
    <m/>
    <m/>
    <m/>
    <m/>
    <m/>
    <m/>
    <m/>
    <m/>
    <m/>
    <m/>
    <m/>
    <m/>
    <e v="#N/A"/>
  </r>
  <r>
    <n v="18087"/>
    <x v="403"/>
    <n v="180.74"/>
    <n v="0"/>
    <n v="28.918399999999998"/>
    <n v="209.66"/>
    <n v="209.66"/>
    <m/>
    <m/>
    <m/>
    <n v="0"/>
    <n v="180.74"/>
    <n v="0"/>
    <n v="28.918399999999998"/>
    <n v="209.6584"/>
    <m/>
    <m/>
    <m/>
    <n v="0"/>
    <n v="448.02"/>
    <s v="NO ES TOP"/>
    <n v="180.74"/>
    <n v="209.6584"/>
    <n v="1.5999999999962711E-3"/>
    <m/>
    <s v="Aplicado"/>
    <n v="4"/>
    <n v="0"/>
    <n v="0"/>
    <x v="1"/>
    <x v="4"/>
    <s v="Raul"/>
    <m/>
    <m/>
    <m/>
    <m/>
    <m/>
    <m/>
    <m/>
    <m/>
    <m/>
    <m/>
    <m/>
    <m/>
    <m/>
    <m/>
    <e v="#N/A"/>
  </r>
  <r>
    <n v="228163"/>
    <x v="404"/>
    <n v="202.75999999999996"/>
    <n v="0"/>
    <n v="0"/>
    <n v="202.75999999999996"/>
    <n v="202.76"/>
    <m/>
    <m/>
    <m/>
    <n v="0"/>
    <n v="202.75999999999996"/>
    <n v="0"/>
    <n v="0"/>
    <n v="202.75999999999996"/>
    <m/>
    <m/>
    <m/>
    <n v="0"/>
    <n v="250.24"/>
    <s v="NO ES TOP"/>
    <n v="202.75999999999996"/>
    <n v="202.75999999999996"/>
    <n v="0"/>
    <m/>
    <s v="Aplicado"/>
    <n v="4"/>
    <n v="0"/>
    <n v="0"/>
    <x v="1"/>
    <x v="4"/>
    <s v="Belem"/>
    <m/>
    <m/>
    <m/>
    <m/>
    <m/>
    <m/>
    <m/>
    <m/>
    <m/>
    <m/>
    <m/>
    <m/>
    <m/>
    <m/>
    <s v="marco.cordero@lyncott.mx"/>
  </r>
  <r>
    <n v="308592"/>
    <x v="405"/>
    <n v="168.15"/>
    <n v="13.4688"/>
    <n v="0"/>
    <n v="181.62"/>
    <n v="0"/>
    <m/>
    <m/>
    <m/>
    <n v="0"/>
    <n v="168.15"/>
    <n v="13.4688"/>
    <n v="0"/>
    <n v="181.61879999999999"/>
    <m/>
    <m/>
    <m/>
    <n v="0"/>
    <n v="47190.43"/>
    <s v="NO ES TOP"/>
    <n v="168.15"/>
    <n v="181.61879999999999"/>
    <n v="1.2000000000114142E-3"/>
    <m/>
    <s v="Aplicar"/>
    <n v="4"/>
    <n v="0"/>
    <n v="0"/>
    <x v="1"/>
    <x v="4"/>
    <s v="Belem"/>
    <m/>
    <m/>
    <m/>
    <m/>
    <m/>
    <m/>
    <m/>
    <m/>
    <m/>
    <m/>
    <m/>
    <m/>
    <m/>
    <m/>
    <e v="#N/A"/>
  </r>
  <r>
    <n v="21090"/>
    <x v="406"/>
    <n v="147.4"/>
    <n v="0"/>
    <n v="23.584"/>
    <n v="170.98"/>
    <n v="170.98"/>
    <m/>
    <m/>
    <m/>
    <n v="0"/>
    <n v="147.4"/>
    <n v="0"/>
    <n v="23.584"/>
    <n v="170.98400000000001"/>
    <m/>
    <m/>
    <m/>
    <n v="0"/>
    <n v="13028.86"/>
    <s v="NO ES TOP"/>
    <n v="147.4"/>
    <n v="170.98400000000001"/>
    <n v="-4.0000000000190994E-3"/>
    <m/>
    <s v="Aplicado"/>
    <n v="4"/>
    <n v="0"/>
    <n v="0"/>
    <x v="1"/>
    <x v="4"/>
    <s v="Jessica"/>
    <m/>
    <m/>
    <m/>
    <m/>
    <m/>
    <m/>
    <m/>
    <m/>
    <m/>
    <m/>
    <m/>
    <m/>
    <m/>
    <m/>
    <e v="#N/A"/>
  </r>
  <r>
    <n v="2949"/>
    <x v="407"/>
    <n v="134.06"/>
    <n v="0"/>
    <n v="21.4496"/>
    <n v="155.51"/>
    <n v="0"/>
    <m/>
    <m/>
    <m/>
    <n v="0"/>
    <n v="134.06"/>
    <n v="0"/>
    <n v="21.4496"/>
    <n v="155.50960000000001"/>
    <m/>
    <m/>
    <m/>
    <n v="0"/>
    <m/>
    <s v="NO ES TOP"/>
    <n v="134.06"/>
    <n v="155.50960000000001"/>
    <n v="3.9999999998485691E-4"/>
    <m/>
    <s v="Aplicar"/>
    <n v="4"/>
    <n v="0"/>
    <s v="sin respuesta"/>
    <x v="1"/>
    <x v="4"/>
    <s v="Olfi"/>
    <m/>
    <m/>
    <m/>
    <m/>
    <m/>
    <m/>
    <m/>
    <m/>
    <m/>
    <m/>
    <m/>
    <m/>
    <m/>
    <m/>
    <s v="verena.aguilar@kontoorbrands.com"/>
  </r>
  <r>
    <n v="13611"/>
    <x v="408"/>
    <n v="148.08250924999999"/>
    <n v="0"/>
    <n v="0"/>
    <n v="148.08000000000001"/>
    <n v="148.08000000000001"/>
    <m/>
    <m/>
    <m/>
    <n v="0"/>
    <n v="148.08250924999999"/>
    <n v="0"/>
    <n v="0"/>
    <n v="148.08250924999999"/>
    <m/>
    <m/>
    <m/>
    <n v="0"/>
    <n v="29877.94"/>
    <s v="NO ES TOP"/>
    <n v="148.08250924999999"/>
    <n v="148.08250924999999"/>
    <n v="-2.5092499999743723E-3"/>
    <m/>
    <s v="Aplicado"/>
    <n v="4"/>
    <n v="0"/>
    <n v="0"/>
    <x v="1"/>
    <x v="4"/>
    <s v="Yessica"/>
    <m/>
    <m/>
    <m/>
    <m/>
    <m/>
    <m/>
    <m/>
    <m/>
    <m/>
    <m/>
    <m/>
    <m/>
    <m/>
    <m/>
    <e v="#N/A"/>
  </r>
  <r>
    <n v="391193"/>
    <x v="409"/>
    <n v="125.73"/>
    <n v="0"/>
    <n v="20.104199999999999"/>
    <n v="145.84"/>
    <n v="145.84"/>
    <m/>
    <m/>
    <m/>
    <n v="0"/>
    <n v="125.73"/>
    <n v="0"/>
    <n v="20.104199999999999"/>
    <n v="145.83420000000001"/>
    <m/>
    <m/>
    <m/>
    <n v="0"/>
    <n v="18400.150000000001"/>
    <s v="NO ES TOP"/>
    <n v="125.73"/>
    <n v="145.83420000000001"/>
    <n v="5.7999999999935881E-3"/>
    <m/>
    <s v="Aplicado"/>
    <n v="4"/>
    <n v="0"/>
    <s v="sin comentarios del proveedor"/>
    <x v="1"/>
    <x v="4"/>
    <s v="Marcela"/>
    <m/>
    <m/>
    <m/>
    <m/>
    <m/>
    <m/>
    <m/>
    <m/>
    <m/>
    <m/>
    <m/>
    <m/>
    <m/>
    <m/>
    <e v="#N/A"/>
  </r>
  <r>
    <n v="322172"/>
    <x v="410"/>
    <n v="94.07"/>
    <n v="0"/>
    <n v="15.0512"/>
    <n v="109.12"/>
    <n v="109.12"/>
    <m/>
    <m/>
    <m/>
    <n v="0"/>
    <n v="94.07"/>
    <n v="0"/>
    <n v="15.0512"/>
    <n v="109.12119999999999"/>
    <m/>
    <m/>
    <m/>
    <n v="0"/>
    <m/>
    <s v="NO ES TOP"/>
    <n v="94.07"/>
    <n v="109.12119999999999"/>
    <n v="-1.1999999999829924E-3"/>
    <m/>
    <s v="Aplicar"/>
    <n v="4"/>
    <n v="0"/>
    <n v="0"/>
    <x v="1"/>
    <x v="4"/>
    <s v="Andrea"/>
    <m/>
    <m/>
    <m/>
    <m/>
    <m/>
    <m/>
    <m/>
    <m/>
    <m/>
    <m/>
    <m/>
    <m/>
    <m/>
    <m/>
    <e v="#N/A"/>
  </r>
  <r>
    <n v="395855"/>
    <x v="411"/>
    <n v="82.899999999999991"/>
    <n v="6.6306000000000003"/>
    <n v="0"/>
    <n v="89.53"/>
    <n v="89.53"/>
    <m/>
    <m/>
    <m/>
    <n v="0"/>
    <n v="82.899999999999991"/>
    <n v="6.6306000000000003"/>
    <n v="0"/>
    <n v="89.530599999999993"/>
    <m/>
    <m/>
    <m/>
    <n v="0"/>
    <n v="90068.62"/>
    <s v="NO ES TOP"/>
    <n v="82.899999999999991"/>
    <n v="89.530599999999993"/>
    <n v="-5.9999999999149622E-4"/>
    <m/>
    <s v="Aplicado"/>
    <n v="4"/>
    <n v="0"/>
    <n v="0"/>
    <x v="1"/>
    <x v="4"/>
    <s v="Samuel"/>
    <m/>
    <m/>
    <m/>
    <m/>
    <m/>
    <m/>
    <m/>
    <m/>
    <m/>
    <m/>
    <m/>
    <m/>
    <m/>
    <m/>
    <e v="#N/A"/>
  </r>
  <r>
    <n v="51011"/>
    <x v="412"/>
    <n v="83.47"/>
    <n v="0"/>
    <n v="0"/>
    <n v="83.47"/>
    <n v="83.47"/>
    <m/>
    <m/>
    <m/>
    <n v="0"/>
    <n v="83.47"/>
    <n v="0"/>
    <n v="0"/>
    <n v="83.47"/>
    <m/>
    <m/>
    <m/>
    <n v="0"/>
    <m/>
    <s v="NO ES TOP"/>
    <n v="83.47"/>
    <n v="83.47"/>
    <n v="0"/>
    <m/>
    <s v="Aplicado"/>
    <n v="4"/>
    <n v="0"/>
    <n v="0"/>
    <x v="1"/>
    <x v="4"/>
    <s v="Erika"/>
    <m/>
    <m/>
    <m/>
    <m/>
    <m/>
    <m/>
    <m/>
    <m/>
    <m/>
    <m/>
    <m/>
    <m/>
    <m/>
    <m/>
    <e v="#N/A"/>
  </r>
  <r>
    <n v="551"/>
    <x v="413"/>
    <n v="80.959999999999994"/>
    <n v="0"/>
    <n v="0"/>
    <n v="80.959999999999994"/>
    <n v="80.959999999999994"/>
    <m/>
    <m/>
    <m/>
    <n v="0"/>
    <n v="80.959999999999994"/>
    <n v="0"/>
    <n v="0"/>
    <n v="80.959999999999994"/>
    <m/>
    <m/>
    <m/>
    <n v="0"/>
    <n v="50364.14"/>
    <s v="NO ES TOP"/>
    <n v="80.959999999999994"/>
    <n v="80.959999999999994"/>
    <n v="0"/>
    <m/>
    <s v="Aplicado"/>
    <n v="4"/>
    <n v="0"/>
    <m/>
    <x v="1"/>
    <x v="4"/>
    <s v="Luis"/>
    <m/>
    <m/>
    <m/>
    <m/>
    <m/>
    <m/>
    <m/>
    <m/>
    <m/>
    <m/>
    <m/>
    <m/>
    <m/>
    <m/>
    <s v="atorres@harimasa.com"/>
  </r>
  <r>
    <n v="77750"/>
    <x v="414"/>
    <n v="58.07"/>
    <n v="0"/>
    <n v="9.2911999999999999"/>
    <n v="67.36"/>
    <n v="67.36"/>
    <m/>
    <m/>
    <m/>
    <n v="0"/>
    <n v="58.07"/>
    <n v="0"/>
    <n v="9.2911999999999999"/>
    <n v="67.361199999999997"/>
    <m/>
    <m/>
    <m/>
    <n v="0"/>
    <n v="277608.46999999997"/>
    <s v="NO ES TOP"/>
    <n v="58.07"/>
    <n v="67.361199999999997"/>
    <n v="-1.1999999999972033E-3"/>
    <m/>
    <s v="Aplicado"/>
    <n v="4"/>
    <n v="0"/>
    <n v="0"/>
    <x v="1"/>
    <x v="4"/>
    <s v="Samuel"/>
    <m/>
    <m/>
    <m/>
    <m/>
    <m/>
    <m/>
    <m/>
    <m/>
    <m/>
    <m/>
    <m/>
    <m/>
    <m/>
    <m/>
    <e v="#N/A"/>
  </r>
  <r>
    <n v="393272"/>
    <x v="415"/>
    <n v="55.01"/>
    <n v="0"/>
    <n v="8.8071000000000002"/>
    <n v="63.82"/>
    <n v="63.82"/>
    <m/>
    <m/>
    <m/>
    <n v="0"/>
    <n v="55.01"/>
    <n v="0"/>
    <n v="8.8071000000000002"/>
    <n v="63.817099999999996"/>
    <m/>
    <m/>
    <m/>
    <n v="0"/>
    <n v="4133.87"/>
    <s v="NO ES TOP"/>
    <n v="55.01"/>
    <n v="63.817099999999996"/>
    <n v="2.9000000000038995E-3"/>
    <m/>
    <s v="Aplicado"/>
    <n v="4"/>
    <n v="0"/>
    <n v="0"/>
    <x v="1"/>
    <x v="4"/>
    <s v="Yessenia"/>
    <m/>
    <m/>
    <m/>
    <m/>
    <m/>
    <m/>
    <m/>
    <m/>
    <m/>
    <m/>
    <m/>
    <m/>
    <m/>
    <m/>
    <e v="#N/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s v="INDUSTRIAL NOHRA SA DE CV"/>
    <n v="465639.16"/>
    <n v="34914.5"/>
    <n v="430724.66"/>
    <n v="371314.36206896551"/>
    <n v="0"/>
    <n v="59410.297931034504"/>
    <n v="0"/>
    <n v="0.16000000000000006"/>
    <d v="2026-03-30T00:00:00"/>
    <s v="Perla"/>
    <s v="Monto no procedente informado el 19 de febrero 2026"/>
  </r>
  <r>
    <x v="1"/>
    <s v="LETICIA PAMMY SA DE CV"/>
    <n v="671407.36"/>
    <n v="299401.57999999996"/>
    <n v="372005.78"/>
    <n v="320694.64"/>
    <n v="0"/>
    <n v="51311.14"/>
    <n v="0"/>
    <n v="0.15999999251624536"/>
    <d v="2026-03-30T00:00:00"/>
    <s v="Perla"/>
    <s v="Monto no procedente informado el 19 de febrero 2026"/>
  </r>
  <r>
    <x v="2"/>
    <s v="IMPULSORA CAMPIRANO SA DE CV"/>
    <n v="400141.22000000003"/>
    <n v="899.3"/>
    <n v="399241.92"/>
    <n v="344174.06896551728"/>
    <n v="0"/>
    <n v="55067.851034482803"/>
    <n v="0"/>
    <n v="0.16000000000000011"/>
    <d v="2026-03-30T00:00:00"/>
    <s v="Francisco"/>
    <s v="Monto no procedente informado el 03 de marzo 2026"/>
  </r>
  <r>
    <x v="3"/>
    <s v="SAUCEDO JAIME GUILLERMO JAVIER"/>
    <n v="219055.64"/>
    <n v="0"/>
    <n v="219055.64"/>
    <n v="189068.27"/>
    <n v="0"/>
    <n v="29987.373800000001"/>
    <n v="0"/>
    <n v="0.15860606224407725"/>
    <d v="2026-03-30T00:00:00"/>
    <s v="Luis"/>
    <s v="Monto no procedente informado el 03 de marzo 2026"/>
  </r>
  <r>
    <x v="4"/>
    <s v="PRODUCTOS DASS SA DE CV"/>
    <n v="130896.48"/>
    <n v="19272.7"/>
    <n v="111623.78"/>
    <n v="111623.78"/>
    <n v="0"/>
    <n v="0"/>
    <n v="0"/>
    <n v="0"/>
    <d v="2026-03-30T00:00:00"/>
    <s v="Yessenia"/>
    <s v="proveedor mandó soporte después del cargo"/>
  </r>
  <r>
    <x v="5"/>
    <s v="SCHETTINO HERMANOS S DE RL DE CV"/>
    <n v="408636.88"/>
    <n v="326883.88000000012"/>
    <n v="81752.999999999898"/>
    <n v="81752.999999999898"/>
    <n v="0"/>
    <n v="0"/>
    <n v="0"/>
    <n v="0"/>
    <d v="2026-03-30T00:00:00"/>
    <s v="Saree"/>
    <s v="proveedor mandó soporte después del cargo"/>
  </r>
  <r>
    <x v="6"/>
    <s v="COMARKET S.A. DE C.V."/>
    <n v="53357.5"/>
    <n v="0"/>
    <n v="53357.5"/>
    <n v="45997.84"/>
    <m/>
    <n v="7359.66"/>
    <n v="0"/>
    <n v="0.16000012174484715"/>
    <d v="2026-04-16T00:00:00"/>
    <s v="Yessenia"/>
    <m/>
  </r>
  <r>
    <x v="7"/>
    <s v="COMARKET S.A. DE C.V."/>
    <n v="53535.64"/>
    <n v="0"/>
    <n v="53535.64"/>
    <n v="46151.41"/>
    <m/>
    <n v="7384.23"/>
    <n v="0"/>
    <n v="0.16000009533836559"/>
    <d v="2026-04-16T00:00:00"/>
    <s v="Yessenia"/>
    <m/>
  </r>
  <r>
    <x v="8"/>
    <s v="COMARKET S.A. DE C.V."/>
    <n v="542312.75"/>
    <n v="0"/>
    <n v="542312.75"/>
    <n v="467510.99"/>
    <m/>
    <n v="74801.759999999995"/>
    <n v="0"/>
    <n v="0.16000000342237944"/>
    <d v="2026-04-16T00:00:00"/>
    <s v="Yessenia"/>
    <m/>
  </r>
  <r>
    <x v="9"/>
    <s v="COMARKET S.A. DE C.V."/>
    <n v="327055.94"/>
    <n v="0"/>
    <n v="327055.94"/>
    <n v="281944.78000000003"/>
    <m/>
    <n v="45111.16"/>
    <n v="0"/>
    <n v="0.15999998297538973"/>
    <d v="2026-04-16T00:00:00"/>
    <s v="Yessenia"/>
    <m/>
  </r>
  <r>
    <x v="10"/>
    <s v="COMARKET S.A. DE C.V."/>
    <n v="175031.83"/>
    <n v="0"/>
    <n v="175031.83"/>
    <n v="150889.51"/>
    <m/>
    <n v="24142.32"/>
    <n v="0"/>
    <n v="0.15999998939621449"/>
    <d v="2026-04-16T00:00:00"/>
    <s v="Yessenia"/>
    <m/>
  </r>
  <r>
    <x v="11"/>
    <s v="NEWELL BRANDS DE MEXICO SA DE CV"/>
    <n v="13439248.149999999"/>
    <m/>
    <n v="7962909.7199999997"/>
    <n v="6864577.3399999999"/>
    <m/>
    <n v="1098332.3799999999"/>
    <n v="0"/>
    <n v="0.1600000008157822"/>
    <d v="2026-04-24T00:00:00"/>
    <s v="Olfi/Raul"/>
    <s v="sistema STIBO errores de captura en unidades de medida INNER PACK y Master PACK"/>
  </r>
  <r>
    <x v="12"/>
    <s v="PINSA COMERCIAL SA DE CV"/>
    <n v="4901364.63"/>
    <m/>
    <n v="1669923.58"/>
    <n v="1669923.58"/>
    <n v="0"/>
    <n v="0"/>
    <n v="0"/>
    <n v="0"/>
    <d v="2026-04-30T00:00:00"/>
    <s v="Yessenia"/>
    <s v="Posterior al aviso, se enviaron los soportes correspondientes y se realizó la revisión de la información en conjunto con Controladuría y el área Comercial."/>
  </r>
  <r>
    <x v="13"/>
    <s v="PINSA COMERCIAL SA DE CV"/>
    <n v="621522.28"/>
    <m/>
    <n v="604955.56000000006"/>
    <n v="604955.56000000006"/>
    <n v="0"/>
    <n v="0"/>
    <n v="0"/>
    <n v="0"/>
    <d v="2026-04-30T00:00:00"/>
    <s v="Yessenia"/>
    <s v="Posterior al aviso, se enviaron los soportes correspondientes y se realizó la revisión de la información en conjunto con Controladuría y el área Comercial."/>
  </r>
  <r>
    <x v="14"/>
    <s v="PEDRO DOMECQ SA DE CV"/>
    <n v="355418.28"/>
    <m/>
    <n v="272767.76639200002"/>
    <n v="185885.08"/>
    <n v="49259.546199999997"/>
    <n v="37623.140191999999"/>
    <n v="0.26500000000000001"/>
    <n v="0.16"/>
    <m/>
    <s v="Belem"/>
    <s v="Se duplicaron pedidos"/>
  </r>
  <r>
    <x v="14"/>
    <s v="PEDRO DOMECQ SA DE CV"/>
    <n v="2431612.2400000002"/>
    <m/>
    <n v="2221130.6399999997"/>
    <n v="1251482.2107042521"/>
    <n v="663285.57167325192"/>
    <n v="306362.84519640054"/>
    <n v="0.53"/>
    <n v="0.16"/>
    <m/>
    <s v="Belem"/>
    <s v="Se duplicaron pedidos"/>
  </r>
  <r>
    <x v="15"/>
    <s v="VISION COMERCIAL DEPORTIVA SA DE CV"/>
    <n v="9992059.629999999"/>
    <m/>
    <n v="4286462.24"/>
    <n v="3695226.07"/>
    <n v="0"/>
    <n v="591236.17000000004"/>
    <n v="0"/>
    <n v="0.16"/>
    <d v="2026-05-06T00:00:00"/>
    <s v="Luis"/>
    <s v="Proveedor escalado, se reabrió la auditoría, proveedor manda soportes que ampara la improcedencia del saldo"/>
  </r>
  <r>
    <x v="16"/>
    <s v="VINUX DE MEXICO SA DE CV"/>
    <n v="886120.11999999988"/>
    <m/>
    <n v="544536"/>
    <n v="371089"/>
    <n v="98339"/>
    <n v="75108"/>
    <n v="0.26500000000000001"/>
    <n v="0.16"/>
    <m/>
    <s v="Luis"/>
    <s v="Posterior al aviso, se enviaron los soportes correspondientes y se realizó la revisión de la información en conjunto con Controladuría y el área Comercial."/>
  </r>
  <r>
    <x v="17"/>
    <s v="UNION KIDS SA DE CV"/>
    <n v="105820.43"/>
    <n v="50210.200000000004"/>
    <n v="55610.23"/>
    <n v="47939.85"/>
    <n v="0"/>
    <n v="7670.3760000000002"/>
    <n v="0"/>
    <n v="0.16"/>
    <m/>
    <s v="Luis"/>
    <s v="Posterior al aviso, se enviaron los soportes correspondientes y se realizó la revisión de la información "/>
  </r>
  <r>
    <x v="18"/>
    <s v="COMERCIALIZADORA CANTU SA DE CV"/>
    <n v="1281387.92"/>
    <m/>
    <n v="359375.63"/>
    <n v="309806.59000000003"/>
    <n v="0"/>
    <n v="49569.04"/>
    <n v="0"/>
    <n v="0.16"/>
    <m/>
    <s v="Luis"/>
    <s v="Posterior al aviso, se enviaron los soportes correspondientes y se realizó la revisión de la información en conjunto con Controladuría y el área Comercial."/>
  </r>
  <r>
    <x v="19"/>
    <s v="COMERCIALIZADORA CANTU SA DE CV"/>
    <n v="645077.31000000006"/>
    <m/>
    <n v="318786.82"/>
    <n v="274816.25"/>
    <n v="0"/>
    <n v="43970.57"/>
    <n v="0"/>
    <n v="0.16"/>
    <m/>
    <s v="Luis"/>
    <s v="Posterior al aviso, se enviaron los soportes correspondientes y se realizó la revisión de la información en conjunto con Controladuría y el área Comercial."/>
  </r>
  <r>
    <x v="20"/>
    <s v="HALEON CONSUMER HEALTHCARE MEXICO"/>
    <n v="1868683.99"/>
    <m/>
    <n v="528384.61"/>
    <n v="455503.97"/>
    <n v="0"/>
    <n v="72880.639999999999"/>
    <n v="0"/>
    <n v="0.16"/>
    <m/>
    <s v="Luis"/>
    <s v="Posterior al aviso, se enviaron los soportes correspondientes y se realizó la revisión de la información en conjunto con Controladuría y el área Comercial."/>
  </r>
  <r>
    <x v="12"/>
    <s v="PINSA COMERCIAL SA DE CV"/>
    <n v="3231441.0631000004"/>
    <n v="1444913.9157000007"/>
    <n v="1786527.1473999997"/>
    <n v="1786527.1473999997"/>
    <n v="0"/>
    <n v="0"/>
    <n v="0"/>
    <n v="0"/>
    <d v="2026-05-08T00:00:00"/>
    <s v="Yessenia"/>
    <s v="Posterior al aviso, se enviaron los soportes correspondientes y se realizó la revisión de la información en conjunto con Controladuría y el área Comercial."/>
  </r>
  <r>
    <x v="21"/>
    <s v="PRODUCTOS PECUARIOS ESPECIALIZADOS"/>
    <n v="245395.5"/>
    <n v="27026.98"/>
    <n v="80344.960000000006"/>
    <n v="69262.899999999994"/>
    <n v="0"/>
    <n v="11082.06"/>
    <n v="0"/>
    <n v="0.16"/>
    <m/>
    <s v="Raul"/>
    <s v="Proveedor comparte evidencia, en donde se informa sobre articulos inactivos, comercial esta enterado"/>
  </r>
  <r>
    <x v="22"/>
    <s v="MERCANTIL CUAUTITLAN SA DE CV"/>
    <n v="16461.23"/>
    <m/>
    <n v="7548.9"/>
    <n v="7548.9"/>
    <n v="0"/>
    <n v="0"/>
    <n v="0"/>
    <n v="0"/>
    <m/>
    <s v="Yessica"/>
    <s v="Después del aviso, el proveedor envió los soportes correspondientes, los cuales se consideran viables para la cancelación del sald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23D152-1694-4580-81D4-D55C673E2C5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A3:J7" firstHeaderRow="0" firstDataRow="1" firstDataCol="1"/>
  <pivotFields count="47">
    <pivotField dataField="1" showAll="0" defaultSubtotal="0"/>
    <pivotField axis="axisRow" showAll="0" sortType="descending" defaultSubtotal="0">
      <items count="416">
        <item x="382"/>
        <item x="20"/>
        <item x="30"/>
        <item x="41"/>
        <item x="13"/>
        <item x="129"/>
        <item x="217"/>
        <item x="86"/>
        <item x="115"/>
        <item x="151"/>
        <item x="258"/>
        <item x="326"/>
        <item x="62"/>
        <item x="336"/>
        <item x="54"/>
        <item x="270"/>
        <item x="68"/>
        <item x="143"/>
        <item x="89"/>
        <item x="397"/>
        <item x="27"/>
        <item x="3"/>
        <item x="118"/>
        <item x="281"/>
        <item x="29"/>
        <item x="273"/>
        <item x="347"/>
        <item x="411"/>
        <item x="415"/>
        <item x="252"/>
        <item x="303"/>
        <item x="233"/>
        <item x="141"/>
        <item x="276"/>
        <item x="287"/>
        <item x="193"/>
        <item x="238"/>
        <item x="120"/>
        <item x="201"/>
        <item x="296"/>
        <item x="325"/>
        <item x="78"/>
        <item x="215"/>
        <item x="51"/>
        <item x="12"/>
        <item x="314"/>
        <item x="335"/>
        <item x="109"/>
        <item x="375"/>
        <item x="173"/>
        <item x="161"/>
        <item x="163"/>
        <item x="216"/>
        <item x="384"/>
        <item x="230"/>
        <item x="395"/>
        <item x="17"/>
        <item x="45"/>
        <item x="55"/>
        <item x="46"/>
        <item x="147"/>
        <item x="152"/>
        <item x="50"/>
        <item x="127"/>
        <item x="359"/>
        <item x="67"/>
        <item x="64"/>
        <item x="410"/>
        <item x="228"/>
        <item x="103"/>
        <item x="139"/>
        <item x="370"/>
        <item x="196"/>
        <item x="292"/>
        <item x="310"/>
        <item x="234"/>
        <item x="297"/>
        <item x="341"/>
        <item x="49"/>
        <item x="285"/>
        <item x="235"/>
        <item x="82"/>
        <item x="396"/>
        <item x="190"/>
        <item x="380"/>
        <item x="406"/>
        <item x="188"/>
        <item x="255"/>
        <item x="248"/>
        <item x="194"/>
        <item x="43"/>
        <item x="319"/>
        <item x="226"/>
        <item x="200"/>
        <item x="315"/>
        <item x="168"/>
        <item x="97"/>
        <item x="334"/>
        <item x="172"/>
        <item x="123"/>
        <item x="56"/>
        <item x="69"/>
        <item x="44"/>
        <item x="328"/>
        <item x="209"/>
        <item x="346"/>
        <item x="338"/>
        <item x="385"/>
        <item x="170"/>
        <item x="337"/>
        <item x="237"/>
        <item x="122"/>
        <item x="28"/>
        <item x="367"/>
        <item x="204"/>
        <item x="381"/>
        <item x="83"/>
        <item x="94"/>
        <item x="70"/>
        <item x="246"/>
        <item x="107"/>
        <item x="72"/>
        <item x="211"/>
        <item x="156"/>
        <item x="19"/>
        <item x="198"/>
        <item x="331"/>
        <item x="379"/>
        <item x="350"/>
        <item x="339"/>
        <item x="71"/>
        <item x="177"/>
        <item x="80"/>
        <item x="114"/>
        <item x="214"/>
        <item x="210"/>
        <item x="154"/>
        <item x="363"/>
        <item x="259"/>
        <item x="295"/>
        <item x="5"/>
        <item x="327"/>
        <item x="309"/>
        <item x="275"/>
        <item x="249"/>
        <item x="15"/>
        <item x="279"/>
        <item x="260"/>
        <item x="195"/>
        <item x="1"/>
        <item x="88"/>
        <item x="290"/>
        <item x="148"/>
        <item x="262"/>
        <item x="219"/>
        <item x="113"/>
        <item x="119"/>
        <item x="63"/>
        <item x="272"/>
        <item x="333"/>
        <item x="349"/>
        <item x="304"/>
        <item x="146"/>
        <item x="223"/>
        <item x="242"/>
        <item x="2"/>
        <item x="197"/>
        <item x="166"/>
        <item x="386"/>
        <item x="376"/>
        <item x="144"/>
        <item x="360"/>
        <item x="278"/>
        <item x="137"/>
        <item x="116"/>
        <item x="283"/>
        <item x="87"/>
        <item x="368"/>
        <item x="91"/>
        <item x="95"/>
        <item x="245"/>
        <item x="124"/>
        <item x="399"/>
        <item x="362"/>
        <item x="343"/>
        <item x="61"/>
        <item x="403"/>
        <item x="280"/>
        <item x="224"/>
        <item x="36"/>
        <item x="26"/>
        <item x="236"/>
        <item x="413"/>
        <item x="316"/>
        <item x="227"/>
        <item x="318"/>
        <item x="9"/>
        <item x="312"/>
        <item x="24"/>
        <item x="130"/>
        <item x="8"/>
        <item x="117"/>
        <item x="125"/>
        <item x="37"/>
        <item x="232"/>
        <item x="243"/>
        <item x="169"/>
        <item x="231"/>
        <item x="76"/>
        <item x="305"/>
        <item x="351"/>
        <item x="101"/>
        <item x="254"/>
        <item x="174"/>
        <item x="365"/>
        <item x="250"/>
        <item x="300"/>
        <item x="317"/>
        <item x="93"/>
        <item x="222"/>
        <item x="131"/>
        <item x="400"/>
        <item x="293"/>
        <item x="178"/>
        <item x="374"/>
        <item x="108"/>
        <item x="282"/>
        <item x="364"/>
        <item x="158"/>
        <item x="377"/>
        <item x="271"/>
        <item x="128"/>
        <item x="104"/>
        <item x="221"/>
        <item x="40"/>
        <item x="298"/>
        <item x="175"/>
        <item x="407"/>
        <item x="181"/>
        <item x="266"/>
        <item x="14"/>
        <item x="199"/>
        <item x="85"/>
        <item x="213"/>
        <item x="189"/>
        <item x="294"/>
        <item x="345"/>
        <item x="289"/>
        <item x="180"/>
        <item x="414"/>
        <item x="84"/>
        <item x="241"/>
        <item x="21"/>
        <item x="394"/>
        <item x="164"/>
        <item x="404"/>
        <item x="10"/>
        <item x="348"/>
        <item x="25"/>
        <item x="38"/>
        <item x="138"/>
        <item x="288"/>
        <item x="311"/>
        <item x="274"/>
        <item x="111"/>
        <item x="165"/>
        <item x="7"/>
        <item x="286"/>
        <item x="412"/>
        <item x="261"/>
        <item x="0"/>
        <item x="191"/>
        <item x="212"/>
        <item x="373"/>
        <item x="383"/>
        <item x="229"/>
        <item x="22"/>
        <item x="106"/>
        <item x="356"/>
        <item x="4"/>
        <item x="322"/>
        <item x="31"/>
        <item x="57"/>
        <item x="361"/>
        <item x="52"/>
        <item x="357"/>
        <item x="208"/>
        <item x="324"/>
        <item x="302"/>
        <item x="157"/>
        <item x="74"/>
        <item x="277"/>
        <item x="409"/>
        <item x="378"/>
        <item x="102"/>
        <item x="253"/>
        <item x="171"/>
        <item x="35"/>
        <item x="140"/>
        <item x="23"/>
        <item x="39"/>
        <item x="77"/>
        <item x="73"/>
        <item x="126"/>
        <item x="11"/>
        <item x="353"/>
        <item x="306"/>
        <item x="206"/>
        <item x="81"/>
        <item x="332"/>
        <item x="153"/>
        <item x="390"/>
        <item x="184"/>
        <item x="53"/>
        <item x="33"/>
        <item x="134"/>
        <item x="401"/>
        <item x="307"/>
        <item x="329"/>
        <item x="321"/>
        <item x="185"/>
        <item x="179"/>
        <item x="387"/>
        <item x="366"/>
        <item x="186"/>
        <item x="342"/>
        <item x="388"/>
        <item x="264"/>
        <item x="244"/>
        <item x="16"/>
        <item x="133"/>
        <item x="145"/>
        <item x="257"/>
        <item x="176"/>
        <item x="203"/>
        <item x="402"/>
        <item x="92"/>
        <item x="59"/>
        <item x="393"/>
        <item x="121"/>
        <item x="308"/>
        <item x="389"/>
        <item x="96"/>
        <item x="42"/>
        <item x="34"/>
        <item x="167"/>
        <item x="18"/>
        <item x="150"/>
        <item x="60"/>
        <item x="358"/>
        <item x="239"/>
        <item x="398"/>
        <item x="32"/>
        <item x="323"/>
        <item x="267"/>
        <item x="142"/>
        <item x="220"/>
        <item x="162"/>
        <item x="355"/>
        <item x="159"/>
        <item x="112"/>
        <item x="47"/>
        <item x="405"/>
        <item x="371"/>
        <item x="240"/>
        <item x="263"/>
        <item x="299"/>
        <item x="291"/>
        <item x="369"/>
        <item x="48"/>
        <item x="320"/>
        <item x="313"/>
        <item x="392"/>
        <item x="90"/>
        <item x="79"/>
        <item x="268"/>
        <item x="75"/>
        <item x="391"/>
        <item x="251"/>
        <item x="110"/>
        <item x="136"/>
        <item x="247"/>
        <item x="187"/>
        <item x="354"/>
        <item x="218"/>
        <item x="99"/>
        <item x="183"/>
        <item x="66"/>
        <item x="352"/>
        <item x="256"/>
        <item x="372"/>
        <item x="160"/>
        <item x="149"/>
        <item x="105"/>
        <item x="269"/>
        <item x="265"/>
        <item x="202"/>
        <item x="205"/>
        <item x="340"/>
        <item x="132"/>
        <item x="155"/>
        <item x="58"/>
        <item x="135"/>
        <item x="330"/>
        <item x="207"/>
        <item x="98"/>
        <item x="408"/>
        <item x="225"/>
        <item x="65"/>
        <item x="100"/>
        <item x="6"/>
        <item x="301"/>
        <item x="344"/>
        <item x="192"/>
        <item x="284"/>
        <item x="182"/>
      </items>
      <autoSortScope>
        <pivotArea dataOnly="0" outline="0" fieldPosition="0">
          <references count="1">
            <reference field="4294967294" count="1" selected="0">
              <x v="1"/>
            </reference>
          </references>
        </pivotArea>
      </autoSortScope>
    </pivotField>
    <pivotField dataField="1" numFmtId="43" subtotalTop="0" showAll="0" defaultSubtotal="0"/>
    <pivotField numFmtId="43" showAll="0" defaultSubtotal="0"/>
    <pivotField numFmtId="43" showAll="0" defaultSubtotal="0"/>
    <pivotField dataField="1" numFmtId="43" showAll="0" defaultSubtotal="0"/>
    <pivotField subtotalTop="0" showAll="0" defaultSubtotal="0"/>
    <pivotField dataField="1" subtotalTop="0" showAll="0" defaultSubtotal="0"/>
    <pivotField subtotalTop="0" showAll="0" defaultSubtotal="0"/>
    <pivotField subtotalTop="0" showAll="0" defaultSubtotal="0"/>
    <pivotField dataField="1" numFmtId="43" subtotalTop="0" showAll="0" defaultSubtotal="0"/>
    <pivotField dataField="1" subtotalTop="0" showAll="0" defaultSubtotal="0"/>
    <pivotField numFmtId="43" subtotalTop="0" showAll="0" defaultSubtotal="0"/>
    <pivotField numFmtId="43" subtotalTop="0" showAll="0" defaultSubtotal="0"/>
    <pivotField dataField="1" numFmtId="43" subtotalTop="0" showAll="0" defaultSubtotal="0"/>
    <pivotField dataField="1" subtotalTop="0" showAll="0" defaultSubtotal="0"/>
    <pivotField showAll="0" defaultSubtotal="0"/>
    <pivotField showAll="0" defaultSubtotal="0"/>
    <pivotField dataField="1" numFmtId="43" subtotalTop="0" showAll="0" defaultSubtotal="0"/>
    <pivotField showAll="0" defaultSubtotal="0"/>
    <pivotField showAll="0" defaultSubtotal="0"/>
    <pivotField numFmtId="43" subtotalTop="0" showAll="0" defaultSubtotal="0"/>
    <pivotField numFmtId="43" subtotalTop="0" showAll="0" defaultSubtotal="0"/>
    <pivotField numFmtId="43" subtotalTop="0" showAll="0" defaultSubtotal="0"/>
    <pivotField subtotalTop="0" showAll="0" defaultSubtotal="0"/>
    <pivotField subtotalTop="0" showAll="0" defaultSubtotal="0"/>
    <pivotField numFmtId="43" subtotalTop="0" showAll="0" defaultSubtotal="0"/>
    <pivotField numFmtId="43" subtotalTop="0" showAll="0" defaultSubtotal="0"/>
    <pivotField subtotalTop="0" showAll="0" defaultSubtotal="0"/>
    <pivotField axis="axisRow" showAll="0" sortType="ascending" defaultSubtotal="0">
      <items count="3">
        <item sd="0" x="0"/>
        <item m="1" x="2"/>
        <item x="1"/>
      </items>
    </pivotField>
    <pivotField axis="axisRow" subtotalTop="0" showAll="0" defaultSubtotal="0">
      <items count="6">
        <item x="3"/>
        <item sd="0" x="0"/>
        <item sd="0" x="5"/>
        <item sd="0" x="2"/>
        <item sd="0" x="4"/>
        <item x="1"/>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3">
    <field x="29"/>
    <field x="30"/>
    <field x="1"/>
  </rowFields>
  <rowItems count="4">
    <i>
      <x/>
    </i>
    <i>
      <x v="2"/>
    </i>
    <i r="1">
      <x v="4"/>
    </i>
    <i t="grand">
      <x/>
    </i>
  </rowItems>
  <colFields count="1">
    <field x="-2"/>
  </colFields>
  <colItems count="9">
    <i>
      <x/>
    </i>
    <i i="1">
      <x v="1"/>
    </i>
    <i i="2">
      <x v="2"/>
    </i>
    <i i="3">
      <x v="3"/>
    </i>
    <i i="4">
      <x v="4"/>
    </i>
    <i i="5">
      <x v="5"/>
    </i>
    <i i="6">
      <x v="6"/>
    </i>
    <i i="7">
      <x v="7"/>
    </i>
    <i i="8">
      <x v="8"/>
    </i>
  </colItems>
  <dataFields count="9">
    <dataField name="Count Proveedor" fld="0" subtotal="count" baseField="24" baseItem="0"/>
    <dataField name="Publicado en Portal" fld="2" baseField="0" baseItem="0" numFmtId="43"/>
    <dataField name="Aceptado (antes_impto)" fld="7" baseField="0" baseItem="0"/>
    <dataField name="Pendiente (antes_impto)" fld="11" baseField="0" baseItem="0"/>
    <dataField name="Soportado (no procede antes_impto)" fld="15" baseField="0" baseItem="0"/>
    <dataField name="Penalizacion_con Imptos" fld="5" baseField="0" baseItem="0" numFmtId="43"/>
    <dataField name="Aceptado_con Imptos" fld="10" baseField="0" baseItem="0" numFmtId="43"/>
    <dataField name="Pendiente_con Imptos" fld="14" baseField="0" baseItem="0" numFmtId="43"/>
    <dataField name="Soportado_con Imptos" fld="18" baseField="0" baseItem="0" numFmtId="43"/>
  </dataFields>
  <formats count="38">
    <format dxfId="38">
      <pivotArea collapsedLevelsAreSubtotals="1" fieldPosition="0">
        <references count="3">
          <reference field="4294967294" count="3" selected="0">
            <x v="2"/>
            <x v="3"/>
            <x v="4"/>
          </reference>
          <reference field="29" count="1" selected="0">
            <x v="0"/>
          </reference>
          <reference field="30" count="1">
            <x v="0"/>
          </reference>
        </references>
      </pivotArea>
    </format>
    <format dxfId="37">
      <pivotArea collapsedLevelsAreSubtotals="1" fieldPosition="0">
        <references count="3">
          <reference field="4294967294" count="3" selected="0">
            <x v="2"/>
            <x v="3"/>
            <x v="4"/>
          </reference>
          <reference field="29" count="1" selected="0">
            <x v="0"/>
          </reference>
          <reference field="30" count="1">
            <x v="1"/>
          </reference>
        </references>
      </pivotArea>
    </format>
    <format dxfId="36">
      <pivotArea collapsedLevelsAreSubtotals="1" fieldPosition="0">
        <references count="3">
          <reference field="4294967294" count="3" selected="0">
            <x v="2"/>
            <x v="3"/>
            <x v="4"/>
          </reference>
          <reference field="29" count="1" selected="0">
            <x v="0"/>
          </reference>
          <reference field="30" count="1">
            <x v="2"/>
          </reference>
        </references>
      </pivotArea>
    </format>
    <format dxfId="35">
      <pivotArea collapsedLevelsAreSubtotals="1" fieldPosition="0">
        <references count="3">
          <reference field="4294967294" count="3" selected="0">
            <x v="2"/>
            <x v="3"/>
            <x v="4"/>
          </reference>
          <reference field="29" count="1" selected="0">
            <x v="0"/>
          </reference>
          <reference field="30" count="1">
            <x v="3"/>
          </reference>
        </references>
      </pivotArea>
    </format>
    <format dxfId="34">
      <pivotArea collapsedLevelsAreSubtotals="1" fieldPosition="0">
        <references count="3">
          <reference field="4294967294" count="3" selected="0">
            <x v="2"/>
            <x v="3"/>
            <x v="4"/>
          </reference>
          <reference field="29" count="1" selected="0">
            <x v="0"/>
          </reference>
          <reference field="30" count="1">
            <x v="4"/>
          </reference>
        </references>
      </pivotArea>
    </format>
    <format dxfId="33">
      <pivotArea collapsedLevelsAreSubtotals="1" fieldPosition="0">
        <references count="2">
          <reference field="4294967294" count="3" selected="0">
            <x v="2"/>
            <x v="3"/>
            <x v="4"/>
          </reference>
          <reference field="29" count="1">
            <x v="2"/>
          </reference>
        </references>
      </pivotArea>
    </format>
    <format dxfId="32">
      <pivotArea grandRow="1" outline="0" collapsedLevelsAreSubtotals="1" fieldPosition="0"/>
    </format>
    <format dxfId="31">
      <pivotArea dataOnly="0" labelOnly="1" outline="0" fieldPosition="0">
        <references count="1">
          <reference field="4294967294" count="1">
            <x v="4"/>
          </reference>
        </references>
      </pivotArea>
    </format>
    <format dxfId="30">
      <pivotArea dataOnly="0" labelOnly="1" outline="0" fieldPosition="0">
        <references count="1">
          <reference field="4294967294" count="1">
            <x v="4"/>
          </reference>
        </references>
      </pivotArea>
    </format>
    <format dxfId="29">
      <pivotArea outline="0" collapsedLevelsAreSubtotals="1" fieldPosition="0"/>
    </format>
    <format dxfId="28">
      <pivotArea field="29" type="button" dataOnly="0" labelOnly="1" outline="0" axis="axisRow" fieldPosition="0"/>
    </format>
    <format dxfId="27">
      <pivotArea dataOnly="0" labelOnly="1" outline="0" fieldPosition="0">
        <references count="1">
          <reference field="4294967294" count="8">
            <x v="1"/>
            <x v="2"/>
            <x v="3"/>
            <x v="4"/>
            <x v="5"/>
            <x v="6"/>
            <x v="7"/>
            <x v="8"/>
          </reference>
        </references>
      </pivotArea>
    </format>
    <format dxfId="26">
      <pivotArea grandRow="1" outline="0" collapsedLevelsAreSubtotals="1" fieldPosition="0"/>
    </format>
    <format dxfId="25">
      <pivotArea dataOnly="0" labelOnly="1" grandRow="1" outline="0" fieldPosition="0"/>
    </format>
    <format dxfId="24">
      <pivotArea dataOnly="0" labelOnly="1" outline="0" fieldPosition="0">
        <references count="1">
          <reference field="4294967294" count="1">
            <x v="2"/>
          </reference>
        </references>
      </pivotArea>
    </format>
    <format dxfId="23">
      <pivotArea dataOnly="0" labelOnly="1" outline="0" fieldPosition="0">
        <references count="1">
          <reference field="4294967294" count="1">
            <x v="3"/>
          </reference>
        </references>
      </pivotArea>
    </format>
    <format dxfId="22">
      <pivotArea dataOnly="0" labelOnly="1" outline="0" fieldPosition="0">
        <references count="1">
          <reference field="4294967294" count="4">
            <x v="5"/>
            <x v="6"/>
            <x v="7"/>
            <x v="8"/>
          </reference>
        </references>
      </pivotArea>
    </format>
    <format dxfId="21">
      <pivotArea dataOnly="0" labelOnly="1" outline="0" fieldPosition="0">
        <references count="1">
          <reference field="4294967294" count="4">
            <x v="5"/>
            <x v="6"/>
            <x v="7"/>
            <x v="8"/>
          </reference>
        </references>
      </pivotArea>
    </format>
    <format dxfId="20">
      <pivotArea field="29" grandRow="1" outline="0" collapsedLevelsAreSubtotals="1" axis="axisRow" fieldPosition="0">
        <references count="1">
          <reference field="4294967294" count="4" selected="0">
            <x v="5"/>
            <x v="6"/>
            <x v="7"/>
            <x v="8"/>
          </reference>
        </references>
      </pivotArea>
    </format>
    <format dxfId="19">
      <pivotArea field="29" grandRow="1" outline="0" collapsedLevelsAreSubtotals="1" axis="axisRow" fieldPosition="0">
        <references count="1">
          <reference field="4294967294" count="4" selected="0">
            <x v="5"/>
            <x v="6"/>
            <x v="7"/>
            <x v="8"/>
          </reference>
        </references>
      </pivotArea>
    </format>
    <format dxfId="18">
      <pivotArea dataOnly="0" labelOnly="1" outline="0" fieldPosition="0">
        <references count="1">
          <reference field="4294967294" count="1">
            <x v="0"/>
          </reference>
        </references>
      </pivotArea>
    </format>
    <format dxfId="17">
      <pivotArea dataOnly="0" labelOnly="1" outline="0" fieldPosition="0">
        <references count="1">
          <reference field="4294967294" count="4">
            <x v="5"/>
            <x v="6"/>
            <x v="7"/>
            <x v="8"/>
          </reference>
        </references>
      </pivotArea>
    </format>
    <format dxfId="16">
      <pivotArea dataOnly="0" labelOnly="1" outline="0" fieldPosition="0">
        <references count="1">
          <reference field="4294967294" count="4">
            <x v="5"/>
            <x v="6"/>
            <x v="7"/>
            <x v="8"/>
          </reference>
        </references>
      </pivotArea>
    </format>
    <format dxfId="15">
      <pivotArea field="29" grandRow="1" outline="0" collapsedLevelsAreSubtotals="1" axis="axisRow" fieldPosition="0">
        <references count="1">
          <reference field="4294967294" count="4" selected="0">
            <x v="5"/>
            <x v="6"/>
            <x v="7"/>
            <x v="8"/>
          </reference>
        </references>
      </pivotArea>
    </format>
    <format dxfId="14">
      <pivotArea dataOnly="0" labelOnly="1" outline="0" fieldPosition="0">
        <references count="1">
          <reference field="4294967294" count="9">
            <x v="0"/>
            <x v="1"/>
            <x v="2"/>
            <x v="3"/>
            <x v="4"/>
            <x v="5"/>
            <x v="6"/>
            <x v="7"/>
            <x v="8"/>
          </reference>
        </references>
      </pivotArea>
    </format>
    <format dxfId="13">
      <pivotArea dataOnly="0" labelOnly="1" outline="0" fieldPosition="0">
        <references count="1">
          <reference field="4294967294" count="4">
            <x v="5"/>
            <x v="6"/>
            <x v="7"/>
            <x v="8"/>
          </reference>
        </references>
      </pivotArea>
    </format>
    <format dxfId="12">
      <pivotArea dataOnly="0" labelOnly="1" outline="0" fieldPosition="0">
        <references count="1">
          <reference field="4294967294" count="4">
            <x v="5"/>
            <x v="6"/>
            <x v="7"/>
            <x v="8"/>
          </reference>
        </references>
      </pivotArea>
    </format>
    <format dxfId="11">
      <pivotArea field="29" grandRow="1" outline="0" collapsedLevelsAreSubtotals="1" axis="axisRow" fieldPosition="0">
        <references count="1">
          <reference field="4294967294" count="4" selected="0">
            <x v="5"/>
            <x v="6"/>
            <x v="7"/>
            <x v="8"/>
          </reference>
        </references>
      </pivotArea>
    </format>
    <format dxfId="10">
      <pivotArea field="29" grandRow="1" outline="0" collapsedLevelsAreSubtotals="1" axis="axisRow" fieldPosition="0">
        <references count="1">
          <reference field="4294967294" count="4" selected="0">
            <x v="5"/>
            <x v="6"/>
            <x v="7"/>
            <x v="8"/>
          </reference>
        </references>
      </pivotArea>
    </format>
    <format dxfId="9">
      <pivotArea dataOnly="0" labelOnly="1" fieldPosition="0">
        <references count="2">
          <reference field="29" count="1" selected="0">
            <x v="0"/>
          </reference>
          <reference field="30" count="1">
            <x v="4"/>
          </reference>
        </references>
      </pivotArea>
    </format>
    <format dxfId="8">
      <pivotArea dataOnly="0" labelOnly="1" fieldPosition="0">
        <references count="2">
          <reference field="29" count="1" selected="0">
            <x v="0"/>
          </reference>
          <reference field="30" count="1">
            <x v="4"/>
          </reference>
        </references>
      </pivotArea>
    </format>
    <format dxfId="7">
      <pivotArea dataOnly="0" labelOnly="1" fieldPosition="0">
        <references count="1">
          <reference field="29" count="1">
            <x v="0"/>
          </reference>
        </references>
      </pivotArea>
    </format>
    <format dxfId="6">
      <pivotArea collapsedLevelsAreSubtotals="1" fieldPosition="0">
        <references count="3">
          <reference field="4294967294" count="1" selected="0">
            <x v="1"/>
          </reference>
          <reference field="29" count="1" selected="0">
            <x v="0"/>
          </reference>
          <reference field="30" count="1">
            <x v="4"/>
          </reference>
        </references>
      </pivotArea>
    </format>
    <format dxfId="5">
      <pivotArea collapsedLevelsAreSubtotals="1" fieldPosition="0">
        <references count="3">
          <reference field="4294967294" count="1" selected="0">
            <x v="3"/>
          </reference>
          <reference field="29" count="1" selected="0">
            <x v="0"/>
          </reference>
          <reference field="30" count="1">
            <x v="4"/>
          </reference>
        </references>
      </pivotArea>
    </format>
    <format dxfId="4">
      <pivotArea collapsedLevelsAreSubtotals="1" fieldPosition="0">
        <references count="3">
          <reference field="4294967294" count="1" selected="0">
            <x v="3"/>
          </reference>
          <reference field="29" count="1" selected="0">
            <x v="0"/>
          </reference>
          <reference field="30" count="1">
            <x v="3"/>
          </reference>
        </references>
      </pivotArea>
    </format>
    <format dxfId="3">
      <pivotArea collapsedLevelsAreSubtotals="1" fieldPosition="0">
        <references count="3">
          <reference field="4294967294" count="1" selected="0">
            <x v="3"/>
          </reference>
          <reference field="29" count="1" selected="0">
            <x v="0"/>
          </reference>
          <reference field="30" count="1">
            <x v="2"/>
          </reference>
        </references>
      </pivotArea>
    </format>
    <format dxfId="2">
      <pivotArea dataOnly="0" labelOnly="1" fieldPosition="0">
        <references count="2">
          <reference field="29" count="1" selected="0">
            <x v="0"/>
          </reference>
          <reference field="30" count="1">
            <x v="3"/>
          </reference>
        </references>
      </pivotArea>
    </format>
    <format dxfId="1">
      <pivotArea dataOnly="0" labelOnly="1" fieldPosition="0">
        <references count="2">
          <reference field="29" count="1" selected="0">
            <x v="0"/>
          </reference>
          <reference field="30"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189F00-8049-48AA-A740-768EBC042E36}"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7" firstHeaderRow="0" firstDataRow="1" firstDataCol="1"/>
  <pivotFields count="13">
    <pivotField axis="axisRow" showAll="0">
      <items count="24">
        <item x="0"/>
        <item x="1"/>
        <item x="22"/>
        <item x="15"/>
        <item x="4"/>
        <item x="18"/>
        <item x="20"/>
        <item x="19"/>
        <item x="13"/>
        <item x="2"/>
        <item x="11"/>
        <item x="17"/>
        <item x="14"/>
        <item x="3"/>
        <item x="21"/>
        <item x="5"/>
        <item x="16"/>
        <item x="6"/>
        <item x="7"/>
        <item x="8"/>
        <item x="9"/>
        <item x="10"/>
        <item x="12"/>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dataFields count="2">
    <dataField name="Sum of subtotal" fld="5" baseField="0" baseItem="0"/>
    <dataField name="Sum of Total reembolsar"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20" dT="2026-05-06T23:35:04.80" personId="{EC684E8E-9725-49F2-B0B3-BE0282C88315}" id="{CE696AD1-16A4-4AC6-BB73-5E39D05F771E}">
    <text>Perla lo vio directamente con Alejandra quien realizará el reembolso con prioridad por indicación de Jorge Reyes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1" Type="http://schemas.openxmlformats.org/officeDocument/2006/relationships/hyperlink" Target="mailto:dgrosybra@hot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1F891-E0C1-4B74-9F9B-41613A1E9F2D}">
  <sheetPr>
    <tabColor rgb="FF00FF00"/>
  </sheetPr>
  <dimension ref="A1:BB455"/>
  <sheetViews>
    <sheetView showGridLines="0" tabSelected="1" zoomScale="96" zoomScaleNormal="96" workbookViewId="0">
      <selection activeCell="C7" sqref="C7"/>
    </sheetView>
  </sheetViews>
  <sheetFormatPr defaultColWidth="14.5703125" defaultRowHeight="15" x14ac:dyDescent="0.25"/>
  <cols>
    <col min="1" max="1" width="2.5703125" style="10" customWidth="1"/>
    <col min="2" max="2" width="55" style="10" bestFit="1" customWidth="1"/>
    <col min="3" max="3" width="41.85546875" style="10" bestFit="1" customWidth="1"/>
    <col min="4" max="4" width="20.5703125" style="10" bestFit="1" customWidth="1"/>
    <col min="5" max="5" width="13.42578125" style="10" bestFit="1" customWidth="1"/>
    <col min="6" max="6" width="15.42578125" style="10" bestFit="1" customWidth="1"/>
    <col min="7" max="7" width="32.140625" style="10" bestFit="1" customWidth="1"/>
    <col min="8" max="8" width="25.5703125" style="10" bestFit="1" customWidth="1"/>
    <col min="9" max="9" width="20.28515625" style="10" bestFit="1" customWidth="1"/>
    <col min="10" max="10" width="20" style="10" bestFit="1" customWidth="1"/>
    <col min="11" max="11" width="23.42578125" style="10" bestFit="1" customWidth="1"/>
    <col min="12" max="12" width="20.5703125" style="10" bestFit="1" customWidth="1"/>
    <col min="13" max="13" width="20.140625" style="10" bestFit="1" customWidth="1"/>
    <col min="14" max="14" width="20.85546875" style="10" bestFit="1" customWidth="1"/>
    <col min="15" max="15" width="20.42578125" style="62" bestFit="1" customWidth="1"/>
    <col min="16" max="17" width="16.85546875" style="62" bestFit="1" customWidth="1"/>
    <col min="18" max="18" width="18.140625" style="62" bestFit="1" customWidth="1"/>
    <col min="19" max="19" width="20.42578125" style="62" bestFit="1" customWidth="1"/>
    <col min="20" max="21" width="17.42578125" style="62" bestFit="1" customWidth="1"/>
    <col min="22" max="22" width="18.140625" style="62" bestFit="1" customWidth="1"/>
    <col min="23" max="23" width="23.140625" style="62" bestFit="1" customWidth="1"/>
    <col min="24" max="24" width="17.5703125" style="10" bestFit="1" customWidth="1"/>
    <col min="25" max="25" width="16.7109375" style="10" bestFit="1" customWidth="1"/>
    <col min="26" max="26" width="22.28515625" style="10" bestFit="1" customWidth="1"/>
    <col min="27" max="27" width="22.140625" style="10" bestFit="1" customWidth="1"/>
    <col min="28" max="28" width="22.5703125" style="10" bestFit="1" customWidth="1"/>
    <col min="29" max="29" width="28" style="10" bestFit="1" customWidth="1"/>
    <col min="30" max="30" width="26.28515625" style="10" bestFit="1" customWidth="1"/>
    <col min="31" max="31" width="15.28515625" style="10" bestFit="1" customWidth="1"/>
    <col min="32" max="32" width="18.7109375" style="10" bestFit="1" customWidth="1"/>
    <col min="33" max="33" width="25.140625" style="80" bestFit="1" customWidth="1"/>
    <col min="34" max="34" width="13.85546875" style="80" bestFit="1" customWidth="1"/>
    <col min="35" max="35" width="18.140625" style="80" bestFit="1" customWidth="1"/>
    <col min="36" max="36" width="234.28515625" style="10" bestFit="1" customWidth="1"/>
    <col min="37" max="37" width="16.7109375" style="10" bestFit="1" customWidth="1"/>
    <col min="38" max="38" width="25" style="10" bestFit="1" customWidth="1"/>
    <col min="39" max="39" width="18.28515625" style="76" bestFit="1" customWidth="1"/>
    <col min="40" max="40" width="26.5703125" style="62" bestFit="1" customWidth="1"/>
    <col min="41" max="41" width="82.28515625" style="10" bestFit="1" customWidth="1"/>
    <col min="42" max="42" width="20.28515625" style="10" bestFit="1" customWidth="1"/>
    <col min="43" max="43" width="18.28515625" style="10" bestFit="1" customWidth="1"/>
    <col min="44" max="44" width="17.140625" style="63" bestFit="1" customWidth="1"/>
    <col min="45" max="45" width="30.140625" style="10" bestFit="1" customWidth="1"/>
    <col min="46" max="46" width="27.5703125" style="10" bestFit="1" customWidth="1"/>
    <col min="47" max="47" width="21.7109375" style="10" bestFit="1" customWidth="1"/>
    <col min="48" max="48" width="234.28515625" style="76" bestFit="1" customWidth="1"/>
    <col min="49" max="49" width="24.5703125" style="10" bestFit="1" customWidth="1"/>
    <col min="50" max="50" width="18.140625" style="10" bestFit="1" customWidth="1"/>
    <col min="51" max="51" width="16.140625" style="10" bestFit="1" customWidth="1"/>
    <col min="52" max="52" width="17.28515625" style="10" bestFit="1" customWidth="1"/>
    <col min="53" max="53" width="234.28515625" style="10" bestFit="1" customWidth="1"/>
    <col min="54" max="54" width="48.42578125" style="10" bestFit="1" customWidth="1"/>
    <col min="55" max="16384" width="14.5703125" style="10"/>
  </cols>
  <sheetData>
    <row r="1" spans="1:54" x14ac:dyDescent="0.25">
      <c r="D1" s="93"/>
      <c r="E1" s="91"/>
    </row>
    <row r="2" spans="1:54" x14ac:dyDescent="0.25">
      <c r="B2" s="61" t="s">
        <v>0</v>
      </c>
      <c r="C2" s="94"/>
      <c r="D2" s="147">
        <f>D5-W5</f>
        <v>320725301.93365353</v>
      </c>
      <c r="E2" s="94"/>
      <c r="F2" s="94"/>
      <c r="G2" s="94"/>
      <c r="H2" s="147">
        <f>H5-J5</f>
        <v>193688902.87999997</v>
      </c>
      <c r="I2" s="147"/>
      <c r="J2" s="147"/>
      <c r="K2" s="147">
        <f>K5-D7-D8</f>
        <v>193898376.92580527</v>
      </c>
      <c r="L2" s="147"/>
      <c r="M2" s="147"/>
      <c r="N2" s="147"/>
      <c r="O2" s="95"/>
      <c r="P2" s="95"/>
      <c r="Q2" s="95"/>
      <c r="R2" s="95"/>
      <c r="S2" s="93">
        <f>R5-W5</f>
        <v>5874640.1037314311</v>
      </c>
      <c r="T2" s="93"/>
      <c r="U2" s="93"/>
      <c r="V2" s="93"/>
      <c r="W2" s="93"/>
      <c r="X2" s="61"/>
      <c r="Y2" s="61"/>
      <c r="Z2" s="61"/>
      <c r="AA2" s="61"/>
      <c r="AB2" s="61"/>
      <c r="AC2" s="61"/>
      <c r="AD2" s="61"/>
      <c r="AE2" s="61"/>
      <c r="AF2" s="61"/>
      <c r="AG2" s="94"/>
      <c r="AH2" s="94"/>
      <c r="AI2" s="94"/>
      <c r="AJ2" s="61"/>
      <c r="AK2" s="61"/>
    </row>
    <row r="3" spans="1:54" x14ac:dyDescent="0.25">
      <c r="B3" s="195" t="s">
        <v>1</v>
      </c>
      <c r="C3" s="195"/>
      <c r="D3" s="195"/>
      <c r="E3" s="195"/>
      <c r="F3" s="195"/>
      <c r="G3" s="195"/>
      <c r="W3" s="93">
        <f>D5-W5</f>
        <v>320725301.93365353</v>
      </c>
      <c r="X3" s="64"/>
      <c r="Y3" s="64"/>
      <c r="Z3" s="64"/>
      <c r="AG3" s="10"/>
      <c r="AH3" s="10"/>
      <c r="AI3" s="10"/>
      <c r="AM3" s="10"/>
    </row>
    <row r="4" spans="1:54" x14ac:dyDescent="0.25">
      <c r="D4" s="64"/>
      <c r="E4" s="64"/>
      <c r="G4" s="64">
        <f>G5-Z5-G7-G8</f>
        <v>218420099.41842991</v>
      </c>
      <c r="H4" s="91">
        <f>G9-H9</f>
        <v>1637510.6206000037</v>
      </c>
      <c r="S4" s="21">
        <f>D4-O4-W4</f>
        <v>0</v>
      </c>
      <c r="T4" s="21">
        <f>E4-X4-P4</f>
        <v>0</v>
      </c>
      <c r="U4" s="21">
        <f>F4-Y4-Q4</f>
        <v>0</v>
      </c>
      <c r="X4" s="64"/>
      <c r="Y4" s="64"/>
      <c r="Z4" s="64"/>
      <c r="AG4" s="10"/>
      <c r="AH4" s="10"/>
      <c r="AI4" s="10"/>
      <c r="AM4" s="10"/>
    </row>
    <row r="5" spans="1:54" x14ac:dyDescent="0.25">
      <c r="C5" s="10">
        <f>SUBTOTAL(3,C7:C438)</f>
        <v>432</v>
      </c>
      <c r="D5" s="65">
        <f t="shared" ref="D5:Z5" si="0">SUBTOTAL(9,D7:D438)</f>
        <v>369796008.70654953</v>
      </c>
      <c r="E5" s="65">
        <f t="shared" si="0"/>
        <v>6790563.2451864863</v>
      </c>
      <c r="F5" s="65">
        <f t="shared" si="0"/>
        <v>39326911.885179386</v>
      </c>
      <c r="G5" s="65">
        <f t="shared" si="0"/>
        <v>415913483.25922334</v>
      </c>
      <c r="H5" s="65">
        <f t="shared" si="0"/>
        <v>193688902.87999997</v>
      </c>
      <c r="I5" s="65">
        <f t="shared" si="0"/>
        <v>320654582.02292448</v>
      </c>
      <c r="J5" s="65">
        <f t="shared" si="0"/>
        <v>0</v>
      </c>
      <c r="K5" s="65">
        <f t="shared" si="0"/>
        <v>320654582.02292448</v>
      </c>
      <c r="L5" s="65">
        <f t="shared" si="0"/>
        <v>358733633.95493037</v>
      </c>
      <c r="M5" s="65">
        <f t="shared" si="0"/>
        <v>0</v>
      </c>
      <c r="N5" s="65">
        <f t="shared" si="0"/>
        <v>358733633.95493037</v>
      </c>
      <c r="O5" s="65">
        <f t="shared" si="0"/>
        <v>48571600.911521867</v>
      </c>
      <c r="P5" s="65">
        <f t="shared" si="0"/>
        <v>369388.70999999996</v>
      </c>
      <c r="Q5" s="65">
        <f t="shared" si="0"/>
        <v>5912295.2440710524</v>
      </c>
      <c r="R5" s="65">
        <f t="shared" si="0"/>
        <v>54945346.876627408</v>
      </c>
      <c r="S5" s="65">
        <f t="shared" si="0"/>
        <v>272153700.61394846</v>
      </c>
      <c r="T5" s="65">
        <f t="shared" si="0"/>
        <v>4576413.5819266271</v>
      </c>
      <c r="U5" s="65">
        <f t="shared" si="0"/>
        <v>27140207.425277244</v>
      </c>
      <c r="V5" s="65">
        <f t="shared" si="0"/>
        <v>303870321.69065565</v>
      </c>
      <c r="W5" s="65">
        <f t="shared" si="0"/>
        <v>49070706.772895977</v>
      </c>
      <c r="X5" s="65">
        <f t="shared" si="0"/>
        <v>1844760.3622911756</v>
      </c>
      <c r="Y5" s="65">
        <f t="shared" si="0"/>
        <v>6293245.6355062816</v>
      </c>
      <c r="Z5" s="65">
        <f t="shared" si="0"/>
        <v>57208712.770693421</v>
      </c>
      <c r="AA5" s="65"/>
      <c r="AB5" s="65"/>
      <c r="AC5" s="93">
        <f>SUBTOTAL(9,AC7:AC438)</f>
        <v>369796008.29836607</v>
      </c>
      <c r="AD5" s="93">
        <f>SUBTOTAL(9,AD7:AD438)</f>
        <v>416024381.33797681</v>
      </c>
      <c r="AE5" s="93">
        <f>SUBTOTAL(9,AE7:AE438)</f>
        <v>-110898.07875248497</v>
      </c>
      <c r="AF5" s="65"/>
      <c r="AG5" s="65"/>
      <c r="AH5" s="65"/>
      <c r="AI5" s="65"/>
      <c r="AJ5" s="65"/>
      <c r="AK5" s="65"/>
      <c r="AM5" s="10"/>
      <c r="AN5" s="65">
        <f>SUBTOTAL(9,AN7:AN438)</f>
        <v>217678905.34664816</v>
      </c>
      <c r="AP5" s="10">
        <f>SUBTOTAL(9,AP7:AP1048576)</f>
        <v>152</v>
      </c>
      <c r="AR5" s="10">
        <f>SUBTOTAL(3,AR7:AR1048576)</f>
        <v>75</v>
      </c>
      <c r="AX5" s="196" t="s">
        <v>2</v>
      </c>
      <c r="AY5" s="196"/>
      <c r="AZ5" s="196"/>
    </row>
    <row r="6" spans="1:54" ht="47.25" x14ac:dyDescent="0.25">
      <c r="A6" s="66"/>
      <c r="B6" s="97" t="s">
        <v>3</v>
      </c>
      <c r="C6" s="97" t="s">
        <v>804</v>
      </c>
      <c r="D6" s="98" t="s">
        <v>4</v>
      </c>
      <c r="E6" s="97" t="s">
        <v>5</v>
      </c>
      <c r="F6" s="97" t="s">
        <v>6</v>
      </c>
      <c r="G6" s="97" t="s">
        <v>7</v>
      </c>
      <c r="H6" s="144" t="s">
        <v>8</v>
      </c>
      <c r="I6" s="169" t="s">
        <v>9</v>
      </c>
      <c r="J6" s="169" t="s">
        <v>10</v>
      </c>
      <c r="K6" s="169" t="s">
        <v>11</v>
      </c>
      <c r="L6" s="169" t="s">
        <v>12</v>
      </c>
      <c r="M6" s="169" t="s">
        <v>13</v>
      </c>
      <c r="N6" s="169" t="s">
        <v>14</v>
      </c>
      <c r="O6" s="99" t="s">
        <v>15</v>
      </c>
      <c r="P6" s="99" t="s">
        <v>16</v>
      </c>
      <c r="Q6" s="99" t="s">
        <v>17</v>
      </c>
      <c r="R6" s="99" t="s">
        <v>18</v>
      </c>
      <c r="S6" s="99" t="s">
        <v>19</v>
      </c>
      <c r="T6" s="99" t="s">
        <v>20</v>
      </c>
      <c r="U6" s="99" t="s">
        <v>21</v>
      </c>
      <c r="V6" s="99" t="s">
        <v>22</v>
      </c>
      <c r="W6" s="99" t="s">
        <v>23</v>
      </c>
      <c r="X6" s="103" t="s">
        <v>24</v>
      </c>
      <c r="Y6" s="103" t="s">
        <v>25</v>
      </c>
      <c r="Z6" s="103" t="s">
        <v>26</v>
      </c>
      <c r="AA6" s="98" t="s">
        <v>27</v>
      </c>
      <c r="AB6" s="97" t="s">
        <v>28</v>
      </c>
      <c r="AC6" s="97" t="s">
        <v>29</v>
      </c>
      <c r="AD6" s="97" t="s">
        <v>30</v>
      </c>
      <c r="AE6" s="97" t="s">
        <v>31</v>
      </c>
      <c r="AF6" s="97" t="s">
        <v>32</v>
      </c>
      <c r="AG6" s="50" t="s">
        <v>33</v>
      </c>
      <c r="AH6" s="103" t="s">
        <v>34</v>
      </c>
      <c r="AI6" s="103" t="s">
        <v>35</v>
      </c>
      <c r="AJ6" s="50" t="s">
        <v>36</v>
      </c>
      <c r="AK6" s="97" t="s">
        <v>37</v>
      </c>
      <c r="AL6" s="97" t="s">
        <v>38</v>
      </c>
      <c r="AM6" s="67" t="s">
        <v>39</v>
      </c>
      <c r="AN6" s="68" t="s">
        <v>40</v>
      </c>
      <c r="AO6" s="69" t="s">
        <v>41</v>
      </c>
      <c r="AP6" s="69" t="s">
        <v>42</v>
      </c>
      <c r="AQ6" s="69" t="s">
        <v>43</v>
      </c>
      <c r="AR6" s="70" t="s">
        <v>44</v>
      </c>
      <c r="AS6" s="50" t="s">
        <v>45</v>
      </c>
      <c r="AT6" s="50" t="s">
        <v>46</v>
      </c>
      <c r="AU6" s="50" t="s">
        <v>47</v>
      </c>
      <c r="AV6" s="77" t="s">
        <v>48</v>
      </c>
      <c r="AW6" s="50" t="s">
        <v>49</v>
      </c>
      <c r="AX6" s="26" t="s">
        <v>50</v>
      </c>
      <c r="AY6" s="26" t="s">
        <v>51</v>
      </c>
      <c r="AZ6" s="11" t="s">
        <v>52</v>
      </c>
      <c r="BA6" s="11" t="s">
        <v>53</v>
      </c>
      <c r="BB6" s="11" t="s">
        <v>54</v>
      </c>
    </row>
    <row r="7" spans="1:54" customFormat="1" x14ac:dyDescent="0.25">
      <c r="B7" s="100">
        <v>66738</v>
      </c>
      <c r="C7" s="4" t="s">
        <v>55</v>
      </c>
      <c r="D7" s="5">
        <v>89585265.106097609</v>
      </c>
      <c r="E7" s="5">
        <v>2507350.5739595997</v>
      </c>
      <c r="F7" s="5">
        <v>5074445.9959398406</v>
      </c>
      <c r="G7" s="5">
        <v>97167061.569900006</v>
      </c>
      <c r="H7" s="5">
        <v>0</v>
      </c>
      <c r="I7" s="5">
        <f>O7+S7</f>
        <v>89585265.106097609</v>
      </c>
      <c r="J7" s="5"/>
      <c r="K7" s="5">
        <f>I7-J7</f>
        <v>89585265.106097609</v>
      </c>
      <c r="L7" s="5">
        <f>R7+V7</f>
        <v>97167061.675997049</v>
      </c>
      <c r="M7" s="5"/>
      <c r="N7" s="5">
        <f>L7-M7</f>
        <v>97167061.675997049</v>
      </c>
      <c r="O7" s="21"/>
      <c r="P7" s="21"/>
      <c r="Q7" s="21"/>
      <c r="R7" s="21">
        <f>SUM(O7:Q7)</f>
        <v>0</v>
      </c>
      <c r="S7" s="21">
        <f t="shared" ref="S7:S8" si="1">D7-O7-W7</f>
        <v>89585265.106097609</v>
      </c>
      <c r="T7" s="21">
        <f t="shared" ref="T7:T8" si="2">E7-X7-P7</f>
        <v>2507350.5739595997</v>
      </c>
      <c r="U7" s="21">
        <f t="shared" ref="U7:U8" si="3">F7-Y7-Q7</f>
        <v>5074445.9959398406</v>
      </c>
      <c r="V7" s="21">
        <f>SUM(S7:U7)</f>
        <v>97167061.675997049</v>
      </c>
      <c r="W7" s="21"/>
      <c r="X7" s="5"/>
      <c r="Y7" s="5"/>
      <c r="Z7" s="5">
        <f>SUM(W7:Y7)</f>
        <v>0</v>
      </c>
      <c r="AA7" s="5">
        <v>72733062.370000005</v>
      </c>
      <c r="AB7" s="5" t="s">
        <v>56</v>
      </c>
      <c r="AC7" s="5">
        <f t="shared" ref="AC7:AC8" si="4">O7+S7+W7</f>
        <v>89585265.106097609</v>
      </c>
      <c r="AD7" s="5">
        <f>R7+V7+Z7</f>
        <v>97167061.675997049</v>
      </c>
      <c r="AE7" s="5">
        <f>G7-AD7</f>
        <v>-0.10609704256057739</v>
      </c>
      <c r="AF7" s="5">
        <f>D7-S7</f>
        <v>0</v>
      </c>
      <c r="AG7" s="5" t="s">
        <v>57</v>
      </c>
      <c r="AH7" s="5">
        <v>4</v>
      </c>
      <c r="AI7" s="5">
        <v>3</v>
      </c>
      <c r="AJ7" s="5" t="s">
        <v>58</v>
      </c>
      <c r="AK7" s="5" t="s">
        <v>59</v>
      </c>
      <c r="AL7" s="4" t="s">
        <v>60</v>
      </c>
      <c r="AM7" s="4" t="s">
        <v>61</v>
      </c>
      <c r="AN7" s="5">
        <v>97167061.569900006</v>
      </c>
      <c r="AO7" s="4"/>
      <c r="AP7" s="58"/>
      <c r="AQ7" s="58"/>
      <c r="AR7" s="23">
        <v>46041</v>
      </c>
      <c r="AS7" s="23">
        <v>46041</v>
      </c>
      <c r="AT7" s="4"/>
      <c r="AU7" s="4"/>
      <c r="AV7" s="49" t="s">
        <v>62</v>
      </c>
      <c r="AW7" s="4"/>
      <c r="AX7" s="9"/>
      <c r="AY7" s="9"/>
      <c r="AZ7" s="4"/>
      <c r="BA7" s="15" t="s">
        <v>63</v>
      </c>
      <c r="BB7" t="str">
        <f>VLOOKUP(B7,contactos!$A$1:$D$484,4,FALSE)</f>
        <v>julioarturo.gomez@mdlz.com</v>
      </c>
    </row>
    <row r="8" spans="1:54" customFormat="1" x14ac:dyDescent="0.25">
      <c r="B8" s="100">
        <v>9647</v>
      </c>
      <c r="C8" s="4" t="s">
        <v>64</v>
      </c>
      <c r="D8" s="5">
        <v>37170939.991021603</v>
      </c>
      <c r="E8" s="5">
        <v>0</v>
      </c>
      <c r="F8" s="5">
        <v>5946668.1592519898</v>
      </c>
      <c r="G8" s="5">
        <v>43117609.500200011</v>
      </c>
      <c r="H8" s="5">
        <v>0</v>
      </c>
      <c r="I8" s="5">
        <f t="shared" ref="I8:I71" si="5">O8+S8</f>
        <v>37170939.991021603</v>
      </c>
      <c r="J8" s="5"/>
      <c r="K8" s="5">
        <f t="shared" ref="K8:K71" si="6">I8-J8</f>
        <v>37170939.991021603</v>
      </c>
      <c r="L8" s="5">
        <f t="shared" ref="L8:L71" si="7">R8+V8</f>
        <v>43117608.150273591</v>
      </c>
      <c r="M8" s="5"/>
      <c r="N8" s="5">
        <f t="shared" ref="N8:N71" si="8">L8-M8</f>
        <v>43117608.150273591</v>
      </c>
      <c r="O8" s="21"/>
      <c r="P8" s="21"/>
      <c r="Q8" s="21"/>
      <c r="R8" s="21">
        <f t="shared" ref="R8" si="9">SUM(O8:Q8)</f>
        <v>0</v>
      </c>
      <c r="S8" s="21">
        <f t="shared" si="1"/>
        <v>37170939.991021603</v>
      </c>
      <c r="T8" s="21">
        <f t="shared" si="2"/>
        <v>0</v>
      </c>
      <c r="U8" s="21">
        <f t="shared" si="3"/>
        <v>5946668.1592519898</v>
      </c>
      <c r="V8" s="21">
        <f t="shared" ref="V8" si="10">SUM(S8:U8)</f>
        <v>43117608.150273591</v>
      </c>
      <c r="W8" s="21"/>
      <c r="X8" s="5"/>
      <c r="Y8" s="5"/>
      <c r="Z8" s="5">
        <f t="shared" ref="Z8" si="11">SUM(W8:Y8)</f>
        <v>0</v>
      </c>
      <c r="AA8" s="5">
        <v>150564818.58000001</v>
      </c>
      <c r="AB8" s="5" t="s">
        <v>56</v>
      </c>
      <c r="AC8" s="5">
        <f t="shared" si="4"/>
        <v>37170939.991021603</v>
      </c>
      <c r="AD8" s="5">
        <f t="shared" ref="AD8" si="12">R8+V8+Z8</f>
        <v>43117608.150273591</v>
      </c>
      <c r="AE8" s="5">
        <f t="shared" ref="AE8" si="13">G8-AD8</f>
        <v>1.3499264195561409</v>
      </c>
      <c r="AF8" s="5">
        <f>D8-S8</f>
        <v>0</v>
      </c>
      <c r="AG8" s="5" t="s">
        <v>57</v>
      </c>
      <c r="AH8" s="5">
        <v>4</v>
      </c>
      <c r="AI8" s="5">
        <v>3</v>
      </c>
      <c r="AJ8" s="5" t="s">
        <v>65</v>
      </c>
      <c r="AK8" s="5" t="s">
        <v>59</v>
      </c>
      <c r="AL8" s="4" t="s">
        <v>66</v>
      </c>
      <c r="AM8" s="4" t="s">
        <v>67</v>
      </c>
      <c r="AN8" s="21">
        <v>43117609.479999997</v>
      </c>
      <c r="AO8" s="4" t="s">
        <v>68</v>
      </c>
      <c r="AP8" s="58"/>
      <c r="AQ8" s="58"/>
      <c r="AR8" s="23">
        <v>46043</v>
      </c>
      <c r="AS8" s="23">
        <v>46043</v>
      </c>
      <c r="AT8" s="4"/>
      <c r="AU8" s="4"/>
      <c r="AV8" s="4" t="s">
        <v>69</v>
      </c>
      <c r="AW8" s="4" t="s">
        <v>70</v>
      </c>
      <c r="AX8" s="9" t="s">
        <v>71</v>
      </c>
      <c r="AY8" s="9"/>
      <c r="AZ8" s="4"/>
      <c r="BB8" t="str">
        <f>VLOOKUP(B8,contactos!$A$1:$D$484,4,FALSE)</f>
        <v>pablo.candelas@loreal.com</v>
      </c>
    </row>
    <row r="9" spans="1:54" customFormat="1" x14ac:dyDescent="0.25">
      <c r="B9" s="100">
        <v>24232</v>
      </c>
      <c r="C9" s="4" t="s">
        <v>72</v>
      </c>
      <c r="D9" s="5">
        <v>17089111.16012286</v>
      </c>
      <c r="E9" s="5">
        <v>15021.683508218999</v>
      </c>
      <c r="F9" s="5">
        <v>2502789.4134380124</v>
      </c>
      <c r="G9" s="5">
        <v>19606921.750600003</v>
      </c>
      <c r="H9" s="153">
        <v>17969411.129999999</v>
      </c>
      <c r="I9" s="5">
        <f t="shared" si="5"/>
        <v>16495305.10012286</v>
      </c>
      <c r="J9" s="5"/>
      <c r="K9" s="5">
        <f t="shared" si="6"/>
        <v>16495305.10012286</v>
      </c>
      <c r="L9" s="5">
        <f t="shared" si="7"/>
        <v>18918922.057069089</v>
      </c>
      <c r="M9" s="5"/>
      <c r="N9" s="5">
        <f t="shared" si="8"/>
        <v>18918922.057069089</v>
      </c>
      <c r="O9" s="21">
        <v>2911551.17</v>
      </c>
      <c r="P9" s="21">
        <v>0</v>
      </c>
      <c r="Q9" s="21">
        <v>325961.06</v>
      </c>
      <c r="R9" s="21">
        <f t="shared" ref="R9:R15" si="14">SUM(O9:Q9)</f>
        <v>3237512.23</v>
      </c>
      <c r="S9" s="21">
        <f t="shared" ref="S9:S15" si="15">D9-O9-W9</f>
        <v>13583753.93012286</v>
      </c>
      <c r="T9" s="21">
        <f t="shared" ref="T9:U15" si="16">E9-X9-P9</f>
        <v>15021.683508218999</v>
      </c>
      <c r="U9" s="21">
        <f t="shared" si="16"/>
        <v>2082634.2134380122</v>
      </c>
      <c r="V9" s="21">
        <f t="shared" ref="V9:V72" si="17">SUM(S9:U9)</f>
        <v>15681409.827069091</v>
      </c>
      <c r="W9" s="21">
        <v>593806.06000000006</v>
      </c>
      <c r="X9" s="5">
        <v>0</v>
      </c>
      <c r="Y9" s="5">
        <v>94194.14</v>
      </c>
      <c r="Z9" s="5">
        <f t="shared" ref="Z9:Z72" si="18">SUM(W9:Y9)</f>
        <v>688000.20000000007</v>
      </c>
      <c r="AA9" s="5">
        <v>19425852.949999999</v>
      </c>
      <c r="AB9" s="5" t="s">
        <v>56</v>
      </c>
      <c r="AC9" s="5">
        <f t="shared" ref="AC9:AC72" si="19">O9+S9+W9</f>
        <v>17089111.16012286</v>
      </c>
      <c r="AD9" s="5">
        <f t="shared" ref="AD9:AD72" si="20">R9+V9+Z9</f>
        <v>19606922.257069089</v>
      </c>
      <c r="AE9" s="5">
        <f t="shared" ref="AE9:AE72" si="21">G9-AD9</f>
        <v>-0.50646908581256866</v>
      </c>
      <c r="AF9" s="5"/>
      <c r="AG9" s="5" t="s">
        <v>73</v>
      </c>
      <c r="AH9" s="5">
        <v>4</v>
      </c>
      <c r="AI9" s="5">
        <v>10</v>
      </c>
      <c r="AJ9" s="5" t="s">
        <v>74</v>
      </c>
      <c r="AK9" s="5" t="s">
        <v>59</v>
      </c>
      <c r="AL9" s="4" t="s">
        <v>75</v>
      </c>
      <c r="AM9" s="6" t="s">
        <v>76</v>
      </c>
      <c r="AN9" s="21"/>
      <c r="AO9" s="13" t="s">
        <v>77</v>
      </c>
      <c r="AP9" s="58"/>
      <c r="AQ9" s="58"/>
      <c r="AR9" s="23">
        <v>46042</v>
      </c>
      <c r="AS9" s="23">
        <v>46042</v>
      </c>
      <c r="AT9" s="4"/>
      <c r="AU9" s="4"/>
      <c r="AV9" s="13" t="s">
        <v>78</v>
      </c>
      <c r="AW9" s="4"/>
      <c r="AX9" s="9"/>
      <c r="AY9" s="9" t="s">
        <v>71</v>
      </c>
      <c r="AZ9" s="4"/>
      <c r="BA9" t="s">
        <v>79</v>
      </c>
      <c r="BB9" t="str">
        <f>VLOOKUP(B9,contactos!$A$1:$D$484,4,FALSE)</f>
        <v>alberto.saenz@grisi.com</v>
      </c>
    </row>
    <row r="10" spans="1:54" customFormat="1" x14ac:dyDescent="0.25">
      <c r="B10" s="100">
        <v>4077</v>
      </c>
      <c r="C10" s="4" t="s">
        <v>80</v>
      </c>
      <c r="D10" s="5">
        <v>15564008.902260222</v>
      </c>
      <c r="E10" s="5">
        <v>0</v>
      </c>
      <c r="F10" s="5">
        <v>2488527.6812003311</v>
      </c>
      <c r="G10" s="5">
        <v>18052536.238299999</v>
      </c>
      <c r="H10" s="5">
        <v>18052536.23</v>
      </c>
      <c r="I10" s="5">
        <f t="shared" si="5"/>
        <v>15564008.902260222</v>
      </c>
      <c r="J10" s="5"/>
      <c r="K10" s="5">
        <f t="shared" si="6"/>
        <v>15564008.902260222</v>
      </c>
      <c r="L10" s="5">
        <f t="shared" si="7"/>
        <v>18052536.583460554</v>
      </c>
      <c r="M10" s="5"/>
      <c r="N10" s="5">
        <f t="shared" si="8"/>
        <v>18052536.583460554</v>
      </c>
      <c r="O10" s="27">
        <f>D10</f>
        <v>15564008.902260222</v>
      </c>
      <c r="P10" s="27">
        <v>0</v>
      </c>
      <c r="Q10" s="27">
        <f>F10</f>
        <v>2488527.6812003311</v>
      </c>
      <c r="R10" s="21">
        <f t="shared" si="14"/>
        <v>18052536.583460554</v>
      </c>
      <c r="S10" s="21">
        <f t="shared" si="15"/>
        <v>0</v>
      </c>
      <c r="T10" s="21">
        <f t="shared" si="16"/>
        <v>0</v>
      </c>
      <c r="U10" s="21">
        <f t="shared" si="16"/>
        <v>0</v>
      </c>
      <c r="V10" s="21">
        <f t="shared" si="17"/>
        <v>0</v>
      </c>
      <c r="W10" s="27"/>
      <c r="X10" s="5"/>
      <c r="Y10" s="5"/>
      <c r="Z10" s="5">
        <f t="shared" si="18"/>
        <v>0</v>
      </c>
      <c r="AA10" s="5">
        <v>24076668.32</v>
      </c>
      <c r="AB10" s="5" t="s">
        <v>56</v>
      </c>
      <c r="AC10" s="5">
        <f t="shared" si="19"/>
        <v>15564008.902260222</v>
      </c>
      <c r="AD10" s="5">
        <f t="shared" si="20"/>
        <v>18052536.583460554</v>
      </c>
      <c r="AE10" s="5">
        <f t="shared" si="21"/>
        <v>-0.34516055509448051</v>
      </c>
      <c r="AF10" s="5"/>
      <c r="AG10" s="5" t="s">
        <v>81</v>
      </c>
      <c r="AH10" s="5">
        <v>4</v>
      </c>
      <c r="AI10" s="5">
        <v>0</v>
      </c>
      <c r="AJ10" s="5">
        <v>0</v>
      </c>
      <c r="AK10" s="5" t="s">
        <v>59</v>
      </c>
      <c r="AL10" s="4" t="s">
        <v>82</v>
      </c>
      <c r="AM10" s="4" t="s">
        <v>83</v>
      </c>
      <c r="AN10" s="133">
        <v>18052536.23</v>
      </c>
      <c r="AO10" s="134" t="s">
        <v>68</v>
      </c>
      <c r="AP10" s="58"/>
      <c r="AQ10" s="58"/>
      <c r="AR10" s="23">
        <v>46045</v>
      </c>
      <c r="AS10" s="23">
        <v>46045</v>
      </c>
      <c r="AT10" s="4"/>
      <c r="AU10" s="4"/>
      <c r="AV10" s="4" t="s">
        <v>84</v>
      </c>
      <c r="AW10" s="4" t="s">
        <v>85</v>
      </c>
      <c r="AX10" s="12" t="s">
        <v>71</v>
      </c>
      <c r="AY10" s="12"/>
      <c r="AZ10" s="12"/>
      <c r="BA10" t="s">
        <v>86</v>
      </c>
      <c r="BB10" t="str">
        <f>VLOOKUP(B10,contactos!$A$1:$D$484,4,FALSE)</f>
        <v>josemiguel.migoya@beiersdorf.com</v>
      </c>
    </row>
    <row r="11" spans="1:54" customFormat="1" x14ac:dyDescent="0.25">
      <c r="B11" s="100">
        <v>76471</v>
      </c>
      <c r="C11" s="4" t="s">
        <v>87</v>
      </c>
      <c r="D11" s="5">
        <v>11585558.746851256</v>
      </c>
      <c r="E11" s="5">
        <v>0</v>
      </c>
      <c r="F11" s="5">
        <v>1853689.4076162009</v>
      </c>
      <c r="G11" s="5">
        <v>13439248.042299999</v>
      </c>
      <c r="H11" s="153">
        <v>13439248.15</v>
      </c>
      <c r="I11" s="5">
        <f t="shared" si="5"/>
        <v>4720981.4068512563</v>
      </c>
      <c r="J11" s="5">
        <v>0</v>
      </c>
      <c r="K11" s="5">
        <f t="shared" si="6"/>
        <v>4720981.4068512563</v>
      </c>
      <c r="L11" s="5">
        <f t="shared" si="7"/>
        <v>5476338.440067457</v>
      </c>
      <c r="M11" s="5">
        <v>0</v>
      </c>
      <c r="N11" s="5">
        <f t="shared" si="8"/>
        <v>5476338.440067457</v>
      </c>
      <c r="O11" s="21"/>
      <c r="P11" s="21"/>
      <c r="Q11" s="21"/>
      <c r="R11" s="21">
        <f t="shared" si="14"/>
        <v>0</v>
      </c>
      <c r="S11" s="21">
        <f t="shared" si="15"/>
        <v>4720981.4068512563</v>
      </c>
      <c r="T11" s="21">
        <f t="shared" si="16"/>
        <v>0</v>
      </c>
      <c r="U11" s="21">
        <f t="shared" si="16"/>
        <v>755357.03321620077</v>
      </c>
      <c r="V11" s="21">
        <f t="shared" si="17"/>
        <v>5476338.440067457</v>
      </c>
      <c r="W11" s="21">
        <v>6864577.3399999999</v>
      </c>
      <c r="X11" s="5">
        <v>0</v>
      </c>
      <c r="Y11" s="5">
        <f>W11*0.16</f>
        <v>1098332.3744000001</v>
      </c>
      <c r="Z11" s="5">
        <f t="shared" si="18"/>
        <v>7962909.7143999999</v>
      </c>
      <c r="AA11" s="5">
        <v>22858397.27</v>
      </c>
      <c r="AB11" s="5" t="s">
        <v>88</v>
      </c>
      <c r="AC11" s="5">
        <f t="shared" si="19"/>
        <v>11585558.746851256</v>
      </c>
      <c r="AD11" s="5">
        <f t="shared" si="20"/>
        <v>13439248.154467456</v>
      </c>
      <c r="AE11" s="5">
        <f t="shared" si="21"/>
        <v>-0.11216745711863041</v>
      </c>
      <c r="AF11" s="5">
        <f>D11-S11</f>
        <v>6864577.3399999999</v>
      </c>
      <c r="AG11" s="5" t="s">
        <v>73</v>
      </c>
      <c r="AH11" s="5">
        <v>4</v>
      </c>
      <c r="AI11" s="5">
        <v>1</v>
      </c>
      <c r="AJ11" s="5" t="s">
        <v>89</v>
      </c>
      <c r="AK11" s="5" t="s">
        <v>59</v>
      </c>
      <c r="AL11" s="4" t="s">
        <v>90</v>
      </c>
      <c r="AM11" s="4" t="s">
        <v>91</v>
      </c>
      <c r="AN11" s="27"/>
      <c r="AO11" s="4"/>
      <c r="AP11" s="58"/>
      <c r="AQ11" s="58"/>
      <c r="AR11" s="23"/>
      <c r="AS11" s="23">
        <v>46050</v>
      </c>
      <c r="AT11" s="4"/>
      <c r="AU11" s="4"/>
      <c r="AV11" s="13" t="s">
        <v>92</v>
      </c>
      <c r="AW11" s="4"/>
      <c r="AX11" s="9"/>
      <c r="AY11" s="9"/>
      <c r="AZ11" s="4"/>
      <c r="BB11" t="str">
        <f>VLOOKUP(B11,contactos!$A$1:$D$484,4,FALSE)</f>
        <v>luis.quesadamoreno@newellco.com</v>
      </c>
    </row>
    <row r="12" spans="1:54" customFormat="1" x14ac:dyDescent="0.25">
      <c r="B12" s="100">
        <v>99457</v>
      </c>
      <c r="C12" s="4" t="s">
        <v>93</v>
      </c>
      <c r="D12" s="5">
        <v>10217048.382410197</v>
      </c>
      <c r="E12" s="5">
        <v>0</v>
      </c>
      <c r="F12" s="5">
        <v>959842.66932052339</v>
      </c>
      <c r="G12" s="5">
        <v>11176890.675400002</v>
      </c>
      <c r="H12" s="5">
        <v>2355255</v>
      </c>
      <c r="I12" s="5">
        <f t="shared" si="5"/>
        <v>2126670.8524101968</v>
      </c>
      <c r="J12" s="5"/>
      <c r="K12" s="5">
        <f t="shared" si="6"/>
        <v>2126670.8524101968</v>
      </c>
      <c r="L12" s="5">
        <f t="shared" si="7"/>
        <v>2355254.9117307202</v>
      </c>
      <c r="M12" s="5"/>
      <c r="N12" s="5">
        <f t="shared" si="8"/>
        <v>2355254.9117307202</v>
      </c>
      <c r="O12" s="21">
        <v>2126670.85</v>
      </c>
      <c r="P12" s="21"/>
      <c r="Q12" s="21">
        <v>228584.06</v>
      </c>
      <c r="R12" s="21">
        <f t="shared" si="14"/>
        <v>2355254.91</v>
      </c>
      <c r="S12" s="21">
        <f t="shared" si="15"/>
        <v>2.4101966992020607E-3</v>
      </c>
      <c r="T12" s="21">
        <f t="shared" si="16"/>
        <v>0</v>
      </c>
      <c r="U12" s="21">
        <f t="shared" si="16"/>
        <v>-6.7947659408673644E-4</v>
      </c>
      <c r="V12" s="21">
        <f t="shared" si="17"/>
        <v>1.7307201051153243E-3</v>
      </c>
      <c r="W12" s="21">
        <v>8090377.5300000003</v>
      </c>
      <c r="X12" s="5"/>
      <c r="Y12" s="5">
        <v>731258.61</v>
      </c>
      <c r="Z12" s="5">
        <f t="shared" si="18"/>
        <v>8821636.1400000006</v>
      </c>
      <c r="AA12" s="5">
        <v>15169011.470000001</v>
      </c>
      <c r="AB12" s="5" t="s">
        <v>56</v>
      </c>
      <c r="AC12" s="5">
        <f t="shared" si="19"/>
        <v>10217048.382410197</v>
      </c>
      <c r="AD12" s="5">
        <f t="shared" si="20"/>
        <v>11176891.05173072</v>
      </c>
      <c r="AE12" s="5">
        <f t="shared" si="21"/>
        <v>-0.37633071839809418</v>
      </c>
      <c r="AF12" s="5"/>
      <c r="AG12" s="5" t="s">
        <v>81</v>
      </c>
      <c r="AH12" s="5">
        <v>4</v>
      </c>
      <c r="AI12" s="5">
        <v>0</v>
      </c>
      <c r="AJ12" s="5">
        <v>0</v>
      </c>
      <c r="AK12" s="5" t="s">
        <v>59</v>
      </c>
      <c r="AL12" s="4" t="s">
        <v>82</v>
      </c>
      <c r="AM12" s="4" t="s">
        <v>94</v>
      </c>
      <c r="AN12" s="21">
        <v>9215790.5500000007</v>
      </c>
      <c r="AO12" s="5"/>
      <c r="AP12" s="58"/>
      <c r="AQ12" s="58"/>
      <c r="AR12" s="23">
        <v>46049</v>
      </c>
      <c r="AS12" s="23">
        <v>46049</v>
      </c>
      <c r="AT12" s="23">
        <v>46049</v>
      </c>
      <c r="AU12" s="4"/>
      <c r="AV12" s="4" t="s">
        <v>95</v>
      </c>
      <c r="AW12" s="4"/>
      <c r="AX12" s="9" t="s">
        <v>71</v>
      </c>
      <c r="AY12" s="9"/>
      <c r="AZ12" s="4"/>
      <c r="BB12" t="str">
        <f>VLOOKUP(B12,contactos!$A$1:$D$484,4,FALSE)</f>
        <v>antonio.palacios@essity.com</v>
      </c>
    </row>
    <row r="13" spans="1:54" customFormat="1" x14ac:dyDescent="0.25">
      <c r="B13" s="100">
        <v>8593</v>
      </c>
      <c r="C13" s="4" t="s">
        <v>96</v>
      </c>
      <c r="D13" s="5">
        <v>8613844.6423914563</v>
      </c>
      <c r="E13" s="5">
        <v>0</v>
      </c>
      <c r="F13" s="5">
        <v>1378215.144882632</v>
      </c>
      <c r="G13" s="5">
        <v>9992059.629999999</v>
      </c>
      <c r="H13" s="5">
        <v>9992059.6300000008</v>
      </c>
      <c r="I13" s="5">
        <f t="shared" si="5"/>
        <v>3291014.8123914562</v>
      </c>
      <c r="J13" s="5">
        <v>0</v>
      </c>
      <c r="K13" s="5">
        <f t="shared" si="6"/>
        <v>3291014.8123914562</v>
      </c>
      <c r="L13" s="5">
        <f t="shared" si="7"/>
        <v>3817577.1844740883</v>
      </c>
      <c r="M13" s="5">
        <v>0</v>
      </c>
      <c r="N13" s="5">
        <f t="shared" si="8"/>
        <v>3817577.1844740883</v>
      </c>
      <c r="O13" s="21"/>
      <c r="P13" s="21"/>
      <c r="Q13" s="21"/>
      <c r="R13" s="21">
        <f t="shared" si="14"/>
        <v>0</v>
      </c>
      <c r="S13" s="21">
        <f t="shared" si="15"/>
        <v>3291014.8123914562</v>
      </c>
      <c r="T13" s="21">
        <f t="shared" si="16"/>
        <v>0</v>
      </c>
      <c r="U13" s="21">
        <f t="shared" si="16"/>
        <v>526562.37208263192</v>
      </c>
      <c r="V13" s="21">
        <f t="shared" si="17"/>
        <v>3817577.1844740883</v>
      </c>
      <c r="W13" s="21">
        <v>5322829.83</v>
      </c>
      <c r="X13" s="5"/>
      <c r="Y13" s="5">
        <v>851652.77280000004</v>
      </c>
      <c r="Z13" s="5">
        <f t="shared" si="18"/>
        <v>6174482.6028000005</v>
      </c>
      <c r="AA13" s="5">
        <v>6020405.9699999997</v>
      </c>
      <c r="AB13" s="5" t="s">
        <v>56</v>
      </c>
      <c r="AC13" s="5">
        <f t="shared" si="19"/>
        <v>8613844.6423914563</v>
      </c>
      <c r="AD13" s="5">
        <f t="shared" si="20"/>
        <v>9992059.7872740887</v>
      </c>
      <c r="AE13" s="5">
        <f t="shared" si="21"/>
        <v>-0.15727408975362778</v>
      </c>
      <c r="AF13" s="5">
        <f>D13-S13</f>
        <v>5322829.83</v>
      </c>
      <c r="AG13" s="5" t="s">
        <v>73</v>
      </c>
      <c r="AH13" s="5">
        <v>4</v>
      </c>
      <c r="AI13" s="5">
        <v>8</v>
      </c>
      <c r="AJ13" s="5" t="s">
        <v>97</v>
      </c>
      <c r="AK13" s="5" t="s">
        <v>59</v>
      </c>
      <c r="AL13" s="4" t="s">
        <v>75</v>
      </c>
      <c r="AM13" s="6" t="s">
        <v>76</v>
      </c>
      <c r="AN13" s="21">
        <v>9992059.629999999</v>
      </c>
      <c r="AO13" s="4" t="s">
        <v>98</v>
      </c>
      <c r="AP13" s="58">
        <v>11</v>
      </c>
      <c r="AQ13" s="58"/>
      <c r="AR13" s="23">
        <v>46042</v>
      </c>
      <c r="AS13" s="23">
        <v>46045</v>
      </c>
      <c r="AT13" s="4"/>
      <c r="AU13" s="4"/>
      <c r="AV13" s="13" t="s">
        <v>99</v>
      </c>
      <c r="AW13" s="4"/>
      <c r="AX13" s="9" t="s">
        <v>71</v>
      </c>
      <c r="AY13" s="9"/>
      <c r="AZ13" s="4"/>
      <c r="BB13" t="str">
        <f>VLOOKUP(B13,contactos!$A$1:$D$484,4,FALSE)</f>
        <v>victorsanchez@wsports.mx</v>
      </c>
    </row>
    <row r="14" spans="1:54" customFormat="1" x14ac:dyDescent="0.25">
      <c r="B14" s="100">
        <v>90738</v>
      </c>
      <c r="C14" s="4" t="s">
        <v>93</v>
      </c>
      <c r="D14" s="5">
        <v>7245863.517740733</v>
      </c>
      <c r="E14" s="5">
        <v>0</v>
      </c>
      <c r="F14" s="5">
        <v>1159338.1675414285</v>
      </c>
      <c r="G14" s="5">
        <v>8405201.680399999</v>
      </c>
      <c r="H14" s="5">
        <v>3749487.96</v>
      </c>
      <c r="I14" s="5">
        <f t="shared" si="5"/>
        <v>3232317.2077407329</v>
      </c>
      <c r="J14" s="5"/>
      <c r="K14" s="5">
        <f t="shared" si="6"/>
        <v>3232317.2077407329</v>
      </c>
      <c r="L14" s="5">
        <f t="shared" si="7"/>
        <v>3749488.1752821617</v>
      </c>
      <c r="M14" s="5"/>
      <c r="N14" s="5">
        <f t="shared" si="8"/>
        <v>3749488.1752821617</v>
      </c>
      <c r="O14" s="21">
        <v>3232317.21</v>
      </c>
      <c r="P14" s="21"/>
      <c r="Q14" s="21">
        <v>517170.75</v>
      </c>
      <c r="R14" s="21">
        <f t="shared" si="14"/>
        <v>3749487.96</v>
      </c>
      <c r="S14" s="21">
        <f t="shared" si="15"/>
        <v>-2.2592670284211636E-3</v>
      </c>
      <c r="T14" s="21">
        <f t="shared" si="16"/>
        <v>0</v>
      </c>
      <c r="U14" s="21">
        <f t="shared" si="16"/>
        <v>0.21754142851568758</v>
      </c>
      <c r="V14" s="21">
        <f t="shared" si="17"/>
        <v>0.21528216148726642</v>
      </c>
      <c r="W14" s="21">
        <v>4013546.31</v>
      </c>
      <c r="X14" s="5"/>
      <c r="Y14" s="5">
        <v>642167.19999999995</v>
      </c>
      <c r="Z14" s="5">
        <f t="shared" si="18"/>
        <v>4655713.51</v>
      </c>
      <c r="AA14" s="5">
        <v>14487404.289999999</v>
      </c>
      <c r="AB14" s="5" t="s">
        <v>56</v>
      </c>
      <c r="AC14" s="5">
        <f t="shared" si="19"/>
        <v>7245863.517740733</v>
      </c>
      <c r="AD14" s="5">
        <f t="shared" si="20"/>
        <v>8405201.6852821615</v>
      </c>
      <c r="AE14" s="5">
        <f t="shared" si="21"/>
        <v>-4.8821624368429184E-3</v>
      </c>
      <c r="AF14" s="5"/>
      <c r="AG14" s="5" t="s">
        <v>81</v>
      </c>
      <c r="AH14" s="5">
        <v>4</v>
      </c>
      <c r="AI14" s="5">
        <v>0</v>
      </c>
      <c r="AJ14" s="5">
        <v>0</v>
      </c>
      <c r="AK14" s="5" t="s">
        <v>59</v>
      </c>
      <c r="AL14" s="4" t="s">
        <v>82</v>
      </c>
      <c r="AM14" s="4" t="s">
        <v>94</v>
      </c>
      <c r="AN14" s="21">
        <v>4650882.8</v>
      </c>
      <c r="AO14" s="5"/>
      <c r="AP14" s="58"/>
      <c r="AQ14" s="58"/>
      <c r="AR14" s="23">
        <v>46049</v>
      </c>
      <c r="AS14" s="23">
        <v>46049</v>
      </c>
      <c r="AT14" s="23">
        <v>46049</v>
      </c>
      <c r="AU14" s="4"/>
      <c r="AV14" s="4" t="s">
        <v>100</v>
      </c>
      <c r="AW14" s="4"/>
      <c r="AX14" s="9" t="s">
        <v>71</v>
      </c>
      <c r="AY14" s="9"/>
      <c r="AZ14" s="4"/>
      <c r="BB14" t="str">
        <f>VLOOKUP(B14,contactos!$A$1:$D$484,4,FALSE)</f>
        <v>claudia.morales@essity.com</v>
      </c>
    </row>
    <row r="15" spans="1:54" s="80" customFormat="1" ht="34.35" customHeight="1" x14ac:dyDescent="0.25">
      <c r="B15" s="125">
        <v>20125</v>
      </c>
      <c r="C15" s="52" t="s">
        <v>101</v>
      </c>
      <c r="D15" s="81">
        <v>7139158.7482612422</v>
      </c>
      <c r="E15" s="81">
        <v>0</v>
      </c>
      <c r="F15" s="81">
        <v>1142265.399721799</v>
      </c>
      <c r="G15" s="136">
        <v>8281424.1500000004</v>
      </c>
      <c r="H15" s="5">
        <v>3000000</v>
      </c>
      <c r="I15" s="5">
        <f t="shared" si="5"/>
        <v>4948440.2882612422</v>
      </c>
      <c r="J15" s="5"/>
      <c r="K15" s="5">
        <f t="shared" si="6"/>
        <v>4948440.2882612422</v>
      </c>
      <c r="L15" s="5">
        <f t="shared" si="7"/>
        <v>5740190.7379830414</v>
      </c>
      <c r="M15" s="5"/>
      <c r="N15" s="5">
        <f t="shared" si="8"/>
        <v>5740190.7379830414</v>
      </c>
      <c r="O15" s="86"/>
      <c r="P15" s="86"/>
      <c r="Q15" s="137"/>
      <c r="R15" s="21">
        <f t="shared" si="14"/>
        <v>0</v>
      </c>
      <c r="S15" s="74">
        <f t="shared" si="15"/>
        <v>4948440.2882612422</v>
      </c>
      <c r="T15" s="74">
        <f t="shared" si="16"/>
        <v>0</v>
      </c>
      <c r="U15" s="74">
        <f t="shared" si="16"/>
        <v>791750.449721799</v>
      </c>
      <c r="V15" s="74">
        <f t="shared" si="17"/>
        <v>5740190.7379830414</v>
      </c>
      <c r="W15" s="74">
        <v>2190718.46</v>
      </c>
      <c r="X15" s="81">
        <v>0</v>
      </c>
      <c r="Y15" s="81">
        <v>350514.95</v>
      </c>
      <c r="Z15" s="5">
        <f t="shared" si="18"/>
        <v>2541233.41</v>
      </c>
      <c r="AA15" s="5">
        <v>4964584.08</v>
      </c>
      <c r="AB15" s="5" t="s">
        <v>88</v>
      </c>
      <c r="AC15" s="5">
        <f t="shared" si="19"/>
        <v>7139158.7482612422</v>
      </c>
      <c r="AD15" s="5">
        <f t="shared" si="20"/>
        <v>8281424.1479830416</v>
      </c>
      <c r="AE15" s="5">
        <f t="shared" si="21"/>
        <v>2.0169587805867195E-3</v>
      </c>
      <c r="AF15" s="81"/>
      <c r="AG15" s="81" t="s">
        <v>73</v>
      </c>
      <c r="AH15" s="5">
        <v>4</v>
      </c>
      <c r="AI15" s="5">
        <v>3</v>
      </c>
      <c r="AJ15" s="138" t="s">
        <v>102</v>
      </c>
      <c r="AK15" s="81" t="s">
        <v>59</v>
      </c>
      <c r="AL15" s="52" t="s">
        <v>75</v>
      </c>
      <c r="AM15" s="54" t="s">
        <v>103</v>
      </c>
      <c r="AN15" s="82">
        <v>544291.47</v>
      </c>
      <c r="AO15" s="52" t="s">
        <v>104</v>
      </c>
      <c r="AP15" s="83">
        <v>6</v>
      </c>
      <c r="AQ15" s="83"/>
      <c r="AR15" s="84">
        <v>46056</v>
      </c>
      <c r="AS15" s="84">
        <v>46050</v>
      </c>
      <c r="AT15" s="52"/>
      <c r="AU15" s="85">
        <v>46057</v>
      </c>
      <c r="AV15" s="51" t="s">
        <v>105</v>
      </c>
      <c r="AW15" s="52" t="s">
        <v>70</v>
      </c>
      <c r="AX15" s="12" t="s">
        <v>71</v>
      </c>
      <c r="AY15" s="12"/>
      <c r="AZ15" s="52"/>
      <c r="BB15" s="80" t="str">
        <f>VLOOKUP(B15,contactos!$A$1:$D$484,4,FALSE)</f>
        <v>marco.heredia@midea.com</v>
      </c>
    </row>
    <row r="16" spans="1:54" customFormat="1" x14ac:dyDescent="0.25">
      <c r="B16" s="100">
        <v>56150</v>
      </c>
      <c r="C16" s="4" t="s">
        <v>106</v>
      </c>
      <c r="D16" s="5">
        <v>5860104.4459649464</v>
      </c>
      <c r="E16" s="5">
        <v>417698.03941792349</v>
      </c>
      <c r="F16" s="5">
        <v>0</v>
      </c>
      <c r="G16" s="106">
        <v>6277802.3108000038</v>
      </c>
      <c r="H16" s="5">
        <v>4920449.5599999996</v>
      </c>
      <c r="I16" s="5">
        <f t="shared" si="5"/>
        <v>4598868.4400000004</v>
      </c>
      <c r="J16" s="5"/>
      <c r="K16" s="5">
        <f t="shared" si="6"/>
        <v>4598868.4400000004</v>
      </c>
      <c r="L16" s="5">
        <f t="shared" si="7"/>
        <v>4920449.5500000007</v>
      </c>
      <c r="M16" s="5"/>
      <c r="N16" s="5">
        <f t="shared" si="8"/>
        <v>4920449.5500000007</v>
      </c>
      <c r="O16" s="135">
        <v>4598868.4400000004</v>
      </c>
      <c r="P16" s="135">
        <v>321581.11</v>
      </c>
      <c r="Q16" s="107">
        <v>0</v>
      </c>
      <c r="R16" s="139">
        <f>+O16+P16</f>
        <v>4920449.5500000007</v>
      </c>
      <c r="S16" s="108">
        <v>0</v>
      </c>
      <c r="T16" s="21"/>
      <c r="U16" s="21">
        <f>F16-Q16-Y16</f>
        <v>0</v>
      </c>
      <c r="V16" s="21">
        <f t="shared" si="17"/>
        <v>0</v>
      </c>
      <c r="W16" s="86">
        <f>+D16-O16</f>
        <v>1261236.005964946</v>
      </c>
      <c r="X16" s="81">
        <f>+E16-P16</f>
        <v>96116.9294179235</v>
      </c>
      <c r="Y16" s="5">
        <v>0</v>
      </c>
      <c r="Z16" s="5">
        <f t="shared" si="18"/>
        <v>1357352.9353828696</v>
      </c>
      <c r="AA16" s="5">
        <v>17817197.670000002</v>
      </c>
      <c r="AB16" s="5" t="s">
        <v>56</v>
      </c>
      <c r="AC16" s="5">
        <f t="shared" si="19"/>
        <v>5860104.4459649464</v>
      </c>
      <c r="AD16" s="5">
        <f t="shared" si="20"/>
        <v>6277802.4853828698</v>
      </c>
      <c r="AE16" s="5">
        <f t="shared" si="21"/>
        <v>-0.17458286602050066</v>
      </c>
      <c r="AF16" s="5"/>
      <c r="AG16" s="5" t="s">
        <v>81</v>
      </c>
      <c r="AH16" s="5">
        <v>4</v>
      </c>
      <c r="AI16" s="5">
        <v>0</v>
      </c>
      <c r="AJ16" s="5">
        <v>0</v>
      </c>
      <c r="AK16" s="5" t="s">
        <v>59</v>
      </c>
      <c r="AL16" s="4" t="s">
        <v>82</v>
      </c>
      <c r="AM16" s="4" t="s">
        <v>107</v>
      </c>
      <c r="AN16" s="21">
        <v>6277802.3108000038</v>
      </c>
      <c r="AO16" s="4" t="s">
        <v>68</v>
      </c>
      <c r="AP16" s="58"/>
      <c r="AQ16" s="58"/>
      <c r="AR16" s="23">
        <v>46042</v>
      </c>
      <c r="AS16" s="23">
        <f ca="1">TODAY()</f>
        <v>46212</v>
      </c>
      <c r="AT16" s="4"/>
      <c r="AU16" s="4"/>
      <c r="AV16" s="13" t="s">
        <v>108</v>
      </c>
      <c r="AW16" s="4"/>
      <c r="AX16" s="9" t="s">
        <v>71</v>
      </c>
      <c r="AY16" s="9"/>
      <c r="AZ16" s="4"/>
      <c r="BA16" t="s">
        <v>109</v>
      </c>
      <c r="BB16" t="str">
        <f>VLOOKUP(B16,contactos!$A$1:$D$484,4,FALSE)</f>
        <v>srosas@hersheys.com</v>
      </c>
    </row>
    <row r="17" spans="2:54" customFormat="1" x14ac:dyDescent="0.25">
      <c r="B17" s="100">
        <v>81653</v>
      </c>
      <c r="C17" s="4" t="s">
        <v>110</v>
      </c>
      <c r="D17" s="5">
        <v>5448761.513050261</v>
      </c>
      <c r="E17" s="5">
        <v>8396.2742444959986</v>
      </c>
      <c r="F17" s="5">
        <v>1307.9176999999997</v>
      </c>
      <c r="G17" s="5">
        <v>5458465.6876000008</v>
      </c>
      <c r="H17" s="5">
        <v>4134827.15</v>
      </c>
      <c r="I17" s="5">
        <f t="shared" si="5"/>
        <v>5448761.513050261</v>
      </c>
      <c r="J17" s="5"/>
      <c r="K17" s="5">
        <f t="shared" si="6"/>
        <v>5448761.513050261</v>
      </c>
      <c r="L17" s="5">
        <f t="shared" si="7"/>
        <v>5458465.7049947567</v>
      </c>
      <c r="M17" s="5"/>
      <c r="N17" s="5">
        <f t="shared" si="8"/>
        <v>5458465.7049947567</v>
      </c>
      <c r="O17" s="38"/>
      <c r="P17" s="38"/>
      <c r="Q17" s="21"/>
      <c r="R17" s="21">
        <f t="shared" ref="R17:R48" si="22">SUM(O17:Q17)</f>
        <v>0</v>
      </c>
      <c r="S17" s="38">
        <v>5448761.513050261</v>
      </c>
      <c r="T17" s="21">
        <f>E17-X17</f>
        <v>8396.2742444959986</v>
      </c>
      <c r="U17" s="21">
        <f>F17-Y17</f>
        <v>1307.9176999999997</v>
      </c>
      <c r="V17" s="21">
        <f t="shared" si="17"/>
        <v>5458465.7049947567</v>
      </c>
      <c r="W17" s="21"/>
      <c r="X17" s="5"/>
      <c r="Y17" s="5"/>
      <c r="Z17" s="5">
        <f t="shared" si="18"/>
        <v>0</v>
      </c>
      <c r="AA17" s="5">
        <v>4400579.5</v>
      </c>
      <c r="AB17" s="5" t="s">
        <v>88</v>
      </c>
      <c r="AC17" s="5">
        <f t="shared" si="19"/>
        <v>5448761.513050261</v>
      </c>
      <c r="AD17" s="5">
        <f t="shared" si="20"/>
        <v>5458465.7049947567</v>
      </c>
      <c r="AE17" s="5">
        <f t="shared" si="21"/>
        <v>-1.7394755966961384E-2</v>
      </c>
      <c r="AF17" s="5">
        <f>D17-S17</f>
        <v>0</v>
      </c>
      <c r="AG17" s="5" t="s">
        <v>73</v>
      </c>
      <c r="AH17" s="5">
        <v>4</v>
      </c>
      <c r="AI17" s="5">
        <v>1</v>
      </c>
      <c r="AJ17" s="120" t="s">
        <v>111</v>
      </c>
      <c r="AK17" s="5" t="s">
        <v>59</v>
      </c>
      <c r="AL17" s="4" t="s">
        <v>90</v>
      </c>
      <c r="AM17" s="4" t="s">
        <v>112</v>
      </c>
      <c r="AN17" s="27"/>
      <c r="AO17" s="4"/>
      <c r="AP17" s="58"/>
      <c r="AQ17" s="58"/>
      <c r="AR17" s="23"/>
      <c r="AS17" s="23">
        <v>46050</v>
      </c>
      <c r="AT17" s="4"/>
      <c r="AU17" s="4"/>
      <c r="AV17" s="4" t="s">
        <v>113</v>
      </c>
      <c r="AW17" s="4"/>
      <c r="AX17" s="9"/>
      <c r="AY17" s="9"/>
      <c r="AZ17" s="4"/>
      <c r="BA17" t="s">
        <v>113</v>
      </c>
      <c r="BB17" t="str">
        <f>VLOOKUP(B17,contactos!$A$1:$D$484,4,FALSE)</f>
        <v>juan.hernandez@kraftheinz.com</v>
      </c>
    </row>
    <row r="18" spans="2:54" customFormat="1" ht="30" x14ac:dyDescent="0.25">
      <c r="B18" s="100">
        <v>61713</v>
      </c>
      <c r="C18" s="4" t="s">
        <v>114</v>
      </c>
      <c r="D18" s="5">
        <v>4432996.1469949866</v>
      </c>
      <c r="E18" s="5">
        <v>0</v>
      </c>
      <c r="F18" s="5">
        <v>709279.41425734991</v>
      </c>
      <c r="G18" s="5">
        <v>5142275.5299999993</v>
      </c>
      <c r="H18" s="5">
        <v>2790756.51</v>
      </c>
      <c r="I18" s="5">
        <f t="shared" si="5"/>
        <v>2938945.2</v>
      </c>
      <c r="J18" s="5"/>
      <c r="K18" s="5">
        <f t="shared" si="6"/>
        <v>2938945.2</v>
      </c>
      <c r="L18" s="5">
        <f t="shared" si="7"/>
        <v>3409176.4292000001</v>
      </c>
      <c r="M18" s="5"/>
      <c r="N18" s="5">
        <f t="shared" si="8"/>
        <v>3409176.4292000001</v>
      </c>
      <c r="O18" s="139">
        <v>2405824.58</v>
      </c>
      <c r="P18" s="21"/>
      <c r="Q18" s="139">
        <v>384931.93</v>
      </c>
      <c r="R18" s="21">
        <f t="shared" si="22"/>
        <v>2790756.5100000002</v>
      </c>
      <c r="S18" s="21">
        <v>533120.62000000011</v>
      </c>
      <c r="T18" s="21">
        <f>E18-X18</f>
        <v>0</v>
      </c>
      <c r="U18" s="21">
        <f>S18*16%</f>
        <v>85299.299200000023</v>
      </c>
      <c r="V18" s="21">
        <f t="shared" si="17"/>
        <v>618419.91920000012</v>
      </c>
      <c r="W18" s="92">
        <v>1494050.95</v>
      </c>
      <c r="X18" s="5"/>
      <c r="Y18" s="92">
        <v>239048.17</v>
      </c>
      <c r="Z18" s="5">
        <f t="shared" si="18"/>
        <v>1733099.1199999999</v>
      </c>
      <c r="AA18" s="5">
        <v>9975341.1799999997</v>
      </c>
      <c r="AB18" s="5" t="s">
        <v>88</v>
      </c>
      <c r="AC18" s="5">
        <f t="shared" si="19"/>
        <v>4432996.1500000004</v>
      </c>
      <c r="AD18" s="5">
        <f t="shared" si="20"/>
        <v>5142275.5492000002</v>
      </c>
      <c r="AE18" s="5">
        <f t="shared" si="21"/>
        <v>-1.9200000911951065E-2</v>
      </c>
      <c r="AF18" s="5"/>
      <c r="AG18" s="5" t="s">
        <v>57</v>
      </c>
      <c r="AH18" s="5">
        <v>4</v>
      </c>
      <c r="AI18" s="5">
        <v>5</v>
      </c>
      <c r="AJ18" s="5" t="s">
        <v>115</v>
      </c>
      <c r="AK18" s="5" t="s">
        <v>59</v>
      </c>
      <c r="AL18" s="13" t="s">
        <v>75</v>
      </c>
      <c r="AM18" s="6" t="s">
        <v>67</v>
      </c>
      <c r="AN18" s="27"/>
      <c r="AO18" s="4"/>
      <c r="AP18" s="58"/>
      <c r="AQ18" s="58"/>
      <c r="AR18" s="23"/>
      <c r="AS18" s="23">
        <v>46050</v>
      </c>
      <c r="AT18" s="4"/>
      <c r="AU18" s="4"/>
      <c r="AV18" s="13" t="s">
        <v>92</v>
      </c>
      <c r="AW18" s="13" t="s">
        <v>70</v>
      </c>
      <c r="AX18" s="9"/>
      <c r="AY18" s="9"/>
      <c r="AZ18" s="4"/>
      <c r="BB18" t="str">
        <f>VLOOKUP(B18,contactos!$A$1:$D$484,4,FALSE)</f>
        <v>Oscar Daniel Rios Garcia</v>
      </c>
    </row>
    <row r="19" spans="2:54" customFormat="1" x14ac:dyDescent="0.25">
      <c r="B19" s="100">
        <v>398024</v>
      </c>
      <c r="C19" s="4" t="s">
        <v>116</v>
      </c>
      <c r="D19" s="5">
        <v>4901364.6398046762</v>
      </c>
      <c r="E19" s="5">
        <v>0</v>
      </c>
      <c r="F19" s="5">
        <v>0</v>
      </c>
      <c r="G19" s="5">
        <v>4901364.6459999997</v>
      </c>
      <c r="H19" s="153">
        <v>4901364.63</v>
      </c>
      <c r="I19" s="5">
        <f t="shared" si="5"/>
        <v>1444913.9186</v>
      </c>
      <c r="J19" s="5">
        <v>0</v>
      </c>
      <c r="K19" s="5">
        <f t="shared" si="6"/>
        <v>1444913.9186</v>
      </c>
      <c r="L19" s="5">
        <f t="shared" si="7"/>
        <v>1444913.9186</v>
      </c>
      <c r="M19" s="5">
        <v>0</v>
      </c>
      <c r="N19" s="5">
        <f>L19-M19</f>
        <v>1444913.9186</v>
      </c>
      <c r="O19" s="27"/>
      <c r="P19" s="27"/>
      <c r="Q19" s="27"/>
      <c r="R19" s="21">
        <f t="shared" si="22"/>
        <v>0</v>
      </c>
      <c r="S19" s="27">
        <f>G19-W19</f>
        <v>1444913.9186</v>
      </c>
      <c r="T19" s="21">
        <f>E19-X19</f>
        <v>0</v>
      </c>
      <c r="U19" s="21">
        <f>F19-Y19</f>
        <v>0</v>
      </c>
      <c r="V19" s="21">
        <f t="shared" si="17"/>
        <v>1444913.9186</v>
      </c>
      <c r="W19" s="27">
        <v>3456450.7273999997</v>
      </c>
      <c r="X19" s="5"/>
      <c r="Y19" s="5">
        <f>W19*0</f>
        <v>0</v>
      </c>
      <c r="Z19" s="5">
        <f>SUM(W19:Y19)</f>
        <v>3456450.7273999997</v>
      </c>
      <c r="AA19" s="5">
        <v>20851674.609999999</v>
      </c>
      <c r="AB19" s="5" t="s">
        <v>88</v>
      </c>
      <c r="AC19" s="5">
        <f t="shared" si="19"/>
        <v>4901364.6459999997</v>
      </c>
      <c r="AD19" s="5">
        <f t="shared" si="20"/>
        <v>4901364.6459999997</v>
      </c>
      <c r="AE19" s="5">
        <f t="shared" si="21"/>
        <v>0</v>
      </c>
      <c r="AF19" s="5">
        <f>D19-S19</f>
        <v>3456450.7212046762</v>
      </c>
      <c r="AG19" s="5" t="s">
        <v>73</v>
      </c>
      <c r="AH19" s="5">
        <v>4</v>
      </c>
      <c r="AI19" s="5">
        <v>1</v>
      </c>
      <c r="AJ19" s="5">
        <v>0</v>
      </c>
      <c r="AK19" s="5" t="s">
        <v>59</v>
      </c>
      <c r="AL19" s="4" t="s">
        <v>90</v>
      </c>
      <c r="AM19" s="4" t="s">
        <v>83</v>
      </c>
      <c r="AN19" s="27"/>
      <c r="AO19" s="4"/>
      <c r="AP19" s="58"/>
      <c r="AQ19" s="58"/>
      <c r="AR19" s="23"/>
      <c r="AS19" s="23"/>
      <c r="AT19" s="4"/>
      <c r="AU19" s="4"/>
      <c r="AV19" s="4"/>
      <c r="AW19" s="4"/>
      <c r="AX19" s="12"/>
      <c r="AY19" s="12"/>
      <c r="AZ19" s="12"/>
      <c r="BB19" t="str">
        <f>VLOOKUP(B19,contactos!$A$1:$D$484,4,FALSE)</f>
        <v>lcedillo@pinsa.com</v>
      </c>
    </row>
    <row r="20" spans="2:54" customFormat="1" x14ac:dyDescent="0.25">
      <c r="B20" s="100">
        <v>34934</v>
      </c>
      <c r="C20" s="4" t="s">
        <v>117</v>
      </c>
      <c r="D20" s="5">
        <v>4076300.1902987002</v>
      </c>
      <c r="E20" s="5">
        <v>0</v>
      </c>
      <c r="F20" s="5">
        <v>652208.03044779203</v>
      </c>
      <c r="G20" s="5">
        <v>4728508.2299999995</v>
      </c>
      <c r="H20" s="5">
        <v>0</v>
      </c>
      <c r="I20" s="5">
        <f t="shared" si="5"/>
        <v>1718185</v>
      </c>
      <c r="J20" s="5"/>
      <c r="K20" s="5">
        <f t="shared" si="6"/>
        <v>1718185</v>
      </c>
      <c r="L20" s="5">
        <f t="shared" si="7"/>
        <v>1993094.6</v>
      </c>
      <c r="M20" s="5"/>
      <c r="N20" s="5">
        <f t="shared" si="8"/>
        <v>1993094.6</v>
      </c>
      <c r="O20" s="21">
        <v>1718185</v>
      </c>
      <c r="P20" s="21">
        <v>0</v>
      </c>
      <c r="Q20" s="21">
        <v>274909.59999999998</v>
      </c>
      <c r="R20" s="21">
        <f t="shared" si="22"/>
        <v>1993094.6</v>
      </c>
      <c r="S20" s="21">
        <v>0</v>
      </c>
      <c r="T20" s="21">
        <v>0</v>
      </c>
      <c r="U20" s="21">
        <f>S20*16%</f>
        <v>0</v>
      </c>
      <c r="V20" s="21">
        <f t="shared" si="17"/>
        <v>0</v>
      </c>
      <c r="W20" s="21">
        <v>2358115</v>
      </c>
      <c r="X20" s="5">
        <v>0</v>
      </c>
      <c r="Y20" s="5">
        <v>377298.43</v>
      </c>
      <c r="Z20" s="5">
        <f t="shared" si="18"/>
        <v>2735413.43</v>
      </c>
      <c r="AA20" s="5">
        <v>11263015.85</v>
      </c>
      <c r="AB20" s="5" t="s">
        <v>56</v>
      </c>
      <c r="AC20" s="5">
        <f t="shared" si="19"/>
        <v>4076300</v>
      </c>
      <c r="AD20" s="5">
        <f t="shared" si="20"/>
        <v>4728508.03</v>
      </c>
      <c r="AE20" s="5">
        <f t="shared" si="21"/>
        <v>0.19999999925494194</v>
      </c>
      <c r="AF20" s="5"/>
      <c r="AG20" s="5" t="s">
        <v>57</v>
      </c>
      <c r="AH20" s="5">
        <v>4</v>
      </c>
      <c r="AI20" s="5">
        <v>6</v>
      </c>
      <c r="AJ20" s="120" t="s">
        <v>118</v>
      </c>
      <c r="AK20" s="5" t="s">
        <v>59</v>
      </c>
      <c r="AL20" s="4" t="s">
        <v>75</v>
      </c>
      <c r="AM20" s="6" t="s">
        <v>119</v>
      </c>
      <c r="AN20" s="5">
        <v>4728508.2300000004</v>
      </c>
      <c r="AO20" s="4" t="s">
        <v>120</v>
      </c>
      <c r="AP20" s="58">
        <v>6</v>
      </c>
      <c r="AQ20" s="58"/>
      <c r="AR20" s="23">
        <v>46050</v>
      </c>
      <c r="AS20" s="23">
        <v>46050</v>
      </c>
      <c r="AT20" s="4"/>
      <c r="AU20" s="4"/>
      <c r="AV20" s="13" t="s">
        <v>121</v>
      </c>
      <c r="AW20" s="4"/>
      <c r="AX20" s="9" t="s">
        <v>71</v>
      </c>
      <c r="AY20" s="9"/>
      <c r="AZ20" s="4"/>
      <c r="BB20" t="str">
        <f>VLOOKUP(B20,contactos!$A$1:$D$484,4,FALSE)</f>
        <v>OMAR.JURADO@CARVAJAL.COM</v>
      </c>
    </row>
    <row r="21" spans="2:54" s="76" customFormat="1" ht="30" x14ac:dyDescent="0.25">
      <c r="B21" s="101">
        <v>38893</v>
      </c>
      <c r="C21" s="54" t="s">
        <v>122</v>
      </c>
      <c r="D21" s="109">
        <v>3414125.3943006587</v>
      </c>
      <c r="E21" s="109">
        <v>0</v>
      </c>
      <c r="F21" s="109">
        <v>546260.19056034519</v>
      </c>
      <c r="G21" s="109">
        <v>3960385.4404999996</v>
      </c>
      <c r="H21" s="5">
        <v>3960385.58</v>
      </c>
      <c r="I21" s="5">
        <f t="shared" si="5"/>
        <v>3414125.3943006587</v>
      </c>
      <c r="J21" s="5"/>
      <c r="K21" s="5">
        <f t="shared" si="6"/>
        <v>3414125.3943006587</v>
      </c>
      <c r="L21" s="5">
        <f t="shared" si="7"/>
        <v>3960385.5848610038</v>
      </c>
      <c r="M21" s="5"/>
      <c r="N21" s="5">
        <f t="shared" si="8"/>
        <v>3960385.5848610038</v>
      </c>
      <c r="O21" s="110"/>
      <c r="P21" s="110"/>
      <c r="Q21" s="110"/>
      <c r="R21" s="21">
        <f t="shared" si="22"/>
        <v>0</v>
      </c>
      <c r="S21" s="27">
        <v>3414125.3943006587</v>
      </c>
      <c r="T21" s="21">
        <f>E21-X21</f>
        <v>0</v>
      </c>
      <c r="U21" s="21">
        <f>F21-Y21</f>
        <v>546260.19056034519</v>
      </c>
      <c r="V21" s="21">
        <f t="shared" si="17"/>
        <v>3960385.5848610038</v>
      </c>
      <c r="W21" s="110"/>
      <c r="X21" s="109"/>
      <c r="Y21" s="109"/>
      <c r="Z21" s="5">
        <f t="shared" si="18"/>
        <v>0</v>
      </c>
      <c r="AA21" s="71">
        <v>10412713.99</v>
      </c>
      <c r="AB21" s="71" t="s">
        <v>88</v>
      </c>
      <c r="AC21" s="5">
        <f t="shared" si="19"/>
        <v>3414125.3943006587</v>
      </c>
      <c r="AD21" s="5">
        <f t="shared" si="20"/>
        <v>3960385.5848610038</v>
      </c>
      <c r="AE21" s="5">
        <f t="shared" si="21"/>
        <v>-0.14436100423336029</v>
      </c>
      <c r="AF21" s="5">
        <f>D21-S21</f>
        <v>0</v>
      </c>
      <c r="AG21" s="141" t="s">
        <v>57</v>
      </c>
      <c r="AH21" s="5">
        <v>4</v>
      </c>
      <c r="AI21" s="5">
        <v>8</v>
      </c>
      <c r="AJ21" s="127" t="s">
        <v>123</v>
      </c>
      <c r="AK21" s="81" t="s">
        <v>59</v>
      </c>
      <c r="AL21" s="12" t="s">
        <v>75</v>
      </c>
      <c r="AM21" s="12" t="s">
        <v>83</v>
      </c>
      <c r="AN21" s="110"/>
      <c r="AO21" s="54"/>
      <c r="AP21" s="54"/>
      <c r="AQ21" s="54"/>
      <c r="AR21" s="23"/>
      <c r="AS21" s="23">
        <v>46051</v>
      </c>
      <c r="AT21" s="54"/>
      <c r="AU21" s="23">
        <v>46056</v>
      </c>
      <c r="AV21" s="78" t="s">
        <v>124</v>
      </c>
      <c r="AW21" s="12" t="s">
        <v>70</v>
      </c>
      <c r="AX21" s="54"/>
      <c r="AY21" s="12" t="s">
        <v>125</v>
      </c>
      <c r="AZ21" s="54"/>
      <c r="BA21" s="15" t="s">
        <v>126</v>
      </c>
      <c r="BB21" s="76" t="str">
        <f>VLOOKUP(B21,contactos!$A$1:$D$484,4,FALSE)</f>
        <v>irais.quiroga@softys.com</v>
      </c>
    </row>
    <row r="22" spans="2:54" customFormat="1" ht="45" x14ac:dyDescent="0.25">
      <c r="B22" s="100">
        <v>44040</v>
      </c>
      <c r="C22" s="4" t="s">
        <v>127</v>
      </c>
      <c r="D22" s="5">
        <v>2578675.1164151477</v>
      </c>
      <c r="E22" s="5">
        <v>692321.95791620179</v>
      </c>
      <c r="F22" s="5">
        <v>523359.53192901524</v>
      </c>
      <c r="G22" s="5">
        <v>3794356.5999999964</v>
      </c>
      <c r="H22" s="5">
        <v>0</v>
      </c>
      <c r="I22" s="5">
        <f t="shared" si="5"/>
        <v>359743.56</v>
      </c>
      <c r="J22" s="5"/>
      <c r="K22" s="5">
        <f t="shared" si="6"/>
        <v>359743.56</v>
      </c>
      <c r="L22" s="5">
        <f t="shared" si="7"/>
        <v>532146.53</v>
      </c>
      <c r="M22" s="5"/>
      <c r="N22" s="5">
        <f t="shared" si="8"/>
        <v>532146.53</v>
      </c>
      <c r="O22" s="21"/>
      <c r="P22" s="21"/>
      <c r="Q22" s="21"/>
      <c r="R22" s="21">
        <f t="shared" si="22"/>
        <v>0</v>
      </c>
      <c r="S22" s="105">
        <v>359743.56</v>
      </c>
      <c r="T22" s="105">
        <v>99003.45</v>
      </c>
      <c r="U22" s="105">
        <v>73399.520000000004</v>
      </c>
      <c r="V22" s="122">
        <f t="shared" si="17"/>
        <v>532146.53</v>
      </c>
      <c r="W22" s="105">
        <v>2218931.56</v>
      </c>
      <c r="X22" s="105">
        <v>593318.51</v>
      </c>
      <c r="Y22" s="105">
        <v>449960.01</v>
      </c>
      <c r="Z22" s="5">
        <f t="shared" si="18"/>
        <v>3262210.08</v>
      </c>
      <c r="AA22" s="5">
        <v>3854818.94</v>
      </c>
      <c r="AB22" s="5" t="s">
        <v>88</v>
      </c>
      <c r="AC22" s="5">
        <f t="shared" si="19"/>
        <v>2578675.12</v>
      </c>
      <c r="AD22" s="5">
        <f t="shared" si="20"/>
        <v>3794356.6100000003</v>
      </c>
      <c r="AE22" s="5">
        <f t="shared" si="21"/>
        <v>-1.0000003967434168E-2</v>
      </c>
      <c r="AF22" s="5"/>
      <c r="AG22" s="5" t="s">
        <v>57</v>
      </c>
      <c r="AH22" s="5">
        <v>4</v>
      </c>
      <c r="AI22" s="5">
        <v>8</v>
      </c>
      <c r="AJ22" s="120" t="s">
        <v>128</v>
      </c>
      <c r="AK22" s="5" t="s">
        <v>59</v>
      </c>
      <c r="AL22" s="4" t="s">
        <v>75</v>
      </c>
      <c r="AM22" s="6" t="s">
        <v>91</v>
      </c>
      <c r="AN22" s="27"/>
      <c r="AO22" s="4"/>
      <c r="AP22" s="58"/>
      <c r="AQ22" s="58"/>
      <c r="AR22" s="23"/>
      <c r="AS22" s="23">
        <v>46050</v>
      </c>
      <c r="AT22" s="23" t="s">
        <v>129</v>
      </c>
      <c r="AU22" s="4"/>
      <c r="AV22" s="13" t="s">
        <v>130</v>
      </c>
      <c r="AW22" s="4"/>
      <c r="AX22" s="9"/>
      <c r="AY22" s="9" t="s">
        <v>71</v>
      </c>
      <c r="AZ22" s="4"/>
      <c r="BB22" t="str">
        <f>VLOOKUP(B22,contactos!$A$1:$D$484,4,FALSE)</f>
        <v>mrgarciac@bepensa.com</v>
      </c>
    </row>
    <row r="23" spans="2:54" customFormat="1" x14ac:dyDescent="0.25">
      <c r="B23" s="100">
        <v>54569</v>
      </c>
      <c r="C23" s="4" t="s">
        <v>131</v>
      </c>
      <c r="D23" s="5">
        <v>3454984.1214987687</v>
      </c>
      <c r="E23" s="5">
        <v>266374.18253236974</v>
      </c>
      <c r="F23" s="5">
        <v>0</v>
      </c>
      <c r="G23" s="5">
        <v>3721358.2699999996</v>
      </c>
      <c r="H23" s="5">
        <v>0</v>
      </c>
      <c r="I23" s="5">
        <f t="shared" si="5"/>
        <v>3454984.1214987687</v>
      </c>
      <c r="J23" s="5"/>
      <c r="K23" s="5">
        <f t="shared" si="6"/>
        <v>3454984.1214987687</v>
      </c>
      <c r="L23" s="5">
        <f t="shared" si="7"/>
        <v>3721358.3040311383</v>
      </c>
      <c r="M23" s="5"/>
      <c r="N23" s="5">
        <f t="shared" si="8"/>
        <v>3721358.3040311383</v>
      </c>
      <c r="O23" s="21"/>
      <c r="P23" s="21"/>
      <c r="Q23" s="21"/>
      <c r="R23" s="21">
        <f t="shared" si="22"/>
        <v>0</v>
      </c>
      <c r="S23" s="21">
        <v>3454984.1214987687</v>
      </c>
      <c r="T23" s="21">
        <f t="shared" ref="T23:T34" si="23">E23-X23</f>
        <v>266374.18253236974</v>
      </c>
      <c r="U23" s="21">
        <f t="shared" ref="U23:U34" si="24">F23-Y23</f>
        <v>0</v>
      </c>
      <c r="V23" s="21">
        <f t="shared" si="17"/>
        <v>3721358.3040311383</v>
      </c>
      <c r="W23" s="21"/>
      <c r="X23" s="5"/>
      <c r="Y23" s="5"/>
      <c r="Z23" s="5">
        <f t="shared" si="18"/>
        <v>0</v>
      </c>
      <c r="AA23" s="5">
        <v>9146362.9000000004</v>
      </c>
      <c r="AB23" s="5" t="s">
        <v>88</v>
      </c>
      <c r="AC23" s="5">
        <f t="shared" si="19"/>
        <v>3454984.1214987687</v>
      </c>
      <c r="AD23" s="5">
        <f t="shared" si="20"/>
        <v>3721358.3040311383</v>
      </c>
      <c r="AE23" s="5">
        <f t="shared" si="21"/>
        <v>-3.4031138755381107E-2</v>
      </c>
      <c r="AF23" s="5">
        <f t="shared" ref="AF23:AF37" si="25">D23-S23</f>
        <v>0</v>
      </c>
      <c r="AG23" s="5" t="s">
        <v>57</v>
      </c>
      <c r="AH23" s="5">
        <v>4</v>
      </c>
      <c r="AI23" s="5">
        <v>2</v>
      </c>
      <c r="AJ23" s="5" t="s">
        <v>132</v>
      </c>
      <c r="AK23" s="5" t="s">
        <v>59</v>
      </c>
      <c r="AL23" s="4" t="s">
        <v>133</v>
      </c>
      <c r="AM23" s="6" t="s">
        <v>119</v>
      </c>
      <c r="AN23" s="27"/>
      <c r="AO23" s="4"/>
      <c r="AP23" s="58">
        <v>12</v>
      </c>
      <c r="AQ23" s="58"/>
      <c r="AR23" s="23">
        <v>46076</v>
      </c>
      <c r="AS23" s="23">
        <v>46050</v>
      </c>
      <c r="AT23" s="4"/>
      <c r="AU23" s="4"/>
      <c r="AV23" s="4" t="s">
        <v>134</v>
      </c>
      <c r="AW23" s="4"/>
      <c r="AX23" s="9"/>
      <c r="AY23" s="9"/>
      <c r="AZ23" s="4"/>
      <c r="BB23" t="str">
        <f>VLOOKUP(B23,contactos!$A$1:$D$484,4,FALSE)</f>
        <v>danielrodrigo.alonso@ferrero.com</v>
      </c>
    </row>
    <row r="24" spans="2:54" ht="60" x14ac:dyDescent="0.25">
      <c r="B24" s="101">
        <v>17921</v>
      </c>
      <c r="C24" s="54" t="s">
        <v>135</v>
      </c>
      <c r="D24" s="71">
        <v>3189882.4053512393</v>
      </c>
      <c r="E24" s="71">
        <v>0</v>
      </c>
      <c r="F24" s="71">
        <v>510061.55200675823</v>
      </c>
      <c r="G24" s="71">
        <v>3699944.0128999995</v>
      </c>
      <c r="H24" s="5">
        <v>1438808.03</v>
      </c>
      <c r="I24" s="5">
        <f t="shared" si="5"/>
        <v>3189882.4053512393</v>
      </c>
      <c r="J24" s="5"/>
      <c r="K24" s="5">
        <f t="shared" si="6"/>
        <v>3189882.4053512393</v>
      </c>
      <c r="L24" s="5">
        <f t="shared" si="7"/>
        <v>3699943.9573579975</v>
      </c>
      <c r="M24" s="5"/>
      <c r="N24" s="5">
        <f t="shared" si="8"/>
        <v>3699943.9573579975</v>
      </c>
      <c r="O24" s="74"/>
      <c r="P24" s="74"/>
      <c r="Q24" s="74"/>
      <c r="R24" s="21">
        <f t="shared" si="22"/>
        <v>0</v>
      </c>
      <c r="S24" s="21">
        <v>3189882.4053512393</v>
      </c>
      <c r="T24" s="21">
        <f t="shared" si="23"/>
        <v>0</v>
      </c>
      <c r="U24" s="21">
        <f t="shared" si="24"/>
        <v>510061.55200675823</v>
      </c>
      <c r="V24" s="21">
        <f t="shared" si="17"/>
        <v>3699943.9573579975</v>
      </c>
      <c r="W24" s="74"/>
      <c r="X24" s="71"/>
      <c r="Y24" s="71"/>
      <c r="Z24" s="5">
        <f t="shared" si="18"/>
        <v>0</v>
      </c>
      <c r="AA24" s="71">
        <v>7893271.0800000001</v>
      </c>
      <c r="AB24" s="71" t="s">
        <v>88</v>
      </c>
      <c r="AC24" s="5">
        <f t="shared" si="19"/>
        <v>3189882.4053512393</v>
      </c>
      <c r="AD24" s="5">
        <f t="shared" si="20"/>
        <v>3699943.9573579975</v>
      </c>
      <c r="AE24" s="5">
        <f t="shared" si="21"/>
        <v>5.5542001966387033E-2</v>
      </c>
      <c r="AF24" s="5">
        <f t="shared" si="25"/>
        <v>0</v>
      </c>
      <c r="AG24" s="141" t="s">
        <v>57</v>
      </c>
      <c r="AH24" s="5">
        <v>4</v>
      </c>
      <c r="AI24" s="5">
        <v>8</v>
      </c>
      <c r="AJ24" s="120" t="s">
        <v>136</v>
      </c>
      <c r="AK24" s="81" t="s">
        <v>59</v>
      </c>
      <c r="AL24" s="12" t="s">
        <v>75</v>
      </c>
      <c r="AM24" s="12" t="s">
        <v>137</v>
      </c>
      <c r="AN24" s="72"/>
      <c r="AO24" s="12"/>
      <c r="AP24" s="12"/>
      <c r="AQ24" s="12"/>
      <c r="AR24" s="73"/>
      <c r="AS24" s="23">
        <v>46050</v>
      </c>
      <c r="AT24" s="12"/>
      <c r="AU24" s="12"/>
      <c r="AV24" s="78" t="s">
        <v>138</v>
      </c>
      <c r="AW24" s="12" t="s">
        <v>70</v>
      </c>
      <c r="AX24" s="12"/>
      <c r="AY24" s="12" t="s">
        <v>125</v>
      </c>
      <c r="AZ24" s="12"/>
      <c r="BB24" s="10" t="str">
        <f>VLOOKUP(B24,contactos!$A$1:$D$484,4,FALSE)</f>
        <v>javierhernando.rodriguez@softys.com</v>
      </c>
    </row>
    <row r="25" spans="2:54" customFormat="1" ht="15" customHeight="1" x14ac:dyDescent="0.25">
      <c r="B25" s="100">
        <v>9381</v>
      </c>
      <c r="C25" s="4" t="s">
        <v>139</v>
      </c>
      <c r="D25" s="5">
        <v>2846318.1772903176</v>
      </c>
      <c r="E25" s="5">
        <v>0</v>
      </c>
      <c r="F25" s="5">
        <v>454431.77887469874</v>
      </c>
      <c r="G25" s="5">
        <v>3300750.0026999996</v>
      </c>
      <c r="H25" s="5">
        <v>3300750.02</v>
      </c>
      <c r="I25" s="5">
        <f t="shared" si="5"/>
        <v>2846318.1772903176</v>
      </c>
      <c r="J25" s="5"/>
      <c r="K25" s="5">
        <f t="shared" si="6"/>
        <v>2846318.1772903176</v>
      </c>
      <c r="L25" s="5">
        <f t="shared" si="7"/>
        <v>3300749.9561650162</v>
      </c>
      <c r="M25" s="5"/>
      <c r="N25" s="5">
        <f t="shared" si="8"/>
        <v>3300749.9561650162</v>
      </c>
      <c r="O25" s="21"/>
      <c r="P25" s="21"/>
      <c r="Q25" s="21"/>
      <c r="R25" s="21">
        <f t="shared" si="22"/>
        <v>0</v>
      </c>
      <c r="S25" s="21">
        <v>2846318.1772903176</v>
      </c>
      <c r="T25" s="21">
        <f t="shared" si="23"/>
        <v>0</v>
      </c>
      <c r="U25" s="21">
        <f t="shared" si="24"/>
        <v>454431.77887469874</v>
      </c>
      <c r="V25" s="21">
        <f t="shared" si="17"/>
        <v>3300749.9561650162</v>
      </c>
      <c r="W25" s="21"/>
      <c r="X25" s="5"/>
      <c r="Y25" s="5"/>
      <c r="Z25" s="5">
        <f t="shared" si="18"/>
        <v>0</v>
      </c>
      <c r="AA25" s="5">
        <v>5586012.0599999996</v>
      </c>
      <c r="AB25" s="5" t="s">
        <v>56</v>
      </c>
      <c r="AC25" s="5">
        <f t="shared" si="19"/>
        <v>2846318.1772903176</v>
      </c>
      <c r="AD25" s="5">
        <f t="shared" si="20"/>
        <v>3300749.9561650162</v>
      </c>
      <c r="AE25" s="5">
        <f t="shared" si="21"/>
        <v>4.6534983441233635E-2</v>
      </c>
      <c r="AF25" s="5">
        <f t="shared" si="25"/>
        <v>0</v>
      </c>
      <c r="AG25" s="5" t="s">
        <v>73</v>
      </c>
      <c r="AH25" s="5">
        <v>4</v>
      </c>
      <c r="AI25" s="5">
        <v>3</v>
      </c>
      <c r="AJ25" s="5" t="s">
        <v>140</v>
      </c>
      <c r="AK25" s="5" t="s">
        <v>59</v>
      </c>
      <c r="AL25" s="4" t="s">
        <v>75</v>
      </c>
      <c r="AM25" s="6" t="s">
        <v>141</v>
      </c>
      <c r="AN25" s="21"/>
      <c r="AO25" s="4"/>
      <c r="AP25" s="58"/>
      <c r="AQ25" s="58"/>
      <c r="AR25" s="23">
        <v>46044</v>
      </c>
      <c r="AS25" s="23">
        <v>46044</v>
      </c>
      <c r="AT25" s="4"/>
      <c r="AU25" s="4"/>
      <c r="AV25" t="s">
        <v>142</v>
      </c>
      <c r="AW25" s="4"/>
      <c r="AX25" s="9"/>
      <c r="AY25" s="9" t="s">
        <v>71</v>
      </c>
      <c r="AZ25" s="4"/>
      <c r="BA25" t="s">
        <v>143</v>
      </c>
      <c r="BB25" t="str">
        <f>VLOOKUP(B25,contactos!$A$1:$D$484,4,FALSE)</f>
        <v>jesus.vidales@churchdwight.com</v>
      </c>
    </row>
    <row r="26" spans="2:54" customFormat="1" ht="30" customHeight="1" x14ac:dyDescent="0.25">
      <c r="B26" s="100">
        <v>24489</v>
      </c>
      <c r="C26" s="4" t="s">
        <v>144</v>
      </c>
      <c r="D26" s="5">
        <v>2734026.4092909708</v>
      </c>
      <c r="E26" s="5">
        <v>0</v>
      </c>
      <c r="F26" s="5">
        <v>437444.47178655525</v>
      </c>
      <c r="G26" s="5">
        <v>3171470.7700000005</v>
      </c>
      <c r="H26" s="5">
        <v>3171470.88</v>
      </c>
      <c r="I26" s="5">
        <f t="shared" si="5"/>
        <v>2734026.4092909708</v>
      </c>
      <c r="J26" s="5"/>
      <c r="K26" s="5">
        <f t="shared" si="6"/>
        <v>2734026.4092909708</v>
      </c>
      <c r="L26" s="5">
        <f t="shared" si="7"/>
        <v>3171470.8810775261</v>
      </c>
      <c r="M26" s="5"/>
      <c r="N26" s="5">
        <f t="shared" si="8"/>
        <v>3171470.8810775261</v>
      </c>
      <c r="O26" s="21"/>
      <c r="P26" s="21"/>
      <c r="Q26" s="21"/>
      <c r="R26" s="21">
        <f t="shared" si="22"/>
        <v>0</v>
      </c>
      <c r="S26" s="21">
        <v>2734026.4092909708</v>
      </c>
      <c r="T26" s="21">
        <f t="shared" si="23"/>
        <v>0</v>
      </c>
      <c r="U26" s="21">
        <f t="shared" si="24"/>
        <v>437444.47178655525</v>
      </c>
      <c r="V26" s="21">
        <f t="shared" si="17"/>
        <v>3171470.8810775261</v>
      </c>
      <c r="W26" s="21"/>
      <c r="X26" s="5"/>
      <c r="Y26" s="5"/>
      <c r="Z26" s="5">
        <f t="shared" si="18"/>
        <v>0</v>
      </c>
      <c r="AA26" s="5">
        <v>2280092.9</v>
      </c>
      <c r="AB26" s="5" t="s">
        <v>88</v>
      </c>
      <c r="AC26" s="5">
        <f t="shared" si="19"/>
        <v>2734026.4092909708</v>
      </c>
      <c r="AD26" s="5">
        <f t="shared" si="20"/>
        <v>3171470.8810775261</v>
      </c>
      <c r="AE26" s="5">
        <f t="shared" si="21"/>
        <v>-0.11107752565294504</v>
      </c>
      <c r="AF26" s="5">
        <f t="shared" si="25"/>
        <v>0</v>
      </c>
      <c r="AG26" s="5" t="s">
        <v>73</v>
      </c>
      <c r="AH26" s="5">
        <v>4</v>
      </c>
      <c r="AI26" s="5">
        <v>4</v>
      </c>
      <c r="AJ26" s="120" t="s">
        <v>145</v>
      </c>
      <c r="AK26" s="5" t="s">
        <v>59</v>
      </c>
      <c r="AL26" s="4" t="s">
        <v>90</v>
      </c>
      <c r="AM26" s="4" t="s">
        <v>67</v>
      </c>
      <c r="AN26" s="21"/>
      <c r="AO26" s="4"/>
      <c r="AP26" s="58"/>
      <c r="AQ26" s="58"/>
      <c r="AR26" s="23"/>
      <c r="AS26" s="23">
        <v>46050</v>
      </c>
      <c r="AT26" s="4"/>
      <c r="AU26" s="4"/>
      <c r="AV26" s="13" t="s">
        <v>92</v>
      </c>
      <c r="AW26" s="4"/>
      <c r="AX26" s="9"/>
      <c r="AY26" s="9"/>
      <c r="AZ26" s="4"/>
      <c r="BB26" t="str">
        <f>VLOOKUP(B26,contactos!$A$1:$D$484,4,FALSE)</f>
        <v>nayellivl@regalossigloxxi.com.mx</v>
      </c>
    </row>
    <row r="27" spans="2:54" customFormat="1" ht="15" customHeight="1" x14ac:dyDescent="0.25">
      <c r="B27" s="100">
        <v>71217</v>
      </c>
      <c r="C27" s="4" t="s">
        <v>146</v>
      </c>
      <c r="D27" s="5">
        <v>2714666.1169558228</v>
      </c>
      <c r="E27" s="5">
        <v>0</v>
      </c>
      <c r="F27" s="5">
        <v>430920.01413485152</v>
      </c>
      <c r="G27" s="5">
        <v>3145586.0402999995</v>
      </c>
      <c r="H27" s="5">
        <v>0</v>
      </c>
      <c r="I27" s="5">
        <f t="shared" si="5"/>
        <v>2714666.1169558228</v>
      </c>
      <c r="J27" s="5"/>
      <c r="K27" s="5">
        <f t="shared" si="6"/>
        <v>2714666.1169558228</v>
      </c>
      <c r="L27" s="5">
        <f t="shared" si="7"/>
        <v>3145586.1310906745</v>
      </c>
      <c r="M27" s="5"/>
      <c r="N27" s="5">
        <f t="shared" si="8"/>
        <v>3145586.1310906745</v>
      </c>
      <c r="O27" s="21">
        <f>D27</f>
        <v>2714666.1169558228</v>
      </c>
      <c r="P27" s="21"/>
      <c r="Q27" s="21">
        <f>F27</f>
        <v>430920.01413485152</v>
      </c>
      <c r="R27" s="21">
        <f t="shared" si="22"/>
        <v>3145586.1310906745</v>
      </c>
      <c r="S27" s="21">
        <v>0</v>
      </c>
      <c r="T27" s="21">
        <f t="shared" si="23"/>
        <v>0</v>
      </c>
      <c r="U27" s="21">
        <v>0</v>
      </c>
      <c r="V27" s="21">
        <f t="shared" si="17"/>
        <v>0</v>
      </c>
      <c r="W27" s="21"/>
      <c r="X27" s="5"/>
      <c r="Y27" s="5"/>
      <c r="Z27" s="5">
        <f t="shared" si="18"/>
        <v>0</v>
      </c>
      <c r="AA27" s="5">
        <v>5458541.9900000002</v>
      </c>
      <c r="AB27" s="5" t="s">
        <v>56</v>
      </c>
      <c r="AC27" s="5">
        <f t="shared" si="19"/>
        <v>2714666.1169558228</v>
      </c>
      <c r="AD27" s="5">
        <f t="shared" si="20"/>
        <v>3145586.1310906745</v>
      </c>
      <c r="AE27" s="5">
        <f t="shared" si="21"/>
        <v>-9.0790675021708012E-2</v>
      </c>
      <c r="AF27" s="5">
        <f t="shared" si="25"/>
        <v>2714666.1169558228</v>
      </c>
      <c r="AG27" s="5" t="s">
        <v>73</v>
      </c>
      <c r="AH27" s="5">
        <v>4</v>
      </c>
      <c r="AI27" s="5">
        <v>4</v>
      </c>
      <c r="AJ27" s="5" t="s">
        <v>147</v>
      </c>
      <c r="AK27" s="5" t="s">
        <v>59</v>
      </c>
      <c r="AL27" s="4" t="s">
        <v>75</v>
      </c>
      <c r="AM27" s="6" t="s">
        <v>148</v>
      </c>
      <c r="AN27" s="21"/>
      <c r="AO27" s="4"/>
      <c r="AP27" s="58"/>
      <c r="AQ27" s="58"/>
      <c r="AR27" s="7">
        <v>46048</v>
      </c>
      <c r="AS27" s="23">
        <v>46048</v>
      </c>
      <c r="AT27" s="4"/>
      <c r="AU27" s="4"/>
      <c r="AV27" t="s">
        <v>149</v>
      </c>
      <c r="AW27" s="4"/>
      <c r="AX27" s="9"/>
      <c r="AY27" s="9" t="s">
        <v>71</v>
      </c>
      <c r="AZ27" s="4"/>
      <c r="BA27" t="s">
        <v>149</v>
      </c>
      <c r="BB27" t="str">
        <f>VLOOKUP(B27,contactos!$A$1:$D$484,4,FALSE)</f>
        <v>mauriciorene.perez@edgewell.com</v>
      </c>
    </row>
    <row r="28" spans="2:54" customFormat="1" ht="15" customHeight="1" x14ac:dyDescent="0.25">
      <c r="B28" s="100">
        <v>80622</v>
      </c>
      <c r="C28" s="4" t="s">
        <v>150</v>
      </c>
      <c r="D28" s="5">
        <v>2556718.4927102765</v>
      </c>
      <c r="E28" s="5">
        <v>0</v>
      </c>
      <c r="F28" s="5">
        <v>409074.99143364409</v>
      </c>
      <c r="G28" s="5">
        <v>2965793.48</v>
      </c>
      <c r="H28" s="5">
        <v>2310641.62</v>
      </c>
      <c r="I28" s="5">
        <f t="shared" si="5"/>
        <v>1991932.431034483</v>
      </c>
      <c r="J28" s="5"/>
      <c r="K28" s="5">
        <f t="shared" si="6"/>
        <v>1991932.431034483</v>
      </c>
      <c r="L28" s="5">
        <f t="shared" si="7"/>
        <v>2310641.62</v>
      </c>
      <c r="M28" s="5"/>
      <c r="N28" s="5">
        <f t="shared" si="8"/>
        <v>2310641.62</v>
      </c>
      <c r="O28" s="27">
        <f>R28/1.16</f>
        <v>1991932.431034483</v>
      </c>
      <c r="P28" s="27"/>
      <c r="Q28" s="27">
        <f>R28-O28</f>
        <v>318709.1889655171</v>
      </c>
      <c r="R28" s="27">
        <v>2310641.62</v>
      </c>
      <c r="S28" s="27">
        <v>0</v>
      </c>
      <c r="T28" s="27">
        <f t="shared" si="23"/>
        <v>0</v>
      </c>
      <c r="U28" s="27">
        <v>0</v>
      </c>
      <c r="V28" s="27">
        <f t="shared" si="17"/>
        <v>0</v>
      </c>
      <c r="W28" s="27">
        <v>564786.06167579303</v>
      </c>
      <c r="X28" s="5"/>
      <c r="Y28" s="5">
        <f>W28*16%</f>
        <v>90365.769868126881</v>
      </c>
      <c r="Z28" s="5">
        <f t="shared" si="18"/>
        <v>655151.83154391986</v>
      </c>
      <c r="AA28" s="5">
        <v>6887053.1799999997</v>
      </c>
      <c r="AB28" s="5" t="s">
        <v>88</v>
      </c>
      <c r="AC28" s="5">
        <f t="shared" si="19"/>
        <v>2556718.492710276</v>
      </c>
      <c r="AD28" s="5">
        <f t="shared" si="20"/>
        <v>2965793.4515439197</v>
      </c>
      <c r="AE28" s="5">
        <f t="shared" si="21"/>
        <v>2.8456080239266157E-2</v>
      </c>
      <c r="AF28" s="5">
        <f t="shared" si="25"/>
        <v>2556718.4927102765</v>
      </c>
      <c r="AG28" s="5" t="s">
        <v>57</v>
      </c>
      <c r="AH28" s="5">
        <v>4</v>
      </c>
      <c r="AI28" s="5">
        <v>0</v>
      </c>
      <c r="AJ28" s="5" t="s">
        <v>151</v>
      </c>
      <c r="AK28" s="5" t="s">
        <v>59</v>
      </c>
      <c r="AL28" s="4" t="s">
        <v>133</v>
      </c>
      <c r="AM28" s="6" t="s">
        <v>61</v>
      </c>
      <c r="AN28" s="27">
        <v>2362760.0099999998</v>
      </c>
      <c r="AO28" s="4" t="s">
        <v>152</v>
      </c>
      <c r="AP28" s="58">
        <v>4</v>
      </c>
      <c r="AQ28" s="58"/>
      <c r="AR28" s="23">
        <v>46058</v>
      </c>
      <c r="AS28" s="23">
        <v>46051</v>
      </c>
      <c r="AT28" s="4"/>
      <c r="AU28" s="4"/>
      <c r="AV28" s="4" t="s">
        <v>153</v>
      </c>
      <c r="AW28" s="4"/>
      <c r="AX28" s="9"/>
      <c r="AY28" s="9"/>
      <c r="AZ28" s="4"/>
      <c r="BB28" t="str">
        <f>VLOOKUP(B28,contactos!$A$1:$D$484,4,FALSE)</f>
        <v>aespinosacruz@mmm.com</v>
      </c>
    </row>
    <row r="29" spans="2:54" customFormat="1" ht="15" customHeight="1" x14ac:dyDescent="0.25">
      <c r="B29" s="100">
        <v>7875</v>
      </c>
      <c r="C29" s="4" t="s">
        <v>154</v>
      </c>
      <c r="D29" s="5">
        <v>2514428.1605335074</v>
      </c>
      <c r="E29" s="5">
        <v>0</v>
      </c>
      <c r="F29" s="5">
        <v>402308.46228536119</v>
      </c>
      <c r="G29" s="5">
        <v>2916736.59</v>
      </c>
      <c r="H29" s="5">
        <v>1259442.78</v>
      </c>
      <c r="I29" s="5">
        <f t="shared" si="5"/>
        <v>2514428.1605335074</v>
      </c>
      <c r="J29" s="5"/>
      <c r="K29" s="5">
        <f t="shared" si="6"/>
        <v>2514428.1605335074</v>
      </c>
      <c r="L29" s="5">
        <f t="shared" si="7"/>
        <v>2916736.6228188686</v>
      </c>
      <c r="M29" s="5"/>
      <c r="N29" s="5">
        <f t="shared" si="8"/>
        <v>2916736.6228188686</v>
      </c>
      <c r="O29" s="21"/>
      <c r="P29" s="21"/>
      <c r="Q29" s="21"/>
      <c r="R29" s="21">
        <f t="shared" si="22"/>
        <v>0</v>
      </c>
      <c r="S29" s="21">
        <v>2514428.1605335074</v>
      </c>
      <c r="T29" s="21">
        <f t="shared" si="23"/>
        <v>0</v>
      </c>
      <c r="U29" s="21">
        <f t="shared" si="24"/>
        <v>402308.46228536119</v>
      </c>
      <c r="V29" s="21">
        <f t="shared" si="17"/>
        <v>2916736.6228188686</v>
      </c>
      <c r="W29" s="21"/>
      <c r="X29" s="5"/>
      <c r="Y29" s="5"/>
      <c r="Z29" s="5">
        <f t="shared" si="18"/>
        <v>0</v>
      </c>
      <c r="AA29" s="5">
        <v>1864880.45</v>
      </c>
      <c r="AB29" s="5" t="s">
        <v>88</v>
      </c>
      <c r="AC29" s="5">
        <f t="shared" si="19"/>
        <v>2514428.1605335074</v>
      </c>
      <c r="AD29" s="5">
        <f t="shared" si="20"/>
        <v>2916736.6228188686</v>
      </c>
      <c r="AE29" s="5">
        <f t="shared" si="21"/>
        <v>-3.281886875629425E-2</v>
      </c>
      <c r="AF29" s="5">
        <f t="shared" si="25"/>
        <v>0</v>
      </c>
      <c r="AG29" s="5" t="s">
        <v>73</v>
      </c>
      <c r="AH29" s="5">
        <v>4</v>
      </c>
      <c r="AI29" s="5">
        <v>1</v>
      </c>
      <c r="AJ29" s="5" t="s">
        <v>155</v>
      </c>
      <c r="AK29" s="5" t="s">
        <v>59</v>
      </c>
      <c r="AL29" s="4" t="s">
        <v>90</v>
      </c>
      <c r="AM29" s="4" t="s">
        <v>112</v>
      </c>
      <c r="AN29" s="21"/>
      <c r="AO29" s="4"/>
      <c r="AP29" s="58"/>
      <c r="AQ29" s="58"/>
      <c r="AR29" s="23"/>
      <c r="AS29" s="23">
        <v>46050</v>
      </c>
      <c r="AT29" s="4" t="s">
        <v>156</v>
      </c>
      <c r="AU29" s="4"/>
      <c r="AV29" s="4" t="s">
        <v>113</v>
      </c>
      <c r="AW29" s="4"/>
      <c r="AX29" s="9"/>
      <c r="AY29" s="9"/>
      <c r="AZ29" s="4"/>
      <c r="BA29" t="s">
        <v>157</v>
      </c>
      <c r="BB29" t="str">
        <f>VLOOKUP(B29,contactos!$A$1:$D$484,4,FALSE)</f>
        <v>favalle@assatex.com</v>
      </c>
    </row>
    <row r="30" spans="2:54" customFormat="1" ht="15" customHeight="1" x14ac:dyDescent="0.25">
      <c r="B30" s="100">
        <v>313387</v>
      </c>
      <c r="C30" s="4" t="s">
        <v>158</v>
      </c>
      <c r="D30" s="5">
        <v>2678050.8916530032</v>
      </c>
      <c r="E30" s="5">
        <v>145825.81851224019</v>
      </c>
      <c r="F30" s="5">
        <v>0</v>
      </c>
      <c r="G30" s="5">
        <v>2823876.7098000003</v>
      </c>
      <c r="H30" s="5">
        <v>2823876.71</v>
      </c>
      <c r="I30" s="5">
        <f t="shared" si="5"/>
        <v>2678050.8916530032</v>
      </c>
      <c r="J30" s="5"/>
      <c r="K30" s="5">
        <f t="shared" si="6"/>
        <v>2678050.8916530032</v>
      </c>
      <c r="L30" s="5">
        <f t="shared" si="7"/>
        <v>2823876.7101652436</v>
      </c>
      <c r="M30" s="5"/>
      <c r="N30" s="5">
        <f t="shared" si="8"/>
        <v>2823876.7101652436</v>
      </c>
      <c r="O30" s="21"/>
      <c r="P30" s="21"/>
      <c r="Q30" s="21"/>
      <c r="R30" s="21">
        <f t="shared" si="22"/>
        <v>0</v>
      </c>
      <c r="S30" s="21">
        <v>2678050.8916530032</v>
      </c>
      <c r="T30" s="21">
        <f t="shared" si="23"/>
        <v>145825.81851224019</v>
      </c>
      <c r="U30" s="21">
        <f t="shared" si="24"/>
        <v>0</v>
      </c>
      <c r="V30" s="21">
        <f t="shared" si="17"/>
        <v>2823876.7101652436</v>
      </c>
      <c r="W30" s="21"/>
      <c r="X30" s="5"/>
      <c r="Y30" s="5"/>
      <c r="Z30" s="5">
        <f t="shared" si="18"/>
        <v>0</v>
      </c>
      <c r="AA30" s="5">
        <v>7033118.1500000004</v>
      </c>
      <c r="AB30" s="5" t="s">
        <v>88</v>
      </c>
      <c r="AC30" s="5">
        <f t="shared" si="19"/>
        <v>2678050.8916530032</v>
      </c>
      <c r="AD30" s="5">
        <f t="shared" si="20"/>
        <v>2823876.7101652436</v>
      </c>
      <c r="AE30" s="5">
        <f t="shared" si="21"/>
        <v>-3.6524329334497452E-4</v>
      </c>
      <c r="AF30" s="5">
        <f t="shared" si="25"/>
        <v>0</v>
      </c>
      <c r="AG30" s="5" t="s">
        <v>73</v>
      </c>
      <c r="AH30" s="5">
        <v>4</v>
      </c>
      <c r="AI30" s="5">
        <v>1</v>
      </c>
      <c r="AJ30" s="120" t="s">
        <v>159</v>
      </c>
      <c r="AK30" s="5" t="s">
        <v>59</v>
      </c>
      <c r="AL30" s="4" t="s">
        <v>90</v>
      </c>
      <c r="AM30" s="4" t="s">
        <v>137</v>
      </c>
      <c r="AN30" s="21"/>
      <c r="AO30" s="4"/>
      <c r="AP30" s="58"/>
      <c r="AQ30" s="58"/>
      <c r="AR30" s="23"/>
      <c r="AS30" s="23">
        <v>46050</v>
      </c>
      <c r="AT30" s="4"/>
      <c r="AU30" s="4"/>
      <c r="AV30" s="13" t="s">
        <v>92</v>
      </c>
      <c r="AW30" s="4"/>
      <c r="AX30" s="9"/>
      <c r="AY30" s="9"/>
      <c r="AZ30" s="4"/>
      <c r="BB30" t="str">
        <f>VLOOKUP(B30,contactos!$A$1:$D$484,4,FALSE)</f>
        <v>montserrat.buendia@naturasol.com.mx</v>
      </c>
    </row>
    <row r="31" spans="2:54" customFormat="1" ht="15" customHeight="1" x14ac:dyDescent="0.25">
      <c r="B31" s="100">
        <v>308421</v>
      </c>
      <c r="C31" s="4" t="s">
        <v>160</v>
      </c>
      <c r="D31" s="5">
        <v>1612446.6748397551</v>
      </c>
      <c r="E31" s="5">
        <v>790165.74199232913</v>
      </c>
      <c r="F31" s="5">
        <v>384417.98682113324</v>
      </c>
      <c r="G31" s="5">
        <v>2787030.5224319999</v>
      </c>
      <c r="H31" s="153">
        <v>2787030.52</v>
      </c>
      <c r="I31" s="5">
        <f t="shared" si="5"/>
        <v>175079.38413550286</v>
      </c>
      <c r="J31" s="5">
        <v>0</v>
      </c>
      <c r="K31" s="5">
        <f t="shared" si="6"/>
        <v>175079.38413550286</v>
      </c>
      <c r="L31" s="5">
        <f t="shared" si="7"/>
        <v>293132.00968731276</v>
      </c>
      <c r="M31" s="5">
        <v>0</v>
      </c>
      <c r="N31" s="5">
        <f>L31-M31</f>
        <v>293132.00968731276</v>
      </c>
      <c r="O31" s="21"/>
      <c r="P31" s="21"/>
      <c r="Q31" s="21"/>
      <c r="R31" s="21">
        <f t="shared" si="22"/>
        <v>0</v>
      </c>
      <c r="S31" s="21">
        <f>D31-W31</f>
        <v>175079.38413550286</v>
      </c>
      <c r="T31" s="21">
        <f>E31-X31</f>
        <v>77620.624119077227</v>
      </c>
      <c r="U31" s="21">
        <f>F31-Y31</f>
        <v>40432.001432732679</v>
      </c>
      <c r="V31" s="21">
        <f t="shared" si="17"/>
        <v>293132.00968731276</v>
      </c>
      <c r="W31" s="21">
        <v>1437367.2907042522</v>
      </c>
      <c r="X31" s="5">
        <v>712545.1178732519</v>
      </c>
      <c r="Y31" s="5">
        <v>343985.98538840056</v>
      </c>
      <c r="Z31" s="5">
        <f t="shared" si="18"/>
        <v>2493898.3939659046</v>
      </c>
      <c r="AA31" s="5">
        <v>1083868.48</v>
      </c>
      <c r="AB31" s="5" t="s">
        <v>88</v>
      </c>
      <c r="AC31" s="5">
        <f t="shared" si="19"/>
        <v>1612446.6748397551</v>
      </c>
      <c r="AD31" s="5">
        <f t="shared" si="20"/>
        <v>2787030.4036532175</v>
      </c>
      <c r="AE31" s="5">
        <f t="shared" si="21"/>
        <v>0.11877878243103623</v>
      </c>
      <c r="AF31" s="5">
        <f t="shared" si="25"/>
        <v>1437367.2907042522</v>
      </c>
      <c r="AG31" s="5" t="s">
        <v>73</v>
      </c>
      <c r="AH31" s="5">
        <v>4</v>
      </c>
      <c r="AI31" s="5">
        <v>1</v>
      </c>
      <c r="AJ31" s="5" t="s">
        <v>161</v>
      </c>
      <c r="AK31" s="5" t="s">
        <v>59</v>
      </c>
      <c r="AL31" s="4" t="s">
        <v>90</v>
      </c>
      <c r="AM31" s="4" t="s">
        <v>162</v>
      </c>
      <c r="AN31" s="21"/>
      <c r="AO31" s="4"/>
      <c r="AP31" s="58"/>
      <c r="AQ31" s="58"/>
      <c r="AR31" s="23"/>
      <c r="AS31" s="23"/>
      <c r="AT31" s="4"/>
      <c r="AU31" s="4"/>
      <c r="AV31" s="4"/>
      <c r="AW31" s="4"/>
      <c r="AX31" s="9"/>
      <c r="AY31" s="9"/>
      <c r="AZ31" s="4"/>
      <c r="BB31" t="str">
        <f>VLOOKUP(B31,contactos!$A$1:$D$484,4,FALSE)</f>
        <v>jamador@pedrodomecq.com</v>
      </c>
    </row>
    <row r="32" spans="2:54" customFormat="1" ht="15" customHeight="1" x14ac:dyDescent="0.25">
      <c r="B32" s="100">
        <v>82511</v>
      </c>
      <c r="C32" s="4" t="s">
        <v>163</v>
      </c>
      <c r="D32" s="5">
        <v>2380059.3097901912</v>
      </c>
      <c r="E32" s="5">
        <v>0</v>
      </c>
      <c r="F32" s="5">
        <v>380809.50590847887</v>
      </c>
      <c r="G32" s="5">
        <v>2760868.7969</v>
      </c>
      <c r="H32" s="153">
        <v>2760868.8</v>
      </c>
      <c r="I32" s="5">
        <f t="shared" si="5"/>
        <v>2380059.3097901912</v>
      </c>
      <c r="J32" s="5"/>
      <c r="K32" s="5">
        <f t="shared" si="6"/>
        <v>2380059.3097901912</v>
      </c>
      <c r="L32" s="5">
        <f t="shared" si="7"/>
        <v>2760868.8156986702</v>
      </c>
      <c r="M32" s="5"/>
      <c r="N32" s="5">
        <f t="shared" si="8"/>
        <v>2760868.8156986702</v>
      </c>
      <c r="O32" s="21"/>
      <c r="P32" s="21"/>
      <c r="Q32" s="21"/>
      <c r="R32" s="21">
        <f t="shared" si="22"/>
        <v>0</v>
      </c>
      <c r="S32" s="21">
        <v>2380059.3097901912</v>
      </c>
      <c r="T32" s="21">
        <f t="shared" si="23"/>
        <v>0</v>
      </c>
      <c r="U32" s="21">
        <f t="shared" si="24"/>
        <v>380809.50590847887</v>
      </c>
      <c r="V32" s="21">
        <f t="shared" si="17"/>
        <v>2760868.8156986702</v>
      </c>
      <c r="W32" s="21"/>
      <c r="X32" s="5"/>
      <c r="Y32" s="5"/>
      <c r="Z32" s="5">
        <f t="shared" si="18"/>
        <v>0</v>
      </c>
      <c r="AA32" s="5">
        <v>8524572.0399999991</v>
      </c>
      <c r="AB32" s="5" t="s">
        <v>88</v>
      </c>
      <c r="AC32" s="5">
        <f t="shared" si="19"/>
        <v>2380059.3097901912</v>
      </c>
      <c r="AD32" s="5">
        <f t="shared" si="20"/>
        <v>2760868.8156986702</v>
      </c>
      <c r="AE32" s="5">
        <f t="shared" si="21"/>
        <v>-1.8798670265823603E-2</v>
      </c>
      <c r="AF32" s="5">
        <f t="shared" si="25"/>
        <v>0</v>
      </c>
      <c r="AG32" s="5" t="s">
        <v>73</v>
      </c>
      <c r="AH32" s="5">
        <v>4</v>
      </c>
      <c r="AI32" s="5">
        <v>1</v>
      </c>
      <c r="AJ32" s="120" t="s">
        <v>164</v>
      </c>
      <c r="AK32" s="5" t="s">
        <v>59</v>
      </c>
      <c r="AL32" s="4" t="s">
        <v>90</v>
      </c>
      <c r="AM32" s="4" t="s">
        <v>165</v>
      </c>
      <c r="AN32" s="21"/>
      <c r="AO32" s="4"/>
      <c r="AP32" s="58"/>
      <c r="AQ32" s="58"/>
      <c r="AR32" s="23"/>
      <c r="AS32" s="23">
        <v>46050</v>
      </c>
      <c r="AT32" s="4"/>
      <c r="AU32" s="4"/>
      <c r="AV32" s="13" t="s">
        <v>92</v>
      </c>
      <c r="AW32" s="4"/>
      <c r="AX32" s="9"/>
      <c r="AY32" s="9"/>
      <c r="AZ32" s="4"/>
      <c r="BB32" t="e">
        <f>VLOOKUP(B32,contactos!$A$1:$D$484,4,FALSE)</f>
        <v>#N/A</v>
      </c>
    </row>
    <row r="33" spans="2:54" customFormat="1" x14ac:dyDescent="0.25">
      <c r="B33" s="100">
        <v>21943</v>
      </c>
      <c r="C33" s="4" t="s">
        <v>163</v>
      </c>
      <c r="D33" s="5">
        <v>2292934.1380142099</v>
      </c>
      <c r="E33" s="5">
        <v>0</v>
      </c>
      <c r="F33" s="5">
        <v>366869.46208227333</v>
      </c>
      <c r="G33" s="5">
        <v>2659803.6599999997</v>
      </c>
      <c r="H33" s="5">
        <v>2659803.66</v>
      </c>
      <c r="I33" s="5">
        <f t="shared" si="5"/>
        <v>2292934.1380142099</v>
      </c>
      <c r="J33" s="5"/>
      <c r="K33" s="5">
        <f t="shared" si="6"/>
        <v>2292934.1380142099</v>
      </c>
      <c r="L33" s="5">
        <f t="shared" si="7"/>
        <v>2659803.6000964832</v>
      </c>
      <c r="M33" s="5"/>
      <c r="N33" s="5">
        <f t="shared" si="8"/>
        <v>2659803.6000964832</v>
      </c>
      <c r="O33" s="21"/>
      <c r="P33" s="21"/>
      <c r="Q33" s="21"/>
      <c r="R33" s="21">
        <f t="shared" si="22"/>
        <v>0</v>
      </c>
      <c r="S33" s="21">
        <v>2292934.1380142099</v>
      </c>
      <c r="T33" s="21">
        <f t="shared" si="23"/>
        <v>0</v>
      </c>
      <c r="U33" s="21">
        <f t="shared" si="24"/>
        <v>366869.46208227333</v>
      </c>
      <c r="V33" s="21">
        <f t="shared" si="17"/>
        <v>2659803.6000964832</v>
      </c>
      <c r="W33" s="21"/>
      <c r="X33" s="5"/>
      <c r="Y33" s="5"/>
      <c r="Z33" s="5">
        <f t="shared" si="18"/>
        <v>0</v>
      </c>
      <c r="AA33" s="5">
        <v>17985208.850000001</v>
      </c>
      <c r="AB33" s="5" t="s">
        <v>88</v>
      </c>
      <c r="AC33" s="5">
        <f t="shared" si="19"/>
        <v>2292934.1380142099</v>
      </c>
      <c r="AD33" s="5">
        <f t="shared" si="20"/>
        <v>2659803.6000964832</v>
      </c>
      <c r="AE33" s="5">
        <f t="shared" si="21"/>
        <v>5.9903516434133053E-2</v>
      </c>
      <c r="AF33" s="5">
        <f t="shared" si="25"/>
        <v>0</v>
      </c>
      <c r="AG33" s="5" t="s">
        <v>73</v>
      </c>
      <c r="AH33" s="5">
        <v>4</v>
      </c>
      <c r="AI33" s="5">
        <v>1</v>
      </c>
      <c r="AJ33" s="120" t="s">
        <v>166</v>
      </c>
      <c r="AK33" s="5" t="s">
        <v>59</v>
      </c>
      <c r="AL33" s="4" t="s">
        <v>90</v>
      </c>
      <c r="AM33" s="4" t="s">
        <v>67</v>
      </c>
      <c r="AN33" s="21"/>
      <c r="AO33" s="4"/>
      <c r="AP33" s="58"/>
      <c r="AQ33" s="58"/>
      <c r="AR33" s="23"/>
      <c r="AS33" s="23">
        <v>46050</v>
      </c>
      <c r="AT33" s="4"/>
      <c r="AU33" s="4"/>
      <c r="AV33" s="13" t="s">
        <v>92</v>
      </c>
      <c r="AW33" s="4"/>
      <c r="AX33" s="9"/>
      <c r="AY33" s="9"/>
      <c r="AZ33" s="4"/>
      <c r="BB33" t="str">
        <f>VLOOKUP(B33,contactos!$A$1:$D$484,4,FALSE)</f>
        <v>loreto.zalapa@henkel.com</v>
      </c>
    </row>
    <row r="34" spans="2:54" customFormat="1" x14ac:dyDescent="0.25">
      <c r="B34" s="100">
        <v>364</v>
      </c>
      <c r="C34" s="4" t="s">
        <v>167</v>
      </c>
      <c r="D34" s="5">
        <v>2535880.7058176179</v>
      </c>
      <c r="E34" s="5">
        <v>0</v>
      </c>
      <c r="F34" s="5">
        <v>0</v>
      </c>
      <c r="G34" s="5">
        <v>2535881.0800000005</v>
      </c>
      <c r="H34" s="5">
        <v>2535880.69</v>
      </c>
      <c r="I34" s="5">
        <f t="shared" si="5"/>
        <v>2535880.7058176179</v>
      </c>
      <c r="J34" s="5"/>
      <c r="K34" s="5">
        <f t="shared" si="6"/>
        <v>2535880.7058176179</v>
      </c>
      <c r="L34" s="5">
        <f t="shared" si="7"/>
        <v>2535880.7058176179</v>
      </c>
      <c r="M34" s="5"/>
      <c r="N34" s="5">
        <f t="shared" si="8"/>
        <v>2535880.7058176179</v>
      </c>
      <c r="O34" s="27"/>
      <c r="P34" s="27"/>
      <c r="Q34" s="27"/>
      <c r="R34" s="21">
        <f t="shared" si="22"/>
        <v>0</v>
      </c>
      <c r="S34" s="27">
        <v>2535880.7058176179</v>
      </c>
      <c r="T34" s="21">
        <f t="shared" si="23"/>
        <v>0</v>
      </c>
      <c r="U34" s="21">
        <f t="shared" si="24"/>
        <v>0</v>
      </c>
      <c r="V34" s="21">
        <f t="shared" si="17"/>
        <v>2535880.7058176179</v>
      </c>
      <c r="W34" s="27"/>
      <c r="X34" s="5"/>
      <c r="Y34" s="5"/>
      <c r="Z34" s="5">
        <f t="shared" si="18"/>
        <v>0</v>
      </c>
      <c r="AA34" s="5">
        <v>18199055.43</v>
      </c>
      <c r="AB34" s="5" t="s">
        <v>88</v>
      </c>
      <c r="AC34" s="5">
        <f t="shared" si="19"/>
        <v>2535880.7058176179</v>
      </c>
      <c r="AD34" s="5">
        <f t="shared" si="20"/>
        <v>2535880.7058176179</v>
      </c>
      <c r="AE34" s="5">
        <f t="shared" si="21"/>
        <v>0.37418238259851933</v>
      </c>
      <c r="AF34" s="5">
        <f t="shared" si="25"/>
        <v>0</v>
      </c>
      <c r="AG34" s="5" t="s">
        <v>73</v>
      </c>
      <c r="AH34" s="5">
        <v>4</v>
      </c>
      <c r="AI34" s="5">
        <v>1</v>
      </c>
      <c r="AJ34" s="5" t="s">
        <v>168</v>
      </c>
      <c r="AK34" s="5" t="s">
        <v>59</v>
      </c>
      <c r="AL34" s="4" t="s">
        <v>75</v>
      </c>
      <c r="AM34" s="6" t="s">
        <v>83</v>
      </c>
      <c r="AN34" s="27">
        <v>260797.11</v>
      </c>
      <c r="AO34" s="4" t="s">
        <v>169</v>
      </c>
      <c r="AP34" s="58">
        <v>1</v>
      </c>
      <c r="AQ34" s="58"/>
      <c r="AR34" s="23">
        <v>46059</v>
      </c>
      <c r="AS34" s="23"/>
      <c r="AT34" s="4"/>
      <c r="AU34" s="4"/>
      <c r="AV34" s="4" t="s">
        <v>170</v>
      </c>
      <c r="AW34" s="4"/>
      <c r="AX34" s="12"/>
      <c r="AY34" s="12"/>
      <c r="AZ34" s="12"/>
      <c r="BB34" t="str">
        <f>VLOOKUP(B34,contactos!$A$1:$D$484,4,FALSE)</f>
        <v>hperalta@grupomar.mx</v>
      </c>
    </row>
    <row r="35" spans="2:54" customFormat="1" x14ac:dyDescent="0.25">
      <c r="B35" s="100">
        <v>11914</v>
      </c>
      <c r="C35" s="4" t="s">
        <v>171</v>
      </c>
      <c r="D35" s="5">
        <v>2177336.8823643085</v>
      </c>
      <c r="E35" s="5">
        <v>0</v>
      </c>
      <c r="F35" s="5">
        <v>348373.90151952108</v>
      </c>
      <c r="G35" s="5">
        <v>2525710.8987999996</v>
      </c>
      <c r="H35" s="5">
        <v>0</v>
      </c>
      <c r="I35" s="5">
        <f t="shared" si="5"/>
        <v>1721832.9123643085</v>
      </c>
      <c r="J35" s="5">
        <v>0</v>
      </c>
      <c r="K35" s="5">
        <f t="shared" si="6"/>
        <v>1721832.9123643085</v>
      </c>
      <c r="L35" s="5">
        <f t="shared" si="7"/>
        <v>2108224.7311643083</v>
      </c>
      <c r="M35" s="5">
        <v>0</v>
      </c>
      <c r="N35" s="5">
        <f t="shared" si="8"/>
        <v>2108224.7311643083</v>
      </c>
      <c r="O35" s="21">
        <v>1610934.47</v>
      </c>
      <c r="P35" s="21"/>
      <c r="Q35" s="21">
        <v>257749.52</v>
      </c>
      <c r="R35" s="21">
        <f t="shared" si="22"/>
        <v>1868683.99</v>
      </c>
      <c r="S35" s="21">
        <f>D35-(O35+W35)</f>
        <v>110898.44236430852</v>
      </c>
      <c r="T35" s="21">
        <f>E35-(P35+X35)</f>
        <v>0</v>
      </c>
      <c r="U35" s="21">
        <f>G35-(R35+Z35)</f>
        <v>128642.29879999952</v>
      </c>
      <c r="V35" s="21">
        <f t="shared" si="17"/>
        <v>239540.74116430804</v>
      </c>
      <c r="W35" s="21">
        <v>455503.97</v>
      </c>
      <c r="X35" s="5">
        <v>0</v>
      </c>
      <c r="Y35" s="5">
        <v>72880.639999999999</v>
      </c>
      <c r="Z35" s="5">
        <f t="shared" si="18"/>
        <v>528384.61</v>
      </c>
      <c r="AA35" s="5">
        <v>1195941.79</v>
      </c>
      <c r="AB35" s="5" t="s">
        <v>88</v>
      </c>
      <c r="AC35" s="5">
        <f t="shared" si="19"/>
        <v>2177336.8823643085</v>
      </c>
      <c r="AD35" s="5">
        <f t="shared" si="20"/>
        <v>2636609.3411643081</v>
      </c>
      <c r="AE35" s="5">
        <f t="shared" si="21"/>
        <v>-110898.44236430852</v>
      </c>
      <c r="AF35" s="5">
        <f t="shared" si="25"/>
        <v>2066438.44</v>
      </c>
      <c r="AG35" s="5" t="s">
        <v>57</v>
      </c>
      <c r="AH35" s="5">
        <v>4</v>
      </c>
      <c r="AI35" s="5">
        <v>5</v>
      </c>
      <c r="AJ35" s="5" t="s">
        <v>172</v>
      </c>
      <c r="AK35" s="5" t="s">
        <v>59</v>
      </c>
      <c r="AL35" s="4" t="s">
        <v>133</v>
      </c>
      <c r="AM35" s="6" t="s">
        <v>94</v>
      </c>
      <c r="AN35" s="21"/>
      <c r="AO35" s="4"/>
      <c r="AP35" s="58"/>
      <c r="AQ35" s="58"/>
      <c r="AR35" s="23"/>
      <c r="AS35" s="23">
        <v>46050</v>
      </c>
      <c r="AT35" s="4"/>
      <c r="AU35" s="4"/>
      <c r="AV35" s="4" t="s">
        <v>173</v>
      </c>
      <c r="AW35" s="4"/>
      <c r="AX35" s="9"/>
      <c r="AY35" s="9"/>
      <c r="AZ35" s="4"/>
      <c r="BB35" t="str">
        <f>VLOOKUP(B35,contactos!$A$1:$D$484,4,FALSE)</f>
        <v>mateo.x.mendoza@haleon.com</v>
      </c>
    </row>
    <row r="36" spans="2:54" customFormat="1" x14ac:dyDescent="0.25">
      <c r="B36" s="100">
        <v>51698</v>
      </c>
      <c r="C36" s="4" t="s">
        <v>174</v>
      </c>
      <c r="D36" s="5">
        <v>2017199.8519635256</v>
      </c>
      <c r="E36" s="5">
        <v>0</v>
      </c>
      <c r="F36" s="5">
        <v>322752.00051416398</v>
      </c>
      <c r="G36" s="5">
        <v>2339951.9</v>
      </c>
      <c r="H36" s="5">
        <v>1207074.1499999999</v>
      </c>
      <c r="I36" s="5">
        <f t="shared" si="5"/>
        <v>2017199.8519635256</v>
      </c>
      <c r="J36" s="5"/>
      <c r="K36" s="5">
        <f t="shared" si="6"/>
        <v>2017199.8519635256</v>
      </c>
      <c r="L36" s="5">
        <f t="shared" si="7"/>
        <v>2339951.8524776897</v>
      </c>
      <c r="M36" s="5"/>
      <c r="N36" s="5">
        <f t="shared" si="8"/>
        <v>2339951.8524776897</v>
      </c>
      <c r="O36" s="21"/>
      <c r="P36" s="21"/>
      <c r="Q36" s="21"/>
      <c r="R36" s="21">
        <f t="shared" si="22"/>
        <v>0</v>
      </c>
      <c r="S36" s="21">
        <v>2017199.8519635256</v>
      </c>
      <c r="T36" s="21">
        <f t="shared" ref="T36:T47" si="26">E36-X36</f>
        <v>0</v>
      </c>
      <c r="U36" s="21">
        <f t="shared" ref="U36:U43" si="27">F36-Y36</f>
        <v>322752.00051416398</v>
      </c>
      <c r="V36" s="21">
        <f t="shared" si="17"/>
        <v>2339951.8524776897</v>
      </c>
      <c r="W36" s="21"/>
      <c r="X36" s="5"/>
      <c r="Y36" s="5"/>
      <c r="Z36" s="5">
        <f t="shared" si="18"/>
        <v>0</v>
      </c>
      <c r="AA36" s="5">
        <v>1820258.92</v>
      </c>
      <c r="AB36" s="5" t="s">
        <v>88</v>
      </c>
      <c r="AC36" s="5">
        <f t="shared" si="19"/>
        <v>2017199.8519635256</v>
      </c>
      <c r="AD36" s="5">
        <f t="shared" si="20"/>
        <v>2339951.8524776897</v>
      </c>
      <c r="AE36" s="5">
        <f t="shared" si="21"/>
        <v>4.7522310167551041E-2</v>
      </c>
      <c r="AF36" s="5">
        <f t="shared" si="25"/>
        <v>0</v>
      </c>
      <c r="AG36" s="5" t="s">
        <v>73</v>
      </c>
      <c r="AH36" s="5">
        <v>4</v>
      </c>
      <c r="AI36" s="5">
        <v>1</v>
      </c>
      <c r="AJ36" s="5" t="s">
        <v>175</v>
      </c>
      <c r="AK36" s="5" t="s">
        <v>59</v>
      </c>
      <c r="AL36" s="4" t="s">
        <v>90</v>
      </c>
      <c r="AM36" s="4" t="s">
        <v>119</v>
      </c>
      <c r="AN36" s="21"/>
      <c r="AO36" s="4"/>
      <c r="AP36" s="58"/>
      <c r="AQ36" s="58"/>
      <c r="AR36" s="23"/>
      <c r="AS36" s="23">
        <v>46050</v>
      </c>
      <c r="AT36" s="4"/>
      <c r="AU36" s="4"/>
      <c r="AV36" s="4" t="s">
        <v>173</v>
      </c>
      <c r="AW36" s="4"/>
      <c r="AX36" s="9"/>
      <c r="AY36" s="9"/>
      <c r="AZ36" s="4"/>
      <c r="BB36" t="str">
        <f>VLOOKUP(B36,contactos!$A$1:$D$484,4,FALSE)</f>
        <v>francisca.lopez@bardahl.com.mx</v>
      </c>
    </row>
    <row r="37" spans="2:54" customFormat="1" ht="30" x14ac:dyDescent="0.25">
      <c r="B37" s="100">
        <v>12480</v>
      </c>
      <c r="C37" s="4" t="s">
        <v>176</v>
      </c>
      <c r="D37" s="5">
        <v>1963610.7503713719</v>
      </c>
      <c r="E37" s="5">
        <v>0</v>
      </c>
      <c r="F37" s="5">
        <v>314177.72810447548</v>
      </c>
      <c r="G37" s="5">
        <v>2277788.3835</v>
      </c>
      <c r="H37" s="5">
        <v>1055297.24</v>
      </c>
      <c r="I37" s="5">
        <f t="shared" si="5"/>
        <v>1963610.7503713719</v>
      </c>
      <c r="J37" s="5"/>
      <c r="K37" s="5">
        <f t="shared" si="6"/>
        <v>1963610.7503713719</v>
      </c>
      <c r="L37" s="5">
        <f t="shared" si="7"/>
        <v>2277788.4784758473</v>
      </c>
      <c r="M37" s="5"/>
      <c r="N37" s="5">
        <f t="shared" si="8"/>
        <v>2277788.4784758473</v>
      </c>
      <c r="O37" s="21"/>
      <c r="P37" s="21"/>
      <c r="Q37" s="21"/>
      <c r="R37" s="21">
        <f t="shared" si="22"/>
        <v>0</v>
      </c>
      <c r="S37" s="21">
        <f>+D37</f>
        <v>1963610.7503713719</v>
      </c>
      <c r="T37" s="21">
        <f t="shared" si="26"/>
        <v>0</v>
      </c>
      <c r="U37" s="21">
        <f t="shared" si="27"/>
        <v>314177.72810447548</v>
      </c>
      <c r="V37" s="21">
        <f t="shared" si="17"/>
        <v>2277788.4784758473</v>
      </c>
      <c r="W37" s="21"/>
      <c r="X37" s="5"/>
      <c r="Y37" s="5"/>
      <c r="Z37" s="5">
        <f t="shared" si="18"/>
        <v>0</v>
      </c>
      <c r="AA37" s="5">
        <v>2552379.36</v>
      </c>
      <c r="AB37" s="5" t="s">
        <v>56</v>
      </c>
      <c r="AC37" s="5">
        <f t="shared" si="19"/>
        <v>1963610.7503713719</v>
      </c>
      <c r="AD37" s="5">
        <f t="shared" si="20"/>
        <v>2277788.4784758473</v>
      </c>
      <c r="AE37" s="5">
        <f t="shared" si="21"/>
        <v>-9.4975847285240889E-2</v>
      </c>
      <c r="AF37" s="5">
        <f t="shared" si="25"/>
        <v>0</v>
      </c>
      <c r="AG37" s="5" t="s">
        <v>73</v>
      </c>
      <c r="AH37" s="5">
        <v>4</v>
      </c>
      <c r="AI37" s="5">
        <v>5</v>
      </c>
      <c r="AJ37" s="120" t="s">
        <v>177</v>
      </c>
      <c r="AK37" s="5" t="s">
        <v>59</v>
      </c>
      <c r="AL37" s="4" t="s">
        <v>75</v>
      </c>
      <c r="AM37" s="6" t="s">
        <v>91</v>
      </c>
      <c r="AN37" s="21">
        <v>2277788.3835</v>
      </c>
      <c r="AO37" s="4" t="s">
        <v>68</v>
      </c>
      <c r="AP37" s="58"/>
      <c r="AQ37" s="58"/>
      <c r="AR37" s="23">
        <v>46038</v>
      </c>
      <c r="AS37" s="23">
        <v>46041</v>
      </c>
      <c r="AT37" s="7" t="s">
        <v>129</v>
      </c>
      <c r="AU37" s="7"/>
      <c r="AV37" s="45" t="s">
        <v>178</v>
      </c>
      <c r="AW37" s="4" t="s">
        <v>70</v>
      </c>
      <c r="AX37" s="9"/>
      <c r="AY37" s="9" t="s">
        <v>71</v>
      </c>
      <c r="AZ37" s="9"/>
      <c r="BA37" t="s">
        <v>179</v>
      </c>
      <c r="BB37" t="str">
        <f>VLOOKUP(B37,contactos!$A$1:$D$484,4,FALSE)</f>
        <v>EESCAMILLA@SASIL.MX</v>
      </c>
    </row>
    <row r="38" spans="2:54" customFormat="1" x14ac:dyDescent="0.25">
      <c r="B38" s="100">
        <v>11042</v>
      </c>
      <c r="C38" s="4" t="s">
        <v>180</v>
      </c>
      <c r="D38" s="5">
        <v>1539286.0108235895</v>
      </c>
      <c r="E38" s="5">
        <v>407910.77176825126</v>
      </c>
      <c r="F38" s="5">
        <v>311551.54221069464</v>
      </c>
      <c r="G38" s="5">
        <v>2258748.1999999993</v>
      </c>
      <c r="H38" s="5">
        <v>0</v>
      </c>
      <c r="I38" s="5">
        <f t="shared" si="5"/>
        <v>1467671.3908235896</v>
      </c>
      <c r="J38" s="5"/>
      <c r="K38" s="5">
        <f t="shared" si="6"/>
        <v>1467671.3908235896</v>
      </c>
      <c r="L38" s="5">
        <f t="shared" si="7"/>
        <v>2153661.0348025355</v>
      </c>
      <c r="M38" s="5"/>
      <c r="N38" s="5">
        <f t="shared" si="8"/>
        <v>2153661.0348025355</v>
      </c>
      <c r="O38" s="21"/>
      <c r="P38" s="21"/>
      <c r="Q38" s="21"/>
      <c r="R38" s="21">
        <f t="shared" si="22"/>
        <v>0</v>
      </c>
      <c r="S38" s="21">
        <f>D38-W38</f>
        <v>1467671.3908235896</v>
      </c>
      <c r="T38" s="21">
        <f t="shared" si="26"/>
        <v>388932.90176825126</v>
      </c>
      <c r="U38" s="21">
        <f t="shared" si="27"/>
        <v>297056.74221069465</v>
      </c>
      <c r="V38" s="21">
        <f t="shared" si="17"/>
        <v>2153661.0348025355</v>
      </c>
      <c r="W38" s="21">
        <v>71614.62</v>
      </c>
      <c r="X38" s="5">
        <v>18977.87</v>
      </c>
      <c r="Y38" s="5">
        <v>14494.8</v>
      </c>
      <c r="Z38" s="5">
        <f t="shared" si="18"/>
        <v>105087.29</v>
      </c>
      <c r="AA38" s="5">
        <v>1267567.6299999999</v>
      </c>
      <c r="AB38" s="5" t="s">
        <v>88</v>
      </c>
      <c r="AC38" s="5">
        <f t="shared" si="19"/>
        <v>1539286.0108235897</v>
      </c>
      <c r="AD38" s="5">
        <f t="shared" si="20"/>
        <v>2258748.3248025356</v>
      </c>
      <c r="AE38" s="5">
        <f t="shared" si="21"/>
        <v>-0.12480253633111715</v>
      </c>
      <c r="AF38" s="5"/>
      <c r="AG38" s="5" t="s">
        <v>57</v>
      </c>
      <c r="AH38" s="5">
        <v>4</v>
      </c>
      <c r="AI38" s="5">
        <v>3</v>
      </c>
      <c r="AJ38" s="5" t="s">
        <v>181</v>
      </c>
      <c r="AK38" s="5" t="s">
        <v>59</v>
      </c>
      <c r="AL38" s="4" t="s">
        <v>75</v>
      </c>
      <c r="AM38" s="6" t="s">
        <v>137</v>
      </c>
      <c r="AN38" s="21"/>
      <c r="AO38" s="4"/>
      <c r="AP38" s="58"/>
      <c r="AQ38" s="58"/>
      <c r="AR38" s="23"/>
      <c r="AS38" s="23">
        <v>46050</v>
      </c>
      <c r="AT38" s="4"/>
      <c r="AU38" s="4"/>
      <c r="AV38" s="13" t="s">
        <v>182</v>
      </c>
      <c r="AW38" s="4"/>
      <c r="AX38" s="9"/>
      <c r="AY38" s="9"/>
      <c r="AZ38" s="4"/>
      <c r="BB38" t="str">
        <f>VLOOKUP(B38,contactos!$A$1:$D$484,4,FALSE)</f>
        <v>dagarciad@bepensa.com</v>
      </c>
    </row>
    <row r="39" spans="2:54" customFormat="1" x14ac:dyDescent="0.25">
      <c r="B39" s="100">
        <v>307988</v>
      </c>
      <c r="C39" s="4" t="s">
        <v>183</v>
      </c>
      <c r="D39" s="5">
        <v>1768456.2296</v>
      </c>
      <c r="E39" s="5">
        <v>0</v>
      </c>
      <c r="F39" s="5">
        <v>282952.99679999996</v>
      </c>
      <c r="G39" s="5">
        <v>2051409.3681000003</v>
      </c>
      <c r="H39" s="5">
        <v>2051409.21</v>
      </c>
      <c r="I39" s="5">
        <f t="shared" si="5"/>
        <v>1768456.2296</v>
      </c>
      <c r="J39" s="5"/>
      <c r="K39" s="5">
        <f t="shared" si="6"/>
        <v>1768456.2296</v>
      </c>
      <c r="L39" s="5">
        <f t="shared" si="7"/>
        <v>2051409.2264</v>
      </c>
      <c r="M39" s="5"/>
      <c r="N39" s="5">
        <f t="shared" si="8"/>
        <v>2051409.2264</v>
      </c>
      <c r="O39" s="27"/>
      <c r="P39" s="27"/>
      <c r="Q39" s="27"/>
      <c r="R39" s="21">
        <f t="shared" si="22"/>
        <v>0</v>
      </c>
      <c r="S39" s="27">
        <v>1768456.2296</v>
      </c>
      <c r="T39" s="21">
        <f t="shared" si="26"/>
        <v>0</v>
      </c>
      <c r="U39" s="21">
        <f t="shared" si="27"/>
        <v>282952.99679999996</v>
      </c>
      <c r="V39" s="21">
        <f t="shared" si="17"/>
        <v>2051409.2264</v>
      </c>
      <c r="W39" s="27"/>
      <c r="X39" s="5"/>
      <c r="Y39" s="5"/>
      <c r="Z39" s="5">
        <f t="shared" si="18"/>
        <v>0</v>
      </c>
      <c r="AA39" s="5">
        <v>3579101.17</v>
      </c>
      <c r="AB39" s="5" t="s">
        <v>88</v>
      </c>
      <c r="AC39" s="5">
        <f t="shared" si="19"/>
        <v>1768456.2296</v>
      </c>
      <c r="AD39" s="5">
        <f t="shared" si="20"/>
        <v>2051409.2264</v>
      </c>
      <c r="AE39" s="5">
        <f t="shared" si="21"/>
        <v>0.14170000026933849</v>
      </c>
      <c r="AF39" s="5">
        <f>D39-S39</f>
        <v>0</v>
      </c>
      <c r="AG39" s="5" t="s">
        <v>73</v>
      </c>
      <c r="AH39" s="5">
        <v>4</v>
      </c>
      <c r="AI39" s="5">
        <v>1</v>
      </c>
      <c r="AJ39" s="5">
        <v>0</v>
      </c>
      <c r="AK39" s="5" t="s">
        <v>59</v>
      </c>
      <c r="AL39" s="4" t="s">
        <v>90</v>
      </c>
      <c r="AM39" s="4" t="s">
        <v>83</v>
      </c>
      <c r="AN39" s="27"/>
      <c r="AO39" s="4"/>
      <c r="AP39" s="58"/>
      <c r="AQ39" s="58"/>
      <c r="AR39" s="23"/>
      <c r="AS39" s="23"/>
      <c r="AT39" s="4"/>
      <c r="AU39" s="4"/>
      <c r="AV39" s="4"/>
      <c r="AW39" s="4"/>
      <c r="AX39" s="12"/>
      <c r="AY39" s="12"/>
      <c r="AZ39" s="12"/>
      <c r="BB39" t="str">
        <f>VLOOKUP(B39,contactos!$A$1:$D$484,4,FALSE)</f>
        <v>esilva@4eglobal.com</v>
      </c>
    </row>
    <row r="40" spans="2:54" customFormat="1" x14ac:dyDescent="0.25">
      <c r="B40" s="100">
        <v>319178</v>
      </c>
      <c r="C40" s="4" t="s">
        <v>184</v>
      </c>
      <c r="D40" s="5">
        <v>1899275.9204441682</v>
      </c>
      <c r="E40" s="5">
        <v>0</v>
      </c>
      <c r="F40" s="5">
        <v>0</v>
      </c>
      <c r="G40" s="5">
        <v>1899275.8922999993</v>
      </c>
      <c r="H40" s="5">
        <v>1307819.1399999999</v>
      </c>
      <c r="I40" s="5">
        <f t="shared" si="5"/>
        <v>1307819.1504441681</v>
      </c>
      <c r="J40" s="5"/>
      <c r="K40" s="5">
        <f t="shared" si="6"/>
        <v>1307819.1504441681</v>
      </c>
      <c r="L40" s="5">
        <f t="shared" si="7"/>
        <v>1307819.1504441681</v>
      </c>
      <c r="M40" s="5"/>
      <c r="N40" s="5">
        <f t="shared" si="8"/>
        <v>1307819.1504441681</v>
      </c>
      <c r="O40" s="21"/>
      <c r="P40" s="21"/>
      <c r="Q40" s="21"/>
      <c r="R40" s="21">
        <f t="shared" si="22"/>
        <v>0</v>
      </c>
      <c r="S40" s="21">
        <f>D40-O40-W40</f>
        <v>1307819.1504441681</v>
      </c>
      <c r="T40" s="21">
        <f>E40-X40-P40</f>
        <v>0</v>
      </c>
      <c r="U40" s="21">
        <f>F40-Y40-Q40</f>
        <v>0</v>
      </c>
      <c r="V40" s="21">
        <f t="shared" si="17"/>
        <v>1307819.1504441681</v>
      </c>
      <c r="W40" s="21">
        <v>591456.77</v>
      </c>
      <c r="X40" s="5">
        <v>0</v>
      </c>
      <c r="Y40" s="5">
        <v>0</v>
      </c>
      <c r="Z40" s="5">
        <f t="shared" si="18"/>
        <v>591456.77</v>
      </c>
      <c r="AA40" s="5">
        <v>1312735.7</v>
      </c>
      <c r="AB40" s="5" t="s">
        <v>56</v>
      </c>
      <c r="AC40" s="5">
        <f t="shared" si="19"/>
        <v>1899275.9204441682</v>
      </c>
      <c r="AD40" s="5">
        <f t="shared" si="20"/>
        <v>1899275.9204441682</v>
      </c>
      <c r="AE40" s="5">
        <f t="shared" si="21"/>
        <v>-2.8144168900325894E-2</v>
      </c>
      <c r="AF40" s="5"/>
      <c r="AG40" s="5" t="s">
        <v>57</v>
      </c>
      <c r="AH40" s="5">
        <v>4</v>
      </c>
      <c r="AI40" s="5">
        <v>4</v>
      </c>
      <c r="AJ40" s="5" t="s">
        <v>181</v>
      </c>
      <c r="AK40" s="5" t="s">
        <v>59</v>
      </c>
      <c r="AL40" s="4" t="s">
        <v>75</v>
      </c>
      <c r="AM40" s="6" t="s">
        <v>137</v>
      </c>
      <c r="AN40" s="21"/>
      <c r="AO40" s="4"/>
      <c r="AP40" s="58"/>
      <c r="AQ40" s="58"/>
      <c r="AR40" s="23">
        <v>46042</v>
      </c>
      <c r="AS40" s="23">
        <v>46043</v>
      </c>
      <c r="AT40" s="7"/>
      <c r="AU40" s="4"/>
      <c r="AV40" s="4" t="s">
        <v>185</v>
      </c>
      <c r="AW40" s="4"/>
      <c r="AX40" s="9"/>
      <c r="AY40" s="9" t="s">
        <v>71</v>
      </c>
      <c r="AZ40" s="4"/>
      <c r="BA40" t="s">
        <v>186</v>
      </c>
      <c r="BB40" t="str">
        <f>VLOOKUP(B40,contactos!$A$1:$D$484,4,FALSE)</f>
        <v>CPERAZA@NISSINFOODS.COM.MX</v>
      </c>
    </row>
    <row r="41" spans="2:54" ht="75" x14ac:dyDescent="0.25">
      <c r="B41" s="125">
        <v>7410</v>
      </c>
      <c r="C41" s="12" t="s">
        <v>135</v>
      </c>
      <c r="D41" s="71">
        <v>1677791.0225753912</v>
      </c>
      <c r="E41" s="71">
        <v>0</v>
      </c>
      <c r="F41" s="71">
        <v>220404.50557137528</v>
      </c>
      <c r="G41" s="71">
        <v>1898195.6</v>
      </c>
      <c r="H41" s="5">
        <v>181552.84</v>
      </c>
      <c r="I41" s="5">
        <f t="shared" si="5"/>
        <v>1677791.0225753912</v>
      </c>
      <c r="J41" s="5"/>
      <c r="K41" s="5">
        <f t="shared" si="6"/>
        <v>1677791.0225753912</v>
      </c>
      <c r="L41" s="5">
        <f t="shared" si="7"/>
        <v>1898195.5281467666</v>
      </c>
      <c r="M41" s="5"/>
      <c r="N41" s="5">
        <f t="shared" si="8"/>
        <v>1898195.5281467666</v>
      </c>
      <c r="O41" s="74"/>
      <c r="P41" s="74"/>
      <c r="Q41" s="74"/>
      <c r="R41" s="86">
        <f t="shared" si="22"/>
        <v>0</v>
      </c>
      <c r="S41" s="74">
        <v>1677791.0225753912</v>
      </c>
      <c r="T41" s="86">
        <f t="shared" si="26"/>
        <v>0</v>
      </c>
      <c r="U41" s="86">
        <f t="shared" si="27"/>
        <v>220404.50557137528</v>
      </c>
      <c r="V41" s="86">
        <f t="shared" si="17"/>
        <v>1898195.5281467666</v>
      </c>
      <c r="W41" s="74"/>
      <c r="X41" s="71"/>
      <c r="Y41" s="71"/>
      <c r="Z41" s="5">
        <f t="shared" si="18"/>
        <v>0</v>
      </c>
      <c r="AA41" s="71">
        <v>6080952.8099999996</v>
      </c>
      <c r="AB41" s="71" t="s">
        <v>88</v>
      </c>
      <c r="AC41" s="71">
        <f t="shared" si="19"/>
        <v>1677791.0225753912</v>
      </c>
      <c r="AD41" s="71">
        <f t="shared" si="20"/>
        <v>1898195.5281467666</v>
      </c>
      <c r="AE41" s="71">
        <f t="shared" si="21"/>
        <v>7.1853233501315117E-2</v>
      </c>
      <c r="AF41" s="71">
        <f>D41-S41</f>
        <v>0</v>
      </c>
      <c r="AG41" s="71" t="s">
        <v>57</v>
      </c>
      <c r="AH41" s="71">
        <v>4</v>
      </c>
      <c r="AI41" s="71">
        <v>8</v>
      </c>
      <c r="AJ41" s="127" t="s">
        <v>123</v>
      </c>
      <c r="AK41" s="71" t="s">
        <v>59</v>
      </c>
      <c r="AL41" s="12" t="s">
        <v>75</v>
      </c>
      <c r="AM41" s="12" t="s">
        <v>103</v>
      </c>
      <c r="AN41" s="74"/>
      <c r="AO41" s="12"/>
      <c r="AP41" s="12"/>
      <c r="AQ41" s="12"/>
      <c r="AR41" s="73"/>
      <c r="AS41" s="73">
        <v>46050</v>
      </c>
      <c r="AT41" s="12"/>
      <c r="AU41" s="12"/>
      <c r="AV41" s="126" t="s">
        <v>187</v>
      </c>
      <c r="AW41" s="12" t="s">
        <v>70</v>
      </c>
      <c r="AX41" s="12"/>
      <c r="AY41" s="12" t="s">
        <v>125</v>
      </c>
      <c r="AZ41" s="12"/>
      <c r="BB41" s="10" t="str">
        <f>VLOOKUP(B41,contactos!$A$1:$D$484,4,FALSE)</f>
        <v>javierhernando.rodriguez@softys.com</v>
      </c>
    </row>
    <row r="42" spans="2:54" customFormat="1" x14ac:dyDescent="0.25">
      <c r="B42" s="100">
        <v>303974</v>
      </c>
      <c r="C42" s="4" t="s">
        <v>188</v>
      </c>
      <c r="D42" s="5">
        <v>1805198.339684733</v>
      </c>
      <c r="E42" s="5">
        <v>0</v>
      </c>
      <c r="F42" s="5">
        <v>0</v>
      </c>
      <c r="G42" s="5">
        <v>1805198.3299999998</v>
      </c>
      <c r="H42" s="5">
        <v>1799384.99</v>
      </c>
      <c r="I42" s="5">
        <f t="shared" si="5"/>
        <v>1799385</v>
      </c>
      <c r="J42" s="5"/>
      <c r="K42" s="5">
        <f t="shared" si="6"/>
        <v>1799385</v>
      </c>
      <c r="L42" s="5">
        <f t="shared" si="7"/>
        <v>1799385</v>
      </c>
      <c r="M42" s="5"/>
      <c r="N42" s="5">
        <f t="shared" si="8"/>
        <v>1799385</v>
      </c>
      <c r="O42" s="21">
        <v>1799385</v>
      </c>
      <c r="P42" s="21"/>
      <c r="Q42" s="21"/>
      <c r="R42" s="21">
        <f t="shared" si="22"/>
        <v>1799385</v>
      </c>
      <c r="S42" s="21">
        <v>0</v>
      </c>
      <c r="T42" s="21">
        <f t="shared" si="26"/>
        <v>0</v>
      </c>
      <c r="U42" s="21">
        <f t="shared" si="27"/>
        <v>0</v>
      </c>
      <c r="V42" s="21">
        <f t="shared" si="17"/>
        <v>0</v>
      </c>
      <c r="W42" s="21">
        <v>5813</v>
      </c>
      <c r="X42" s="5"/>
      <c r="Y42" s="5"/>
      <c r="Z42" s="5">
        <f t="shared" si="18"/>
        <v>5813</v>
      </c>
      <c r="AA42" s="5">
        <v>1301552.52</v>
      </c>
      <c r="AB42" s="5" t="s">
        <v>56</v>
      </c>
      <c r="AC42" s="5">
        <f t="shared" si="19"/>
        <v>1805198</v>
      </c>
      <c r="AD42" s="5">
        <f t="shared" si="20"/>
        <v>1805198</v>
      </c>
      <c r="AE42" s="5">
        <f t="shared" si="21"/>
        <v>0.32999999984167516</v>
      </c>
      <c r="AF42" s="5"/>
      <c r="AG42" s="5" t="s">
        <v>81</v>
      </c>
      <c r="AH42" s="5">
        <v>4</v>
      </c>
      <c r="AI42" s="5">
        <v>0</v>
      </c>
      <c r="AJ42" s="5">
        <v>0</v>
      </c>
      <c r="AK42" s="5" t="s">
        <v>59</v>
      </c>
      <c r="AL42" s="4" t="s">
        <v>82</v>
      </c>
      <c r="AM42" s="4" t="s">
        <v>67</v>
      </c>
      <c r="AN42" s="21">
        <v>1805198.3299999998</v>
      </c>
      <c r="AO42" s="13" t="s">
        <v>68</v>
      </c>
      <c r="AP42" s="58">
        <v>16</v>
      </c>
      <c r="AQ42" s="58" t="s">
        <v>189</v>
      </c>
      <c r="AR42" s="23">
        <v>46041</v>
      </c>
      <c r="AS42" s="23">
        <v>46041</v>
      </c>
      <c r="AT42" s="7"/>
      <c r="AU42" s="4"/>
      <c r="AV42" s="7" t="s">
        <v>190</v>
      </c>
      <c r="AW42" s="4" t="s">
        <v>70</v>
      </c>
      <c r="AX42" s="9" t="s">
        <v>71</v>
      </c>
      <c r="AY42" s="9"/>
      <c r="AZ42" s="9"/>
      <c r="BA42" t="s">
        <v>191</v>
      </c>
      <c r="BB42" t="str">
        <f>VLOOKUP(B42,contactos!$A$1:$D$484,4,FALSE)</f>
        <v>oscar.guzman@cydsa.com</v>
      </c>
    </row>
    <row r="43" spans="2:54" customFormat="1" x14ac:dyDescent="0.25">
      <c r="B43" s="100">
        <v>29272</v>
      </c>
      <c r="C43" s="4" t="s">
        <v>192</v>
      </c>
      <c r="D43" s="5">
        <v>1802449.1933360323</v>
      </c>
      <c r="E43" s="5">
        <v>0</v>
      </c>
      <c r="F43" s="5">
        <v>0</v>
      </c>
      <c r="G43" s="5">
        <v>1802449.19</v>
      </c>
      <c r="H43" s="5">
        <v>1802449.18</v>
      </c>
      <c r="I43" s="5">
        <f t="shared" si="5"/>
        <v>1802449.1933360323</v>
      </c>
      <c r="J43" s="5"/>
      <c r="K43" s="5">
        <f t="shared" si="6"/>
        <v>1802449.1933360323</v>
      </c>
      <c r="L43" s="5">
        <f t="shared" si="7"/>
        <v>1802449.1933360323</v>
      </c>
      <c r="M43" s="5"/>
      <c r="N43" s="5">
        <f t="shared" si="8"/>
        <v>1802449.1933360323</v>
      </c>
      <c r="O43" s="21"/>
      <c r="P43" s="21"/>
      <c r="Q43" s="21"/>
      <c r="R43" s="21">
        <f t="shared" si="22"/>
        <v>0</v>
      </c>
      <c r="S43" s="21">
        <v>1802449.1933360323</v>
      </c>
      <c r="T43" s="21">
        <f t="shared" si="26"/>
        <v>0</v>
      </c>
      <c r="U43" s="21">
        <f t="shared" si="27"/>
        <v>0</v>
      </c>
      <c r="V43" s="21">
        <f t="shared" si="17"/>
        <v>1802449.1933360323</v>
      </c>
      <c r="W43" s="21"/>
      <c r="X43" s="5"/>
      <c r="Y43" s="5"/>
      <c r="Z43" s="5">
        <f t="shared" si="18"/>
        <v>0</v>
      </c>
      <c r="AA43" s="5">
        <v>4135198.85</v>
      </c>
      <c r="AB43" s="5" t="s">
        <v>88</v>
      </c>
      <c r="AC43" s="5">
        <f t="shared" si="19"/>
        <v>1802449.1933360323</v>
      </c>
      <c r="AD43" s="5">
        <f t="shared" si="20"/>
        <v>1802449.1933360323</v>
      </c>
      <c r="AE43" s="5">
        <f t="shared" si="21"/>
        <v>-3.3360323868691921E-3</v>
      </c>
      <c r="AF43" s="5">
        <f>D43-S43</f>
        <v>0</v>
      </c>
      <c r="AG43" s="5" t="s">
        <v>73</v>
      </c>
      <c r="AH43" s="5">
        <v>4</v>
      </c>
      <c r="AI43" s="5">
        <v>1</v>
      </c>
      <c r="AJ43" s="5" t="s">
        <v>193</v>
      </c>
      <c r="AK43" s="5" t="s">
        <v>59</v>
      </c>
      <c r="AL43" s="4" t="s">
        <v>90</v>
      </c>
      <c r="AM43" s="4" t="s">
        <v>141</v>
      </c>
      <c r="AN43" s="21"/>
      <c r="AO43" s="4"/>
      <c r="AP43" s="58"/>
      <c r="AQ43" s="58"/>
      <c r="AR43" s="23"/>
      <c r="AS43" s="23">
        <v>46050</v>
      </c>
      <c r="AT43" s="23">
        <v>46050</v>
      </c>
      <c r="AU43" s="4"/>
      <c r="AV43" s="13" t="s">
        <v>194</v>
      </c>
      <c r="AW43" s="4"/>
      <c r="AX43" s="9"/>
      <c r="AY43" s="9"/>
      <c r="AZ43" s="4"/>
      <c r="BB43" t="str">
        <f>VLOOKUP(B43,contactos!$A$1:$D$484,4,FALSE)</f>
        <v>aaviles@lamoderna.com.mx</v>
      </c>
    </row>
    <row r="44" spans="2:54" customFormat="1" ht="30" x14ac:dyDescent="0.25">
      <c r="B44" s="100">
        <v>21367</v>
      </c>
      <c r="C44" s="4" t="s">
        <v>195</v>
      </c>
      <c r="D44" s="5">
        <v>1641249.7331815269</v>
      </c>
      <c r="E44" s="5">
        <v>0</v>
      </c>
      <c r="F44" s="5">
        <v>84613.103042972798</v>
      </c>
      <c r="G44" s="5">
        <v>1725862.8275000001</v>
      </c>
      <c r="H44" s="5">
        <v>215041.48</v>
      </c>
      <c r="I44" s="5">
        <f t="shared" si="5"/>
        <v>1641249.7331815269</v>
      </c>
      <c r="J44" s="5"/>
      <c r="K44" s="5">
        <f t="shared" si="6"/>
        <v>1641249.7331815269</v>
      </c>
      <c r="L44" s="5">
        <f t="shared" si="7"/>
        <v>1725862.8362244996</v>
      </c>
      <c r="M44" s="5"/>
      <c r="N44" s="5">
        <f t="shared" si="8"/>
        <v>1725862.8362244996</v>
      </c>
      <c r="O44" s="121">
        <v>624456.68999999994</v>
      </c>
      <c r="P44" s="21"/>
      <c r="Q44" s="121">
        <v>63085.57</v>
      </c>
      <c r="R44" s="21">
        <f t="shared" si="22"/>
        <v>687542.25999999989</v>
      </c>
      <c r="S44" s="21">
        <v>1016793.0431815269</v>
      </c>
      <c r="T44" s="21">
        <f t="shared" si="26"/>
        <v>0</v>
      </c>
      <c r="U44" s="21">
        <f>F44-Q44-Y44</f>
        <v>21527.533042972798</v>
      </c>
      <c r="V44" s="21">
        <f t="shared" si="17"/>
        <v>1038320.5762244997</v>
      </c>
      <c r="W44" s="21"/>
      <c r="X44" s="5"/>
      <c r="Y44" s="5"/>
      <c r="Z44" s="5">
        <f t="shared" si="18"/>
        <v>0</v>
      </c>
      <c r="AA44" s="5">
        <v>3848800.75</v>
      </c>
      <c r="AB44" s="5" t="s">
        <v>88</v>
      </c>
      <c r="AC44" s="5">
        <f t="shared" si="19"/>
        <v>1641249.7331815269</v>
      </c>
      <c r="AD44" s="5">
        <f t="shared" si="20"/>
        <v>1725862.8362244996</v>
      </c>
      <c r="AE44" s="5">
        <f t="shared" si="21"/>
        <v>-8.7244994938373566E-3</v>
      </c>
      <c r="AF44" s="5"/>
      <c r="AG44" s="5" t="s">
        <v>73</v>
      </c>
      <c r="AH44" s="5">
        <v>4</v>
      </c>
      <c r="AI44" s="5">
        <v>3</v>
      </c>
      <c r="AJ44" s="120" t="s">
        <v>196</v>
      </c>
      <c r="AK44" s="5" t="s">
        <v>59</v>
      </c>
      <c r="AL44" s="4" t="s">
        <v>75</v>
      </c>
      <c r="AM44" s="6" t="s">
        <v>91</v>
      </c>
      <c r="AN44" s="21"/>
      <c r="AO44" s="4"/>
      <c r="AP44" s="58"/>
      <c r="AQ44" s="58"/>
      <c r="AR44" s="23"/>
      <c r="AS44" s="23">
        <v>46043</v>
      </c>
      <c r="AT44" s="4" t="s">
        <v>125</v>
      </c>
      <c r="AU44" s="57">
        <v>46050</v>
      </c>
      <c r="AV44" s="13" t="s">
        <v>197</v>
      </c>
      <c r="AW44" s="4"/>
      <c r="AX44" s="9"/>
      <c r="AY44" s="9" t="s">
        <v>198</v>
      </c>
      <c r="AZ44" s="4"/>
      <c r="BB44" t="str">
        <f>VLOOKUP(B44,contactos!$A$1:$D$484,4,FALSE)</f>
        <v>MARGARITAGUADALUPE.GONZALEZ@RECKITT.COM</v>
      </c>
    </row>
    <row r="45" spans="2:54" customFormat="1" x14ac:dyDescent="0.25">
      <c r="B45" s="100">
        <v>13835</v>
      </c>
      <c r="C45" s="4" t="s">
        <v>199</v>
      </c>
      <c r="D45" s="5">
        <v>1695399.2519490798</v>
      </c>
      <c r="E45" s="5">
        <v>0</v>
      </c>
      <c r="F45" s="5">
        <v>0</v>
      </c>
      <c r="G45" s="5">
        <v>1695399.25</v>
      </c>
      <c r="H45" s="5">
        <v>1565314.24</v>
      </c>
      <c r="I45" s="5">
        <f t="shared" si="5"/>
        <v>1565314.2519490798</v>
      </c>
      <c r="J45" s="5"/>
      <c r="K45" s="5">
        <f t="shared" si="6"/>
        <v>1565314.2519490798</v>
      </c>
      <c r="L45" s="5">
        <f t="shared" si="7"/>
        <v>1565314.2519490798</v>
      </c>
      <c r="M45" s="5"/>
      <c r="N45" s="5">
        <f t="shared" si="8"/>
        <v>1565314.2519490798</v>
      </c>
      <c r="O45" s="21">
        <f>D45-W45</f>
        <v>1565314.2519490798</v>
      </c>
      <c r="P45" s="21"/>
      <c r="Q45" s="21"/>
      <c r="R45" s="21">
        <f t="shared" si="22"/>
        <v>1565314.2519490798</v>
      </c>
      <c r="S45" s="74"/>
      <c r="T45" s="21">
        <f t="shared" si="26"/>
        <v>0</v>
      </c>
      <c r="U45" s="21">
        <f>F45-Y45</f>
        <v>0</v>
      </c>
      <c r="V45" s="21">
        <f t="shared" si="17"/>
        <v>0</v>
      </c>
      <c r="W45" s="21">
        <v>130085</v>
      </c>
      <c r="X45" s="5">
        <v>0</v>
      </c>
      <c r="Y45" s="5">
        <v>0</v>
      </c>
      <c r="Z45" s="5">
        <f t="shared" si="18"/>
        <v>130085</v>
      </c>
      <c r="AA45" s="5">
        <v>3102758.04</v>
      </c>
      <c r="AB45" s="5" t="s">
        <v>88</v>
      </c>
      <c r="AC45" s="5">
        <f t="shared" si="19"/>
        <v>1695399.2519490798</v>
      </c>
      <c r="AD45" s="5">
        <f t="shared" si="20"/>
        <v>1695399.2519490798</v>
      </c>
      <c r="AE45" s="5">
        <f t="shared" si="21"/>
        <v>-1.9490798003971577E-3</v>
      </c>
      <c r="AF45" s="5"/>
      <c r="AG45" s="5" t="s">
        <v>81</v>
      </c>
      <c r="AH45" s="5">
        <v>4</v>
      </c>
      <c r="AI45" s="5">
        <v>0</v>
      </c>
      <c r="AJ45" s="5">
        <v>0</v>
      </c>
      <c r="AK45" s="5" t="s">
        <v>59</v>
      </c>
      <c r="AL45" s="4" t="s">
        <v>82</v>
      </c>
      <c r="AM45" s="4" t="s">
        <v>61</v>
      </c>
      <c r="AN45" s="21"/>
      <c r="AO45" s="4"/>
      <c r="AP45" s="58"/>
      <c r="AQ45" s="58"/>
      <c r="AR45" s="23"/>
      <c r="AS45" s="23">
        <v>46051</v>
      </c>
      <c r="AT45" s="4"/>
      <c r="AU45" s="4"/>
      <c r="AV45" s="4" t="s">
        <v>200</v>
      </c>
      <c r="AW45" s="4"/>
      <c r="AX45" s="9"/>
      <c r="AY45" s="9"/>
      <c r="AZ45" s="4"/>
      <c r="BB45" t="str">
        <f>VLOOKUP(B45,contactos!$A$1:$D$484,4,FALSE)</f>
        <v>lorenzol@maulec.com.mx</v>
      </c>
    </row>
    <row r="46" spans="2:54" customFormat="1" ht="30" x14ac:dyDescent="0.25">
      <c r="B46" s="100">
        <v>327197</v>
      </c>
      <c r="C46" s="4" t="s">
        <v>201</v>
      </c>
      <c r="D46" s="5">
        <v>1454493.1289082868</v>
      </c>
      <c r="E46" s="5">
        <v>0</v>
      </c>
      <c r="F46" s="5">
        <v>232718.90282532581</v>
      </c>
      <c r="G46" s="5">
        <v>1687212.04</v>
      </c>
      <c r="H46" s="5">
        <v>1191009.92</v>
      </c>
      <c r="I46" s="5">
        <f t="shared" si="5"/>
        <v>1026732.6989082869</v>
      </c>
      <c r="J46" s="5"/>
      <c r="K46" s="5">
        <f t="shared" si="6"/>
        <v>1026732.6989082869</v>
      </c>
      <c r="L46" s="5">
        <f t="shared" si="7"/>
        <v>1191009.9317336127</v>
      </c>
      <c r="M46" s="5"/>
      <c r="N46" s="5">
        <f t="shared" si="8"/>
        <v>1191009.9317336127</v>
      </c>
      <c r="O46" s="21">
        <f>D46-W46</f>
        <v>1026732.6989082869</v>
      </c>
      <c r="P46" s="21"/>
      <c r="Q46" s="21">
        <v>164277.23000000001</v>
      </c>
      <c r="R46" s="21">
        <f t="shared" si="22"/>
        <v>1191009.9289082868</v>
      </c>
      <c r="S46" s="74"/>
      <c r="T46" s="21">
        <f t="shared" si="26"/>
        <v>0</v>
      </c>
      <c r="U46" s="21">
        <f>F46-Q46-Y46</f>
        <v>2.8253258060431108E-3</v>
      </c>
      <c r="V46" s="21">
        <f t="shared" si="17"/>
        <v>2.8253258060431108E-3</v>
      </c>
      <c r="W46" s="21">
        <v>427760.43</v>
      </c>
      <c r="X46" s="5"/>
      <c r="Y46" s="5">
        <v>68441.67</v>
      </c>
      <c r="Z46" s="5">
        <f t="shared" si="18"/>
        <v>496202.1</v>
      </c>
      <c r="AA46" s="5">
        <v>427760.43</v>
      </c>
      <c r="AB46" s="5" t="s">
        <v>56</v>
      </c>
      <c r="AC46" s="5">
        <f t="shared" si="19"/>
        <v>1454493.1289082868</v>
      </c>
      <c r="AD46" s="5">
        <f t="shared" si="20"/>
        <v>1687212.0317336125</v>
      </c>
      <c r="AE46" s="5">
        <f t="shared" si="21"/>
        <v>8.2663875073194504E-3</v>
      </c>
      <c r="AF46" s="5"/>
      <c r="AG46" s="5" t="s">
        <v>81</v>
      </c>
      <c r="AH46" s="5">
        <v>4</v>
      </c>
      <c r="AI46" s="5">
        <v>0</v>
      </c>
      <c r="AJ46" s="5">
        <v>0</v>
      </c>
      <c r="AK46" s="5" t="s">
        <v>59</v>
      </c>
      <c r="AL46" s="4" t="s">
        <v>82</v>
      </c>
      <c r="AM46" s="4" t="s">
        <v>112</v>
      </c>
      <c r="AN46" s="21">
        <v>1228466.72</v>
      </c>
      <c r="AO46" s="4" t="s">
        <v>202</v>
      </c>
      <c r="AP46" s="58">
        <v>9</v>
      </c>
      <c r="AQ46" s="58"/>
      <c r="AR46" s="23">
        <v>46049</v>
      </c>
      <c r="AS46" s="23">
        <v>46050</v>
      </c>
      <c r="AT46" s="4" t="s">
        <v>203</v>
      </c>
      <c r="AU46" s="4" t="s">
        <v>156</v>
      </c>
      <c r="AV46" s="13" t="s">
        <v>204</v>
      </c>
      <c r="AW46" s="4"/>
      <c r="AX46" s="9" t="s">
        <v>71</v>
      </c>
      <c r="AY46" s="9"/>
      <c r="AZ46" s="4"/>
      <c r="BA46" t="s">
        <v>205</v>
      </c>
      <c r="BB46" t="str">
        <f>VLOOKUP(B46,contactos!$A$1:$D$484,4,FALSE)</f>
        <v>msoto@hut.com.mx</v>
      </c>
    </row>
    <row r="47" spans="2:54" customFormat="1" x14ac:dyDescent="0.25">
      <c r="B47" s="100">
        <v>16747</v>
      </c>
      <c r="C47" s="4" t="s">
        <v>206</v>
      </c>
      <c r="D47" s="5">
        <v>1363627.5560198275</v>
      </c>
      <c r="E47" s="5">
        <v>0</v>
      </c>
      <c r="F47" s="5">
        <v>218180.43166317238</v>
      </c>
      <c r="G47" s="5">
        <v>1581808.0000000002</v>
      </c>
      <c r="H47" s="5">
        <v>0</v>
      </c>
      <c r="I47" s="5">
        <f t="shared" si="5"/>
        <v>1363627.5560198275</v>
      </c>
      <c r="J47" s="5"/>
      <c r="K47" s="5">
        <f t="shared" si="6"/>
        <v>1363627.5560198275</v>
      </c>
      <c r="L47" s="5">
        <f t="shared" si="7"/>
        <v>1581807.9876829998</v>
      </c>
      <c r="M47" s="5"/>
      <c r="N47" s="5">
        <f t="shared" si="8"/>
        <v>1581807.9876829998</v>
      </c>
      <c r="O47" s="27"/>
      <c r="P47" s="27"/>
      <c r="Q47" s="27"/>
      <c r="R47" s="21">
        <f t="shared" si="22"/>
        <v>0</v>
      </c>
      <c r="S47" s="27">
        <v>1363627.5560198275</v>
      </c>
      <c r="T47" s="21">
        <f t="shared" si="26"/>
        <v>0</v>
      </c>
      <c r="U47" s="21">
        <f>F47-Y47</f>
        <v>218180.43166317238</v>
      </c>
      <c r="V47" s="21">
        <f t="shared" si="17"/>
        <v>1581807.9876829998</v>
      </c>
      <c r="W47" s="27"/>
      <c r="X47" s="5"/>
      <c r="Y47" s="5"/>
      <c r="Z47" s="5">
        <f t="shared" si="18"/>
        <v>0</v>
      </c>
      <c r="AA47" s="5">
        <v>3158791.75</v>
      </c>
      <c r="AB47" s="5" t="s">
        <v>56</v>
      </c>
      <c r="AC47" s="5">
        <f t="shared" si="19"/>
        <v>1363627.5560198275</v>
      </c>
      <c r="AD47" s="5">
        <f t="shared" si="20"/>
        <v>1581807.9876829998</v>
      </c>
      <c r="AE47" s="5">
        <f t="shared" si="21"/>
        <v>1.2317000422626734E-2</v>
      </c>
      <c r="AF47" s="5">
        <f>D47-S47</f>
        <v>0</v>
      </c>
      <c r="AG47" s="5" t="s">
        <v>73</v>
      </c>
      <c r="AH47" s="5">
        <v>4</v>
      </c>
      <c r="AI47" s="5">
        <v>2</v>
      </c>
      <c r="AJ47" s="5" t="s">
        <v>207</v>
      </c>
      <c r="AK47" s="5" t="s">
        <v>59</v>
      </c>
      <c r="AL47" s="4" t="s">
        <v>75</v>
      </c>
      <c r="AM47" s="6" t="s">
        <v>83</v>
      </c>
      <c r="AN47" s="27">
        <v>1581808.0000000002</v>
      </c>
      <c r="AO47" s="13" t="s">
        <v>68</v>
      </c>
      <c r="AP47" s="59">
        <v>1</v>
      </c>
      <c r="AQ47" s="59"/>
      <c r="AR47" s="23">
        <v>46041</v>
      </c>
      <c r="AS47" s="23">
        <v>46041</v>
      </c>
      <c r="AT47" s="7"/>
      <c r="AU47" s="7"/>
      <c r="AV47" s="45" t="s">
        <v>208</v>
      </c>
      <c r="AW47" s="4"/>
      <c r="AX47" s="12" t="s">
        <v>71</v>
      </c>
      <c r="AY47" s="12"/>
      <c r="AZ47" s="12"/>
      <c r="BA47" t="s">
        <v>86</v>
      </c>
      <c r="BB47" t="str">
        <f>VLOOKUP(B47,contactos!$A$1:$D$484,4,FALSE)</f>
        <v>ventas@homtex.com.mx</v>
      </c>
    </row>
    <row r="48" spans="2:54" customFormat="1" x14ac:dyDescent="0.25">
      <c r="B48" s="100">
        <v>83394</v>
      </c>
      <c r="C48" s="4" t="s">
        <v>209</v>
      </c>
      <c r="D48" s="5">
        <v>1061915.9577686242</v>
      </c>
      <c r="E48" s="5">
        <v>298798.97400868539</v>
      </c>
      <c r="F48" s="5">
        <v>207398.1825003695</v>
      </c>
      <c r="G48" s="5">
        <v>1568113.1700000002</v>
      </c>
      <c r="H48" s="5">
        <v>82743.259999999995</v>
      </c>
      <c r="I48" s="5">
        <f t="shared" si="5"/>
        <v>76727.77</v>
      </c>
      <c r="J48" s="5"/>
      <c r="K48" s="5">
        <f t="shared" si="6"/>
        <v>76727.77</v>
      </c>
      <c r="L48" s="5">
        <f t="shared" si="7"/>
        <v>82743.286509054902</v>
      </c>
      <c r="M48" s="5"/>
      <c r="N48" s="5">
        <f t="shared" si="8"/>
        <v>82743.286509054902</v>
      </c>
      <c r="O48" s="21">
        <v>76727.77</v>
      </c>
      <c r="P48" s="21">
        <v>3495.93</v>
      </c>
      <c r="Q48" s="21">
        <v>2519.59</v>
      </c>
      <c r="R48" s="21">
        <f t="shared" si="22"/>
        <v>82743.289999999994</v>
      </c>
      <c r="S48" s="21"/>
      <c r="T48" s="21">
        <f>E48-P48-X48</f>
        <v>4.0086854132823646E-3</v>
      </c>
      <c r="U48" s="21">
        <f>F48-Q48-Y48</f>
        <v>-7.4996305047534406E-3</v>
      </c>
      <c r="V48" s="21">
        <f t="shared" si="17"/>
        <v>-3.490945091471076E-3</v>
      </c>
      <c r="W48" s="21">
        <v>985188.19</v>
      </c>
      <c r="X48" s="5">
        <v>295303.03999999998</v>
      </c>
      <c r="Y48" s="5">
        <v>204878.6</v>
      </c>
      <c r="Z48" s="5">
        <f t="shared" si="18"/>
        <v>1485369.83</v>
      </c>
      <c r="AA48" s="5">
        <v>1061915.9577686242</v>
      </c>
      <c r="AB48" s="5" t="s">
        <v>56</v>
      </c>
      <c r="AC48" s="5">
        <f t="shared" si="19"/>
        <v>1061915.96</v>
      </c>
      <c r="AD48" s="5">
        <f t="shared" si="20"/>
        <v>1568113.116509055</v>
      </c>
      <c r="AE48" s="5">
        <f t="shared" si="21"/>
        <v>5.3490945138037205E-2</v>
      </c>
      <c r="AF48" s="5"/>
      <c r="AG48" s="5" t="s">
        <v>81</v>
      </c>
      <c r="AH48" s="5">
        <v>4</v>
      </c>
      <c r="AI48" s="5">
        <v>0</v>
      </c>
      <c r="AJ48" s="5">
        <v>0</v>
      </c>
      <c r="AK48" s="5" t="s">
        <v>59</v>
      </c>
      <c r="AL48" s="4" t="s">
        <v>82</v>
      </c>
      <c r="AM48" s="4" t="s">
        <v>112</v>
      </c>
      <c r="AN48" s="5">
        <v>1484390.6</v>
      </c>
      <c r="AO48" s="4" t="s">
        <v>68</v>
      </c>
      <c r="AP48" s="58">
        <v>2</v>
      </c>
      <c r="AQ48" s="58"/>
      <c r="AR48" s="23">
        <v>46042</v>
      </c>
      <c r="AS48" s="23">
        <v>46042</v>
      </c>
      <c r="AT48" s="4"/>
      <c r="AU48" s="4"/>
      <c r="AV48" s="13" t="s">
        <v>210</v>
      </c>
      <c r="AW48" s="4"/>
      <c r="AX48" s="9" t="s">
        <v>71</v>
      </c>
      <c r="AY48" s="9"/>
      <c r="AZ48" s="4"/>
      <c r="BA48" t="s">
        <v>86</v>
      </c>
      <c r="BB48" t="str">
        <f>VLOOKUP(B48,contactos!$A$1:$D$484,4,FALSE)</f>
        <v>mrivas@marinter.com.mx</v>
      </c>
    </row>
    <row r="49" spans="2:54" customFormat="1" x14ac:dyDescent="0.25">
      <c r="B49" s="100">
        <v>305</v>
      </c>
      <c r="C49" s="4" t="s">
        <v>211</v>
      </c>
      <c r="D49" s="5">
        <v>1561609.3994974131</v>
      </c>
      <c r="E49" s="5">
        <v>0</v>
      </c>
      <c r="F49" s="5">
        <v>0</v>
      </c>
      <c r="G49" s="5">
        <v>1561608.5599999994</v>
      </c>
      <c r="H49" s="5">
        <v>0</v>
      </c>
      <c r="I49" s="5">
        <f t="shared" si="5"/>
        <v>1561609.3994974131</v>
      </c>
      <c r="J49" s="5"/>
      <c r="K49" s="5">
        <f t="shared" si="6"/>
        <v>1561609.3994974131</v>
      </c>
      <c r="L49" s="5">
        <f t="shared" si="7"/>
        <v>1561609.3994974131</v>
      </c>
      <c r="M49" s="5"/>
      <c r="N49" s="5">
        <f t="shared" si="8"/>
        <v>1561609.3994974131</v>
      </c>
      <c r="O49" s="21"/>
      <c r="P49" s="21"/>
      <c r="Q49" s="21"/>
      <c r="R49" s="21">
        <f t="shared" ref="R49:R80" si="28">SUM(O49:Q49)</f>
        <v>0</v>
      </c>
      <c r="S49" s="21">
        <v>1561609.3994974131</v>
      </c>
      <c r="T49" s="21">
        <f t="shared" ref="T49:U56" si="29">E49-X49</f>
        <v>0</v>
      </c>
      <c r="U49" s="21">
        <f t="shared" si="29"/>
        <v>0</v>
      </c>
      <c r="V49" s="21">
        <f t="shared" si="17"/>
        <v>1561609.3994974131</v>
      </c>
      <c r="W49" s="21"/>
      <c r="X49" s="5"/>
      <c r="Y49" s="5"/>
      <c r="Z49" s="5">
        <f t="shared" si="18"/>
        <v>0</v>
      </c>
      <c r="AA49" s="5">
        <v>205657.02</v>
      </c>
      <c r="AB49" s="5" t="s">
        <v>88</v>
      </c>
      <c r="AC49" s="5">
        <f t="shared" si="19"/>
        <v>1561609.3994974131</v>
      </c>
      <c r="AD49" s="5">
        <f t="shared" si="20"/>
        <v>1561609.3994974131</v>
      </c>
      <c r="AE49" s="5">
        <f t="shared" si="21"/>
        <v>-0.83949741371907294</v>
      </c>
      <c r="AF49" s="5">
        <f>D49-S49</f>
        <v>0</v>
      </c>
      <c r="AG49" s="5" t="s">
        <v>73</v>
      </c>
      <c r="AH49" s="5">
        <v>4</v>
      </c>
      <c r="AI49" s="5">
        <v>1</v>
      </c>
      <c r="AJ49" s="5" t="s">
        <v>212</v>
      </c>
      <c r="AK49" s="5" t="s">
        <v>59</v>
      </c>
      <c r="AL49" s="4" t="s">
        <v>90</v>
      </c>
      <c r="AM49" s="4" t="s">
        <v>148</v>
      </c>
      <c r="AN49" s="21"/>
      <c r="AO49" s="4"/>
      <c r="AP49" s="58"/>
      <c r="AQ49" s="58"/>
      <c r="AR49" s="23"/>
      <c r="AS49" s="23">
        <v>46051</v>
      </c>
      <c r="AT49" s="4"/>
      <c r="AU49" s="4"/>
      <c r="AV49" s="4" t="s">
        <v>213</v>
      </c>
      <c r="AW49" s="4"/>
      <c r="AX49" s="9"/>
      <c r="AY49" s="9"/>
      <c r="AZ49" s="4"/>
      <c r="BB49" t="str">
        <f>VLOOKUP(B49,contactos!$A$1:$D$484,4,FALSE)</f>
        <v>mariana.espinoza@pepsico.com</v>
      </c>
    </row>
    <row r="50" spans="2:54" customFormat="1" x14ac:dyDescent="0.25">
      <c r="B50" s="100">
        <v>34801</v>
      </c>
      <c r="C50" s="4" t="s">
        <v>214</v>
      </c>
      <c r="D50" s="5">
        <v>1340024.6199999999</v>
      </c>
      <c r="E50" s="5">
        <v>0</v>
      </c>
      <c r="F50" s="5">
        <v>214403.93920000002</v>
      </c>
      <c r="G50" s="5">
        <v>1554428.5800000003</v>
      </c>
      <c r="H50" s="5">
        <v>454253.26</v>
      </c>
      <c r="I50" s="5">
        <f t="shared" si="5"/>
        <v>1340024.6199999999</v>
      </c>
      <c r="J50" s="5"/>
      <c r="K50" s="5">
        <f t="shared" si="6"/>
        <v>1340024.6199999999</v>
      </c>
      <c r="L50" s="5">
        <f t="shared" si="7"/>
        <v>1554428.5592</v>
      </c>
      <c r="M50" s="5"/>
      <c r="N50" s="5">
        <f t="shared" si="8"/>
        <v>1554428.5592</v>
      </c>
      <c r="O50" s="21"/>
      <c r="P50" s="21"/>
      <c r="Q50" s="21"/>
      <c r="R50" s="21">
        <f t="shared" si="28"/>
        <v>0</v>
      </c>
      <c r="S50" s="21">
        <v>1340024.6199999999</v>
      </c>
      <c r="T50" s="21">
        <f t="shared" si="29"/>
        <v>0</v>
      </c>
      <c r="U50" s="21">
        <f t="shared" si="29"/>
        <v>214403.93920000002</v>
      </c>
      <c r="V50" s="21">
        <f t="shared" si="17"/>
        <v>1554428.5592</v>
      </c>
      <c r="W50" s="21"/>
      <c r="X50" s="5"/>
      <c r="Y50" s="5"/>
      <c r="Z50" s="5">
        <f t="shared" si="18"/>
        <v>0</v>
      </c>
      <c r="AA50" s="5">
        <v>830451.08</v>
      </c>
      <c r="AB50" s="5" t="s">
        <v>88</v>
      </c>
      <c r="AC50" s="5">
        <f t="shared" si="19"/>
        <v>1340024.6199999999</v>
      </c>
      <c r="AD50" s="5">
        <f t="shared" si="20"/>
        <v>1554428.5592</v>
      </c>
      <c r="AE50" s="5">
        <f t="shared" si="21"/>
        <v>2.0800000289455056E-2</v>
      </c>
      <c r="AF50" s="5">
        <f>D50-S50</f>
        <v>0</v>
      </c>
      <c r="AG50" s="5" t="s">
        <v>73</v>
      </c>
      <c r="AH50" s="5">
        <v>4</v>
      </c>
      <c r="AI50" s="5">
        <v>1</v>
      </c>
      <c r="AJ50" s="120" t="s">
        <v>215</v>
      </c>
      <c r="AK50" s="5" t="s">
        <v>59</v>
      </c>
      <c r="AL50" s="4" t="s">
        <v>90</v>
      </c>
      <c r="AM50" s="4" t="s">
        <v>216</v>
      </c>
      <c r="AN50" s="21"/>
      <c r="AO50" s="4"/>
      <c r="AP50" s="58"/>
      <c r="AQ50" s="58"/>
      <c r="AR50" s="23"/>
      <c r="AS50" s="23">
        <v>46050</v>
      </c>
      <c r="AT50" s="4"/>
      <c r="AU50" s="4"/>
      <c r="AV50" s="13" t="s">
        <v>92</v>
      </c>
      <c r="AW50" s="4"/>
      <c r="AX50" s="9"/>
      <c r="AY50" s="9"/>
      <c r="AZ50" s="4"/>
      <c r="BB50" t="str">
        <f>VLOOKUP(B50,contactos!$A$1:$D$484,4,FALSE)</f>
        <v>godoyl@koblenz.com</v>
      </c>
    </row>
    <row r="51" spans="2:54" customFormat="1" x14ac:dyDescent="0.25">
      <c r="B51" s="100">
        <v>312231</v>
      </c>
      <c r="C51" s="4" t="s">
        <v>217</v>
      </c>
      <c r="D51" s="5">
        <v>1362282.3499999999</v>
      </c>
      <c r="E51" s="5">
        <v>0</v>
      </c>
      <c r="F51" s="5">
        <v>184002.29440000001</v>
      </c>
      <c r="G51" s="5">
        <v>1546284.54</v>
      </c>
      <c r="H51" s="5">
        <v>1546284.54</v>
      </c>
      <c r="I51" s="5">
        <f t="shared" si="5"/>
        <v>1362282.3499999999</v>
      </c>
      <c r="J51" s="5"/>
      <c r="K51" s="5">
        <f t="shared" si="6"/>
        <v>1362282.3499999999</v>
      </c>
      <c r="L51" s="5">
        <f t="shared" si="7"/>
        <v>1546284.6443999999</v>
      </c>
      <c r="M51" s="5"/>
      <c r="N51" s="5">
        <f t="shared" si="8"/>
        <v>1546284.6443999999</v>
      </c>
      <c r="O51" s="21"/>
      <c r="P51" s="21"/>
      <c r="Q51" s="21"/>
      <c r="R51" s="21">
        <f t="shared" si="28"/>
        <v>0</v>
      </c>
      <c r="S51" s="21">
        <v>1362282.3499999999</v>
      </c>
      <c r="T51" s="21">
        <f t="shared" si="29"/>
        <v>0</v>
      </c>
      <c r="U51" s="21">
        <f t="shared" si="29"/>
        <v>184002.29440000001</v>
      </c>
      <c r="V51" s="21">
        <f t="shared" si="17"/>
        <v>1546284.6443999999</v>
      </c>
      <c r="W51" s="21"/>
      <c r="X51" s="5"/>
      <c r="Y51" s="5"/>
      <c r="Z51" s="5">
        <f t="shared" si="18"/>
        <v>0</v>
      </c>
      <c r="AA51" s="5"/>
      <c r="AB51" s="5" t="s">
        <v>56</v>
      </c>
      <c r="AC51" s="5">
        <f t="shared" si="19"/>
        <v>1362282.3499999999</v>
      </c>
      <c r="AD51" s="5">
        <f t="shared" si="20"/>
        <v>1546284.6443999999</v>
      </c>
      <c r="AE51" s="5">
        <f t="shared" si="21"/>
        <v>-0.10439999983645976</v>
      </c>
      <c r="AF51" s="5">
        <f>D51-S51</f>
        <v>0</v>
      </c>
      <c r="AG51" s="5" t="s">
        <v>73</v>
      </c>
      <c r="AH51" s="5">
        <v>4</v>
      </c>
      <c r="AI51" s="5">
        <v>3</v>
      </c>
      <c r="AJ51" s="5" t="s">
        <v>218</v>
      </c>
      <c r="AK51" s="5" t="s">
        <v>59</v>
      </c>
      <c r="AL51" s="4" t="s">
        <v>75</v>
      </c>
      <c r="AM51" s="6" t="s">
        <v>112</v>
      </c>
      <c r="AN51" s="21"/>
      <c r="AO51" s="4"/>
      <c r="AP51" s="58"/>
      <c r="AQ51" s="58"/>
      <c r="AR51" s="23">
        <v>46042</v>
      </c>
      <c r="AS51" s="23">
        <v>46042</v>
      </c>
      <c r="AT51" s="4"/>
      <c r="AU51" s="4"/>
      <c r="AV51" s="4" t="s">
        <v>219</v>
      </c>
      <c r="AW51" s="4"/>
      <c r="AX51" s="9"/>
      <c r="AY51" s="9" t="s">
        <v>71</v>
      </c>
      <c r="AZ51" s="4"/>
      <c r="BA51" t="s">
        <v>220</v>
      </c>
      <c r="BB51" t="str">
        <f>VLOOKUP(B51,contactos!$A$1:$D$484,4,FALSE)</f>
        <v>angelariel.becerra@abbott.com</v>
      </c>
    </row>
    <row r="52" spans="2:54" customFormat="1" x14ac:dyDescent="0.25">
      <c r="B52" s="100">
        <v>75390</v>
      </c>
      <c r="C52" s="4" t="s">
        <v>221</v>
      </c>
      <c r="D52" s="5">
        <v>1455353.9391289758</v>
      </c>
      <c r="E52" s="5">
        <v>0</v>
      </c>
      <c r="F52" s="5">
        <v>0</v>
      </c>
      <c r="G52" s="5">
        <v>1455353.93</v>
      </c>
      <c r="H52" s="5">
        <v>1384859.78</v>
      </c>
      <c r="I52" s="5">
        <f t="shared" si="5"/>
        <v>1384859.78</v>
      </c>
      <c r="J52" s="5"/>
      <c r="K52" s="5">
        <f t="shared" si="6"/>
        <v>1384859.78</v>
      </c>
      <c r="L52" s="5">
        <f t="shared" si="7"/>
        <v>1384859.78</v>
      </c>
      <c r="M52" s="5"/>
      <c r="N52" s="5">
        <f t="shared" si="8"/>
        <v>1384859.78</v>
      </c>
      <c r="O52" s="21"/>
      <c r="P52" s="21"/>
      <c r="Q52" s="21"/>
      <c r="R52" s="21">
        <f t="shared" si="28"/>
        <v>0</v>
      </c>
      <c r="S52" s="21">
        <v>1384859.78</v>
      </c>
      <c r="T52" s="21">
        <f t="shared" si="29"/>
        <v>0</v>
      </c>
      <c r="U52" s="21">
        <f t="shared" si="29"/>
        <v>0</v>
      </c>
      <c r="V52" s="21">
        <f t="shared" si="17"/>
        <v>1384859.78</v>
      </c>
      <c r="W52" s="62">
        <v>70494.149999999994</v>
      </c>
      <c r="X52" s="5"/>
      <c r="Y52" s="5"/>
      <c r="Z52" s="5">
        <f t="shared" si="18"/>
        <v>70494.149999999994</v>
      </c>
      <c r="AA52" s="5">
        <v>7322257.5999999996</v>
      </c>
      <c r="AB52" s="5" t="s">
        <v>56</v>
      </c>
      <c r="AC52" s="5">
        <f t="shared" si="19"/>
        <v>1455353.93</v>
      </c>
      <c r="AD52" s="5">
        <f t="shared" si="20"/>
        <v>1455353.93</v>
      </c>
      <c r="AE52" s="5">
        <f t="shared" si="21"/>
        <v>0</v>
      </c>
      <c r="AF52" s="5"/>
      <c r="AG52" s="5" t="s">
        <v>73</v>
      </c>
      <c r="AH52" s="5">
        <v>4</v>
      </c>
      <c r="AI52" s="5">
        <v>5</v>
      </c>
      <c r="AJ52" s="5" t="s">
        <v>222</v>
      </c>
      <c r="AK52" s="5" t="s">
        <v>59</v>
      </c>
      <c r="AL52" s="4" t="s">
        <v>75</v>
      </c>
      <c r="AM52" s="6" t="s">
        <v>67</v>
      </c>
      <c r="AN52" s="21"/>
      <c r="AO52" s="4"/>
      <c r="AP52" s="58"/>
      <c r="AQ52" s="58"/>
      <c r="AR52" s="23">
        <v>46041</v>
      </c>
      <c r="AS52" s="23">
        <v>46041</v>
      </c>
      <c r="AT52" s="7"/>
      <c r="AU52" s="7"/>
      <c r="AV52" s="4" t="s">
        <v>223</v>
      </c>
      <c r="AW52" s="4"/>
      <c r="AX52" s="9"/>
      <c r="AY52" s="9" t="s">
        <v>71</v>
      </c>
      <c r="AZ52" s="9"/>
      <c r="BB52" t="str">
        <f>VLOOKUP(B52,contactos!$A$1:$D$484,4,FALSE)</f>
        <v>acaballero@ragasa.com.mx</v>
      </c>
    </row>
    <row r="53" spans="2:54" customFormat="1" x14ac:dyDescent="0.25">
      <c r="B53" s="100">
        <v>379495</v>
      </c>
      <c r="C53" s="4" t="s">
        <v>224</v>
      </c>
      <c r="D53" s="5">
        <v>1308098.27</v>
      </c>
      <c r="E53" s="5">
        <v>92146.031999999992</v>
      </c>
      <c r="F53" s="5">
        <v>6112.6320000000005</v>
      </c>
      <c r="G53" s="5">
        <v>1406356.8499999999</v>
      </c>
      <c r="H53" s="5">
        <v>1406356.92</v>
      </c>
      <c r="I53" s="5">
        <f t="shared" si="5"/>
        <v>1308098.27</v>
      </c>
      <c r="J53" s="5"/>
      <c r="K53" s="5">
        <f t="shared" si="6"/>
        <v>1308098.27</v>
      </c>
      <c r="L53" s="5">
        <f t="shared" si="7"/>
        <v>1406356.9339999999</v>
      </c>
      <c r="M53" s="5"/>
      <c r="N53" s="5">
        <f t="shared" si="8"/>
        <v>1406356.9339999999</v>
      </c>
      <c r="O53" s="21"/>
      <c r="P53" s="21"/>
      <c r="Q53" s="21"/>
      <c r="R53" s="21">
        <f t="shared" si="28"/>
        <v>0</v>
      </c>
      <c r="S53" s="21">
        <v>1308098.27</v>
      </c>
      <c r="T53" s="21">
        <f t="shared" si="29"/>
        <v>92146.031999999992</v>
      </c>
      <c r="U53" s="21">
        <f t="shared" si="29"/>
        <v>6112.6320000000005</v>
      </c>
      <c r="V53" s="21">
        <f t="shared" si="17"/>
        <v>1406356.9339999999</v>
      </c>
      <c r="W53" s="21"/>
      <c r="X53" s="5"/>
      <c r="Y53" s="5"/>
      <c r="Z53" s="5">
        <f t="shared" si="18"/>
        <v>0</v>
      </c>
      <c r="AA53" s="5">
        <v>2593149.69</v>
      </c>
      <c r="AB53" s="5" t="s">
        <v>88</v>
      </c>
      <c r="AC53" s="5">
        <f t="shared" si="19"/>
        <v>1308098.27</v>
      </c>
      <c r="AD53" s="5">
        <f t="shared" si="20"/>
        <v>1406356.9339999999</v>
      </c>
      <c r="AE53" s="5">
        <f t="shared" si="21"/>
        <v>-8.4000000031664968E-2</v>
      </c>
      <c r="AF53" s="5">
        <f>D53-S53</f>
        <v>0</v>
      </c>
      <c r="AG53" s="5" t="s">
        <v>73</v>
      </c>
      <c r="AH53" s="5">
        <v>4</v>
      </c>
      <c r="AI53" s="5">
        <v>1</v>
      </c>
      <c r="AJ53" s="5">
        <v>0</v>
      </c>
      <c r="AK53" s="5" t="s">
        <v>59</v>
      </c>
      <c r="AL53" s="4" t="s">
        <v>90</v>
      </c>
      <c r="AM53" s="4" t="s">
        <v>162</v>
      </c>
      <c r="AN53" s="21"/>
      <c r="AO53" s="4"/>
      <c r="AP53" s="58"/>
      <c r="AQ53" s="58"/>
      <c r="AR53" s="23"/>
      <c r="AS53" s="23"/>
      <c r="AT53" s="4"/>
      <c r="AU53" s="4"/>
      <c r="AV53" s="4"/>
      <c r="AW53" s="4"/>
      <c r="AX53" s="9"/>
      <c r="AY53" s="9"/>
      <c r="AZ53" s="4"/>
      <c r="BB53" t="str">
        <f>VLOOKUP(B53,contactos!$A$1:$D$484,4,FALSE)</f>
        <v>igonzalez@sinaxcorp.com</v>
      </c>
    </row>
    <row r="54" spans="2:54" customFormat="1" x14ac:dyDescent="0.25">
      <c r="B54" s="100">
        <v>51987</v>
      </c>
      <c r="C54" s="4" t="s">
        <v>225</v>
      </c>
      <c r="D54" s="5">
        <v>1298565.3068529295</v>
      </c>
      <c r="E54" s="5">
        <v>103885.25054857039</v>
      </c>
      <c r="F54" s="5">
        <v>0</v>
      </c>
      <c r="G54" s="5">
        <v>1402450.6228000002</v>
      </c>
      <c r="H54" s="5">
        <v>1402450.54</v>
      </c>
      <c r="I54" s="5">
        <f t="shared" si="5"/>
        <v>1298565.3068529295</v>
      </c>
      <c r="J54" s="5"/>
      <c r="K54" s="5">
        <f t="shared" si="6"/>
        <v>1298565.3068529295</v>
      </c>
      <c r="L54" s="5">
        <f t="shared" si="7"/>
        <v>1402450.5574014999</v>
      </c>
      <c r="M54" s="5"/>
      <c r="N54" s="5">
        <f t="shared" si="8"/>
        <v>1402450.5574014999</v>
      </c>
      <c r="O54" s="21"/>
      <c r="P54" s="21"/>
      <c r="Q54" s="21"/>
      <c r="R54" s="21">
        <f t="shared" si="28"/>
        <v>0</v>
      </c>
      <c r="S54" s="21">
        <v>1298565.3068529295</v>
      </c>
      <c r="T54" s="21">
        <f t="shared" si="29"/>
        <v>103885.25054857039</v>
      </c>
      <c r="U54" s="21">
        <f t="shared" si="29"/>
        <v>0</v>
      </c>
      <c r="V54" s="21">
        <f t="shared" si="17"/>
        <v>1402450.5574014999</v>
      </c>
      <c r="W54" s="21"/>
      <c r="X54" s="5"/>
      <c r="Y54" s="5"/>
      <c r="Z54" s="5">
        <f t="shared" si="18"/>
        <v>0</v>
      </c>
      <c r="AA54" s="5">
        <v>3341364.46</v>
      </c>
      <c r="AB54" s="5" t="s">
        <v>88</v>
      </c>
      <c r="AC54" s="5">
        <f t="shared" si="19"/>
        <v>1298565.3068529295</v>
      </c>
      <c r="AD54" s="5">
        <f t="shared" si="20"/>
        <v>1402450.5574014999</v>
      </c>
      <c r="AE54" s="5">
        <f t="shared" si="21"/>
        <v>6.5398500300943851E-2</v>
      </c>
      <c r="AF54" s="5">
        <f>D54-S54</f>
        <v>0</v>
      </c>
      <c r="AG54" s="5" t="s">
        <v>73</v>
      </c>
      <c r="AH54" s="5">
        <v>4</v>
      </c>
      <c r="AI54" s="5">
        <v>1</v>
      </c>
      <c r="AJ54" s="120" t="s">
        <v>166</v>
      </c>
      <c r="AK54" s="5" t="s">
        <v>59</v>
      </c>
      <c r="AL54" s="4" t="s">
        <v>90</v>
      </c>
      <c r="AM54" s="4" t="s">
        <v>67</v>
      </c>
      <c r="AN54" s="21"/>
      <c r="AO54" s="4"/>
      <c r="AP54" s="58"/>
      <c r="AQ54" s="58"/>
      <c r="AR54" s="23"/>
      <c r="AS54" s="23">
        <v>46050</v>
      </c>
      <c r="AT54" s="4"/>
      <c r="AU54" s="4"/>
      <c r="AV54" s="13" t="s">
        <v>92</v>
      </c>
      <c r="AW54" s="4"/>
      <c r="AX54" s="9"/>
      <c r="AY54" s="9"/>
      <c r="AZ54" s="4"/>
      <c r="BB54" t="str">
        <f>VLOOKUP(B54,contactos!$A$1:$D$484,4,FALSE)</f>
        <v>htorres@gcuetara.com.mx</v>
      </c>
    </row>
    <row r="55" spans="2:54" customFormat="1" x14ac:dyDescent="0.25">
      <c r="B55" s="100">
        <v>14833</v>
      </c>
      <c r="C55" s="4" t="s">
        <v>226</v>
      </c>
      <c r="D55" s="5">
        <v>1202006.4078560001</v>
      </c>
      <c r="E55" s="5">
        <v>0</v>
      </c>
      <c r="F55" s="5">
        <v>192321.0258</v>
      </c>
      <c r="G55" s="5">
        <v>1394327.5795999998</v>
      </c>
      <c r="H55" s="5">
        <v>438343</v>
      </c>
      <c r="I55" s="5">
        <f t="shared" si="5"/>
        <v>1202006.4078560001</v>
      </c>
      <c r="J55" s="5"/>
      <c r="K55" s="5">
        <f t="shared" si="6"/>
        <v>1202006.4078560001</v>
      </c>
      <c r="L55" s="5">
        <f t="shared" si="7"/>
        <v>1394327.4336560001</v>
      </c>
      <c r="M55" s="5"/>
      <c r="N55" s="5">
        <f t="shared" si="8"/>
        <v>1394327.4336560001</v>
      </c>
      <c r="O55" s="21"/>
      <c r="P55" s="21"/>
      <c r="Q55" s="21"/>
      <c r="R55" s="21">
        <f t="shared" si="28"/>
        <v>0</v>
      </c>
      <c r="S55" s="21">
        <v>1202006.4078560001</v>
      </c>
      <c r="T55" s="21">
        <f t="shared" si="29"/>
        <v>0</v>
      </c>
      <c r="U55" s="21">
        <f t="shared" si="29"/>
        <v>192321.0258</v>
      </c>
      <c r="V55" s="21">
        <f t="shared" si="17"/>
        <v>1394327.4336560001</v>
      </c>
      <c r="W55" s="21"/>
      <c r="X55" s="5"/>
      <c r="Y55" s="5"/>
      <c r="Z55" s="5">
        <f t="shared" si="18"/>
        <v>0</v>
      </c>
      <c r="AA55" s="5">
        <v>989331.12</v>
      </c>
      <c r="AB55" s="5" t="s">
        <v>88</v>
      </c>
      <c r="AC55" s="5">
        <f t="shared" si="19"/>
        <v>1202006.4078560001</v>
      </c>
      <c r="AD55" s="5">
        <f t="shared" si="20"/>
        <v>1394327.4336560001</v>
      </c>
      <c r="AE55" s="5">
        <f t="shared" si="21"/>
        <v>0.1459439997561276</v>
      </c>
      <c r="AF55" s="5">
        <f>D55-S55</f>
        <v>0</v>
      </c>
      <c r="AG55" s="5" t="s">
        <v>73</v>
      </c>
      <c r="AH55" s="5">
        <v>4</v>
      </c>
      <c r="AI55" s="5">
        <v>1</v>
      </c>
      <c r="AJ55" s="5">
        <v>0</v>
      </c>
      <c r="AK55" s="5" t="s">
        <v>59</v>
      </c>
      <c r="AL55" s="4" t="s">
        <v>90</v>
      </c>
      <c r="AM55" s="4" t="s">
        <v>162</v>
      </c>
      <c r="AN55" s="21"/>
      <c r="AO55" s="4"/>
      <c r="AP55" s="58"/>
      <c r="AQ55" s="58"/>
      <c r="AR55" s="23"/>
      <c r="AS55" s="23"/>
      <c r="AT55" s="4"/>
      <c r="AU55" s="4"/>
      <c r="AV55" s="4"/>
      <c r="AW55" s="4"/>
      <c r="AX55" s="9"/>
      <c r="AY55" s="9"/>
      <c r="AZ55" s="4"/>
      <c r="BB55" t="e">
        <f>VLOOKUP(B55,contactos!$A$1:$D$484,4,FALSE)</f>
        <v>#N/A</v>
      </c>
    </row>
    <row r="56" spans="2:54" s="80" customFormat="1" ht="30" x14ac:dyDescent="0.25">
      <c r="B56" s="125">
        <v>55780</v>
      </c>
      <c r="C56" s="52" t="s">
        <v>227</v>
      </c>
      <c r="D56" s="81">
        <v>1199170.9634899602</v>
      </c>
      <c r="E56" s="81">
        <v>0</v>
      </c>
      <c r="F56" s="81">
        <v>191867.47035839359</v>
      </c>
      <c r="G56" s="81">
        <v>1391038.55</v>
      </c>
      <c r="H56" s="5">
        <v>1391038.55</v>
      </c>
      <c r="I56" s="5">
        <f t="shared" si="5"/>
        <v>1199170.9634899602</v>
      </c>
      <c r="J56" s="5"/>
      <c r="K56" s="5">
        <f t="shared" si="6"/>
        <v>1199170.9634899602</v>
      </c>
      <c r="L56" s="5">
        <f t="shared" si="7"/>
        <v>1391038.4338483538</v>
      </c>
      <c r="M56" s="5"/>
      <c r="N56" s="5">
        <f t="shared" si="8"/>
        <v>1391038.4338483538</v>
      </c>
      <c r="O56" s="86"/>
      <c r="P56" s="21"/>
      <c r="Q56" s="21"/>
      <c r="R56" s="21">
        <f t="shared" si="28"/>
        <v>0</v>
      </c>
      <c r="S56" s="86">
        <v>1199170.9634899602</v>
      </c>
      <c r="T56" s="21">
        <f t="shared" si="29"/>
        <v>0</v>
      </c>
      <c r="U56" s="21">
        <f t="shared" si="29"/>
        <v>191867.47035839359</v>
      </c>
      <c r="V56" s="21">
        <f t="shared" si="17"/>
        <v>1391038.4338483538</v>
      </c>
      <c r="W56" s="86"/>
      <c r="X56" s="5"/>
      <c r="Y56" s="5"/>
      <c r="Z56" s="5">
        <f t="shared" si="18"/>
        <v>0</v>
      </c>
      <c r="AA56" s="5">
        <v>5114529.1399999997</v>
      </c>
      <c r="AB56" s="5" t="s">
        <v>88</v>
      </c>
      <c r="AC56" s="5">
        <f t="shared" si="19"/>
        <v>1199170.9634899602</v>
      </c>
      <c r="AD56" s="5">
        <f t="shared" si="20"/>
        <v>1391038.4338483538</v>
      </c>
      <c r="AE56" s="5">
        <f t="shared" si="21"/>
        <v>0.11615164624527097</v>
      </c>
      <c r="AF56" s="81">
        <f>D56-S56</f>
        <v>0</v>
      </c>
      <c r="AG56" s="81" t="s">
        <v>73</v>
      </c>
      <c r="AH56" s="5">
        <v>4</v>
      </c>
      <c r="AI56" s="5">
        <v>1</v>
      </c>
      <c r="AJ56" s="109" t="s">
        <v>228</v>
      </c>
      <c r="AK56" s="81" t="s">
        <v>59</v>
      </c>
      <c r="AL56" s="52" t="s">
        <v>90</v>
      </c>
      <c r="AM56" s="54" t="s">
        <v>103</v>
      </c>
      <c r="AN56" s="86"/>
      <c r="AO56" s="52"/>
      <c r="AP56" s="83"/>
      <c r="AQ56" s="83"/>
      <c r="AR56" s="84"/>
      <c r="AS56" s="84">
        <v>46050</v>
      </c>
      <c r="AT56" s="52"/>
      <c r="AU56" s="52"/>
      <c r="AV56" s="51" t="s">
        <v>229</v>
      </c>
      <c r="AW56" s="52" t="s">
        <v>70</v>
      </c>
      <c r="AX56" s="12"/>
      <c r="AY56" s="12"/>
      <c r="AZ56" s="52"/>
      <c r="BB56" s="80" t="str">
        <f>VLOOKUP(B56,contactos!$A$1:$D$484,4,FALSE)</f>
        <v>almagabriela.gomez@clorox.com</v>
      </c>
    </row>
    <row r="57" spans="2:54" customFormat="1" x14ac:dyDescent="0.25">
      <c r="B57" s="100">
        <v>325258</v>
      </c>
      <c r="C57" s="4" t="s">
        <v>230</v>
      </c>
      <c r="D57" s="5">
        <v>1374858.1583984373</v>
      </c>
      <c r="E57" s="5">
        <v>0</v>
      </c>
      <c r="F57" s="5">
        <v>4352.8735999999999</v>
      </c>
      <c r="G57" s="5">
        <v>1379211.03</v>
      </c>
      <c r="H57" s="5">
        <v>408636.88</v>
      </c>
      <c r="I57" s="5">
        <f t="shared" si="5"/>
        <v>323466.14839843742</v>
      </c>
      <c r="J57" s="5"/>
      <c r="K57" s="5">
        <f t="shared" si="6"/>
        <v>323466.14839843742</v>
      </c>
      <c r="L57" s="5">
        <f t="shared" si="7"/>
        <v>326883.8819984374</v>
      </c>
      <c r="M57" s="5"/>
      <c r="N57" s="5">
        <f t="shared" si="8"/>
        <v>326883.8819984374</v>
      </c>
      <c r="O57" s="21">
        <v>323466.15000000002</v>
      </c>
      <c r="P57" s="21">
        <v>0</v>
      </c>
      <c r="Q57" s="21">
        <v>3417.73</v>
      </c>
      <c r="R57" s="21">
        <f t="shared" si="28"/>
        <v>326883.88</v>
      </c>
      <c r="S57" s="21">
        <f>D57-O57-W57</f>
        <v>-1.6015626024454832E-3</v>
      </c>
      <c r="T57" s="21">
        <f>E57-X57-P57</f>
        <v>0</v>
      </c>
      <c r="U57" s="21">
        <f>F57-Y57-Q57</f>
        <v>3.6000000000058208E-3</v>
      </c>
      <c r="V57" s="21">
        <f t="shared" si="17"/>
        <v>1.9984373975603376E-3</v>
      </c>
      <c r="W57" s="21">
        <v>1051392.01</v>
      </c>
      <c r="X57" s="5">
        <v>0</v>
      </c>
      <c r="Y57" s="5">
        <v>935.14</v>
      </c>
      <c r="Z57" s="5">
        <f t="shared" si="18"/>
        <v>1052327.1499999999</v>
      </c>
      <c r="AA57" s="5">
        <v>1543899.35</v>
      </c>
      <c r="AB57" s="5" t="s">
        <v>88</v>
      </c>
      <c r="AC57" s="5">
        <f t="shared" si="19"/>
        <v>1374858.1583984373</v>
      </c>
      <c r="AD57" s="5">
        <f t="shared" si="20"/>
        <v>1379211.0319984374</v>
      </c>
      <c r="AE57" s="5">
        <f t="shared" si="21"/>
        <v>-1.9984373357146978E-3</v>
      </c>
      <c r="AF57" s="5"/>
      <c r="AG57" s="5" t="s">
        <v>57</v>
      </c>
      <c r="AH57" s="5">
        <v>4</v>
      </c>
      <c r="AI57" s="5">
        <v>4</v>
      </c>
      <c r="AJ57" s="5" t="s">
        <v>231</v>
      </c>
      <c r="AK57" s="5" t="s">
        <v>59</v>
      </c>
      <c r="AL57" s="4" t="s">
        <v>75</v>
      </c>
      <c r="AM57" s="6" t="s">
        <v>137</v>
      </c>
      <c r="AN57" s="21"/>
      <c r="AO57" s="4"/>
      <c r="AP57" s="58"/>
      <c r="AQ57" s="58"/>
      <c r="AR57" s="23"/>
      <c r="AS57" s="23">
        <v>46050</v>
      </c>
      <c r="AT57" s="4"/>
      <c r="AU57" s="4"/>
      <c r="AV57" s="13" t="s">
        <v>232</v>
      </c>
      <c r="AW57" s="4"/>
      <c r="AX57" s="9"/>
      <c r="AY57" s="9" t="s">
        <v>198</v>
      </c>
      <c r="AZ57" s="4"/>
      <c r="BB57" t="str">
        <f>VLOOKUP(B57,contactos!$A$1:$D$484,4,FALSE)</f>
        <v>jorgeperez@schettino.com.mx</v>
      </c>
    </row>
    <row r="58" spans="2:54" customFormat="1" x14ac:dyDescent="0.25">
      <c r="B58" s="100">
        <v>137</v>
      </c>
      <c r="C58" s="4" t="s">
        <v>233</v>
      </c>
      <c r="D58" s="5">
        <v>1171057.73823</v>
      </c>
      <c r="E58" s="5">
        <v>0</v>
      </c>
      <c r="F58" s="5">
        <v>187369.23820000002</v>
      </c>
      <c r="G58" s="5">
        <v>1358427.0055</v>
      </c>
      <c r="H58" s="5">
        <v>1358427.01</v>
      </c>
      <c r="I58" s="5">
        <f t="shared" si="5"/>
        <v>1171057.73823</v>
      </c>
      <c r="J58" s="5"/>
      <c r="K58" s="5">
        <f t="shared" si="6"/>
        <v>1171057.73823</v>
      </c>
      <c r="L58" s="5">
        <f t="shared" si="7"/>
        <v>1358426.97643</v>
      </c>
      <c r="M58" s="5"/>
      <c r="N58" s="5">
        <f t="shared" si="8"/>
        <v>1358426.97643</v>
      </c>
      <c r="O58" s="21"/>
      <c r="P58" s="21"/>
      <c r="Q58" s="21"/>
      <c r="R58" s="21">
        <f t="shared" si="28"/>
        <v>0</v>
      </c>
      <c r="S58" s="21">
        <v>1171057.73823</v>
      </c>
      <c r="T58" s="21">
        <f t="shared" ref="T58:T68" si="30">E58-X58</f>
        <v>0</v>
      </c>
      <c r="U58" s="21">
        <f t="shared" ref="U58:U68" si="31">F58-Y58</f>
        <v>187369.23820000002</v>
      </c>
      <c r="V58" s="21">
        <f t="shared" si="17"/>
        <v>1358426.97643</v>
      </c>
      <c r="W58" s="21"/>
      <c r="X58" s="5"/>
      <c r="Y58" s="5"/>
      <c r="Z58" s="5">
        <f t="shared" si="18"/>
        <v>0</v>
      </c>
      <c r="AA58" s="5">
        <v>1717579.78</v>
      </c>
      <c r="AB58" s="5" t="s">
        <v>88</v>
      </c>
      <c r="AC58" s="5">
        <f t="shared" si="19"/>
        <v>1171057.73823</v>
      </c>
      <c r="AD58" s="5">
        <f t="shared" si="20"/>
        <v>1358426.97643</v>
      </c>
      <c r="AE58" s="5">
        <f t="shared" si="21"/>
        <v>2.9069999931380153E-2</v>
      </c>
      <c r="AF58" s="5">
        <f>D58-S58</f>
        <v>0</v>
      </c>
      <c r="AG58" s="5" t="s">
        <v>73</v>
      </c>
      <c r="AH58" s="5">
        <v>4</v>
      </c>
      <c r="AI58" s="5">
        <v>2</v>
      </c>
      <c r="AJ58" s="5" t="s">
        <v>234</v>
      </c>
      <c r="AK58" s="5" t="s">
        <v>59</v>
      </c>
      <c r="AL58" s="4" t="s">
        <v>133</v>
      </c>
      <c r="AM58" s="6" t="s">
        <v>94</v>
      </c>
      <c r="AN58" s="21"/>
      <c r="AO58" s="4"/>
      <c r="AP58" s="58"/>
      <c r="AQ58" s="58"/>
      <c r="AR58" s="23"/>
      <c r="AS58" s="23">
        <v>46050</v>
      </c>
      <c r="AT58" s="4"/>
      <c r="AU58" s="4"/>
      <c r="AV58" s="4" t="s">
        <v>173</v>
      </c>
      <c r="AW58" s="4"/>
      <c r="AX58" s="9"/>
      <c r="AY58" s="9"/>
      <c r="AZ58" s="4"/>
      <c r="BB58" t="str">
        <f>VLOOKUP(B58,contactos!$A$1:$D$484,4,FALSE)</f>
        <v>claudia.gutierrez2@la.spectrumbrands.com</v>
      </c>
    </row>
    <row r="59" spans="2:54" customFormat="1" x14ac:dyDescent="0.25">
      <c r="B59" s="100">
        <v>389783</v>
      </c>
      <c r="C59" s="4" t="s">
        <v>235</v>
      </c>
      <c r="D59" s="5">
        <v>1044839.9599399999</v>
      </c>
      <c r="E59" s="5">
        <v>0</v>
      </c>
      <c r="F59" s="5">
        <v>167174.39609999998</v>
      </c>
      <c r="G59" s="5">
        <v>1212014.3606999998</v>
      </c>
      <c r="H59" s="5">
        <v>835771.34</v>
      </c>
      <c r="I59" s="5">
        <f t="shared" si="5"/>
        <v>1044839.9599399999</v>
      </c>
      <c r="J59" s="5"/>
      <c r="K59" s="5">
        <f t="shared" si="6"/>
        <v>1044839.9599399999</v>
      </c>
      <c r="L59" s="5">
        <f t="shared" si="7"/>
        <v>1212014.3560399998</v>
      </c>
      <c r="M59" s="5"/>
      <c r="N59" s="5">
        <f t="shared" si="8"/>
        <v>1212014.3560399998</v>
      </c>
      <c r="O59" s="21"/>
      <c r="P59" s="21"/>
      <c r="Q59" s="21"/>
      <c r="R59" s="21">
        <f t="shared" si="28"/>
        <v>0</v>
      </c>
      <c r="S59" s="21">
        <v>1044839.9599399999</v>
      </c>
      <c r="T59" s="21">
        <f t="shared" si="30"/>
        <v>0</v>
      </c>
      <c r="U59" s="21">
        <f t="shared" si="31"/>
        <v>167174.39609999998</v>
      </c>
      <c r="V59" s="21">
        <f t="shared" si="17"/>
        <v>1212014.3560399998</v>
      </c>
      <c r="W59" s="21"/>
      <c r="X59" s="5"/>
      <c r="Y59" s="5"/>
      <c r="Z59" s="5">
        <f t="shared" si="18"/>
        <v>0</v>
      </c>
      <c r="AA59" s="5">
        <v>857399.01</v>
      </c>
      <c r="AB59" s="5" t="s">
        <v>88</v>
      </c>
      <c r="AC59" s="5">
        <f t="shared" si="19"/>
        <v>1044839.9599399999</v>
      </c>
      <c r="AD59" s="5">
        <f t="shared" si="20"/>
        <v>1212014.3560399998</v>
      </c>
      <c r="AE59" s="5">
        <f t="shared" si="21"/>
        <v>4.6600000932812691E-3</v>
      </c>
      <c r="AF59" s="5">
        <f>D59-S59</f>
        <v>0</v>
      </c>
      <c r="AG59" s="5" t="s">
        <v>73</v>
      </c>
      <c r="AH59" s="5">
        <v>4</v>
      </c>
      <c r="AI59" s="5">
        <v>1</v>
      </c>
      <c r="AJ59" s="120" t="s">
        <v>236</v>
      </c>
      <c r="AK59" s="5" t="s">
        <v>59</v>
      </c>
      <c r="AL59" s="4" t="s">
        <v>90</v>
      </c>
      <c r="AM59" s="4" t="s">
        <v>137</v>
      </c>
      <c r="AN59" s="21"/>
      <c r="AO59" s="4"/>
      <c r="AP59" s="58"/>
      <c r="AQ59" s="58"/>
      <c r="AR59" s="23"/>
      <c r="AS59" s="23">
        <v>46050</v>
      </c>
      <c r="AT59" s="4"/>
      <c r="AU59" s="4"/>
      <c r="AV59" s="13" t="s">
        <v>92</v>
      </c>
      <c r="AW59" s="4"/>
      <c r="AX59" s="9"/>
      <c r="AY59" s="9"/>
      <c r="AZ59" s="4"/>
      <c r="BB59" t="e">
        <f>VLOOKUP(B59,contactos!$A$1:$D$484,4,FALSE)</f>
        <v>#N/A</v>
      </c>
    </row>
    <row r="60" spans="2:54" customFormat="1" x14ac:dyDescent="0.25">
      <c r="B60" s="100">
        <v>397984</v>
      </c>
      <c r="C60" s="4" t="s">
        <v>237</v>
      </c>
      <c r="D60" s="5">
        <v>1009288.59296292</v>
      </c>
      <c r="E60" s="5">
        <v>0</v>
      </c>
      <c r="F60" s="5">
        <v>161486.17487406719</v>
      </c>
      <c r="G60" s="5">
        <v>1170774.7599999998</v>
      </c>
      <c r="H60" s="5">
        <v>0</v>
      </c>
      <c r="I60" s="5">
        <f t="shared" si="5"/>
        <v>963290.75296292</v>
      </c>
      <c r="J60" s="5">
        <v>0</v>
      </c>
      <c r="K60" s="5">
        <f t="shared" si="6"/>
        <v>963290.75296292</v>
      </c>
      <c r="L60" s="5">
        <f t="shared" si="7"/>
        <v>1117417.2678369873</v>
      </c>
      <c r="M60" s="5">
        <v>0</v>
      </c>
      <c r="N60" s="5">
        <f t="shared" si="8"/>
        <v>1117417.2678369873</v>
      </c>
      <c r="O60" s="27"/>
      <c r="P60" s="27"/>
      <c r="Q60" s="27"/>
      <c r="R60" s="21">
        <f t="shared" si="28"/>
        <v>0</v>
      </c>
      <c r="S60" s="27">
        <f>D60-W60</f>
        <v>963290.75296292</v>
      </c>
      <c r="T60" s="21">
        <f>E60-X60</f>
        <v>0</v>
      </c>
      <c r="U60" s="21">
        <f>F60-Y60</f>
        <v>154126.51487406719</v>
      </c>
      <c r="V60" s="21">
        <f>SUM(S60:U60)</f>
        <v>1117417.2678369873</v>
      </c>
      <c r="W60" s="27">
        <v>45997.84</v>
      </c>
      <c r="X60" s="5">
        <v>0</v>
      </c>
      <c r="Y60" s="5">
        <v>7359.66</v>
      </c>
      <c r="Z60" s="5">
        <f t="shared" si="18"/>
        <v>53357.5</v>
      </c>
      <c r="AA60" s="5">
        <v>7876892.9500000002</v>
      </c>
      <c r="AB60" s="5" t="s">
        <v>88</v>
      </c>
      <c r="AC60" s="5">
        <f t="shared" si="19"/>
        <v>1009288.59296292</v>
      </c>
      <c r="AD60" s="5">
        <f t="shared" si="20"/>
        <v>1170774.7678369873</v>
      </c>
      <c r="AE60" s="5">
        <f t="shared" si="21"/>
        <v>-7.8369874972850084E-3</v>
      </c>
      <c r="AF60" s="5"/>
      <c r="AG60" s="5" t="s">
        <v>238</v>
      </c>
      <c r="AH60" s="5">
        <v>4</v>
      </c>
      <c r="AI60" s="5">
        <v>0</v>
      </c>
      <c r="AJ60" s="5">
        <v>0</v>
      </c>
      <c r="AK60" s="5" t="s">
        <v>59</v>
      </c>
      <c r="AL60" s="4" t="s">
        <v>75</v>
      </c>
      <c r="AM60" s="6" t="s">
        <v>83</v>
      </c>
      <c r="AN60" s="27">
        <v>1170774.76</v>
      </c>
      <c r="AO60" s="4" t="s">
        <v>239</v>
      </c>
      <c r="AP60" s="58">
        <v>6</v>
      </c>
      <c r="AQ60" s="58"/>
      <c r="AR60" s="23">
        <v>46058</v>
      </c>
      <c r="AS60" s="23">
        <v>46059</v>
      </c>
      <c r="AT60" s="23">
        <v>46059</v>
      </c>
      <c r="AU60" s="4"/>
      <c r="AV60" s="4" t="s">
        <v>240</v>
      </c>
      <c r="AW60" s="4"/>
      <c r="AX60" s="12"/>
      <c r="AY60" s="12"/>
      <c r="AZ60" s="12"/>
      <c r="BB60" t="str">
        <f>VLOOKUP(B60,contactos!$A$1:$D$484,4,FALSE)</f>
        <v xml:space="preserve">armandoaguilar@comarket.com.mx </v>
      </c>
    </row>
    <row r="61" spans="2:54" customFormat="1" x14ac:dyDescent="0.25">
      <c r="B61" s="100">
        <v>383349</v>
      </c>
      <c r="C61" s="4" t="s">
        <v>241</v>
      </c>
      <c r="D61" s="5">
        <v>1141553.9842472</v>
      </c>
      <c r="E61" s="5">
        <v>0</v>
      </c>
      <c r="F61" s="5">
        <v>0</v>
      </c>
      <c r="G61" s="5">
        <v>1141553.99</v>
      </c>
      <c r="H61" s="5">
        <v>0</v>
      </c>
      <c r="I61" s="5">
        <f t="shared" si="5"/>
        <v>1141553.9842472</v>
      </c>
      <c r="J61" s="5"/>
      <c r="K61" s="5">
        <f t="shared" si="6"/>
        <v>1141553.9842472</v>
      </c>
      <c r="L61" s="5">
        <f t="shared" si="7"/>
        <v>1141553.9842472</v>
      </c>
      <c r="M61" s="5"/>
      <c r="N61" s="5">
        <f t="shared" si="8"/>
        <v>1141553.9842472</v>
      </c>
      <c r="O61" s="21"/>
      <c r="P61" s="21"/>
      <c r="Q61" s="21"/>
      <c r="R61" s="21">
        <f t="shared" si="28"/>
        <v>0</v>
      </c>
      <c r="S61" s="21">
        <v>1141553.9842472</v>
      </c>
      <c r="T61" s="21">
        <f t="shared" si="30"/>
        <v>0</v>
      </c>
      <c r="U61" s="21">
        <f t="shared" si="31"/>
        <v>0</v>
      </c>
      <c r="V61" s="21">
        <f t="shared" si="17"/>
        <v>1141553.9842472</v>
      </c>
      <c r="W61" s="21"/>
      <c r="X61" s="5"/>
      <c r="Y61" s="5"/>
      <c r="Z61" s="5">
        <f t="shared" si="18"/>
        <v>0</v>
      </c>
      <c r="AA61" s="5"/>
      <c r="AB61" s="5" t="s">
        <v>56</v>
      </c>
      <c r="AC61" s="5">
        <f t="shared" si="19"/>
        <v>1141553.9842472</v>
      </c>
      <c r="AD61" s="5">
        <f t="shared" si="20"/>
        <v>1141553.9842472</v>
      </c>
      <c r="AE61" s="5">
        <f t="shared" si="21"/>
        <v>5.7528000324964523E-3</v>
      </c>
      <c r="AF61" s="5">
        <f>D61-S61</f>
        <v>0</v>
      </c>
      <c r="AG61" s="5" t="s">
        <v>73</v>
      </c>
      <c r="AH61" s="5">
        <v>4</v>
      </c>
      <c r="AI61" s="5">
        <v>4</v>
      </c>
      <c r="AJ61" s="5" t="s">
        <v>242</v>
      </c>
      <c r="AK61" s="5" t="s">
        <v>59</v>
      </c>
      <c r="AL61" s="4" t="s">
        <v>75</v>
      </c>
      <c r="AM61" s="6" t="s">
        <v>141</v>
      </c>
      <c r="AN61" s="21"/>
      <c r="AO61" s="4"/>
      <c r="AP61" s="58"/>
      <c r="AQ61" s="58"/>
      <c r="AR61" s="7">
        <v>46048</v>
      </c>
      <c r="AS61" s="23">
        <v>46048</v>
      </c>
      <c r="AT61" s="4"/>
      <c r="AU61" s="4"/>
      <c r="AV61" t="s">
        <v>243</v>
      </c>
      <c r="AW61" s="4"/>
      <c r="AX61" s="9"/>
      <c r="AY61" s="9" t="s">
        <v>71</v>
      </c>
      <c r="AZ61" s="4"/>
      <c r="BA61" t="s">
        <v>244</v>
      </c>
      <c r="BB61" t="str">
        <f>VLOOKUP(B61,contactos!$A$1:$D$484,4,FALSE)</f>
        <v>diego.fraustro@capico.com.mx</v>
      </c>
    </row>
    <row r="62" spans="2:54" customFormat="1" x14ac:dyDescent="0.25">
      <c r="B62" s="100">
        <v>5330</v>
      </c>
      <c r="C62" s="4" t="s">
        <v>245</v>
      </c>
      <c r="D62" s="5">
        <v>961798.11</v>
      </c>
      <c r="E62" s="5">
        <v>0</v>
      </c>
      <c r="F62" s="5">
        <v>153887.69759999996</v>
      </c>
      <c r="G62" s="5">
        <v>1115685.8199999998</v>
      </c>
      <c r="H62" s="5">
        <v>1115685.82</v>
      </c>
      <c r="I62" s="5">
        <f t="shared" si="5"/>
        <v>961798.11</v>
      </c>
      <c r="J62" s="5"/>
      <c r="K62" s="5">
        <f t="shared" si="6"/>
        <v>961798.11</v>
      </c>
      <c r="L62" s="5">
        <f t="shared" si="7"/>
        <v>1115685.8075999999</v>
      </c>
      <c r="M62" s="5"/>
      <c r="N62" s="5">
        <f t="shared" si="8"/>
        <v>1115685.8075999999</v>
      </c>
      <c r="O62" s="21"/>
      <c r="P62" s="21"/>
      <c r="Q62" s="21"/>
      <c r="R62" s="21">
        <f t="shared" si="28"/>
        <v>0</v>
      </c>
      <c r="S62" s="21">
        <v>961798.11</v>
      </c>
      <c r="T62" s="21">
        <f t="shared" si="30"/>
        <v>0</v>
      </c>
      <c r="U62" s="21">
        <f t="shared" si="31"/>
        <v>153887.69759999996</v>
      </c>
      <c r="V62" s="21">
        <f t="shared" si="17"/>
        <v>1115685.8075999999</v>
      </c>
      <c r="W62" s="21"/>
      <c r="X62" s="5"/>
      <c r="Y62" s="5"/>
      <c r="Z62" s="5">
        <f t="shared" si="18"/>
        <v>0</v>
      </c>
      <c r="AA62" s="5">
        <v>748824.76</v>
      </c>
      <c r="AB62" s="5" t="s">
        <v>56</v>
      </c>
      <c r="AC62" s="5">
        <f t="shared" si="19"/>
        <v>961798.11</v>
      </c>
      <c r="AD62" s="5">
        <f t="shared" si="20"/>
        <v>1115685.8075999999</v>
      </c>
      <c r="AE62" s="5">
        <f t="shared" si="21"/>
        <v>1.2399999890476465E-2</v>
      </c>
      <c r="AF62" s="5">
        <f>D62-S62</f>
        <v>0</v>
      </c>
      <c r="AG62" s="5" t="s">
        <v>73</v>
      </c>
      <c r="AH62" s="5">
        <v>4</v>
      </c>
      <c r="AI62" s="5">
        <v>3</v>
      </c>
      <c r="AJ62" s="5" t="s">
        <v>246</v>
      </c>
      <c r="AK62" s="5" t="s">
        <v>59</v>
      </c>
      <c r="AL62" s="4" t="s">
        <v>75</v>
      </c>
      <c r="AM62" s="6" t="s">
        <v>94</v>
      </c>
      <c r="AN62" s="21">
        <v>1115685.8199999998</v>
      </c>
      <c r="AO62" s="13" t="s">
        <v>68</v>
      </c>
      <c r="AP62" s="59">
        <v>3</v>
      </c>
      <c r="AQ62" s="59" t="s">
        <v>189</v>
      </c>
      <c r="AR62" s="23">
        <v>46041</v>
      </c>
      <c r="AS62" s="23">
        <v>46041</v>
      </c>
      <c r="AT62" s="7">
        <v>46041</v>
      </c>
      <c r="AU62" s="7"/>
      <c r="AV62" s="7" t="s">
        <v>247</v>
      </c>
      <c r="AW62" s="4"/>
      <c r="AX62" s="9" t="s">
        <v>71</v>
      </c>
      <c r="AY62" s="9"/>
      <c r="AZ62" s="9"/>
      <c r="BA62" t="s">
        <v>248</v>
      </c>
      <c r="BB62" t="str">
        <f>VLOOKUP(B62,contactos!$A$1:$D$484,4,FALSE)</f>
        <v>kam3@noveltycorp.com</v>
      </c>
    </row>
    <row r="63" spans="2:54" customFormat="1" x14ac:dyDescent="0.25">
      <c r="B63" s="100">
        <v>21845</v>
      </c>
      <c r="C63" s="4" t="s">
        <v>249</v>
      </c>
      <c r="D63" s="5">
        <v>1064364.8900784368</v>
      </c>
      <c r="E63" s="5">
        <v>0</v>
      </c>
      <c r="F63" s="5">
        <v>0</v>
      </c>
      <c r="G63" s="5">
        <v>1064364.8900000001</v>
      </c>
      <c r="H63" s="5">
        <v>1064364.8799999999</v>
      </c>
      <c r="I63" s="5">
        <f t="shared" si="5"/>
        <v>1064364.8900784368</v>
      </c>
      <c r="J63" s="5"/>
      <c r="K63" s="5">
        <f t="shared" si="6"/>
        <v>1064364.8900784368</v>
      </c>
      <c r="L63" s="5">
        <f t="shared" si="7"/>
        <v>1064364.8900784368</v>
      </c>
      <c r="M63" s="5"/>
      <c r="N63" s="5">
        <f t="shared" si="8"/>
        <v>1064364.8900784368</v>
      </c>
      <c r="O63" s="21"/>
      <c r="P63" s="21"/>
      <c r="Q63" s="21"/>
      <c r="R63" s="21">
        <f t="shared" si="28"/>
        <v>0</v>
      </c>
      <c r="S63" s="21">
        <v>1064364.8900784368</v>
      </c>
      <c r="T63" s="21">
        <f t="shared" si="30"/>
        <v>0</v>
      </c>
      <c r="U63" s="21">
        <f t="shared" si="31"/>
        <v>0</v>
      </c>
      <c r="V63" s="21">
        <f t="shared" si="17"/>
        <v>1064364.8900784368</v>
      </c>
      <c r="W63" s="21"/>
      <c r="X63" s="5"/>
      <c r="Y63" s="5"/>
      <c r="Z63" s="5">
        <f t="shared" si="18"/>
        <v>0</v>
      </c>
      <c r="AA63" s="5">
        <v>926636.9</v>
      </c>
      <c r="AB63" s="5" t="s">
        <v>88</v>
      </c>
      <c r="AC63" s="5">
        <f t="shared" si="19"/>
        <v>1064364.8900784368</v>
      </c>
      <c r="AD63" s="5">
        <f t="shared" si="20"/>
        <v>1064364.8900784368</v>
      </c>
      <c r="AE63" s="5">
        <f t="shared" si="21"/>
        <v>-7.8436685726046562E-5</v>
      </c>
      <c r="AF63" s="5"/>
      <c r="AG63" s="5" t="s">
        <v>73</v>
      </c>
      <c r="AH63" s="5">
        <v>4</v>
      </c>
      <c r="AI63" s="5">
        <v>1</v>
      </c>
      <c r="AJ63" s="5">
        <v>0</v>
      </c>
      <c r="AK63" s="5" t="s">
        <v>59</v>
      </c>
      <c r="AL63" s="4" t="s">
        <v>90</v>
      </c>
      <c r="AM63" s="4" t="s">
        <v>107</v>
      </c>
      <c r="AN63" s="21"/>
      <c r="AO63" s="4"/>
      <c r="AP63" s="58"/>
      <c r="AQ63" s="58"/>
      <c r="AR63" s="23"/>
      <c r="AS63" s="23"/>
      <c r="AT63" s="4"/>
      <c r="AU63" s="4"/>
      <c r="AV63" s="4"/>
      <c r="AW63" s="4"/>
      <c r="AX63" s="9"/>
      <c r="AY63" s="9"/>
      <c r="AZ63" s="4"/>
      <c r="BB63" t="e">
        <f>VLOOKUP(B63,contactos!$A$1:$D$484,4,FALSE)</f>
        <v>#N/A</v>
      </c>
    </row>
    <row r="64" spans="2:54" customFormat="1" x14ac:dyDescent="0.25">
      <c r="B64" s="100">
        <v>22068</v>
      </c>
      <c r="C64" s="4" t="s">
        <v>250</v>
      </c>
      <c r="D64" s="5">
        <v>1060303.720335548</v>
      </c>
      <c r="E64" s="5">
        <v>0</v>
      </c>
      <c r="F64" s="5">
        <v>0</v>
      </c>
      <c r="G64" s="5">
        <v>1060303.73</v>
      </c>
      <c r="H64" s="5">
        <v>0</v>
      </c>
      <c r="I64" s="5">
        <f t="shared" si="5"/>
        <v>1060303.720335548</v>
      </c>
      <c r="J64" s="5"/>
      <c r="K64" s="5">
        <f t="shared" si="6"/>
        <v>1060303.720335548</v>
      </c>
      <c r="L64" s="5">
        <f t="shared" si="7"/>
        <v>1060303.720335548</v>
      </c>
      <c r="M64" s="5"/>
      <c r="N64" s="5">
        <f t="shared" si="8"/>
        <v>1060303.720335548</v>
      </c>
      <c r="O64" s="21"/>
      <c r="P64" s="21"/>
      <c r="Q64" s="21"/>
      <c r="R64" s="21">
        <f t="shared" si="28"/>
        <v>0</v>
      </c>
      <c r="S64" s="21">
        <v>1060303.720335548</v>
      </c>
      <c r="T64" s="21">
        <f t="shared" si="30"/>
        <v>0</v>
      </c>
      <c r="U64" s="21">
        <f t="shared" si="31"/>
        <v>0</v>
      </c>
      <c r="V64" s="21">
        <f t="shared" si="17"/>
        <v>1060303.720335548</v>
      </c>
      <c r="W64" s="21"/>
      <c r="X64" s="5"/>
      <c r="Y64" s="5"/>
      <c r="Z64" s="5">
        <f t="shared" si="18"/>
        <v>0</v>
      </c>
      <c r="AA64" s="5">
        <v>1136864.42</v>
      </c>
      <c r="AB64" s="5" t="s">
        <v>88</v>
      </c>
      <c r="AC64" s="5">
        <f t="shared" si="19"/>
        <v>1060303.720335548</v>
      </c>
      <c r="AD64" s="5">
        <f t="shared" si="20"/>
        <v>1060303.720335548</v>
      </c>
      <c r="AE64" s="5">
        <f t="shared" si="21"/>
        <v>9.6644519362598658E-3</v>
      </c>
      <c r="AF64" s="5">
        <f>D64-S64</f>
        <v>0</v>
      </c>
      <c r="AG64" s="5" t="s">
        <v>73</v>
      </c>
      <c r="AH64" s="5">
        <v>4</v>
      </c>
      <c r="AI64" s="5">
        <v>1</v>
      </c>
      <c r="AJ64" s="5">
        <v>0</v>
      </c>
      <c r="AK64" s="5" t="s">
        <v>59</v>
      </c>
      <c r="AL64" s="4" t="s">
        <v>90</v>
      </c>
      <c r="AM64" s="4" t="s">
        <v>162</v>
      </c>
      <c r="AN64" s="21"/>
      <c r="AO64" s="4"/>
      <c r="AP64" s="58"/>
      <c r="AQ64" s="58"/>
      <c r="AR64" s="23"/>
      <c r="AS64" s="23"/>
      <c r="AT64" s="4"/>
      <c r="AU64" s="4"/>
      <c r="AV64" s="4"/>
      <c r="AW64" s="4"/>
      <c r="AX64" s="9"/>
      <c r="AY64" s="9"/>
      <c r="AZ64" s="4"/>
      <c r="BB64" t="e">
        <f>VLOOKUP(B64,contactos!$A$1:$D$484,4,FALSE)</f>
        <v>#N/A</v>
      </c>
    </row>
    <row r="65" spans="2:54" customFormat="1" x14ac:dyDescent="0.25">
      <c r="B65" s="100">
        <v>58958</v>
      </c>
      <c r="C65" s="4" t="s">
        <v>251</v>
      </c>
      <c r="D65" s="5">
        <v>912839.39000000013</v>
      </c>
      <c r="E65" s="5">
        <v>0</v>
      </c>
      <c r="F65" s="5">
        <v>146054.3559</v>
      </c>
      <c r="G65" s="5">
        <v>1058893.6900000002</v>
      </c>
      <c r="H65" s="5">
        <v>76727.899999999994</v>
      </c>
      <c r="I65" s="5">
        <f t="shared" si="5"/>
        <v>912839.39000000013</v>
      </c>
      <c r="J65" s="5"/>
      <c r="K65" s="5">
        <f t="shared" si="6"/>
        <v>912839.39000000013</v>
      </c>
      <c r="L65" s="5">
        <f t="shared" si="7"/>
        <v>1058893.7459000002</v>
      </c>
      <c r="M65" s="5"/>
      <c r="N65" s="5">
        <f t="shared" si="8"/>
        <v>1058893.7459000002</v>
      </c>
      <c r="O65" s="21"/>
      <c r="P65" s="21"/>
      <c r="Q65" s="21"/>
      <c r="R65" s="21">
        <f t="shared" si="28"/>
        <v>0</v>
      </c>
      <c r="S65" s="21">
        <v>912839.39000000013</v>
      </c>
      <c r="T65" s="21">
        <f t="shared" si="30"/>
        <v>0</v>
      </c>
      <c r="U65" s="21">
        <f t="shared" si="31"/>
        <v>146054.3559</v>
      </c>
      <c r="V65" s="21">
        <f t="shared" si="17"/>
        <v>1058893.7459000002</v>
      </c>
      <c r="W65" s="21"/>
      <c r="X65" s="5"/>
      <c r="Y65" s="5"/>
      <c r="Z65" s="5">
        <f t="shared" si="18"/>
        <v>0</v>
      </c>
      <c r="AA65" s="5">
        <v>763595.94</v>
      </c>
      <c r="AB65" s="5" t="s">
        <v>88</v>
      </c>
      <c r="AC65" s="5">
        <f t="shared" si="19"/>
        <v>912839.39000000013</v>
      </c>
      <c r="AD65" s="5">
        <f t="shared" si="20"/>
        <v>1058893.7459000002</v>
      </c>
      <c r="AE65" s="5">
        <f t="shared" si="21"/>
        <v>-5.5900000035762787E-2</v>
      </c>
      <c r="AF65" s="5">
        <f>D65-S65</f>
        <v>0</v>
      </c>
      <c r="AG65" s="5" t="s">
        <v>73</v>
      </c>
      <c r="AH65" s="5">
        <v>4</v>
      </c>
      <c r="AI65" s="5">
        <v>2</v>
      </c>
      <c r="AJ65" s="120" t="s">
        <v>252</v>
      </c>
      <c r="AK65" s="5" t="s">
        <v>59</v>
      </c>
      <c r="AL65" s="4" t="s">
        <v>90</v>
      </c>
      <c r="AM65" s="4" t="s">
        <v>137</v>
      </c>
      <c r="AN65" s="21"/>
      <c r="AO65" s="4"/>
      <c r="AP65" s="58"/>
      <c r="AQ65" s="58"/>
      <c r="AR65" s="23"/>
      <c r="AS65" s="23">
        <v>46050</v>
      </c>
      <c r="AT65" s="4"/>
      <c r="AU65" s="4"/>
      <c r="AV65" s="13" t="s">
        <v>92</v>
      </c>
      <c r="AW65" s="4"/>
      <c r="AX65" s="9"/>
      <c r="AY65" s="9"/>
      <c r="AZ65" s="4"/>
      <c r="BB65" t="e">
        <f>VLOOKUP(B65,contactos!$A$1:$D$484,4,FALSE)</f>
        <v>#N/A</v>
      </c>
    </row>
    <row r="66" spans="2:54" customFormat="1" x14ac:dyDescent="0.25">
      <c r="B66" s="100">
        <v>387183</v>
      </c>
      <c r="C66" s="4" t="s">
        <v>253</v>
      </c>
      <c r="D66" s="5">
        <v>866011.34979124658</v>
      </c>
      <c r="E66" s="5">
        <v>0</v>
      </c>
      <c r="F66" s="5">
        <v>138561.2374665995</v>
      </c>
      <c r="G66" s="5">
        <v>1004572.6299999999</v>
      </c>
      <c r="H66" s="5">
        <v>1004572.63</v>
      </c>
      <c r="I66" s="5">
        <f t="shared" si="5"/>
        <v>866011.34979124658</v>
      </c>
      <c r="J66" s="5"/>
      <c r="K66" s="5">
        <f t="shared" si="6"/>
        <v>866011.34979124658</v>
      </c>
      <c r="L66" s="5">
        <f t="shared" si="7"/>
        <v>1004572.587257846</v>
      </c>
      <c r="M66" s="5"/>
      <c r="N66" s="5">
        <f t="shared" si="8"/>
        <v>1004572.587257846</v>
      </c>
      <c r="O66" s="21"/>
      <c r="P66" s="21"/>
      <c r="Q66" s="21"/>
      <c r="R66" s="21">
        <f t="shared" si="28"/>
        <v>0</v>
      </c>
      <c r="S66" s="21">
        <v>866011.34979124658</v>
      </c>
      <c r="T66" s="21">
        <f t="shared" si="30"/>
        <v>0</v>
      </c>
      <c r="U66" s="21">
        <f t="shared" si="31"/>
        <v>138561.2374665995</v>
      </c>
      <c r="V66" s="21">
        <f t="shared" si="17"/>
        <v>1004572.587257846</v>
      </c>
      <c r="W66" s="21"/>
      <c r="X66" s="5"/>
      <c r="Y66" s="5"/>
      <c r="Z66" s="5">
        <f t="shared" si="18"/>
        <v>0</v>
      </c>
      <c r="AA66" s="5">
        <v>831703.47</v>
      </c>
      <c r="AB66" s="5" t="s">
        <v>56</v>
      </c>
      <c r="AC66" s="5">
        <f t="shared" si="19"/>
        <v>866011.34979124658</v>
      </c>
      <c r="AD66" s="5">
        <f t="shared" si="20"/>
        <v>1004572.587257846</v>
      </c>
      <c r="AE66" s="5">
        <f t="shared" si="21"/>
        <v>4.274215386249125E-2</v>
      </c>
      <c r="AF66" s="5">
        <f>D66-S66</f>
        <v>0</v>
      </c>
      <c r="AG66" s="5" t="s">
        <v>73</v>
      </c>
      <c r="AH66" s="5">
        <v>4</v>
      </c>
      <c r="AI66" s="5">
        <v>1</v>
      </c>
      <c r="AJ66" s="120" t="s">
        <v>215</v>
      </c>
      <c r="AK66" s="5" t="s">
        <v>59</v>
      </c>
      <c r="AL66" s="4" t="s">
        <v>75</v>
      </c>
      <c r="AM66" s="6" t="s">
        <v>216</v>
      </c>
      <c r="AN66" s="21">
        <v>1004572.6299999999</v>
      </c>
      <c r="AO66" s="4" t="s">
        <v>68</v>
      </c>
      <c r="AP66" s="58">
        <v>7</v>
      </c>
      <c r="AQ66" s="58" t="s">
        <v>189</v>
      </c>
      <c r="AR66" s="23">
        <v>46042</v>
      </c>
      <c r="AS66" s="23">
        <f ca="1">TODAY()</f>
        <v>46212</v>
      </c>
      <c r="AT66" s="7">
        <f ca="1">TODAY()</f>
        <v>46212</v>
      </c>
      <c r="AU66" s="4"/>
      <c r="AV66" s="7" t="s">
        <v>254</v>
      </c>
      <c r="AW66" s="4" t="s">
        <v>70</v>
      </c>
      <c r="AX66" s="9" t="s">
        <v>71</v>
      </c>
      <c r="AY66" s="9"/>
      <c r="AZ66" s="4"/>
      <c r="BB66" t="e">
        <f>VLOOKUP(B66,contactos!$A$1:$D$484,4,FALSE)</f>
        <v>#N/A</v>
      </c>
    </row>
    <row r="67" spans="2:54" customFormat="1" x14ac:dyDescent="0.25">
      <c r="B67" s="100">
        <v>81422</v>
      </c>
      <c r="C67" s="4" t="s">
        <v>255</v>
      </c>
      <c r="D67" s="5">
        <v>862425.72</v>
      </c>
      <c r="E67" s="5">
        <v>0</v>
      </c>
      <c r="F67" s="5">
        <v>137988.11520000003</v>
      </c>
      <c r="G67" s="5">
        <v>1000413.8400000001</v>
      </c>
      <c r="H67" s="5">
        <v>1000413.84</v>
      </c>
      <c r="I67" s="5">
        <f t="shared" si="5"/>
        <v>862425.72</v>
      </c>
      <c r="J67" s="5"/>
      <c r="K67" s="5">
        <f t="shared" si="6"/>
        <v>862425.72</v>
      </c>
      <c r="L67" s="5">
        <f t="shared" si="7"/>
        <v>1000413.8352</v>
      </c>
      <c r="M67" s="5"/>
      <c r="N67" s="5">
        <f t="shared" si="8"/>
        <v>1000413.8352</v>
      </c>
      <c r="O67" s="21"/>
      <c r="P67" s="21"/>
      <c r="Q67" s="21"/>
      <c r="R67" s="21">
        <f t="shared" si="28"/>
        <v>0</v>
      </c>
      <c r="S67" s="21">
        <v>862425.72</v>
      </c>
      <c r="T67" s="21">
        <f t="shared" si="30"/>
        <v>0</v>
      </c>
      <c r="U67" s="21">
        <f t="shared" si="31"/>
        <v>137988.11520000003</v>
      </c>
      <c r="V67" s="21">
        <f t="shared" si="17"/>
        <v>1000413.8352</v>
      </c>
      <c r="W67" s="21"/>
      <c r="X67" s="5"/>
      <c r="Y67" s="5"/>
      <c r="Z67" s="5">
        <f t="shared" si="18"/>
        <v>0</v>
      </c>
      <c r="AA67" s="5">
        <v>1254105.24</v>
      </c>
      <c r="AB67" s="5" t="s">
        <v>88</v>
      </c>
      <c r="AC67" s="5">
        <f t="shared" si="19"/>
        <v>862425.72</v>
      </c>
      <c r="AD67" s="5">
        <f t="shared" si="20"/>
        <v>1000413.8352</v>
      </c>
      <c r="AE67" s="5">
        <f t="shared" si="21"/>
        <v>4.8000001115724444E-3</v>
      </c>
      <c r="AF67" s="5"/>
      <c r="AG67" s="5" t="s">
        <v>73</v>
      </c>
      <c r="AH67" s="5">
        <v>4</v>
      </c>
      <c r="AI67" s="5">
        <v>0</v>
      </c>
      <c r="AJ67" s="5">
        <v>0</v>
      </c>
      <c r="AK67" s="5" t="s">
        <v>256</v>
      </c>
      <c r="AL67" s="4" t="s">
        <v>90</v>
      </c>
      <c r="AM67" s="4" t="s">
        <v>107</v>
      </c>
      <c r="AN67" s="21"/>
      <c r="AO67" s="4"/>
      <c r="AP67" s="58"/>
      <c r="AQ67" s="58"/>
      <c r="AR67" s="23"/>
      <c r="AS67" s="23"/>
      <c r="AT67" s="4"/>
      <c r="AU67" s="4"/>
      <c r="AV67" s="4"/>
      <c r="AW67" s="4"/>
      <c r="AX67" s="9"/>
      <c r="AY67" s="9"/>
      <c r="AZ67" s="4"/>
      <c r="BB67" t="e">
        <f>VLOOKUP(B67,contactos!$A$1:$D$484,4,FALSE)</f>
        <v>#N/A</v>
      </c>
    </row>
    <row r="68" spans="2:54" customFormat="1" x14ac:dyDescent="0.25">
      <c r="B68" s="100">
        <v>394189</v>
      </c>
      <c r="C68" s="4" t="s">
        <v>257</v>
      </c>
      <c r="D68" s="5">
        <v>861532.13134624402</v>
      </c>
      <c r="E68" s="5">
        <v>0</v>
      </c>
      <c r="F68" s="5">
        <v>137845.29941539903</v>
      </c>
      <c r="G68" s="5">
        <v>999377.42</v>
      </c>
      <c r="H68" s="5">
        <v>999377.42</v>
      </c>
      <c r="I68" s="5">
        <f t="shared" si="5"/>
        <v>861532.13134624402</v>
      </c>
      <c r="J68" s="5"/>
      <c r="K68" s="5">
        <f t="shared" si="6"/>
        <v>861532.13134624402</v>
      </c>
      <c r="L68" s="5">
        <f t="shared" si="7"/>
        <v>999377.43076164299</v>
      </c>
      <c r="M68" s="5"/>
      <c r="N68" s="5">
        <f t="shared" si="8"/>
        <v>999377.43076164299</v>
      </c>
      <c r="O68" s="21"/>
      <c r="P68" s="21"/>
      <c r="Q68" s="21"/>
      <c r="R68" s="21">
        <f t="shared" si="28"/>
        <v>0</v>
      </c>
      <c r="S68" s="21">
        <v>861532.13134624402</v>
      </c>
      <c r="T68" s="21">
        <f t="shared" si="30"/>
        <v>0</v>
      </c>
      <c r="U68" s="21">
        <f t="shared" si="31"/>
        <v>137845.29941539903</v>
      </c>
      <c r="V68" s="21">
        <f t="shared" si="17"/>
        <v>999377.43076164299</v>
      </c>
      <c r="W68" s="21"/>
      <c r="X68" s="5"/>
      <c r="Y68" s="5"/>
      <c r="Z68" s="5">
        <f t="shared" si="18"/>
        <v>0</v>
      </c>
      <c r="AA68" s="5">
        <v>9004960.8100000005</v>
      </c>
      <c r="AB68" s="5" t="s">
        <v>258</v>
      </c>
      <c r="AC68" s="5">
        <f t="shared" si="19"/>
        <v>861532.13134624402</v>
      </c>
      <c r="AD68" s="5">
        <f t="shared" si="20"/>
        <v>999377.43076164299</v>
      </c>
      <c r="AE68" s="5">
        <f t="shared" si="21"/>
        <v>-1.0761642944999039E-2</v>
      </c>
      <c r="AF68" s="5">
        <f>D68-S68</f>
        <v>0</v>
      </c>
      <c r="AG68" s="5" t="s">
        <v>73</v>
      </c>
      <c r="AH68" s="5">
        <v>4</v>
      </c>
      <c r="AI68" s="5">
        <v>0</v>
      </c>
      <c r="AJ68" s="120" t="s">
        <v>259</v>
      </c>
      <c r="AK68" s="5" t="s">
        <v>256</v>
      </c>
      <c r="AL68" s="4" t="s">
        <v>90</v>
      </c>
      <c r="AM68" s="4" t="s">
        <v>216</v>
      </c>
      <c r="AN68" s="41"/>
      <c r="AO68" s="32"/>
      <c r="AP68" s="58"/>
      <c r="AQ68" s="58"/>
      <c r="AR68" s="23"/>
      <c r="AS68" s="23"/>
      <c r="AT68" s="4"/>
      <c r="AU68" s="4"/>
      <c r="AV68" s="4"/>
      <c r="AW68" s="4"/>
      <c r="AX68" s="9"/>
      <c r="AY68" s="9"/>
      <c r="AZ68" s="4"/>
      <c r="BB68" t="str">
        <f>VLOOKUP(B68,contactos!$A$1:$D$484,4,FALSE)</f>
        <v xml:space="preserve">irais.perez@uscotton.com </v>
      </c>
    </row>
    <row r="69" spans="2:54" customFormat="1" x14ac:dyDescent="0.25">
      <c r="B69" s="100">
        <v>53256</v>
      </c>
      <c r="C69" s="4" t="s">
        <v>260</v>
      </c>
      <c r="D69" s="5">
        <v>825790.18705603993</v>
      </c>
      <c r="E69" s="5">
        <v>0</v>
      </c>
      <c r="F69" s="5">
        <v>132126.43003424001</v>
      </c>
      <c r="G69" s="5">
        <v>957916.60030000005</v>
      </c>
      <c r="H69" s="5">
        <v>813643.35</v>
      </c>
      <c r="I69" s="5">
        <f t="shared" si="5"/>
        <v>701416.69705603993</v>
      </c>
      <c r="J69" s="5"/>
      <c r="K69" s="5">
        <f t="shared" si="6"/>
        <v>701416.69705603993</v>
      </c>
      <c r="L69" s="5">
        <f t="shared" si="7"/>
        <v>813643.36709027993</v>
      </c>
      <c r="M69" s="5"/>
      <c r="N69" s="5">
        <f t="shared" si="8"/>
        <v>813643.36709027993</v>
      </c>
      <c r="O69" s="21">
        <f>D69-W69</f>
        <v>701416.69705603993</v>
      </c>
      <c r="P69" s="21">
        <v>0</v>
      </c>
      <c r="Q69" s="21">
        <v>112226.67003424001</v>
      </c>
      <c r="R69" s="21">
        <f t="shared" si="28"/>
        <v>813643.36709027993</v>
      </c>
      <c r="S69" s="74">
        <v>0</v>
      </c>
      <c r="T69" s="21">
        <f t="shared" ref="T69:T91" si="32">E69-X69</f>
        <v>0</v>
      </c>
      <c r="U69" s="21">
        <f>F69-Q69-Y69</f>
        <v>0</v>
      </c>
      <c r="V69" s="21">
        <f t="shared" si="17"/>
        <v>0</v>
      </c>
      <c r="W69" s="21">
        <v>124373.49</v>
      </c>
      <c r="X69" s="5">
        <v>0</v>
      </c>
      <c r="Y69" s="5">
        <v>19899.759999999998</v>
      </c>
      <c r="Z69" s="5">
        <f t="shared" si="18"/>
        <v>144273.25</v>
      </c>
      <c r="AA69" s="5">
        <v>969636.03</v>
      </c>
      <c r="AB69" s="5" t="s">
        <v>258</v>
      </c>
      <c r="AC69" s="5">
        <f t="shared" si="19"/>
        <v>825790.18705603993</v>
      </c>
      <c r="AD69" s="5">
        <f t="shared" si="20"/>
        <v>957916.61709027993</v>
      </c>
      <c r="AE69" s="5">
        <f t="shared" si="21"/>
        <v>-1.6790279885753989E-2</v>
      </c>
      <c r="AF69" s="5"/>
      <c r="AG69" s="5" t="s">
        <v>81</v>
      </c>
      <c r="AH69" s="5">
        <v>4</v>
      </c>
      <c r="AI69" s="5">
        <v>0</v>
      </c>
      <c r="AJ69" s="5">
        <v>0</v>
      </c>
      <c r="AK69" s="5" t="s">
        <v>59</v>
      </c>
      <c r="AL69" s="4" t="s">
        <v>82</v>
      </c>
      <c r="AM69" s="40" t="s">
        <v>137</v>
      </c>
      <c r="AN69" s="39">
        <v>268439.49</v>
      </c>
      <c r="AO69" s="30" t="s">
        <v>261</v>
      </c>
      <c r="AP69" s="60">
        <v>1</v>
      </c>
      <c r="AQ69" s="60" t="s">
        <v>125</v>
      </c>
      <c r="AR69" s="23">
        <v>46048</v>
      </c>
      <c r="AS69" s="23">
        <v>46048</v>
      </c>
      <c r="AT69" s="4"/>
      <c r="AU69" s="4"/>
      <c r="AV69" s="7" t="s">
        <v>262</v>
      </c>
      <c r="AW69" s="13" t="s">
        <v>85</v>
      </c>
      <c r="AX69" s="9" t="s">
        <v>71</v>
      </c>
      <c r="AY69" s="9"/>
      <c r="AZ69" s="4"/>
      <c r="BB69" t="str">
        <f>VLOOKUP(B69,contactos!$A$1:$D$484,4,FALSE)</f>
        <v> eochoa@losbelenes.com.mx</v>
      </c>
    </row>
    <row r="70" spans="2:54" customFormat="1" x14ac:dyDescent="0.25">
      <c r="B70" s="100">
        <v>16068</v>
      </c>
      <c r="C70" s="4" t="s">
        <v>263</v>
      </c>
      <c r="D70" s="5">
        <v>821068.10881523206</v>
      </c>
      <c r="E70" s="5">
        <v>0</v>
      </c>
      <c r="F70" s="5">
        <v>131370.88085000511</v>
      </c>
      <c r="G70" s="5">
        <v>952439.06780000008</v>
      </c>
      <c r="H70" s="5">
        <v>0</v>
      </c>
      <c r="I70" s="5">
        <f t="shared" si="5"/>
        <v>821068.10881523206</v>
      </c>
      <c r="J70" s="5"/>
      <c r="K70" s="5">
        <f t="shared" si="6"/>
        <v>821068.10881523206</v>
      </c>
      <c r="L70" s="5">
        <f t="shared" si="7"/>
        <v>952438.98966523714</v>
      </c>
      <c r="M70" s="5"/>
      <c r="N70" s="5">
        <f t="shared" si="8"/>
        <v>952438.98966523714</v>
      </c>
      <c r="O70" s="21"/>
      <c r="P70" s="21"/>
      <c r="Q70" s="21"/>
      <c r="R70" s="21">
        <f t="shared" si="28"/>
        <v>0</v>
      </c>
      <c r="S70" s="21">
        <v>821068.10881523206</v>
      </c>
      <c r="T70" s="21">
        <f t="shared" si="32"/>
        <v>0</v>
      </c>
      <c r="U70" s="21">
        <f t="shared" ref="U70:U84" si="33">F70-Y70</f>
        <v>131370.88085000511</v>
      </c>
      <c r="V70" s="21">
        <f t="shared" si="17"/>
        <v>952438.98966523714</v>
      </c>
      <c r="W70" s="21"/>
      <c r="X70" s="5"/>
      <c r="Y70" s="5"/>
      <c r="Z70" s="5">
        <f t="shared" si="18"/>
        <v>0</v>
      </c>
      <c r="AA70" s="5">
        <v>894050.83</v>
      </c>
      <c r="AB70" s="5" t="s">
        <v>258</v>
      </c>
      <c r="AC70" s="5">
        <f t="shared" si="19"/>
        <v>821068.10881523206</v>
      </c>
      <c r="AD70" s="5">
        <f t="shared" si="20"/>
        <v>952438.98966523714</v>
      </c>
      <c r="AE70" s="5">
        <f t="shared" si="21"/>
        <v>7.8134762938134372E-2</v>
      </c>
      <c r="AF70" s="5">
        <f>D70-S70</f>
        <v>0</v>
      </c>
      <c r="AG70" s="5" t="s">
        <v>238</v>
      </c>
      <c r="AH70" s="5">
        <v>4</v>
      </c>
      <c r="AI70" s="5">
        <v>0</v>
      </c>
      <c r="AJ70" s="5" t="s">
        <v>212</v>
      </c>
      <c r="AK70" s="5" t="s">
        <v>256</v>
      </c>
      <c r="AL70" s="4" t="s">
        <v>90</v>
      </c>
      <c r="AM70" s="4" t="s">
        <v>148</v>
      </c>
      <c r="AN70" s="38"/>
      <c r="AO70" s="29"/>
      <c r="AP70" s="58"/>
      <c r="AQ70" s="58"/>
      <c r="AR70" s="23"/>
      <c r="AS70" s="23"/>
      <c r="AT70" s="4"/>
      <c r="AU70" s="4"/>
      <c r="AV70" s="4"/>
      <c r="AW70" s="4"/>
      <c r="AX70" s="9"/>
      <c r="AY70" s="9"/>
      <c r="AZ70" s="4"/>
      <c r="BB70" t="e">
        <f>VLOOKUP(B70,contactos!$A$1:$D$484,4,FALSE)</f>
        <v>#N/A</v>
      </c>
    </row>
    <row r="71" spans="2:54" customFormat="1" x14ac:dyDescent="0.25">
      <c r="B71" s="100">
        <v>33571</v>
      </c>
      <c r="C71" s="4" t="s">
        <v>264</v>
      </c>
      <c r="D71" s="5">
        <v>945096.76</v>
      </c>
      <c r="E71" s="5">
        <v>0</v>
      </c>
      <c r="F71" s="5">
        <v>0</v>
      </c>
      <c r="G71" s="5">
        <v>945096.76</v>
      </c>
      <c r="H71" s="5">
        <v>945096.75</v>
      </c>
      <c r="I71" s="5">
        <f t="shared" si="5"/>
        <v>945096.76</v>
      </c>
      <c r="J71" s="5"/>
      <c r="K71" s="5">
        <f t="shared" si="6"/>
        <v>945096.76</v>
      </c>
      <c r="L71" s="5">
        <f t="shared" si="7"/>
        <v>945096.76</v>
      </c>
      <c r="M71" s="5"/>
      <c r="N71" s="5">
        <f t="shared" si="8"/>
        <v>945096.76</v>
      </c>
      <c r="O71" s="21"/>
      <c r="P71" s="21"/>
      <c r="Q71" s="21"/>
      <c r="R71" s="21">
        <f t="shared" si="28"/>
        <v>0</v>
      </c>
      <c r="S71" s="21">
        <v>945096.76</v>
      </c>
      <c r="T71" s="21">
        <f t="shared" si="32"/>
        <v>0</v>
      </c>
      <c r="U71" s="21">
        <f t="shared" si="33"/>
        <v>0</v>
      </c>
      <c r="V71" s="21">
        <f t="shared" si="17"/>
        <v>945096.76</v>
      </c>
      <c r="W71" s="21"/>
      <c r="X71" s="5"/>
      <c r="Y71" s="5"/>
      <c r="Z71" s="5">
        <f t="shared" si="18"/>
        <v>0</v>
      </c>
      <c r="AA71" s="5">
        <v>832738.77</v>
      </c>
      <c r="AB71" s="5" t="s">
        <v>258</v>
      </c>
      <c r="AC71" s="5">
        <f t="shared" si="19"/>
        <v>945096.76</v>
      </c>
      <c r="AD71" s="5">
        <f t="shared" si="20"/>
        <v>945096.76</v>
      </c>
      <c r="AE71" s="5">
        <f t="shared" si="21"/>
        <v>0</v>
      </c>
      <c r="AF71" s="5"/>
      <c r="AG71" s="5" t="s">
        <v>73</v>
      </c>
      <c r="AH71" s="5">
        <v>4</v>
      </c>
      <c r="AI71" s="5">
        <v>0</v>
      </c>
      <c r="AJ71" s="5">
        <v>0</v>
      </c>
      <c r="AK71" s="5" t="s">
        <v>256</v>
      </c>
      <c r="AL71" s="4" t="s">
        <v>90</v>
      </c>
      <c r="AM71" s="4" t="s">
        <v>107</v>
      </c>
      <c r="AN71" s="21"/>
      <c r="AO71" s="4"/>
      <c r="AP71" s="58"/>
      <c r="AQ71" s="58"/>
      <c r="AR71" s="23"/>
      <c r="AS71" s="23"/>
      <c r="AT71" s="4"/>
      <c r="AU71" s="4"/>
      <c r="AV71" s="4"/>
      <c r="AW71" s="4"/>
      <c r="AX71" s="9"/>
      <c r="AY71" s="9"/>
      <c r="AZ71" s="4"/>
      <c r="BB71" t="e">
        <f>VLOOKUP(B71,contactos!$A$1:$D$484,4,FALSE)</f>
        <v>#N/A</v>
      </c>
    </row>
    <row r="72" spans="2:54" customFormat="1" x14ac:dyDescent="0.25">
      <c r="B72" s="100">
        <v>304196</v>
      </c>
      <c r="C72" s="4" t="s">
        <v>265</v>
      </c>
      <c r="D72" s="5">
        <v>927389.66162400006</v>
      </c>
      <c r="E72" s="5">
        <v>0</v>
      </c>
      <c r="F72" s="5">
        <v>0</v>
      </c>
      <c r="G72" s="5">
        <v>927389.66160000011</v>
      </c>
      <c r="H72" s="5">
        <v>39399.81</v>
      </c>
      <c r="I72" s="5">
        <f t="shared" ref="I72:I135" si="34">O72+S72</f>
        <v>927389.66162400006</v>
      </c>
      <c r="J72" s="5"/>
      <c r="K72" s="5">
        <f t="shared" ref="K72:K135" si="35">I72-J72</f>
        <v>927389.66162400006</v>
      </c>
      <c r="L72" s="5">
        <f t="shared" ref="L72:L135" si="36">R72+V72</f>
        <v>927389.66162400006</v>
      </c>
      <c r="M72" s="5"/>
      <c r="N72" s="5">
        <f t="shared" ref="N72:N135" si="37">L72-M72</f>
        <v>927389.66162400006</v>
      </c>
      <c r="O72" s="21"/>
      <c r="P72" s="21"/>
      <c r="Q72" s="21"/>
      <c r="R72" s="21">
        <f t="shared" si="28"/>
        <v>0</v>
      </c>
      <c r="S72" s="21">
        <v>927389.66162400006</v>
      </c>
      <c r="T72" s="21">
        <f t="shared" si="32"/>
        <v>0</v>
      </c>
      <c r="U72" s="21">
        <f t="shared" si="33"/>
        <v>0</v>
      </c>
      <c r="V72" s="21">
        <f t="shared" si="17"/>
        <v>927389.66162400006</v>
      </c>
      <c r="W72" s="21"/>
      <c r="X72" s="5"/>
      <c r="Y72" s="5"/>
      <c r="Z72" s="5">
        <f t="shared" si="18"/>
        <v>0</v>
      </c>
      <c r="AA72" s="5">
        <v>30545.9</v>
      </c>
      <c r="AB72" s="5" t="s">
        <v>258</v>
      </c>
      <c r="AC72" s="5">
        <f t="shared" si="19"/>
        <v>927389.66162400006</v>
      </c>
      <c r="AD72" s="5">
        <f t="shared" si="20"/>
        <v>927389.66162400006</v>
      </c>
      <c r="AE72" s="5">
        <f t="shared" si="21"/>
        <v>-2.3999949917197227E-5</v>
      </c>
      <c r="AF72" s="5">
        <f t="shared" ref="AF72:AF77" si="38">D72-S72</f>
        <v>0</v>
      </c>
      <c r="AG72" s="5" t="s">
        <v>73</v>
      </c>
      <c r="AH72" s="5">
        <v>4</v>
      </c>
      <c r="AI72" s="5">
        <v>0</v>
      </c>
      <c r="AJ72" s="5">
        <v>0</v>
      </c>
      <c r="AK72" s="5" t="s">
        <v>256</v>
      </c>
      <c r="AL72" s="4" t="s">
        <v>90</v>
      </c>
      <c r="AM72" s="4" t="s">
        <v>162</v>
      </c>
      <c r="AN72" s="21"/>
      <c r="AO72" s="4"/>
      <c r="AP72" s="58"/>
      <c r="AQ72" s="58"/>
      <c r="AR72" s="23"/>
      <c r="AS72" s="23"/>
      <c r="AT72" s="4"/>
      <c r="AU72" s="4"/>
      <c r="AV72" s="4"/>
      <c r="AW72" s="4"/>
      <c r="AX72" s="9"/>
      <c r="AY72" s="9"/>
      <c r="AZ72" s="4"/>
      <c r="BB72" t="e">
        <f>VLOOKUP(B72,contactos!$A$1:$D$484,4,FALSE)</f>
        <v>#N/A</v>
      </c>
    </row>
    <row r="73" spans="2:54" customFormat="1" x14ac:dyDescent="0.25">
      <c r="B73" s="100">
        <v>306225</v>
      </c>
      <c r="C73" s="4" t="s">
        <v>266</v>
      </c>
      <c r="D73" s="5">
        <v>803396.8</v>
      </c>
      <c r="E73" s="5">
        <v>6186.5016000000005</v>
      </c>
      <c r="F73" s="5">
        <v>106913.5808</v>
      </c>
      <c r="G73" s="5">
        <v>916496.61</v>
      </c>
      <c r="H73" s="5">
        <v>583971.93999999994</v>
      </c>
      <c r="I73" s="5">
        <f t="shared" si="34"/>
        <v>803396.8</v>
      </c>
      <c r="J73" s="5"/>
      <c r="K73" s="5">
        <f t="shared" si="35"/>
        <v>803396.8</v>
      </c>
      <c r="L73" s="5">
        <f t="shared" si="36"/>
        <v>916496.8824</v>
      </c>
      <c r="M73" s="5"/>
      <c r="N73" s="5">
        <f t="shared" si="37"/>
        <v>916496.8824</v>
      </c>
      <c r="O73" s="21"/>
      <c r="P73" s="21"/>
      <c r="Q73" s="21"/>
      <c r="R73" s="21">
        <f t="shared" si="28"/>
        <v>0</v>
      </c>
      <c r="S73" s="21">
        <v>803396.8</v>
      </c>
      <c r="T73" s="21">
        <f t="shared" si="32"/>
        <v>6186.5016000000005</v>
      </c>
      <c r="U73" s="21">
        <f t="shared" si="33"/>
        <v>106913.5808</v>
      </c>
      <c r="V73" s="21">
        <f t="shared" ref="V73:V136" si="39">SUM(S73:U73)</f>
        <v>916496.8824</v>
      </c>
      <c r="W73" s="21"/>
      <c r="X73" s="5"/>
      <c r="Y73" s="5"/>
      <c r="Z73" s="5">
        <f t="shared" ref="Z73:Z136" si="40">SUM(W73:Y73)</f>
        <v>0</v>
      </c>
      <c r="AA73" s="5">
        <v>1564682.29</v>
      </c>
      <c r="AB73" s="5" t="s">
        <v>258</v>
      </c>
      <c r="AC73" s="5">
        <f t="shared" ref="AC73:AC136" si="41">O73+S73+W73</f>
        <v>803396.8</v>
      </c>
      <c r="AD73" s="5">
        <f t="shared" ref="AD73:AD136" si="42">R73+V73+Z73</f>
        <v>916496.8824</v>
      </c>
      <c r="AE73" s="5">
        <f t="shared" ref="AE73:AE136" si="43">G73-AD73</f>
        <v>-0.27240000001620501</v>
      </c>
      <c r="AF73" s="5">
        <f t="shared" si="38"/>
        <v>0</v>
      </c>
      <c r="AG73" s="5" t="s">
        <v>73</v>
      </c>
      <c r="AH73" s="5">
        <v>4</v>
      </c>
      <c r="AI73" s="5">
        <v>3</v>
      </c>
      <c r="AJ73" s="5" t="s">
        <v>267</v>
      </c>
      <c r="AK73" s="5" t="s">
        <v>59</v>
      </c>
      <c r="AL73" s="4" t="s">
        <v>90</v>
      </c>
      <c r="AM73" s="4" t="s">
        <v>94</v>
      </c>
      <c r="AN73" s="21"/>
      <c r="AO73" s="4"/>
      <c r="AP73" s="58"/>
      <c r="AQ73" s="58"/>
      <c r="AR73" s="23"/>
      <c r="AS73" s="23"/>
      <c r="AT73" s="4"/>
      <c r="AU73" s="4"/>
      <c r="AV73" s="4"/>
      <c r="AW73" s="4"/>
      <c r="AX73" s="9"/>
      <c r="AY73" s="9"/>
      <c r="AZ73" s="4"/>
      <c r="BB73" t="str">
        <f>VLOOKUP(B73,contactos!$A$1:$D$484,4,FALSE)</f>
        <v>trujillo.g@gifan.com.mx</v>
      </c>
    </row>
    <row r="74" spans="2:54" customFormat="1" x14ac:dyDescent="0.25">
      <c r="B74" s="100">
        <v>11361</v>
      </c>
      <c r="C74" s="4" t="s">
        <v>268</v>
      </c>
      <c r="D74" s="5">
        <v>786706.16157826397</v>
      </c>
      <c r="E74" s="5">
        <v>0</v>
      </c>
      <c r="F74" s="5">
        <v>125873.01885252225</v>
      </c>
      <c r="G74" s="5">
        <v>912579.27</v>
      </c>
      <c r="H74" s="5">
        <v>1281387.92</v>
      </c>
      <c r="I74" s="5">
        <f t="shared" si="34"/>
        <v>476899.57157826395</v>
      </c>
      <c r="J74" s="5"/>
      <c r="K74" s="5">
        <f t="shared" si="35"/>
        <v>476899.57157826395</v>
      </c>
      <c r="L74" s="5">
        <f t="shared" si="36"/>
        <v>553203.64</v>
      </c>
      <c r="M74" s="5"/>
      <c r="N74" s="5">
        <f t="shared" si="37"/>
        <v>553203.64</v>
      </c>
      <c r="O74" s="21"/>
      <c r="P74" s="21"/>
      <c r="Q74" s="21"/>
      <c r="R74" s="21">
        <f t="shared" si="28"/>
        <v>0</v>
      </c>
      <c r="S74" s="21">
        <f>D74-W74</f>
        <v>476899.57157826395</v>
      </c>
      <c r="T74" s="21">
        <f>E74-X74</f>
        <v>0</v>
      </c>
      <c r="U74" s="21">
        <f>F74-Y74</f>
        <v>76303.978852522239</v>
      </c>
      <c r="V74" s="21">
        <f>G74-Z74</f>
        <v>553203.64</v>
      </c>
      <c r="W74" s="21">
        <v>309806.59000000003</v>
      </c>
      <c r="X74" s="5">
        <v>0</v>
      </c>
      <c r="Y74" s="5">
        <v>49569.04</v>
      </c>
      <c r="Z74" s="5">
        <f t="shared" si="40"/>
        <v>359375.63</v>
      </c>
      <c r="AA74" s="5">
        <v>4024372.96</v>
      </c>
      <c r="AB74" s="5" t="s">
        <v>258</v>
      </c>
      <c r="AC74" s="5">
        <f t="shared" si="41"/>
        <v>786706.16157826397</v>
      </c>
      <c r="AD74" s="5">
        <f t="shared" si="42"/>
        <v>912579.27</v>
      </c>
      <c r="AE74" s="5">
        <f t="shared" si="43"/>
        <v>0</v>
      </c>
      <c r="AF74" s="5">
        <f t="shared" si="38"/>
        <v>309806.59000000003</v>
      </c>
      <c r="AG74" s="5" t="s">
        <v>73</v>
      </c>
      <c r="AH74" s="5">
        <v>4</v>
      </c>
      <c r="AI74" s="5">
        <v>10</v>
      </c>
      <c r="AJ74" s="120" t="s">
        <v>269</v>
      </c>
      <c r="AK74" s="5" t="s">
        <v>59</v>
      </c>
      <c r="AL74" s="4" t="s">
        <v>75</v>
      </c>
      <c r="AM74" s="6" t="s">
        <v>216</v>
      </c>
      <c r="AN74" s="21"/>
      <c r="AO74" s="4"/>
      <c r="AP74" s="58"/>
      <c r="AQ74" s="58"/>
      <c r="AR74" s="23"/>
      <c r="AS74" s="23"/>
      <c r="AT74" s="4"/>
      <c r="AU74" s="4"/>
      <c r="AV74" s="4"/>
      <c r="AW74" s="4"/>
      <c r="AX74" s="9"/>
      <c r="AY74" s="9"/>
      <c r="AZ74" s="4"/>
      <c r="BB74" t="str">
        <f>VLOOKUP(B74,contactos!$A$1:$D$484,4,FALSE)</f>
        <v>jaldape@comcantu.com</v>
      </c>
    </row>
    <row r="75" spans="2:54" customFormat="1" x14ac:dyDescent="0.25">
      <c r="B75" s="100">
        <v>384776</v>
      </c>
      <c r="C75" s="4" t="s">
        <v>270</v>
      </c>
      <c r="D75" s="5">
        <v>603036.43118287146</v>
      </c>
      <c r="E75" s="5">
        <v>160860.24754408322</v>
      </c>
      <c r="F75" s="5">
        <v>122223.4685763125</v>
      </c>
      <c r="G75" s="5">
        <v>886120.11999999988</v>
      </c>
      <c r="H75" s="5">
        <v>0</v>
      </c>
      <c r="I75" s="5">
        <f t="shared" si="34"/>
        <v>231947.43118287146</v>
      </c>
      <c r="J75" s="5">
        <v>0</v>
      </c>
      <c r="K75" s="5">
        <f t="shared" si="35"/>
        <v>231947.43118287146</v>
      </c>
      <c r="L75" s="5">
        <f>R75+V75</f>
        <v>341584.53499999992</v>
      </c>
      <c r="M75" s="5">
        <v>0</v>
      </c>
      <c r="N75" s="5">
        <f>L75-M75</f>
        <v>341584.53499999992</v>
      </c>
      <c r="O75" s="21">
        <v>79073</v>
      </c>
      <c r="P75" s="21">
        <v>21003</v>
      </c>
      <c r="Q75" s="21">
        <v>16012</v>
      </c>
      <c r="R75" s="21">
        <f t="shared" si="28"/>
        <v>116088</v>
      </c>
      <c r="S75" s="21">
        <f>D75-(O75+W75)</f>
        <v>152874.43118287146</v>
      </c>
      <c r="T75" s="21">
        <f>E75-(P75+X75)</f>
        <v>41518.662544083214</v>
      </c>
      <c r="U75" s="21">
        <f>F75-(Q75+Y75)</f>
        <v>31103.468576312502</v>
      </c>
      <c r="V75" s="21">
        <f>G75-(R75+Z75)</f>
        <v>225496.53499999992</v>
      </c>
      <c r="W75" s="21">
        <v>371089</v>
      </c>
      <c r="X75" s="5">
        <v>98338.585000000006</v>
      </c>
      <c r="Y75" s="5">
        <v>75108</v>
      </c>
      <c r="Z75" s="5">
        <f t="shared" si="40"/>
        <v>544535.58499999996</v>
      </c>
      <c r="AA75" s="5">
        <v>159233.19</v>
      </c>
      <c r="AB75" s="5" t="s">
        <v>258</v>
      </c>
      <c r="AC75" s="5">
        <f t="shared" si="41"/>
        <v>603036.43118287146</v>
      </c>
      <c r="AD75" s="5">
        <f t="shared" si="42"/>
        <v>886120.11999999988</v>
      </c>
      <c r="AE75" s="5">
        <f t="shared" si="43"/>
        <v>0</v>
      </c>
      <c r="AF75" s="5">
        <f t="shared" si="38"/>
        <v>450162</v>
      </c>
      <c r="AG75" s="5" t="s">
        <v>57</v>
      </c>
      <c r="AH75" s="5">
        <v>4</v>
      </c>
      <c r="AI75" s="5">
        <v>4</v>
      </c>
      <c r="AJ75" s="5" t="s">
        <v>271</v>
      </c>
      <c r="AK75" s="5" t="s">
        <v>59</v>
      </c>
      <c r="AL75" s="4" t="s">
        <v>75</v>
      </c>
      <c r="AM75" s="6" t="s">
        <v>119</v>
      </c>
      <c r="AN75" s="5">
        <v>886120.11999999988</v>
      </c>
      <c r="AO75" s="13" t="s">
        <v>68</v>
      </c>
      <c r="AP75" s="58"/>
      <c r="AQ75" s="58"/>
      <c r="AR75" s="23">
        <v>46042</v>
      </c>
      <c r="AS75" s="23">
        <v>46042</v>
      </c>
      <c r="AT75" s="7">
        <v>46043</v>
      </c>
      <c r="AU75" s="4"/>
      <c r="AV75" s="13" t="s">
        <v>272</v>
      </c>
      <c r="AW75" s="4"/>
      <c r="AX75" s="9"/>
      <c r="AY75" s="9" t="s">
        <v>71</v>
      </c>
      <c r="AZ75" s="4"/>
      <c r="BB75" t="str">
        <f>VLOOKUP(B75,contactos!$A$1:$D$484,4,FALSE)</f>
        <v>ARACELI.REYNAGA@VINUX.COM.MX</v>
      </c>
    </row>
    <row r="76" spans="2:54" customFormat="1" x14ac:dyDescent="0.25">
      <c r="B76" s="100">
        <v>55798</v>
      </c>
      <c r="C76" s="4" t="s">
        <v>273</v>
      </c>
      <c r="D76" s="5">
        <v>742175.06802572915</v>
      </c>
      <c r="E76" s="5">
        <v>0</v>
      </c>
      <c r="F76" s="5">
        <v>118748.03828411664</v>
      </c>
      <c r="G76" s="5">
        <v>860923.08000000007</v>
      </c>
      <c r="H76" s="5">
        <v>0</v>
      </c>
      <c r="I76" s="5">
        <f t="shared" si="34"/>
        <v>742175.06802572915</v>
      </c>
      <c r="J76" s="5"/>
      <c r="K76" s="5">
        <f t="shared" si="35"/>
        <v>742175.06802572915</v>
      </c>
      <c r="L76" s="5">
        <f t="shared" si="36"/>
        <v>860923.10630984581</v>
      </c>
      <c r="M76" s="5"/>
      <c r="N76" s="5">
        <f t="shared" si="37"/>
        <v>860923.10630984581</v>
      </c>
      <c r="O76" s="21"/>
      <c r="P76" s="21"/>
      <c r="Q76" s="21"/>
      <c r="R76" s="21">
        <f t="shared" si="28"/>
        <v>0</v>
      </c>
      <c r="S76" s="21">
        <v>742175.06802572915</v>
      </c>
      <c r="T76" s="21">
        <f t="shared" si="32"/>
        <v>0</v>
      </c>
      <c r="U76" s="21">
        <f t="shared" si="33"/>
        <v>118748.03828411664</v>
      </c>
      <c r="V76" s="21">
        <f t="shared" si="39"/>
        <v>860923.10630984581</v>
      </c>
      <c r="W76" s="21"/>
      <c r="X76" s="5"/>
      <c r="Y76" s="5"/>
      <c r="Z76" s="5">
        <f t="shared" si="40"/>
        <v>0</v>
      </c>
      <c r="AA76" s="5">
        <v>925108.34</v>
      </c>
      <c r="AB76" s="5" t="s">
        <v>258</v>
      </c>
      <c r="AC76" s="5">
        <f t="shared" si="41"/>
        <v>742175.06802572915</v>
      </c>
      <c r="AD76" s="5">
        <f t="shared" si="42"/>
        <v>860923.10630984581</v>
      </c>
      <c r="AE76" s="5">
        <f t="shared" si="43"/>
        <v>-2.6309845736250281E-2</v>
      </c>
      <c r="AF76" s="5">
        <f t="shared" si="38"/>
        <v>0</v>
      </c>
      <c r="AG76" s="5" t="s">
        <v>73</v>
      </c>
      <c r="AH76" s="5">
        <v>4</v>
      </c>
      <c r="AI76" s="5">
        <v>0</v>
      </c>
      <c r="AJ76" s="5" t="s">
        <v>274</v>
      </c>
      <c r="AK76" s="5" t="s">
        <v>256</v>
      </c>
      <c r="AL76" s="4" t="s">
        <v>90</v>
      </c>
      <c r="AM76" s="4" t="s">
        <v>148</v>
      </c>
      <c r="AN76" s="21"/>
      <c r="AO76" s="4"/>
      <c r="AP76" s="58"/>
      <c r="AQ76" s="58"/>
      <c r="AR76" s="23"/>
      <c r="AS76" s="23"/>
      <c r="AT76" s="4"/>
      <c r="AU76" s="4"/>
      <c r="AV76" s="4"/>
      <c r="AW76" s="4"/>
      <c r="AX76" s="9"/>
      <c r="AY76" s="9"/>
      <c r="AZ76" s="4"/>
      <c r="BB76" t="str">
        <f>VLOOKUP(B76,contactos!$A$1:$D$484,4,FALSE)</f>
        <v>alejandra.carrion@solatextil.mx</v>
      </c>
    </row>
    <row r="77" spans="2:54" customFormat="1" x14ac:dyDescent="0.25">
      <c r="B77" s="100">
        <v>85902</v>
      </c>
      <c r="C77" s="4" t="s">
        <v>275</v>
      </c>
      <c r="D77" s="5">
        <v>725653.97848085605</v>
      </c>
      <c r="E77" s="5">
        <v>0</v>
      </c>
      <c r="F77" s="5">
        <v>116104.63035693695</v>
      </c>
      <c r="G77" s="5">
        <v>841758.62999999989</v>
      </c>
      <c r="H77" s="5">
        <v>841758.63</v>
      </c>
      <c r="I77" s="5">
        <f t="shared" si="34"/>
        <v>725653.97848085605</v>
      </c>
      <c r="J77" s="5"/>
      <c r="K77" s="5">
        <f t="shared" si="35"/>
        <v>725653.97848085605</v>
      </c>
      <c r="L77" s="5">
        <f t="shared" si="36"/>
        <v>841758.608837793</v>
      </c>
      <c r="M77" s="5"/>
      <c r="N77" s="5">
        <f t="shared" si="37"/>
        <v>841758.608837793</v>
      </c>
      <c r="O77" s="21"/>
      <c r="P77" s="21"/>
      <c r="Q77" s="21"/>
      <c r="R77" s="21">
        <f t="shared" si="28"/>
        <v>0</v>
      </c>
      <c r="S77" s="21">
        <v>725653.97848085605</v>
      </c>
      <c r="T77" s="21">
        <f t="shared" si="32"/>
        <v>0</v>
      </c>
      <c r="U77" s="21">
        <f t="shared" si="33"/>
        <v>116104.63035693695</v>
      </c>
      <c r="V77" s="21">
        <f t="shared" si="39"/>
        <v>841758.608837793</v>
      </c>
      <c r="W77" s="21"/>
      <c r="X77" s="5"/>
      <c r="Y77" s="5"/>
      <c r="Z77" s="5">
        <f t="shared" si="40"/>
        <v>0</v>
      </c>
      <c r="AA77" s="5">
        <v>1405532.52</v>
      </c>
      <c r="AB77" s="5" t="s">
        <v>258</v>
      </c>
      <c r="AC77" s="5">
        <f t="shared" si="41"/>
        <v>725653.97848085605</v>
      </c>
      <c r="AD77" s="5">
        <f t="shared" si="42"/>
        <v>841758.608837793</v>
      </c>
      <c r="AE77" s="5">
        <f t="shared" si="43"/>
        <v>2.1162206889130175E-2</v>
      </c>
      <c r="AF77" s="5">
        <f t="shared" si="38"/>
        <v>0</v>
      </c>
      <c r="AG77" s="5" t="s">
        <v>238</v>
      </c>
      <c r="AH77" s="5">
        <v>4</v>
      </c>
      <c r="AI77" s="5">
        <v>0</v>
      </c>
      <c r="AJ77" s="5">
        <v>0</v>
      </c>
      <c r="AK77" s="5" t="s">
        <v>256</v>
      </c>
      <c r="AL77" s="4" t="s">
        <v>90</v>
      </c>
      <c r="AM77" s="4" t="s">
        <v>216</v>
      </c>
      <c r="AN77" s="21"/>
      <c r="AO77" s="4"/>
      <c r="AP77" s="58"/>
      <c r="AQ77" s="58"/>
      <c r="AR77" s="23"/>
      <c r="AS77" s="23"/>
      <c r="AT77" s="4"/>
      <c r="AU77" s="4"/>
      <c r="AV77" s="4"/>
      <c r="AW77" s="4"/>
      <c r="AX77" s="9"/>
      <c r="AY77" s="9"/>
      <c r="AZ77" s="4"/>
      <c r="BB77" t="str">
        <f>VLOOKUP(B77,contactos!$A$1:$D$484,4,FALSE)</f>
        <v>algarciag@quakerstate.com.mx</v>
      </c>
    </row>
    <row r="78" spans="2:54" customFormat="1" x14ac:dyDescent="0.25">
      <c r="B78" s="100">
        <v>62760</v>
      </c>
      <c r="C78" s="4" t="s">
        <v>276</v>
      </c>
      <c r="D78" s="5">
        <v>721247.01</v>
      </c>
      <c r="E78" s="5">
        <v>0</v>
      </c>
      <c r="F78" s="5">
        <v>115399.52160000002</v>
      </c>
      <c r="G78" s="5">
        <v>836646.48999999987</v>
      </c>
      <c r="H78" s="5">
        <v>836646.49</v>
      </c>
      <c r="I78" s="5">
        <f t="shared" si="34"/>
        <v>721247.01</v>
      </c>
      <c r="J78" s="5"/>
      <c r="K78" s="5">
        <f t="shared" si="35"/>
        <v>721247.01</v>
      </c>
      <c r="L78" s="5">
        <f t="shared" si="36"/>
        <v>836646.53159999999</v>
      </c>
      <c r="M78" s="5"/>
      <c r="N78" s="5">
        <f t="shared" si="37"/>
        <v>836646.53159999999</v>
      </c>
      <c r="O78" s="21"/>
      <c r="P78" s="21"/>
      <c r="Q78" s="21"/>
      <c r="R78" s="21">
        <f t="shared" si="28"/>
        <v>0</v>
      </c>
      <c r="S78" s="21">
        <v>721247.01</v>
      </c>
      <c r="T78" s="21">
        <f t="shared" si="32"/>
        <v>0</v>
      </c>
      <c r="U78" s="21">
        <f t="shared" si="33"/>
        <v>115399.52160000002</v>
      </c>
      <c r="V78" s="21">
        <f t="shared" si="39"/>
        <v>836646.53159999999</v>
      </c>
      <c r="W78" s="21"/>
      <c r="X78" s="5"/>
      <c r="Y78" s="5"/>
      <c r="Z78" s="5">
        <f t="shared" si="40"/>
        <v>0</v>
      </c>
      <c r="AA78" s="5">
        <v>1305389.21</v>
      </c>
      <c r="AB78" s="5" t="s">
        <v>258</v>
      </c>
      <c r="AC78" s="5">
        <f t="shared" si="41"/>
        <v>721247.01</v>
      </c>
      <c r="AD78" s="5">
        <f t="shared" si="42"/>
        <v>836646.53159999999</v>
      </c>
      <c r="AE78" s="5">
        <f t="shared" si="43"/>
        <v>-4.1600000113248825E-2</v>
      </c>
      <c r="AF78" s="5"/>
      <c r="AG78" s="5" t="s">
        <v>73</v>
      </c>
      <c r="AH78" s="5">
        <v>4</v>
      </c>
      <c r="AI78" s="5">
        <v>0</v>
      </c>
      <c r="AJ78" s="5">
        <v>0</v>
      </c>
      <c r="AK78" s="5" t="s">
        <v>256</v>
      </c>
      <c r="AL78" s="4" t="s">
        <v>90</v>
      </c>
      <c r="AM78" s="4" t="s">
        <v>107</v>
      </c>
      <c r="AN78" s="21"/>
      <c r="AO78" s="4"/>
      <c r="AP78" s="58"/>
      <c r="AQ78" s="58"/>
      <c r="AR78" s="23"/>
      <c r="AS78" s="23"/>
      <c r="AT78" s="4"/>
      <c r="AU78" s="4"/>
      <c r="AV78" s="4"/>
      <c r="AW78" s="4"/>
      <c r="AX78" s="9"/>
      <c r="AY78" s="9"/>
      <c r="AZ78" s="4"/>
      <c r="BB78" t="e">
        <f>VLOOKUP(B78,contactos!$A$1:$D$484,4,FALSE)</f>
        <v>#N/A</v>
      </c>
    </row>
    <row r="79" spans="2:54" customFormat="1" x14ac:dyDescent="0.25">
      <c r="B79" s="100">
        <v>10348</v>
      </c>
      <c r="C79" s="4" t="s">
        <v>277</v>
      </c>
      <c r="D79" s="5">
        <v>698397.79315488087</v>
      </c>
      <c r="E79" s="5">
        <v>0</v>
      </c>
      <c r="F79" s="5">
        <v>111743.64690478092</v>
      </c>
      <c r="G79" s="5">
        <v>810141.39999999991</v>
      </c>
      <c r="H79" s="5">
        <v>810141.43</v>
      </c>
      <c r="I79" s="5">
        <f t="shared" si="34"/>
        <v>698397.79315488087</v>
      </c>
      <c r="J79" s="5"/>
      <c r="K79" s="5">
        <f t="shared" si="35"/>
        <v>698397.79315488087</v>
      </c>
      <c r="L79" s="5">
        <f t="shared" si="36"/>
        <v>810141.44005966175</v>
      </c>
      <c r="M79" s="5"/>
      <c r="N79" s="5">
        <f t="shared" si="37"/>
        <v>810141.44005966175</v>
      </c>
      <c r="O79" s="21"/>
      <c r="P79" s="21"/>
      <c r="Q79" s="21"/>
      <c r="R79" s="21">
        <f t="shared" si="28"/>
        <v>0</v>
      </c>
      <c r="S79" s="21">
        <v>698397.79315488087</v>
      </c>
      <c r="T79" s="21">
        <f t="shared" si="32"/>
        <v>0</v>
      </c>
      <c r="U79" s="21">
        <f t="shared" si="33"/>
        <v>111743.64690478092</v>
      </c>
      <c r="V79" s="21">
        <f t="shared" si="39"/>
        <v>810141.44005966175</v>
      </c>
      <c r="W79" s="21"/>
      <c r="X79" s="5"/>
      <c r="Y79" s="5"/>
      <c r="Z79" s="5">
        <f t="shared" si="40"/>
        <v>0</v>
      </c>
      <c r="AA79" s="5">
        <v>153005.07999999999</v>
      </c>
      <c r="AB79" s="5" t="s">
        <v>258</v>
      </c>
      <c r="AC79" s="5">
        <f t="shared" si="41"/>
        <v>698397.79315488087</v>
      </c>
      <c r="AD79" s="5">
        <f t="shared" si="42"/>
        <v>810141.44005966175</v>
      </c>
      <c r="AE79" s="5">
        <f t="shared" si="43"/>
        <v>-4.0059661841951311E-2</v>
      </c>
      <c r="AF79" s="5">
        <f t="shared" ref="AF79:AF84" si="44">D79-S79</f>
        <v>0</v>
      </c>
      <c r="AG79" s="5" t="s">
        <v>73</v>
      </c>
      <c r="AH79" s="5">
        <v>4</v>
      </c>
      <c r="AI79" s="5">
        <v>0</v>
      </c>
      <c r="AJ79" s="5">
        <v>0</v>
      </c>
      <c r="AK79" s="5" t="s">
        <v>256</v>
      </c>
      <c r="AL79" s="4" t="s">
        <v>90</v>
      </c>
      <c r="AM79" s="4" t="s">
        <v>162</v>
      </c>
      <c r="AN79" s="21"/>
      <c r="AO79" s="4"/>
      <c r="AP79" s="58"/>
      <c r="AQ79" s="58"/>
      <c r="AR79" s="23"/>
      <c r="AS79" s="23"/>
      <c r="AT79" s="4"/>
      <c r="AU79" s="4"/>
      <c r="AV79" s="4"/>
      <c r="AW79" s="4"/>
      <c r="AX79" s="9"/>
      <c r="AY79" s="9"/>
      <c r="AZ79" s="4"/>
      <c r="BB79" t="e">
        <f>VLOOKUP(B79,contactos!$A$1:$D$484,4,FALSE)</f>
        <v>#N/A</v>
      </c>
    </row>
    <row r="80" spans="2:54" customFormat="1" x14ac:dyDescent="0.25">
      <c r="B80" s="100">
        <v>39057</v>
      </c>
      <c r="C80" s="4" t="s">
        <v>278</v>
      </c>
      <c r="D80" s="5">
        <v>678987.00754677306</v>
      </c>
      <c r="E80" s="5">
        <v>0</v>
      </c>
      <c r="F80" s="5">
        <v>108638.06510748368</v>
      </c>
      <c r="G80" s="5">
        <v>787624.9700000002</v>
      </c>
      <c r="H80" s="5">
        <v>0</v>
      </c>
      <c r="I80" s="5">
        <f t="shared" si="34"/>
        <v>678987.00754677306</v>
      </c>
      <c r="J80" s="5"/>
      <c r="K80" s="5">
        <f t="shared" si="35"/>
        <v>678987.00754677306</v>
      </c>
      <c r="L80" s="5">
        <f t="shared" si="36"/>
        <v>787625.07265425671</v>
      </c>
      <c r="M80" s="5"/>
      <c r="N80" s="5">
        <f t="shared" si="37"/>
        <v>787625.07265425671</v>
      </c>
      <c r="O80" s="21"/>
      <c r="P80" s="21"/>
      <c r="Q80" s="21"/>
      <c r="R80" s="21">
        <f t="shared" si="28"/>
        <v>0</v>
      </c>
      <c r="S80" s="21">
        <v>678987.00754677306</v>
      </c>
      <c r="T80" s="21">
        <f t="shared" si="32"/>
        <v>0</v>
      </c>
      <c r="U80" s="21">
        <f t="shared" si="33"/>
        <v>108638.06510748368</v>
      </c>
      <c r="V80" s="21">
        <f t="shared" si="39"/>
        <v>787625.07265425671</v>
      </c>
      <c r="W80" s="21"/>
      <c r="X80" s="5"/>
      <c r="Y80" s="5"/>
      <c r="Z80" s="5">
        <f t="shared" si="40"/>
        <v>0</v>
      </c>
      <c r="AA80" s="5">
        <v>644172.1</v>
      </c>
      <c r="AB80" s="5" t="s">
        <v>258</v>
      </c>
      <c r="AC80" s="5">
        <f t="shared" si="41"/>
        <v>678987.00754677306</v>
      </c>
      <c r="AD80" s="5">
        <f t="shared" si="42"/>
        <v>787625.07265425671</v>
      </c>
      <c r="AE80" s="5">
        <f t="shared" si="43"/>
        <v>-0.10265425650868565</v>
      </c>
      <c r="AF80" s="5">
        <f t="shared" si="44"/>
        <v>0</v>
      </c>
      <c r="AG80" s="5" t="s">
        <v>73</v>
      </c>
      <c r="AH80" s="5">
        <v>4</v>
      </c>
      <c r="AI80" s="5">
        <v>0</v>
      </c>
      <c r="AJ80" s="5" t="s">
        <v>279</v>
      </c>
      <c r="AK80" s="5" t="s">
        <v>256</v>
      </c>
      <c r="AL80" s="4" t="s">
        <v>90</v>
      </c>
      <c r="AM80" s="4" t="s">
        <v>119</v>
      </c>
      <c r="AN80" s="21"/>
      <c r="AO80" s="4"/>
      <c r="AP80" s="58"/>
      <c r="AQ80" s="58"/>
      <c r="AR80" s="23"/>
      <c r="AS80" s="23"/>
      <c r="AT80" s="4"/>
      <c r="AU80" s="4"/>
      <c r="AV80" s="4"/>
      <c r="AW80" s="4"/>
      <c r="AX80" s="9"/>
      <c r="AY80" s="9"/>
      <c r="AZ80" s="4"/>
      <c r="BB80" t="e">
        <f>VLOOKUP(B80,contactos!$A$1:$D$484,4,FALSE)</f>
        <v>#N/A</v>
      </c>
    </row>
    <row r="81" spans="2:54" customFormat="1" x14ac:dyDescent="0.25">
      <c r="B81" s="100">
        <v>52480</v>
      </c>
      <c r="C81" s="4" t="s">
        <v>280</v>
      </c>
      <c r="D81" s="5">
        <v>740317.29</v>
      </c>
      <c r="E81" s="5">
        <v>0</v>
      </c>
      <c r="F81" s="5">
        <v>0</v>
      </c>
      <c r="G81" s="5">
        <v>740317.29</v>
      </c>
      <c r="H81" s="5">
        <v>740317.28</v>
      </c>
      <c r="I81" s="5">
        <f t="shared" si="34"/>
        <v>740317.29</v>
      </c>
      <c r="J81" s="5"/>
      <c r="K81" s="5">
        <f t="shared" si="35"/>
        <v>740317.29</v>
      </c>
      <c r="L81" s="5">
        <f t="shared" si="36"/>
        <v>740317.29</v>
      </c>
      <c r="M81" s="5"/>
      <c r="N81" s="5">
        <f t="shared" si="37"/>
        <v>740317.29</v>
      </c>
      <c r="O81" s="27"/>
      <c r="P81" s="27"/>
      <c r="Q81" s="27"/>
      <c r="R81" s="21">
        <f t="shared" ref="R81:R88" si="45">SUM(O81:Q81)</f>
        <v>0</v>
      </c>
      <c r="S81" s="27">
        <v>740317.29</v>
      </c>
      <c r="T81" s="21">
        <f t="shared" si="32"/>
        <v>0</v>
      </c>
      <c r="U81" s="21">
        <f t="shared" si="33"/>
        <v>0</v>
      </c>
      <c r="V81" s="21">
        <f t="shared" si="39"/>
        <v>740317.29</v>
      </c>
      <c r="W81" s="27"/>
      <c r="X81" s="5"/>
      <c r="Y81" s="5"/>
      <c r="Z81" s="5">
        <f t="shared" si="40"/>
        <v>0</v>
      </c>
      <c r="AA81" s="5">
        <v>1154248.3999999999</v>
      </c>
      <c r="AB81" s="5" t="s">
        <v>258</v>
      </c>
      <c r="AC81" s="5">
        <f t="shared" si="41"/>
        <v>740317.29</v>
      </c>
      <c r="AD81" s="5">
        <f t="shared" si="42"/>
        <v>740317.29</v>
      </c>
      <c r="AE81" s="5">
        <f t="shared" si="43"/>
        <v>0</v>
      </c>
      <c r="AF81" s="5">
        <f t="shared" si="44"/>
        <v>0</v>
      </c>
      <c r="AG81" s="5" t="s">
        <v>73</v>
      </c>
      <c r="AH81" s="5">
        <v>4</v>
      </c>
      <c r="AI81" s="5">
        <v>0</v>
      </c>
      <c r="AJ81" s="5">
        <v>0</v>
      </c>
      <c r="AK81" s="5" t="s">
        <v>256</v>
      </c>
      <c r="AL81" s="4" t="s">
        <v>90</v>
      </c>
      <c r="AM81" s="4" t="s">
        <v>83</v>
      </c>
      <c r="AN81" s="27"/>
      <c r="AO81" s="4"/>
      <c r="AP81" s="58"/>
      <c r="AQ81" s="58"/>
      <c r="AR81" s="23"/>
      <c r="AS81" s="23"/>
      <c r="AT81" s="4"/>
      <c r="AU81" s="4"/>
      <c r="AV81" s="4"/>
      <c r="AW81" s="4"/>
      <c r="AX81" s="12"/>
      <c r="AY81" s="12"/>
      <c r="AZ81" s="12"/>
      <c r="BB81" t="e">
        <f>VLOOKUP(B81,contactos!$A$1:$D$484,4,FALSE)</f>
        <v>#N/A</v>
      </c>
    </row>
    <row r="82" spans="2:54" customFormat="1" x14ac:dyDescent="0.25">
      <c r="B82" s="100">
        <v>43463</v>
      </c>
      <c r="C82" s="4" t="s">
        <v>281</v>
      </c>
      <c r="D82" s="5">
        <v>631186.37458869594</v>
      </c>
      <c r="E82" s="5">
        <v>0</v>
      </c>
      <c r="F82" s="5">
        <v>100989.87323419136</v>
      </c>
      <c r="G82" s="5">
        <v>732176.24343151087</v>
      </c>
      <c r="H82" s="5">
        <v>732176.24</v>
      </c>
      <c r="I82" s="5">
        <f t="shared" si="34"/>
        <v>631186.37458869594</v>
      </c>
      <c r="J82" s="5"/>
      <c r="K82" s="5">
        <f t="shared" si="35"/>
        <v>631186.37458869594</v>
      </c>
      <c r="L82" s="5">
        <f t="shared" si="36"/>
        <v>732176.24782288726</v>
      </c>
      <c r="M82" s="5"/>
      <c r="N82" s="5">
        <f t="shared" si="37"/>
        <v>732176.24782288726</v>
      </c>
      <c r="O82" s="21"/>
      <c r="P82" s="21"/>
      <c r="Q82" s="21"/>
      <c r="R82" s="21">
        <f t="shared" si="45"/>
        <v>0</v>
      </c>
      <c r="S82" s="21">
        <v>631186.37458869594</v>
      </c>
      <c r="T82" s="21">
        <f t="shared" si="32"/>
        <v>0</v>
      </c>
      <c r="U82" s="21">
        <f t="shared" si="33"/>
        <v>100989.87323419136</v>
      </c>
      <c r="V82" s="21">
        <f t="shared" si="39"/>
        <v>732176.24782288726</v>
      </c>
      <c r="W82" s="21"/>
      <c r="X82" s="5"/>
      <c r="Y82" s="5"/>
      <c r="Z82" s="5">
        <f t="shared" si="40"/>
        <v>0</v>
      </c>
      <c r="AA82" s="5">
        <v>914343</v>
      </c>
      <c r="AB82" s="5" t="s">
        <v>258</v>
      </c>
      <c r="AC82" s="5">
        <f t="shared" si="41"/>
        <v>631186.37458869594</v>
      </c>
      <c r="AD82" s="5">
        <f t="shared" si="42"/>
        <v>732176.24782288726</v>
      </c>
      <c r="AE82" s="5">
        <f t="shared" si="43"/>
        <v>-4.3913763947784901E-3</v>
      </c>
      <c r="AF82" s="5">
        <f t="shared" si="44"/>
        <v>0</v>
      </c>
      <c r="AG82" s="5" t="s">
        <v>73</v>
      </c>
      <c r="AH82" s="5">
        <v>4</v>
      </c>
      <c r="AI82" s="5">
        <v>0</v>
      </c>
      <c r="AJ82" s="5">
        <v>0</v>
      </c>
      <c r="AK82" s="5" t="s">
        <v>256</v>
      </c>
      <c r="AL82" s="4" t="s">
        <v>90</v>
      </c>
      <c r="AM82" s="4" t="s">
        <v>141</v>
      </c>
      <c r="AN82" s="21"/>
      <c r="AO82" s="4"/>
      <c r="AP82" s="58"/>
      <c r="AQ82" s="58"/>
      <c r="AR82" s="23"/>
      <c r="AS82" s="23"/>
      <c r="AT82" s="4"/>
      <c r="AU82" s="4"/>
      <c r="AV82" s="4"/>
      <c r="AW82" s="4"/>
      <c r="AX82" s="9"/>
      <c r="AY82" s="9"/>
      <c r="AZ82" s="4"/>
      <c r="BB82" t="str">
        <f>VLOOKUP(B82,contactos!$A$1:$D$484,4,FALSE)</f>
        <v>jadiaz@ppg.com</v>
      </c>
    </row>
    <row r="83" spans="2:54" customFormat="1" x14ac:dyDescent="0.25">
      <c r="B83" s="100">
        <v>12995</v>
      </c>
      <c r="C83" s="4" t="s">
        <v>282</v>
      </c>
      <c r="D83" s="5">
        <v>630471.06707563309</v>
      </c>
      <c r="E83" s="5">
        <v>0</v>
      </c>
      <c r="F83" s="5">
        <v>100875.37068757328</v>
      </c>
      <c r="G83" s="5">
        <v>731346.26269999996</v>
      </c>
      <c r="H83" s="5">
        <v>0</v>
      </c>
      <c r="I83" s="5">
        <f t="shared" si="34"/>
        <v>630471.06707563309</v>
      </c>
      <c r="J83" s="5"/>
      <c r="K83" s="5">
        <f t="shared" si="35"/>
        <v>630471.06707563309</v>
      </c>
      <c r="L83" s="5">
        <f t="shared" si="36"/>
        <v>731346.43776320643</v>
      </c>
      <c r="M83" s="5"/>
      <c r="N83" s="5">
        <f t="shared" si="37"/>
        <v>731346.43776320643</v>
      </c>
      <c r="O83" s="21"/>
      <c r="P83" s="21"/>
      <c r="Q83" s="21"/>
      <c r="R83" s="21">
        <f t="shared" si="45"/>
        <v>0</v>
      </c>
      <c r="S83" s="21">
        <v>630471.06707563309</v>
      </c>
      <c r="T83" s="21">
        <f t="shared" si="32"/>
        <v>0</v>
      </c>
      <c r="U83" s="21">
        <f t="shared" si="33"/>
        <v>100875.37068757328</v>
      </c>
      <c r="V83" s="21">
        <f t="shared" si="39"/>
        <v>731346.43776320643</v>
      </c>
      <c r="W83" s="21"/>
      <c r="X83" s="5"/>
      <c r="Y83" s="5"/>
      <c r="Z83" s="5">
        <f t="shared" si="40"/>
        <v>0</v>
      </c>
      <c r="AA83" s="5">
        <v>501100.46</v>
      </c>
      <c r="AB83" s="5" t="s">
        <v>258</v>
      </c>
      <c r="AC83" s="5">
        <f t="shared" si="41"/>
        <v>630471.06707563309</v>
      </c>
      <c r="AD83" s="5">
        <f t="shared" si="42"/>
        <v>731346.43776320643</v>
      </c>
      <c r="AE83" s="5">
        <f t="shared" si="43"/>
        <v>-0.17506320646498352</v>
      </c>
      <c r="AF83" s="5">
        <f t="shared" si="44"/>
        <v>0</v>
      </c>
      <c r="AG83" s="5" t="s">
        <v>73</v>
      </c>
      <c r="AH83" s="5">
        <v>4</v>
      </c>
      <c r="AI83" s="5">
        <v>0</v>
      </c>
      <c r="AJ83" s="5">
        <v>0</v>
      </c>
      <c r="AK83" s="5" t="s">
        <v>256</v>
      </c>
      <c r="AL83" s="4" t="s">
        <v>90</v>
      </c>
      <c r="AM83" s="4" t="s">
        <v>141</v>
      </c>
      <c r="AN83" s="21"/>
      <c r="AO83" s="4"/>
      <c r="AP83" s="58"/>
      <c r="AQ83" s="58"/>
      <c r="AR83" s="23"/>
      <c r="AS83" s="23"/>
      <c r="AT83" s="4"/>
      <c r="AU83" s="4"/>
      <c r="AV83" s="4"/>
      <c r="AW83" s="4"/>
      <c r="AX83" s="9"/>
      <c r="AY83" s="9"/>
      <c r="AZ83" s="4"/>
      <c r="BB83" t="e">
        <f>VLOOKUP(B83,contactos!$A$1:$D$484,4,FALSE)</f>
        <v>#N/A</v>
      </c>
    </row>
    <row r="84" spans="2:54" customFormat="1" x14ac:dyDescent="0.25">
      <c r="B84" s="100">
        <v>37481</v>
      </c>
      <c r="C84" s="4" t="s">
        <v>283</v>
      </c>
      <c r="D84" s="5">
        <v>624993.07259760099</v>
      </c>
      <c r="E84" s="5">
        <v>0</v>
      </c>
      <c r="F84" s="5">
        <v>99998.902115616162</v>
      </c>
      <c r="G84" s="5">
        <v>724991.97720000008</v>
      </c>
      <c r="H84" s="5">
        <v>724991.97</v>
      </c>
      <c r="I84" s="5">
        <f t="shared" si="34"/>
        <v>624993.07259760099</v>
      </c>
      <c r="J84" s="5"/>
      <c r="K84" s="5">
        <f t="shared" si="35"/>
        <v>624993.07259760099</v>
      </c>
      <c r="L84" s="5">
        <f t="shared" si="36"/>
        <v>724991.97471321712</v>
      </c>
      <c r="M84" s="5"/>
      <c r="N84" s="5">
        <f t="shared" si="37"/>
        <v>724991.97471321712</v>
      </c>
      <c r="O84" s="21"/>
      <c r="P84" s="21"/>
      <c r="Q84" s="21"/>
      <c r="R84" s="21">
        <f t="shared" si="45"/>
        <v>0</v>
      </c>
      <c r="S84" s="21">
        <v>624993.07259760099</v>
      </c>
      <c r="T84" s="21">
        <f t="shared" si="32"/>
        <v>0</v>
      </c>
      <c r="U84" s="21">
        <f t="shared" si="33"/>
        <v>99998.902115616162</v>
      </c>
      <c r="V84" s="21">
        <f t="shared" si="39"/>
        <v>724991.97471321712</v>
      </c>
      <c r="W84" s="21"/>
      <c r="X84" s="5"/>
      <c r="Y84" s="5"/>
      <c r="Z84" s="5">
        <f t="shared" si="40"/>
        <v>0</v>
      </c>
      <c r="AA84" s="5">
        <v>492891.03</v>
      </c>
      <c r="AB84" s="5" t="s">
        <v>258</v>
      </c>
      <c r="AC84" s="5">
        <f t="shared" si="41"/>
        <v>624993.07259760099</v>
      </c>
      <c r="AD84" s="5">
        <f t="shared" si="42"/>
        <v>724991.97471321712</v>
      </c>
      <c r="AE84" s="5">
        <f t="shared" si="43"/>
        <v>2.4867829633876681E-3</v>
      </c>
      <c r="AF84" s="5">
        <f t="shared" si="44"/>
        <v>0</v>
      </c>
      <c r="AG84" s="5" t="s">
        <v>73</v>
      </c>
      <c r="AH84" s="5">
        <v>4</v>
      </c>
      <c r="AI84" s="5">
        <v>0</v>
      </c>
      <c r="AJ84" s="5">
        <v>0</v>
      </c>
      <c r="AK84" s="5" t="s">
        <v>256</v>
      </c>
      <c r="AL84" s="4" t="s">
        <v>90</v>
      </c>
      <c r="AM84" s="4" t="s">
        <v>141</v>
      </c>
      <c r="AN84" s="21"/>
      <c r="AO84" s="4"/>
      <c r="AP84" s="58"/>
      <c r="AQ84" s="58"/>
      <c r="AR84" s="23"/>
      <c r="AS84" s="23"/>
      <c r="AT84" s="4"/>
      <c r="AU84" s="4"/>
      <c r="AV84" s="48"/>
      <c r="AW84" s="4"/>
      <c r="AX84" s="9"/>
      <c r="AY84" s="9"/>
      <c r="AZ84" s="4"/>
      <c r="BB84" t="e">
        <f>VLOOKUP(B84,contactos!$A$1:$D$484,4,FALSE)</f>
        <v>#N/A</v>
      </c>
    </row>
    <row r="85" spans="2:54" s="80" customFormat="1" ht="90" x14ac:dyDescent="0.25">
      <c r="B85" s="125">
        <v>318196</v>
      </c>
      <c r="C85" s="52" t="s">
        <v>284</v>
      </c>
      <c r="D85" s="81">
        <v>624613.84269068798</v>
      </c>
      <c r="E85" s="81">
        <v>0</v>
      </c>
      <c r="F85" s="81">
        <v>99938.289235470074</v>
      </c>
      <c r="G85" s="81">
        <v>724552.14970000007</v>
      </c>
      <c r="H85" s="5">
        <v>678432.46</v>
      </c>
      <c r="I85" s="5">
        <f t="shared" si="34"/>
        <v>584855.57335068798</v>
      </c>
      <c r="J85" s="5"/>
      <c r="K85" s="5">
        <f t="shared" si="35"/>
        <v>584855.57335068798</v>
      </c>
      <c r="L85" s="5">
        <f t="shared" si="36"/>
        <v>678432.50068615808</v>
      </c>
      <c r="M85" s="5"/>
      <c r="N85" s="5">
        <f t="shared" si="37"/>
        <v>678432.50068615808</v>
      </c>
      <c r="O85" s="86">
        <f>D85-W85</f>
        <v>584855.57335068798</v>
      </c>
      <c r="P85" s="21"/>
      <c r="Q85" s="21">
        <f>O85*0.16</f>
        <v>93576.891736110076</v>
      </c>
      <c r="R85" s="21">
        <f t="shared" si="45"/>
        <v>678432.46508679807</v>
      </c>
      <c r="S85" s="86"/>
      <c r="T85" s="21">
        <f t="shared" si="32"/>
        <v>0</v>
      </c>
      <c r="U85" s="21">
        <f>F85-Q85-Y85</f>
        <v>3.559935999874142E-2</v>
      </c>
      <c r="V85" s="21">
        <f t="shared" si="39"/>
        <v>3.559935999874142E-2</v>
      </c>
      <c r="W85" s="86">
        <v>39758.269339999999</v>
      </c>
      <c r="X85" s="81"/>
      <c r="Y85" s="81">
        <v>6361.3618999999999</v>
      </c>
      <c r="Z85" s="5">
        <f t="shared" si="40"/>
        <v>46119.631240000002</v>
      </c>
      <c r="AA85" s="5">
        <v>228211.6</v>
      </c>
      <c r="AB85" s="5" t="s">
        <v>258</v>
      </c>
      <c r="AC85" s="5">
        <f t="shared" si="41"/>
        <v>624613.84269068798</v>
      </c>
      <c r="AD85" s="5">
        <f t="shared" si="42"/>
        <v>724552.13192615809</v>
      </c>
      <c r="AE85" s="5">
        <f t="shared" si="43"/>
        <v>1.7773841973394156E-2</v>
      </c>
      <c r="AF85" s="5"/>
      <c r="AG85" s="81" t="s">
        <v>81</v>
      </c>
      <c r="AH85" s="5">
        <v>4</v>
      </c>
      <c r="AI85" s="5">
        <v>2</v>
      </c>
      <c r="AJ85" s="109" t="s">
        <v>285</v>
      </c>
      <c r="AK85" s="81" t="s">
        <v>59</v>
      </c>
      <c r="AL85" s="52" t="s">
        <v>82</v>
      </c>
      <c r="AM85" s="54" t="s">
        <v>103</v>
      </c>
      <c r="AN85" s="86">
        <v>724552.15</v>
      </c>
      <c r="AO85" s="52" t="s">
        <v>68</v>
      </c>
      <c r="AP85" s="83">
        <v>9</v>
      </c>
      <c r="AQ85" s="83"/>
      <c r="AR85" s="84">
        <v>46056</v>
      </c>
      <c r="AS85" s="23">
        <v>46058</v>
      </c>
      <c r="AT85" s="84">
        <v>46058</v>
      </c>
      <c r="AU85" s="84">
        <v>46058</v>
      </c>
      <c r="AV85" s="53" t="s">
        <v>286</v>
      </c>
      <c r="AW85" s="52" t="s">
        <v>70</v>
      </c>
      <c r="AX85" s="12" t="s">
        <v>125</v>
      </c>
      <c r="AY85" s="12"/>
      <c r="AZ85" s="52"/>
      <c r="BB85" s="80" t="e">
        <f>VLOOKUP(B85,contactos!$A$1:$D$484,4,FALSE)</f>
        <v>#N/A</v>
      </c>
    </row>
    <row r="86" spans="2:54" customFormat="1" x14ac:dyDescent="0.25">
      <c r="B86" s="100">
        <v>48298</v>
      </c>
      <c r="C86" s="4" t="s">
        <v>287</v>
      </c>
      <c r="D86" s="5">
        <v>619104.2478109689</v>
      </c>
      <c r="E86" s="5">
        <v>0</v>
      </c>
      <c r="F86" s="5">
        <v>99056.696149754876</v>
      </c>
      <c r="G86" s="5">
        <v>718160.95000000007</v>
      </c>
      <c r="H86" s="5">
        <v>400141.22</v>
      </c>
      <c r="I86" s="5">
        <f t="shared" si="34"/>
        <v>775.26</v>
      </c>
      <c r="J86" s="5">
        <v>0</v>
      </c>
      <c r="K86" s="5">
        <f>I86-J86</f>
        <v>775.26</v>
      </c>
      <c r="L86" s="5">
        <f t="shared" si="36"/>
        <v>899.30763927625344</v>
      </c>
      <c r="M86" s="5">
        <v>0</v>
      </c>
      <c r="N86" s="5">
        <f t="shared" si="37"/>
        <v>899.30763927625344</v>
      </c>
      <c r="O86" s="21">
        <v>775.26</v>
      </c>
      <c r="P86" s="21"/>
      <c r="Q86" s="21">
        <f>O86*0.16</f>
        <v>124.0416</v>
      </c>
      <c r="R86" s="21">
        <f t="shared" si="45"/>
        <v>899.30160000000001</v>
      </c>
      <c r="S86" s="21">
        <f>D86-(O86+W86)</f>
        <v>0</v>
      </c>
      <c r="T86" s="21">
        <f>E86-(P86+X86)</f>
        <v>0</v>
      </c>
      <c r="U86" s="21">
        <f>F86-(Q86+Y86)</f>
        <v>0</v>
      </c>
      <c r="V86" s="21">
        <f>G86-(R86+Z86)</f>
        <v>6.0392762534320354E-3</v>
      </c>
      <c r="W86" s="21">
        <f>D86-O86</f>
        <v>618328.98781096889</v>
      </c>
      <c r="X86" s="5"/>
      <c r="Y86" s="5">
        <f>F86-Q86</f>
        <v>98932.65454975488</v>
      </c>
      <c r="Z86" s="5">
        <f t="shared" si="40"/>
        <v>717261.64236072381</v>
      </c>
      <c r="AA86" s="5">
        <v>954257.95</v>
      </c>
      <c r="AB86" s="5" t="s">
        <v>258</v>
      </c>
      <c r="AC86" s="5">
        <f t="shared" si="41"/>
        <v>619104.2478109689</v>
      </c>
      <c r="AD86" s="5">
        <f t="shared" si="42"/>
        <v>718160.95000000007</v>
      </c>
      <c r="AE86" s="5">
        <f t="shared" si="43"/>
        <v>0</v>
      </c>
      <c r="AF86" s="5"/>
      <c r="AG86" s="5" t="s">
        <v>57</v>
      </c>
      <c r="AH86" s="5">
        <v>4</v>
      </c>
      <c r="AI86" s="5">
        <v>10</v>
      </c>
      <c r="AJ86" s="5" t="s">
        <v>288</v>
      </c>
      <c r="AK86" s="5" t="s">
        <v>59</v>
      </c>
      <c r="AL86" s="4" t="s">
        <v>75</v>
      </c>
      <c r="AM86" s="6" t="s">
        <v>141</v>
      </c>
      <c r="AN86" s="21">
        <v>718160.95000000007</v>
      </c>
      <c r="AO86" s="4" t="s">
        <v>68</v>
      </c>
      <c r="AP86" s="58">
        <v>3</v>
      </c>
      <c r="AQ86" s="58"/>
      <c r="AR86" s="23">
        <v>46042</v>
      </c>
      <c r="AS86" s="23">
        <v>46042</v>
      </c>
      <c r="AT86" s="4"/>
      <c r="AU86" s="4"/>
      <c r="AV86" s="88" t="s">
        <v>153</v>
      </c>
      <c r="AW86" s="4"/>
      <c r="AX86" s="9" t="s">
        <v>71</v>
      </c>
      <c r="AY86" s="9"/>
      <c r="AZ86" s="4"/>
      <c r="BA86" t="s">
        <v>289</v>
      </c>
      <c r="BB86" t="str">
        <f>VLOOKUP(B86,contactos!$A$1:$D$484,4,FALSE)</f>
        <v xml:space="preserve">d.salazar@campirano.com.mx </v>
      </c>
    </row>
    <row r="87" spans="2:54" customFormat="1" x14ac:dyDescent="0.25">
      <c r="B87" s="100">
        <v>44883</v>
      </c>
      <c r="C87" s="4" t="s">
        <v>290</v>
      </c>
      <c r="D87" s="5">
        <v>423883.77000000008</v>
      </c>
      <c r="E87" s="5">
        <v>195142.95110000001</v>
      </c>
      <c r="F87" s="5">
        <v>99044.275200000033</v>
      </c>
      <c r="G87" s="5">
        <v>718071.01</v>
      </c>
      <c r="H87" s="5">
        <v>718071.01</v>
      </c>
      <c r="I87" s="5">
        <f t="shared" si="34"/>
        <v>423883.77000000008</v>
      </c>
      <c r="J87" s="5"/>
      <c r="K87" s="5">
        <f t="shared" si="35"/>
        <v>423883.77000000008</v>
      </c>
      <c r="L87" s="5">
        <f t="shared" si="36"/>
        <v>718070.99630000012</v>
      </c>
      <c r="M87" s="5"/>
      <c r="N87" s="5">
        <f t="shared" si="37"/>
        <v>718070.99630000012</v>
      </c>
      <c r="O87" s="21"/>
      <c r="P87" s="21"/>
      <c r="Q87" s="21"/>
      <c r="R87" s="21">
        <f t="shared" si="45"/>
        <v>0</v>
      </c>
      <c r="S87" s="21">
        <v>423883.77000000008</v>
      </c>
      <c r="T87" s="21">
        <f t="shared" si="32"/>
        <v>195142.95110000001</v>
      </c>
      <c r="U87" s="21">
        <f t="shared" ref="U87:U91" si="46">F87-Y87</f>
        <v>99044.275200000033</v>
      </c>
      <c r="V87" s="21">
        <f t="shared" si="39"/>
        <v>718070.99630000012</v>
      </c>
      <c r="W87" s="21"/>
      <c r="X87" s="5"/>
      <c r="Y87" s="5"/>
      <c r="Z87" s="5">
        <f t="shared" si="40"/>
        <v>0</v>
      </c>
      <c r="AA87" s="5"/>
      <c r="AB87" s="5" t="s">
        <v>258</v>
      </c>
      <c r="AC87" s="5">
        <f t="shared" si="41"/>
        <v>423883.77000000008</v>
      </c>
      <c r="AD87" s="5">
        <f t="shared" si="42"/>
        <v>718070.99630000012</v>
      </c>
      <c r="AE87" s="5">
        <f t="shared" si="43"/>
        <v>1.3699999894015491E-2</v>
      </c>
      <c r="AF87" s="5">
        <f>D87-S87</f>
        <v>0</v>
      </c>
      <c r="AG87" s="5" t="s">
        <v>73</v>
      </c>
      <c r="AH87" s="5">
        <v>4</v>
      </c>
      <c r="AI87" s="5">
        <v>0</v>
      </c>
      <c r="AJ87" s="5" t="s">
        <v>212</v>
      </c>
      <c r="AK87" s="5" t="s">
        <v>256</v>
      </c>
      <c r="AL87" s="4" t="s">
        <v>90</v>
      </c>
      <c r="AM87" s="4" t="s">
        <v>94</v>
      </c>
      <c r="AN87" s="21"/>
      <c r="AO87" s="4"/>
      <c r="AP87" s="58"/>
      <c r="AQ87" s="58"/>
      <c r="AR87" s="23"/>
      <c r="AS87" s="23"/>
      <c r="AT87" s="4"/>
      <c r="AU87" s="4"/>
      <c r="AV87" s="4"/>
      <c r="AW87" s="4"/>
      <c r="AX87" s="9"/>
      <c r="AY87" s="9"/>
      <c r="AZ87" s="4"/>
      <c r="BB87" t="str">
        <f>VLOOKUP(B87,contactos!$A$1:$D$484,4,FALSE)</f>
        <v>daniela.tijerina@pernod-ricard.com</v>
      </c>
    </row>
    <row r="88" spans="2:54" customFormat="1" x14ac:dyDescent="0.25">
      <c r="B88" s="100">
        <v>316877</v>
      </c>
      <c r="C88" s="4" t="s">
        <v>291</v>
      </c>
      <c r="D88" s="5">
        <v>616995.11</v>
      </c>
      <c r="E88" s="5">
        <v>0</v>
      </c>
      <c r="F88" s="5">
        <v>98719.211199999991</v>
      </c>
      <c r="G88" s="5">
        <v>715714.33000000007</v>
      </c>
      <c r="H88" s="5">
        <v>715714.32</v>
      </c>
      <c r="I88" s="5">
        <f t="shared" si="34"/>
        <v>616995.11</v>
      </c>
      <c r="J88" s="5"/>
      <c r="K88" s="5">
        <f t="shared" si="35"/>
        <v>616995.11</v>
      </c>
      <c r="L88" s="5">
        <f t="shared" si="36"/>
        <v>715714.32120000001</v>
      </c>
      <c r="M88" s="5"/>
      <c r="N88" s="5">
        <f t="shared" si="37"/>
        <v>715714.32120000001</v>
      </c>
      <c r="O88" s="21"/>
      <c r="P88" s="21"/>
      <c r="Q88" s="21"/>
      <c r="R88" s="21">
        <f t="shared" si="45"/>
        <v>0</v>
      </c>
      <c r="S88" s="21">
        <v>616995.11</v>
      </c>
      <c r="T88" s="21">
        <f t="shared" si="32"/>
        <v>0</v>
      </c>
      <c r="U88" s="21">
        <f t="shared" si="46"/>
        <v>98719.211199999991</v>
      </c>
      <c r="V88" s="21">
        <f t="shared" si="39"/>
        <v>715714.32120000001</v>
      </c>
      <c r="W88" s="21"/>
      <c r="X88" s="5"/>
      <c r="Y88" s="5"/>
      <c r="Z88" s="5">
        <f t="shared" si="40"/>
        <v>0</v>
      </c>
      <c r="AA88" s="5">
        <v>581945.18000000005</v>
      </c>
      <c r="AB88" s="5" t="s">
        <v>258</v>
      </c>
      <c r="AC88" s="5">
        <f t="shared" si="41"/>
        <v>616995.11</v>
      </c>
      <c r="AD88" s="5">
        <f t="shared" si="42"/>
        <v>715714.32120000001</v>
      </c>
      <c r="AE88" s="5">
        <f t="shared" si="43"/>
        <v>8.800000068731606E-3</v>
      </c>
      <c r="AF88" s="5"/>
      <c r="AG88" s="5" t="s">
        <v>73</v>
      </c>
      <c r="AH88" s="5">
        <v>4</v>
      </c>
      <c r="AI88" s="5">
        <v>0</v>
      </c>
      <c r="AJ88" s="5">
        <v>0</v>
      </c>
      <c r="AK88" s="5" t="s">
        <v>256</v>
      </c>
      <c r="AL88" s="4" t="s">
        <v>90</v>
      </c>
      <c r="AM88" s="4" t="s">
        <v>107</v>
      </c>
      <c r="AN88" s="21"/>
      <c r="AO88" s="4"/>
      <c r="AP88" s="58"/>
      <c r="AQ88" s="58"/>
      <c r="AR88" s="23"/>
      <c r="AS88" s="23"/>
      <c r="AT88" s="4"/>
      <c r="AU88" s="4"/>
      <c r="AV88" s="4"/>
      <c r="AW88" s="4"/>
      <c r="AX88" s="9"/>
      <c r="AY88" s="9"/>
      <c r="AZ88" s="4"/>
      <c r="BB88" t="e">
        <f>VLOOKUP(B88,contactos!$A$1:$D$484,4,FALSE)</f>
        <v>#N/A</v>
      </c>
    </row>
    <row r="89" spans="2:54" customFormat="1" x14ac:dyDescent="0.25">
      <c r="B89" s="131">
        <v>71233</v>
      </c>
      <c r="C89" s="4" t="s">
        <v>292</v>
      </c>
      <c r="D89" s="5">
        <v>611494.40000000002</v>
      </c>
      <c r="E89" s="5">
        <v>0</v>
      </c>
      <c r="F89" s="5">
        <v>97839.212499999994</v>
      </c>
      <c r="G89" s="5">
        <v>709333.64</v>
      </c>
      <c r="H89" s="5">
        <v>709333.61</v>
      </c>
      <c r="I89" s="5">
        <f t="shared" si="34"/>
        <v>611494.51724137936</v>
      </c>
      <c r="J89" s="5"/>
      <c r="K89" s="5">
        <f t="shared" si="35"/>
        <v>611494.51724137936</v>
      </c>
      <c r="L89" s="5">
        <f t="shared" si="36"/>
        <v>709333.64</v>
      </c>
      <c r="M89" s="5"/>
      <c r="N89" s="5">
        <f t="shared" si="37"/>
        <v>709333.64</v>
      </c>
      <c r="O89" s="21">
        <f>+R89/1.16</f>
        <v>575387.56896551722</v>
      </c>
      <c r="P89" s="21"/>
      <c r="Q89" s="21"/>
      <c r="R89" s="21">
        <v>667449.57999999996</v>
      </c>
      <c r="S89" s="21">
        <v>36106.948275862116</v>
      </c>
      <c r="T89" s="21">
        <f t="shared" si="32"/>
        <v>0</v>
      </c>
      <c r="U89" s="21">
        <f>S89*0.16</f>
        <v>5777.1117241379388</v>
      </c>
      <c r="V89" s="21">
        <f t="shared" si="39"/>
        <v>41884.060000000056</v>
      </c>
      <c r="W89" s="21"/>
      <c r="X89" s="5"/>
      <c r="Y89" s="5"/>
      <c r="Z89" s="5">
        <f t="shared" si="40"/>
        <v>0</v>
      </c>
      <c r="AA89" s="5">
        <v>801618.89</v>
      </c>
      <c r="AB89" s="5" t="s">
        <v>258</v>
      </c>
      <c r="AC89" s="5">
        <f t="shared" si="41"/>
        <v>611494.51724137936</v>
      </c>
      <c r="AD89" s="5">
        <f t="shared" si="42"/>
        <v>709333.64</v>
      </c>
      <c r="AE89" s="5">
        <f t="shared" si="43"/>
        <v>0</v>
      </c>
      <c r="AF89" s="5">
        <v>5</v>
      </c>
      <c r="AG89" s="5" t="s">
        <v>293</v>
      </c>
      <c r="AH89" s="5">
        <v>4</v>
      </c>
      <c r="AI89" s="5">
        <v>3</v>
      </c>
      <c r="AJ89" s="120" t="s">
        <v>294</v>
      </c>
      <c r="AK89" s="5" t="s">
        <v>59</v>
      </c>
      <c r="AL89" s="4" t="s">
        <v>90</v>
      </c>
      <c r="AM89" s="6" t="s">
        <v>103</v>
      </c>
      <c r="AN89" s="21"/>
      <c r="AO89" s="4"/>
      <c r="AP89" s="58"/>
      <c r="AQ89" s="58"/>
      <c r="AR89" s="23"/>
      <c r="AS89" s="23"/>
      <c r="AT89" s="4"/>
      <c r="AU89" s="4"/>
      <c r="AV89" s="52"/>
      <c r="AW89" s="52"/>
      <c r="AX89" s="9"/>
      <c r="AY89" s="9"/>
      <c r="AZ89" s="4"/>
      <c r="BB89" t="str">
        <f>VLOOKUP(B89,contactos!$A$1:$D$484,4,FALSE)</f>
        <v>luis.perea@steren.com.mx</v>
      </c>
    </row>
    <row r="90" spans="2:54" customFormat="1" x14ac:dyDescent="0.25">
      <c r="B90" s="100">
        <v>208892</v>
      </c>
      <c r="C90" s="4" t="s">
        <v>295</v>
      </c>
      <c r="D90" s="5">
        <v>686095.39441664924</v>
      </c>
      <c r="E90" s="5">
        <v>0</v>
      </c>
      <c r="F90" s="5">
        <v>0</v>
      </c>
      <c r="G90" s="5">
        <v>686095.39000000013</v>
      </c>
      <c r="H90" s="5">
        <v>382136.2</v>
      </c>
      <c r="I90" s="5">
        <f t="shared" si="34"/>
        <v>686095.39441664924</v>
      </c>
      <c r="J90" s="5"/>
      <c r="K90" s="5">
        <f t="shared" si="35"/>
        <v>686095.39441664924</v>
      </c>
      <c r="L90" s="5">
        <f t="shared" si="36"/>
        <v>686095.39441664924</v>
      </c>
      <c r="M90" s="5"/>
      <c r="N90" s="5">
        <f t="shared" si="37"/>
        <v>686095.39441664924</v>
      </c>
      <c r="O90" s="21"/>
      <c r="P90" s="21"/>
      <c r="Q90" s="21"/>
      <c r="R90" s="21">
        <f t="shared" ref="R90:R153" si="47">SUM(O90:Q90)</f>
        <v>0</v>
      </c>
      <c r="S90" s="21">
        <v>686095.39441664924</v>
      </c>
      <c r="T90" s="21">
        <f t="shared" si="32"/>
        <v>0</v>
      </c>
      <c r="U90" s="21">
        <f t="shared" si="46"/>
        <v>0</v>
      </c>
      <c r="V90" s="21">
        <f t="shared" si="39"/>
        <v>686095.39441664924</v>
      </c>
      <c r="W90" s="21"/>
      <c r="X90" s="5"/>
      <c r="Y90" s="5"/>
      <c r="Z90" s="5">
        <f t="shared" si="40"/>
        <v>0</v>
      </c>
      <c r="AA90" s="5">
        <v>492503.78</v>
      </c>
      <c r="AB90" s="5" t="s">
        <v>258</v>
      </c>
      <c r="AC90" s="5">
        <f t="shared" si="41"/>
        <v>686095.39441664924</v>
      </c>
      <c r="AD90" s="5">
        <f t="shared" si="42"/>
        <v>686095.39441664924</v>
      </c>
      <c r="AE90" s="5">
        <f t="shared" si="43"/>
        <v>-4.4166491134092212E-3</v>
      </c>
      <c r="AF90" s="5">
        <f>D90-S90</f>
        <v>0</v>
      </c>
      <c r="AG90" s="5" t="s">
        <v>73</v>
      </c>
      <c r="AH90" s="5">
        <v>4</v>
      </c>
      <c r="AI90" s="5">
        <v>0</v>
      </c>
      <c r="AJ90" s="120" t="s">
        <v>296</v>
      </c>
      <c r="AK90" s="5" t="s">
        <v>256</v>
      </c>
      <c r="AL90" s="4" t="s">
        <v>90</v>
      </c>
      <c r="AM90" s="4" t="s">
        <v>216</v>
      </c>
      <c r="AN90" s="21"/>
      <c r="AO90" s="4"/>
      <c r="AP90" s="58"/>
      <c r="AQ90" s="58"/>
      <c r="AR90" s="23"/>
      <c r="AS90" s="23"/>
      <c r="AT90" s="4"/>
      <c r="AU90" s="4"/>
      <c r="AV90" s="4"/>
      <c r="AW90" s="4"/>
      <c r="AX90" s="9"/>
      <c r="AY90" s="9"/>
      <c r="AZ90" s="4"/>
      <c r="BB90" t="e">
        <f>VLOOKUP(B90,contactos!$A$1:$D$484,4,FALSE)</f>
        <v>#N/A</v>
      </c>
    </row>
    <row r="91" spans="2:54" customFormat="1" x14ac:dyDescent="0.25">
      <c r="B91" s="100">
        <v>13860</v>
      </c>
      <c r="C91" s="4" t="s">
        <v>297</v>
      </c>
      <c r="D91" s="5">
        <v>591083.07880170015</v>
      </c>
      <c r="E91" s="5">
        <v>0</v>
      </c>
      <c r="F91" s="5">
        <v>94573.292608272008</v>
      </c>
      <c r="G91" s="5">
        <v>685656.36744799837</v>
      </c>
      <c r="H91" s="5">
        <v>685656.36</v>
      </c>
      <c r="I91" s="5">
        <f t="shared" si="34"/>
        <v>591083.07880170015</v>
      </c>
      <c r="J91" s="5"/>
      <c r="K91" s="5">
        <f t="shared" si="35"/>
        <v>591083.07880170015</v>
      </c>
      <c r="L91" s="5">
        <f t="shared" si="36"/>
        <v>685656.3714099722</v>
      </c>
      <c r="M91" s="5"/>
      <c r="N91" s="5">
        <f t="shared" si="37"/>
        <v>685656.3714099722</v>
      </c>
      <c r="O91" s="21"/>
      <c r="P91" s="21"/>
      <c r="Q91" s="21"/>
      <c r="R91" s="21">
        <f t="shared" si="47"/>
        <v>0</v>
      </c>
      <c r="S91" s="21">
        <v>591083.07880170015</v>
      </c>
      <c r="T91" s="21">
        <f t="shared" si="32"/>
        <v>0</v>
      </c>
      <c r="U91" s="21">
        <f t="shared" si="46"/>
        <v>94573.292608272008</v>
      </c>
      <c r="V91" s="21">
        <f t="shared" si="39"/>
        <v>685656.3714099722</v>
      </c>
      <c r="W91" s="21"/>
      <c r="X91" s="5"/>
      <c r="Y91" s="5"/>
      <c r="Z91" s="5">
        <f t="shared" si="40"/>
        <v>0</v>
      </c>
      <c r="AA91" s="5">
        <v>1249281.1200000001</v>
      </c>
      <c r="AB91" s="5" t="s">
        <v>258</v>
      </c>
      <c r="AC91" s="5">
        <f t="shared" si="41"/>
        <v>591083.07880170015</v>
      </c>
      <c r="AD91" s="5">
        <f t="shared" si="42"/>
        <v>685656.3714099722</v>
      </c>
      <c r="AE91" s="5">
        <f t="shared" si="43"/>
        <v>-3.9619738236069679E-3</v>
      </c>
      <c r="AF91" s="5">
        <f>D91-S91</f>
        <v>0</v>
      </c>
      <c r="AG91" s="5" t="s">
        <v>73</v>
      </c>
      <c r="AH91" s="5">
        <v>4</v>
      </c>
      <c r="AI91" s="5">
        <v>1</v>
      </c>
      <c r="AJ91" s="120" t="s">
        <v>298</v>
      </c>
      <c r="AK91" s="5" t="s">
        <v>59</v>
      </c>
      <c r="AL91" s="4" t="s">
        <v>75</v>
      </c>
      <c r="AM91" s="6" t="s">
        <v>216</v>
      </c>
      <c r="AN91" s="21">
        <v>685656.36744799837</v>
      </c>
      <c r="AO91" s="13" t="s">
        <v>68</v>
      </c>
      <c r="AP91" s="59"/>
      <c r="AQ91" s="59"/>
      <c r="AR91" s="23">
        <v>46041</v>
      </c>
      <c r="AS91" s="23">
        <v>46041</v>
      </c>
      <c r="AT91" s="4"/>
      <c r="AU91" s="4"/>
      <c r="AV91" s="4" t="s">
        <v>299</v>
      </c>
      <c r="AW91" s="4" t="s">
        <v>70</v>
      </c>
      <c r="AX91" s="9" t="s">
        <v>71</v>
      </c>
      <c r="AY91" s="9"/>
      <c r="AZ91" s="9"/>
      <c r="BB91" t="str">
        <f>VLOOKUP(B91,contactos!$A$1:$D$484,4,FALSE)</f>
        <v>joser@jmk.com.mx</v>
      </c>
    </row>
    <row r="92" spans="2:54" customFormat="1" x14ac:dyDescent="0.25">
      <c r="B92" s="100">
        <v>64014</v>
      </c>
      <c r="C92" s="4" t="s">
        <v>300</v>
      </c>
      <c r="D92" s="5">
        <v>665488.12225527596</v>
      </c>
      <c r="E92" s="5">
        <v>13582.226469583278</v>
      </c>
      <c r="F92" s="5">
        <v>0</v>
      </c>
      <c r="G92" s="5">
        <v>679070.33510000003</v>
      </c>
      <c r="H92" s="5">
        <v>674670</v>
      </c>
      <c r="I92" s="5">
        <f t="shared" si="34"/>
        <v>661087.93000000005</v>
      </c>
      <c r="J92" s="5"/>
      <c r="K92" s="5">
        <f t="shared" si="35"/>
        <v>661087.93000000005</v>
      </c>
      <c r="L92" s="5">
        <f t="shared" si="36"/>
        <v>674670.15646958328</v>
      </c>
      <c r="M92" s="5"/>
      <c r="N92" s="5">
        <f t="shared" si="37"/>
        <v>674670.15646958328</v>
      </c>
      <c r="O92" s="21">
        <v>661087.93000000005</v>
      </c>
      <c r="P92" s="21">
        <v>13582.23</v>
      </c>
      <c r="Q92" s="21"/>
      <c r="R92" s="21">
        <f t="shared" si="47"/>
        <v>674670.16</v>
      </c>
      <c r="S92" s="21"/>
      <c r="T92" s="21">
        <f>E92-P92-X92</f>
        <v>-3.5304167213325854E-3</v>
      </c>
      <c r="U92" s="21">
        <f>F92-Q92-Y92</f>
        <v>0</v>
      </c>
      <c r="V92" s="21">
        <f t="shared" si="39"/>
        <v>-3.5304167213325854E-3</v>
      </c>
      <c r="W92" s="21">
        <v>4400.2</v>
      </c>
      <c r="X92" s="5"/>
      <c r="Y92" s="5"/>
      <c r="Z92" s="5">
        <f t="shared" si="40"/>
        <v>4400.2</v>
      </c>
      <c r="AA92" s="5"/>
      <c r="AB92" s="5" t="s">
        <v>258</v>
      </c>
      <c r="AC92" s="5">
        <f t="shared" si="41"/>
        <v>665488.13</v>
      </c>
      <c r="AD92" s="5">
        <f t="shared" si="42"/>
        <v>679070.35646958323</v>
      </c>
      <c r="AE92" s="5">
        <f t="shared" si="43"/>
        <v>-2.1369583206251264E-2</v>
      </c>
      <c r="AF92" s="5"/>
      <c r="AG92" s="5" t="s">
        <v>81</v>
      </c>
      <c r="AH92" s="5">
        <v>4</v>
      </c>
      <c r="AI92" s="5">
        <v>1</v>
      </c>
      <c r="AJ92" s="5">
        <v>0</v>
      </c>
      <c r="AK92" s="5" t="s">
        <v>59</v>
      </c>
      <c r="AL92" s="4" t="s">
        <v>82</v>
      </c>
      <c r="AM92" s="4" t="s">
        <v>94</v>
      </c>
      <c r="AN92" s="21">
        <v>4400.1899999999996</v>
      </c>
      <c r="AO92" s="4"/>
      <c r="AP92" s="58"/>
      <c r="AQ92" s="58"/>
      <c r="AR92" s="23">
        <v>46056</v>
      </c>
      <c r="AS92" s="23"/>
      <c r="AT92" s="4"/>
      <c r="AU92" s="4"/>
      <c r="AV92" s="4"/>
      <c r="AW92" s="4"/>
      <c r="AX92" s="9"/>
      <c r="AY92" s="9"/>
      <c r="AZ92" s="4"/>
      <c r="BB92" t="str">
        <f>VLOOKUP(B92,contactos!$A$1:$D$484,4,FALSE)</f>
        <v xml:space="preserve">AlmaDelia.Rangel@conagra.com </v>
      </c>
    </row>
    <row r="93" spans="2:54" customFormat="1" x14ac:dyDescent="0.25">
      <c r="B93" s="100">
        <v>21853</v>
      </c>
      <c r="C93" s="4" t="s">
        <v>301</v>
      </c>
      <c r="D93" s="5">
        <v>674473.87769096904</v>
      </c>
      <c r="E93" s="5">
        <v>0</v>
      </c>
      <c r="F93" s="5">
        <v>0</v>
      </c>
      <c r="G93" s="5">
        <v>674473.88</v>
      </c>
      <c r="H93" s="5">
        <v>674473.87</v>
      </c>
      <c r="I93" s="5">
        <f t="shared" si="34"/>
        <v>674473.87769096904</v>
      </c>
      <c r="J93" s="5"/>
      <c r="K93" s="5">
        <f t="shared" si="35"/>
        <v>674473.87769096904</v>
      </c>
      <c r="L93" s="5">
        <f t="shared" si="36"/>
        <v>674473.87769096904</v>
      </c>
      <c r="M93" s="5"/>
      <c r="N93" s="5">
        <f t="shared" si="37"/>
        <v>674473.87769096904</v>
      </c>
      <c r="O93" s="27"/>
      <c r="P93" s="27"/>
      <c r="Q93" s="27"/>
      <c r="R93" s="21">
        <f t="shared" si="47"/>
        <v>0</v>
      </c>
      <c r="S93" s="27">
        <v>674473.87769096904</v>
      </c>
      <c r="T93" s="21">
        <f>E93-X93</f>
        <v>0</v>
      </c>
      <c r="U93" s="21">
        <f>F93-Y93</f>
        <v>0</v>
      </c>
      <c r="V93" s="21">
        <f t="shared" si="39"/>
        <v>674473.87769096904</v>
      </c>
      <c r="W93" s="27"/>
      <c r="X93" s="5"/>
      <c r="Y93" s="5"/>
      <c r="Z93" s="5">
        <f t="shared" si="40"/>
        <v>0</v>
      </c>
      <c r="AA93" s="5"/>
      <c r="AB93" s="5" t="s">
        <v>258</v>
      </c>
      <c r="AC93" s="5">
        <f t="shared" si="41"/>
        <v>674473.87769096904</v>
      </c>
      <c r="AD93" s="5">
        <f t="shared" si="42"/>
        <v>674473.87769096904</v>
      </c>
      <c r="AE93" s="5">
        <f t="shared" si="43"/>
        <v>2.3090309696272016E-3</v>
      </c>
      <c r="AF93" s="5">
        <f>D93-S93</f>
        <v>0</v>
      </c>
      <c r="AG93" s="5" t="s">
        <v>73</v>
      </c>
      <c r="AH93" s="5">
        <v>4</v>
      </c>
      <c r="AI93" s="5">
        <v>0</v>
      </c>
      <c r="AJ93" s="5">
        <v>0</v>
      </c>
      <c r="AK93" s="5" t="s">
        <v>256</v>
      </c>
      <c r="AL93" s="4" t="s">
        <v>90</v>
      </c>
      <c r="AM93" s="4" t="s">
        <v>83</v>
      </c>
      <c r="AN93" s="27"/>
      <c r="AO93" s="4"/>
      <c r="AP93" s="58"/>
      <c r="AQ93" s="58"/>
      <c r="AR93" s="23"/>
      <c r="AS93" s="23"/>
      <c r="AT93" s="4"/>
      <c r="AU93" s="4"/>
      <c r="AV93" s="4"/>
      <c r="AW93" s="4"/>
      <c r="AX93" s="12"/>
      <c r="AY93" s="12"/>
      <c r="AZ93" s="12"/>
      <c r="BB93" t="str">
        <f>VLOOKUP(B93,contactos!$A$1:$D$484,4,FALSE)</f>
        <v>jesus@dcoloso.com.mx</v>
      </c>
    </row>
    <row r="94" spans="2:54" customFormat="1" x14ac:dyDescent="0.25">
      <c r="B94" s="100">
        <v>3137</v>
      </c>
      <c r="C94" s="4" t="s">
        <v>302</v>
      </c>
      <c r="D94" s="5">
        <v>578799.46621350304</v>
      </c>
      <c r="E94" s="5">
        <v>0</v>
      </c>
      <c r="F94" s="5">
        <v>92607.886794160484</v>
      </c>
      <c r="G94" s="5">
        <v>671407.36</v>
      </c>
      <c r="H94" s="5">
        <v>671407.36</v>
      </c>
      <c r="I94" s="5">
        <f t="shared" si="34"/>
        <v>258104.82621350305</v>
      </c>
      <c r="J94" s="5">
        <v>0</v>
      </c>
      <c r="K94" s="5">
        <f t="shared" si="35"/>
        <v>258104.82621350305</v>
      </c>
      <c r="L94" s="5">
        <f t="shared" si="36"/>
        <v>299401.5799999999</v>
      </c>
      <c r="M94" s="5">
        <v>0</v>
      </c>
      <c r="N94" s="5">
        <f t="shared" si="37"/>
        <v>299401.5799999999</v>
      </c>
      <c r="O94" s="121">
        <v>258104.83</v>
      </c>
      <c r="P94" s="21">
        <v>0</v>
      </c>
      <c r="Q94" s="121">
        <v>41296.74</v>
      </c>
      <c r="R94" s="21">
        <f t="shared" si="47"/>
        <v>299401.57</v>
      </c>
      <c r="S94" s="21">
        <f>D94-(O94+W94)</f>
        <v>-3.7864969344809651E-3</v>
      </c>
      <c r="T94" s="21">
        <f>E94-(P94+X94)</f>
        <v>0</v>
      </c>
      <c r="U94" s="21">
        <f>F94-(Q94+Y94)</f>
        <v>6.7941604793304577E-3</v>
      </c>
      <c r="V94" s="21">
        <f>G94-(R94+Z94)</f>
        <v>9.9999998928979039E-3</v>
      </c>
      <c r="W94" s="121">
        <v>320694.64</v>
      </c>
      <c r="X94" s="5">
        <v>0</v>
      </c>
      <c r="Y94" s="121">
        <v>51311.14</v>
      </c>
      <c r="Z94" s="5">
        <f t="shared" si="40"/>
        <v>372005.78</v>
      </c>
      <c r="AA94" s="5">
        <v>1024896.45</v>
      </c>
      <c r="AB94" s="5" t="s">
        <v>258</v>
      </c>
      <c r="AC94" s="5">
        <f t="shared" si="41"/>
        <v>578799.46621350304</v>
      </c>
      <c r="AD94" s="5">
        <f t="shared" si="42"/>
        <v>671407.35999999987</v>
      </c>
      <c r="AE94" s="5">
        <f t="shared" si="43"/>
        <v>0</v>
      </c>
      <c r="AF94" s="5"/>
      <c r="AG94" s="5" t="s">
        <v>303</v>
      </c>
      <c r="AH94" s="5">
        <v>4</v>
      </c>
      <c r="AI94" s="5">
        <v>0</v>
      </c>
      <c r="AJ94" s="5" t="s">
        <v>304</v>
      </c>
      <c r="AK94" s="5" t="s">
        <v>59</v>
      </c>
      <c r="AL94" s="4" t="s">
        <v>82</v>
      </c>
      <c r="AM94" s="4" t="s">
        <v>107</v>
      </c>
      <c r="AN94" s="21"/>
      <c r="AO94" s="4"/>
      <c r="AP94" s="58"/>
      <c r="AQ94" s="58"/>
      <c r="AR94" s="23"/>
      <c r="AS94" s="23">
        <v>46059</v>
      </c>
      <c r="AT94" s="7">
        <v>46059</v>
      </c>
      <c r="AU94" s="4"/>
      <c r="AV94" s="13" t="s">
        <v>108</v>
      </c>
      <c r="AW94" s="4"/>
      <c r="AX94" s="9"/>
      <c r="AY94" s="9"/>
      <c r="AZ94" s="4"/>
      <c r="BB94" t="str">
        <f>VLOOKUP(B94,contactos!$A$1:$D$484,4,FALSE)</f>
        <v>elias@pammy.com.mx</v>
      </c>
    </row>
    <row r="95" spans="2:54" customFormat="1" x14ac:dyDescent="0.25">
      <c r="B95" s="100">
        <v>86520</v>
      </c>
      <c r="C95" s="4" t="s">
        <v>305</v>
      </c>
      <c r="D95" s="5">
        <v>578790.19352323993</v>
      </c>
      <c r="E95" s="5">
        <v>0</v>
      </c>
      <c r="F95" s="5">
        <v>92606.430963718405</v>
      </c>
      <c r="G95" s="5">
        <v>671396.60999999987</v>
      </c>
      <c r="H95" s="5">
        <v>671396.62</v>
      </c>
      <c r="I95" s="5">
        <f t="shared" si="34"/>
        <v>578790.19352323993</v>
      </c>
      <c r="J95" s="5"/>
      <c r="K95" s="5">
        <f t="shared" si="35"/>
        <v>578790.19352323993</v>
      </c>
      <c r="L95" s="5">
        <f t="shared" si="36"/>
        <v>671396.62448695838</v>
      </c>
      <c r="M95" s="5"/>
      <c r="N95" s="5">
        <f t="shared" si="37"/>
        <v>671396.62448695838</v>
      </c>
      <c r="O95" s="21"/>
      <c r="P95" s="21"/>
      <c r="Q95" s="21"/>
      <c r="R95" s="21">
        <f t="shared" si="47"/>
        <v>0</v>
      </c>
      <c r="S95" s="21">
        <v>578790.19352323993</v>
      </c>
      <c r="T95" s="21">
        <f t="shared" ref="T95:U98" si="48">E95-X95</f>
        <v>0</v>
      </c>
      <c r="U95" s="21">
        <f t="shared" si="48"/>
        <v>92606.430963718405</v>
      </c>
      <c r="V95" s="21">
        <f t="shared" si="39"/>
        <v>671396.62448695838</v>
      </c>
      <c r="W95" s="21"/>
      <c r="X95" s="5"/>
      <c r="Y95" s="5"/>
      <c r="Z95" s="5">
        <f t="shared" si="40"/>
        <v>0</v>
      </c>
      <c r="AA95" s="5">
        <v>415815.22</v>
      </c>
      <c r="AB95" s="5" t="s">
        <v>258</v>
      </c>
      <c r="AC95" s="5">
        <f t="shared" si="41"/>
        <v>578790.19352323993</v>
      </c>
      <c r="AD95" s="5">
        <f t="shared" si="42"/>
        <v>671396.62448695838</v>
      </c>
      <c r="AE95" s="5">
        <f t="shared" si="43"/>
        <v>-1.448695850558579E-2</v>
      </c>
      <c r="AF95" s="5"/>
      <c r="AG95" s="5" t="s">
        <v>73</v>
      </c>
      <c r="AH95" s="5">
        <v>4</v>
      </c>
      <c r="AI95" s="5">
        <v>0</v>
      </c>
      <c r="AJ95" s="5">
        <v>0</v>
      </c>
      <c r="AK95" s="5" t="s">
        <v>256</v>
      </c>
      <c r="AL95" s="4" t="s">
        <v>90</v>
      </c>
      <c r="AM95" s="4" t="s">
        <v>107</v>
      </c>
      <c r="AN95" s="21"/>
      <c r="AO95" s="4"/>
      <c r="AP95" s="58"/>
      <c r="AQ95" s="58"/>
      <c r="AR95" s="23"/>
      <c r="AS95" s="23"/>
      <c r="AT95" s="4"/>
      <c r="AU95" s="4"/>
      <c r="AV95" s="4"/>
      <c r="AW95" s="4"/>
      <c r="AX95" s="9"/>
      <c r="AY95" s="9"/>
      <c r="AZ95" s="4"/>
      <c r="BB95" t="e">
        <f>VLOOKUP(B95,contactos!$A$1:$D$484,4,FALSE)</f>
        <v>#N/A</v>
      </c>
    </row>
    <row r="96" spans="2:54" customFormat="1" ht="30" x14ac:dyDescent="0.25">
      <c r="B96" s="100">
        <v>306571</v>
      </c>
      <c r="C96" s="4" t="s">
        <v>306</v>
      </c>
      <c r="D96" s="5">
        <v>597144.21234794031</v>
      </c>
      <c r="E96" s="5">
        <v>0</v>
      </c>
      <c r="F96" s="5">
        <v>63014.278434710417</v>
      </c>
      <c r="G96" s="5">
        <v>660158.43999999994</v>
      </c>
      <c r="H96" s="5">
        <v>660158.43999999994</v>
      </c>
      <c r="I96" s="5">
        <f t="shared" si="34"/>
        <v>597144.21234794031</v>
      </c>
      <c r="J96" s="5"/>
      <c r="K96" s="5">
        <f t="shared" si="35"/>
        <v>597144.21234794031</v>
      </c>
      <c r="L96" s="5">
        <f t="shared" si="36"/>
        <v>660158.49078265077</v>
      </c>
      <c r="M96" s="5"/>
      <c r="N96" s="5">
        <f t="shared" si="37"/>
        <v>660158.49078265077</v>
      </c>
      <c r="O96" s="21"/>
      <c r="P96" s="21"/>
      <c r="Q96" s="21"/>
      <c r="R96" s="21">
        <f t="shared" si="47"/>
        <v>0</v>
      </c>
      <c r="S96" s="21">
        <v>597144.21234794031</v>
      </c>
      <c r="T96" s="21">
        <f t="shared" si="48"/>
        <v>0</v>
      </c>
      <c r="U96" s="21">
        <f t="shared" si="48"/>
        <v>63014.278434710417</v>
      </c>
      <c r="V96" s="21">
        <f t="shared" si="39"/>
        <v>660158.49078265077</v>
      </c>
      <c r="W96" s="21"/>
      <c r="X96" s="5"/>
      <c r="Y96" s="5"/>
      <c r="Z96" s="5">
        <f t="shared" si="40"/>
        <v>0</v>
      </c>
      <c r="AA96" s="5">
        <v>1033798.44</v>
      </c>
      <c r="AB96" s="5" t="s">
        <v>258</v>
      </c>
      <c r="AC96" s="5">
        <f t="shared" si="41"/>
        <v>597144.21234794031</v>
      </c>
      <c r="AD96" s="5">
        <f t="shared" si="42"/>
        <v>660158.49078265077</v>
      </c>
      <c r="AE96" s="5">
        <f t="shared" si="43"/>
        <v>-5.0782650825567544E-2</v>
      </c>
      <c r="AF96" s="5">
        <f>D96-S96</f>
        <v>0</v>
      </c>
      <c r="AG96" s="5" t="s">
        <v>238</v>
      </c>
      <c r="AH96" s="5">
        <v>4</v>
      </c>
      <c r="AI96" s="5">
        <v>0</v>
      </c>
      <c r="AJ96" s="5">
        <v>0</v>
      </c>
      <c r="AK96" s="5" t="s">
        <v>256</v>
      </c>
      <c r="AL96" s="4" t="s">
        <v>90</v>
      </c>
      <c r="AM96" s="4" t="s">
        <v>91</v>
      </c>
      <c r="AN96" s="21">
        <f>G96</f>
        <v>660158.43999999994</v>
      </c>
      <c r="AO96" s="4"/>
      <c r="AP96" s="58"/>
      <c r="AQ96" s="58"/>
      <c r="AR96" s="23"/>
      <c r="AS96" s="23">
        <v>46059</v>
      </c>
      <c r="AT96" s="4" t="s">
        <v>307</v>
      </c>
      <c r="AU96" s="4"/>
      <c r="AV96" s="13" t="s">
        <v>308</v>
      </c>
      <c r="AW96" s="4" t="s">
        <v>70</v>
      </c>
      <c r="AX96" s="9"/>
      <c r="AY96" s="9" t="s">
        <v>198</v>
      </c>
      <c r="AZ96" s="4"/>
      <c r="BB96" t="e">
        <f>VLOOKUP(B96,contactos!$A$1:$D$484,4,FALSE)</f>
        <v>#N/A</v>
      </c>
    </row>
    <row r="97" spans="2:54" customFormat="1" x14ac:dyDescent="0.25">
      <c r="B97" s="100">
        <v>13642</v>
      </c>
      <c r="C97" s="4" t="s">
        <v>268</v>
      </c>
      <c r="D97" s="5">
        <v>556101.1776076979</v>
      </c>
      <c r="E97" s="5">
        <v>0</v>
      </c>
      <c r="F97" s="5">
        <v>88976.136517231673</v>
      </c>
      <c r="G97" s="5">
        <v>645077.30999999994</v>
      </c>
      <c r="H97" s="5">
        <v>645077.31000000006</v>
      </c>
      <c r="I97" s="5">
        <f t="shared" si="34"/>
        <v>281284.9276076979</v>
      </c>
      <c r="J97" s="5">
        <v>0</v>
      </c>
      <c r="K97" s="5">
        <f t="shared" si="35"/>
        <v>281284.9276076979</v>
      </c>
      <c r="L97" s="5">
        <f t="shared" si="36"/>
        <v>326290.48999999993</v>
      </c>
      <c r="M97" s="5">
        <v>0</v>
      </c>
      <c r="N97" s="5">
        <f t="shared" si="37"/>
        <v>326290.48999999993</v>
      </c>
      <c r="O97" s="21"/>
      <c r="P97" s="21"/>
      <c r="Q97" s="21"/>
      <c r="R97" s="21">
        <f t="shared" si="47"/>
        <v>0</v>
      </c>
      <c r="S97" s="21">
        <f>D97-W97</f>
        <v>281284.9276076979</v>
      </c>
      <c r="T97" s="21">
        <f t="shared" si="48"/>
        <v>0</v>
      </c>
      <c r="U97" s="21">
        <f t="shared" si="48"/>
        <v>45005.566517231673</v>
      </c>
      <c r="V97" s="21">
        <f>G97-Z97</f>
        <v>326290.48999999993</v>
      </c>
      <c r="W97" s="21">
        <v>274816.25</v>
      </c>
      <c r="X97" s="5">
        <v>0</v>
      </c>
      <c r="Y97" s="5">
        <v>43970.57</v>
      </c>
      <c r="Z97" s="5">
        <f t="shared" si="40"/>
        <v>318786.82</v>
      </c>
      <c r="AA97" s="5">
        <v>3106171.6</v>
      </c>
      <c r="AB97" s="5" t="s">
        <v>258</v>
      </c>
      <c r="AC97" s="5">
        <f t="shared" si="41"/>
        <v>556101.1776076979</v>
      </c>
      <c r="AD97" s="5">
        <f t="shared" si="42"/>
        <v>645077.30999999994</v>
      </c>
      <c r="AE97" s="5">
        <f t="shared" si="43"/>
        <v>0</v>
      </c>
      <c r="AF97" s="5">
        <f>D97-S97</f>
        <v>274816.25</v>
      </c>
      <c r="AG97" s="5" t="s">
        <v>73</v>
      </c>
      <c r="AH97" s="5">
        <v>4</v>
      </c>
      <c r="AI97" s="5">
        <v>4</v>
      </c>
      <c r="AJ97" s="5" t="s">
        <v>309</v>
      </c>
      <c r="AK97" s="5" t="s">
        <v>59</v>
      </c>
      <c r="AL97" s="4" t="s">
        <v>75</v>
      </c>
      <c r="AM97" s="6" t="s">
        <v>94</v>
      </c>
      <c r="AN97" s="21"/>
      <c r="AO97" s="4"/>
      <c r="AP97" s="58"/>
      <c r="AQ97" s="58"/>
      <c r="AR97" s="23"/>
      <c r="AS97" s="23"/>
      <c r="AT97" s="4"/>
      <c r="AU97" s="4"/>
      <c r="AV97" s="4"/>
      <c r="AW97" s="4"/>
      <c r="AX97" s="9"/>
      <c r="AY97" s="9"/>
      <c r="AZ97" s="4"/>
      <c r="BB97" t="str">
        <f>VLOOKUP(B97,contactos!$A$1:$D$484,4,FALSE)</f>
        <v>jaldape@comcantu.com</v>
      </c>
    </row>
    <row r="98" spans="2:54" customFormat="1" x14ac:dyDescent="0.25">
      <c r="B98" s="100">
        <v>21869</v>
      </c>
      <c r="C98" s="4" t="s">
        <v>116</v>
      </c>
      <c r="D98" s="5">
        <v>621522.28741595196</v>
      </c>
      <c r="E98" s="5">
        <v>0</v>
      </c>
      <c r="F98" s="5">
        <v>0</v>
      </c>
      <c r="G98" s="5">
        <v>621522.28</v>
      </c>
      <c r="H98" s="5">
        <v>621522.28</v>
      </c>
      <c r="I98" s="5">
        <f t="shared" si="34"/>
        <v>16566.7274159519</v>
      </c>
      <c r="J98" s="5">
        <v>0</v>
      </c>
      <c r="K98" s="5">
        <f t="shared" si="35"/>
        <v>16566.7274159519</v>
      </c>
      <c r="L98" s="5">
        <f t="shared" si="36"/>
        <v>16566.7274159519</v>
      </c>
      <c r="M98" s="5">
        <v>0</v>
      </c>
      <c r="N98" s="5">
        <f t="shared" si="37"/>
        <v>16566.7274159519</v>
      </c>
      <c r="O98" s="27"/>
      <c r="P98" s="27"/>
      <c r="Q98" s="27"/>
      <c r="R98" s="21">
        <f t="shared" si="47"/>
        <v>0</v>
      </c>
      <c r="S98" s="27">
        <f>D98-W98</f>
        <v>16566.7274159519</v>
      </c>
      <c r="T98" s="21">
        <f t="shared" si="48"/>
        <v>0</v>
      </c>
      <c r="U98" s="21">
        <f t="shared" si="48"/>
        <v>0</v>
      </c>
      <c r="V98" s="21">
        <f t="shared" si="39"/>
        <v>16566.7274159519</v>
      </c>
      <c r="W98" s="27">
        <v>604955.56000000006</v>
      </c>
      <c r="X98" s="5">
        <v>0</v>
      </c>
      <c r="Y98" s="5">
        <v>0</v>
      </c>
      <c r="Z98" s="5">
        <f t="shared" si="40"/>
        <v>604955.56000000006</v>
      </c>
      <c r="AA98" s="5"/>
      <c r="AB98" s="5" t="s">
        <v>258</v>
      </c>
      <c r="AC98" s="5">
        <f t="shared" si="41"/>
        <v>621522.28741595196</v>
      </c>
      <c r="AD98" s="5">
        <f t="shared" si="42"/>
        <v>621522.28741595196</v>
      </c>
      <c r="AE98" s="5">
        <f t="shared" si="43"/>
        <v>-7.4159519281238317E-3</v>
      </c>
      <c r="AF98" s="5">
        <f>D98-S98</f>
        <v>604955.56000000006</v>
      </c>
      <c r="AG98" s="5" t="s">
        <v>73</v>
      </c>
      <c r="AH98" s="5">
        <v>4</v>
      </c>
      <c r="AI98" s="5">
        <v>0</v>
      </c>
      <c r="AJ98" s="5">
        <v>0</v>
      </c>
      <c r="AK98" s="5" t="s">
        <v>256</v>
      </c>
      <c r="AL98" s="4" t="s">
        <v>90</v>
      </c>
      <c r="AM98" s="4" t="s">
        <v>83</v>
      </c>
      <c r="AN98" s="27"/>
      <c r="AO98" s="4"/>
      <c r="AP98" s="58"/>
      <c r="AQ98" s="58"/>
      <c r="AR98" s="23"/>
      <c r="AS98" s="23"/>
      <c r="AT98" s="4"/>
      <c r="AU98" s="4"/>
      <c r="AV98" s="4"/>
      <c r="AW98" s="4"/>
      <c r="AX98" s="12"/>
      <c r="AY98" s="12"/>
      <c r="AZ98" s="12"/>
      <c r="BB98" t="str">
        <f>VLOOKUP(B98,contactos!$A$1:$D$484,4,FALSE)</f>
        <v>lcedillo@pinsa.com</v>
      </c>
    </row>
    <row r="99" spans="2:54" customFormat="1" x14ac:dyDescent="0.25">
      <c r="B99" s="100">
        <v>79087</v>
      </c>
      <c r="C99" s="4" t="s">
        <v>310</v>
      </c>
      <c r="D99" s="5">
        <v>532651.81000000006</v>
      </c>
      <c r="E99" s="5">
        <v>0</v>
      </c>
      <c r="F99" s="5">
        <v>85224.289599999989</v>
      </c>
      <c r="G99" s="5">
        <v>617876.1100000001</v>
      </c>
      <c r="H99" s="5">
        <v>118071.44</v>
      </c>
      <c r="I99" s="5">
        <f t="shared" si="34"/>
        <v>101785.73000000004</v>
      </c>
      <c r="J99" s="5"/>
      <c r="K99" s="5">
        <f t="shared" si="35"/>
        <v>101785.73000000004</v>
      </c>
      <c r="L99" s="5">
        <f t="shared" si="36"/>
        <v>118071.44960000002</v>
      </c>
      <c r="M99" s="5"/>
      <c r="N99" s="5">
        <f t="shared" si="37"/>
        <v>118071.44960000002</v>
      </c>
      <c r="O99" s="21">
        <v>101785.73000000004</v>
      </c>
      <c r="P99" s="21">
        <v>0</v>
      </c>
      <c r="Q99" s="41">
        <v>16285.719599999982</v>
      </c>
      <c r="R99" s="21">
        <f t="shared" si="47"/>
        <v>118071.44960000002</v>
      </c>
      <c r="S99" s="21">
        <v>0</v>
      </c>
      <c r="T99" s="21">
        <v>0</v>
      </c>
      <c r="U99" s="21">
        <v>0</v>
      </c>
      <c r="V99" s="21">
        <f t="shared" si="39"/>
        <v>0</v>
      </c>
      <c r="W99" s="21">
        <v>430866.08</v>
      </c>
      <c r="X99" s="5"/>
      <c r="Y99" s="120">
        <v>68938.570000000007</v>
      </c>
      <c r="Z99" s="5">
        <f t="shared" si="40"/>
        <v>499804.65</v>
      </c>
      <c r="AA99" s="5">
        <v>559777.36</v>
      </c>
      <c r="AB99" s="5" t="s">
        <v>258</v>
      </c>
      <c r="AC99" s="5">
        <f t="shared" si="41"/>
        <v>532651.81000000006</v>
      </c>
      <c r="AD99" s="5">
        <f t="shared" si="42"/>
        <v>617876.09960000007</v>
      </c>
      <c r="AE99" s="5">
        <f t="shared" si="43"/>
        <v>1.0400000028312206E-2</v>
      </c>
      <c r="AF99" s="5"/>
      <c r="AG99" s="5" t="s">
        <v>73</v>
      </c>
      <c r="AH99" s="5">
        <v>4</v>
      </c>
      <c r="AI99" s="5">
        <v>6</v>
      </c>
      <c r="AJ99" s="120" t="s">
        <v>311</v>
      </c>
      <c r="AK99" s="5" t="s">
        <v>59</v>
      </c>
      <c r="AL99" s="4" t="s">
        <v>133</v>
      </c>
      <c r="AM99" s="6" t="s">
        <v>112</v>
      </c>
      <c r="AN99" s="21"/>
      <c r="AO99" s="4"/>
      <c r="AP99" s="58"/>
      <c r="AQ99" s="58"/>
      <c r="AR99" s="23"/>
      <c r="AS99" s="23">
        <v>46059</v>
      </c>
      <c r="AT99" s="4"/>
      <c r="AU99" s="7">
        <v>46059</v>
      </c>
      <c r="AV99" s="13" t="s">
        <v>312</v>
      </c>
      <c r="AW99" s="4"/>
      <c r="AX99" s="9"/>
      <c r="AY99" s="9"/>
      <c r="AZ99" s="4"/>
      <c r="BB99" t="str">
        <f>VLOOKUP(B99,contactos!$A$1:$D$484,4,FALSE)</f>
        <v>alejandro.rodriguez@hamiltonbeach.com</v>
      </c>
    </row>
    <row r="100" spans="2:54" customFormat="1" x14ac:dyDescent="0.25">
      <c r="B100" s="100">
        <v>32953</v>
      </c>
      <c r="C100" s="4" t="s">
        <v>313</v>
      </c>
      <c r="D100" s="5">
        <v>526702.41254543397</v>
      </c>
      <c r="E100" s="5">
        <v>0</v>
      </c>
      <c r="F100" s="5">
        <v>84272.3794072694</v>
      </c>
      <c r="G100" s="5">
        <v>610975.08000000007</v>
      </c>
      <c r="H100" s="5">
        <v>489083.38</v>
      </c>
      <c r="I100" s="5">
        <v>421623.6</v>
      </c>
      <c r="J100" s="5">
        <v>0</v>
      </c>
      <c r="K100" s="5">
        <f>I100-J100</f>
        <v>421623.6</v>
      </c>
      <c r="L100" s="5">
        <v>489083.38</v>
      </c>
      <c r="M100" s="5">
        <v>0</v>
      </c>
      <c r="N100" s="5">
        <f>L100-M100</f>
        <v>489083.38</v>
      </c>
      <c r="O100" s="121">
        <v>387264.28</v>
      </c>
      <c r="P100" s="31">
        <v>0</v>
      </c>
      <c r="Q100" s="105">
        <v>61962.28</v>
      </c>
      <c r="R100" s="21">
        <v>449226.56000000006</v>
      </c>
      <c r="S100" s="121">
        <f>D100-(O100+W100)</f>
        <v>105078.82254543394</v>
      </c>
      <c r="T100" s="21">
        <f>E100-(P100+X100)</f>
        <v>0</v>
      </c>
      <c r="U100" s="21">
        <f>F100-(Q100+Y100)</f>
        <v>16812.6098072694</v>
      </c>
      <c r="V100" s="21">
        <f>S100+U100</f>
        <v>121891.43235270334</v>
      </c>
      <c r="W100" s="21">
        <v>34359.31</v>
      </c>
      <c r="X100" s="5"/>
      <c r="Y100" s="91">
        <v>5497.4895999999999</v>
      </c>
      <c r="Z100" s="5">
        <f>SUM(W100:Y100)</f>
        <v>39856.799599999998</v>
      </c>
      <c r="AA100" s="5">
        <v>2990546.31</v>
      </c>
      <c r="AB100" s="5" t="s">
        <v>258</v>
      </c>
      <c r="AC100" s="5">
        <f>O100+S100+W100</f>
        <v>526702.41254543397</v>
      </c>
      <c r="AD100" s="5">
        <f t="shared" si="42"/>
        <v>610974.79195270338</v>
      </c>
      <c r="AE100" s="5">
        <f t="shared" si="43"/>
        <v>0.28804729669354856</v>
      </c>
      <c r="AF100" s="5"/>
      <c r="AG100" s="5" t="s">
        <v>73</v>
      </c>
      <c r="AH100" s="5">
        <v>4</v>
      </c>
      <c r="AI100" s="5">
        <v>8</v>
      </c>
      <c r="AJ100" s="5" t="s">
        <v>314</v>
      </c>
      <c r="AK100" s="5" t="s">
        <v>59</v>
      </c>
      <c r="AL100" s="4" t="s">
        <v>75</v>
      </c>
      <c r="AM100" s="6" t="s">
        <v>107</v>
      </c>
      <c r="AN100" s="92"/>
      <c r="AO100" s="4"/>
      <c r="AP100" s="58"/>
      <c r="AQ100" s="58"/>
      <c r="AR100" s="23"/>
      <c r="AS100" s="23"/>
      <c r="AT100" s="4"/>
      <c r="AU100" s="4"/>
      <c r="AV100" s="13" t="s">
        <v>315</v>
      </c>
      <c r="AW100" s="4"/>
      <c r="AX100" s="9"/>
      <c r="AY100" s="9"/>
      <c r="AZ100" s="4"/>
      <c r="BB100" t="str">
        <f>VLOOKUP(B100,contactos!$A$1:$D$484,4,FALSE)</f>
        <v>jose.lopez@fhp-ww.com</v>
      </c>
    </row>
    <row r="101" spans="2:54" customFormat="1" x14ac:dyDescent="0.25">
      <c r="B101" s="100">
        <v>11716</v>
      </c>
      <c r="C101" s="4" t="s">
        <v>316</v>
      </c>
      <c r="D101" s="5">
        <v>507093.82999999996</v>
      </c>
      <c r="E101" s="5">
        <v>0</v>
      </c>
      <c r="F101" s="5">
        <v>81134.982600000018</v>
      </c>
      <c r="G101" s="5">
        <v>588228.75</v>
      </c>
      <c r="H101" s="5">
        <v>588228.81000000006</v>
      </c>
      <c r="I101" s="5">
        <f t="shared" si="34"/>
        <v>507093.82999999996</v>
      </c>
      <c r="J101" s="5"/>
      <c r="K101" s="5">
        <f t="shared" si="35"/>
        <v>507093.82999999996</v>
      </c>
      <c r="L101" s="5">
        <f t="shared" si="36"/>
        <v>588228.81259999995</v>
      </c>
      <c r="M101" s="5"/>
      <c r="N101" s="5">
        <f t="shared" si="37"/>
        <v>588228.81259999995</v>
      </c>
      <c r="O101" s="21"/>
      <c r="P101" s="21"/>
      <c r="Q101" s="38"/>
      <c r="R101" s="21">
        <f t="shared" si="47"/>
        <v>0</v>
      </c>
      <c r="S101" s="21">
        <v>507093.82999999996</v>
      </c>
      <c r="T101" s="21">
        <f t="shared" ref="T101:T112" si="49">E101-X101</f>
        <v>0</v>
      </c>
      <c r="U101" s="21">
        <f t="shared" ref="U101:U114" si="50">F101-Y101</f>
        <v>81134.982600000018</v>
      </c>
      <c r="V101" s="21">
        <f t="shared" si="39"/>
        <v>588228.81259999995</v>
      </c>
      <c r="W101" s="21"/>
      <c r="X101" s="5"/>
      <c r="Y101" s="5"/>
      <c r="Z101" s="5">
        <f t="shared" si="40"/>
        <v>0</v>
      </c>
      <c r="AA101" s="5">
        <v>1724425.07</v>
      </c>
      <c r="AB101" s="5" t="s">
        <v>258</v>
      </c>
      <c r="AC101" s="5">
        <f t="shared" si="41"/>
        <v>507093.82999999996</v>
      </c>
      <c r="AD101" s="5">
        <f t="shared" si="42"/>
        <v>588228.81259999995</v>
      </c>
      <c r="AE101" s="5">
        <f t="shared" si="43"/>
        <v>-6.2599999946542084E-2</v>
      </c>
      <c r="AF101" s="5">
        <f t="shared" ref="AF101:AF106" si="51">D101-S101</f>
        <v>0</v>
      </c>
      <c r="AG101" s="5" t="s">
        <v>73</v>
      </c>
      <c r="AH101" s="5">
        <v>4</v>
      </c>
      <c r="AI101" s="5">
        <v>0</v>
      </c>
      <c r="AJ101" s="5">
        <v>0</v>
      </c>
      <c r="AK101" s="5" t="s">
        <v>256</v>
      </c>
      <c r="AL101" s="4" t="s">
        <v>90</v>
      </c>
      <c r="AM101" s="4" t="s">
        <v>162</v>
      </c>
      <c r="AN101" s="21"/>
      <c r="AO101" s="4"/>
      <c r="AP101" s="58"/>
      <c r="AQ101" s="58"/>
      <c r="AR101" s="23"/>
      <c r="AS101" s="23"/>
      <c r="AT101" s="4"/>
      <c r="AU101" s="4"/>
      <c r="AV101" s="4"/>
      <c r="AW101" s="4"/>
      <c r="AX101" s="9"/>
      <c r="AY101" s="9"/>
      <c r="AZ101" s="4"/>
      <c r="BB101" t="e">
        <f>VLOOKUP(B101,contactos!$A$1:$D$484,4,FALSE)</f>
        <v>#N/A</v>
      </c>
    </row>
    <row r="102" spans="2:54" customFormat="1" x14ac:dyDescent="0.25">
      <c r="B102" s="100">
        <v>312397</v>
      </c>
      <c r="C102" s="4" t="s">
        <v>317</v>
      </c>
      <c r="D102" s="5">
        <v>556338.23</v>
      </c>
      <c r="E102" s="5">
        <v>29630.807199999996</v>
      </c>
      <c r="F102" s="5">
        <v>0</v>
      </c>
      <c r="G102" s="5">
        <v>585969.03</v>
      </c>
      <c r="H102" s="5">
        <v>585969.03</v>
      </c>
      <c r="I102" s="5">
        <f t="shared" si="34"/>
        <v>556338.23</v>
      </c>
      <c r="J102" s="5"/>
      <c r="K102" s="5">
        <f t="shared" si="35"/>
        <v>556338.23</v>
      </c>
      <c r="L102" s="5">
        <f t="shared" si="36"/>
        <v>585969.03720000002</v>
      </c>
      <c r="M102" s="5"/>
      <c r="N102" s="5">
        <f t="shared" si="37"/>
        <v>585969.03720000002</v>
      </c>
      <c r="O102" s="21"/>
      <c r="P102" s="21"/>
      <c r="Q102" s="21"/>
      <c r="R102" s="21">
        <f t="shared" si="47"/>
        <v>0</v>
      </c>
      <c r="S102" s="21">
        <v>556338.23</v>
      </c>
      <c r="T102" s="21">
        <f t="shared" si="49"/>
        <v>29630.807199999996</v>
      </c>
      <c r="U102" s="21">
        <f t="shared" si="50"/>
        <v>0</v>
      </c>
      <c r="V102" s="21">
        <f t="shared" si="39"/>
        <v>585969.03720000002</v>
      </c>
      <c r="W102" s="21"/>
      <c r="X102" s="5"/>
      <c r="Y102" s="5"/>
      <c r="Z102" s="5">
        <f t="shared" si="40"/>
        <v>0</v>
      </c>
      <c r="AA102" s="5">
        <v>3341863.47</v>
      </c>
      <c r="AB102" s="5" t="s">
        <v>258</v>
      </c>
      <c r="AC102" s="5">
        <f t="shared" si="41"/>
        <v>556338.23</v>
      </c>
      <c r="AD102" s="5">
        <f t="shared" si="42"/>
        <v>585969.03720000002</v>
      </c>
      <c r="AE102" s="5">
        <f t="shared" si="43"/>
        <v>-7.1999999927356839E-3</v>
      </c>
      <c r="AF102" s="5">
        <f t="shared" si="51"/>
        <v>0</v>
      </c>
      <c r="AG102" s="5" t="s">
        <v>238</v>
      </c>
      <c r="AH102" s="5">
        <v>4</v>
      </c>
      <c r="AI102" s="5">
        <v>0</v>
      </c>
      <c r="AJ102" s="5">
        <v>0</v>
      </c>
      <c r="AK102" s="5" t="s">
        <v>256</v>
      </c>
      <c r="AL102" s="4" t="s">
        <v>90</v>
      </c>
      <c r="AM102" s="4" t="s">
        <v>76</v>
      </c>
      <c r="AN102" s="21"/>
      <c r="AO102" s="4"/>
      <c r="AP102" s="58"/>
      <c r="AQ102" s="58"/>
      <c r="AR102" s="23"/>
      <c r="AS102" s="23"/>
      <c r="AT102" s="4"/>
      <c r="AU102" s="4"/>
      <c r="AV102" s="4"/>
      <c r="AW102" s="4"/>
      <c r="AX102" s="9"/>
      <c r="AY102" s="9"/>
      <c r="AZ102" s="4"/>
      <c r="BB102" t="str">
        <f>VLOOKUP(B102,contactos!$A$1:$D$484,4,FALSE)</f>
        <v>EDUARDO.LAGUNES@STARDELNORTE.COM</v>
      </c>
    </row>
    <row r="103" spans="2:54" customFormat="1" x14ac:dyDescent="0.25">
      <c r="B103" s="100">
        <v>58487</v>
      </c>
      <c r="C103" s="4" t="s">
        <v>318</v>
      </c>
      <c r="D103" s="5">
        <v>487893.67200947099</v>
      </c>
      <c r="E103" s="5">
        <v>0</v>
      </c>
      <c r="F103" s="5">
        <v>78062.917121515362</v>
      </c>
      <c r="G103" s="5">
        <v>565956.6</v>
      </c>
      <c r="H103" s="5">
        <v>565956.57999999996</v>
      </c>
      <c r="I103" s="5">
        <f t="shared" si="34"/>
        <v>487893.67200947099</v>
      </c>
      <c r="J103" s="5"/>
      <c r="K103" s="5">
        <f t="shared" si="35"/>
        <v>487893.67200947099</v>
      </c>
      <c r="L103" s="5">
        <f t="shared" si="36"/>
        <v>565956.58913098637</v>
      </c>
      <c r="M103" s="5"/>
      <c r="N103" s="5">
        <f t="shared" si="37"/>
        <v>565956.58913098637</v>
      </c>
      <c r="O103" s="21"/>
      <c r="P103" s="21"/>
      <c r="Q103" s="21"/>
      <c r="R103" s="21">
        <f t="shared" si="47"/>
        <v>0</v>
      </c>
      <c r="S103" s="21">
        <v>487893.67200947099</v>
      </c>
      <c r="T103" s="21">
        <f t="shared" si="49"/>
        <v>0</v>
      </c>
      <c r="U103" s="21">
        <f t="shared" si="50"/>
        <v>78062.917121515362</v>
      </c>
      <c r="V103" s="21">
        <f t="shared" si="39"/>
        <v>565956.58913098637</v>
      </c>
      <c r="W103" s="21"/>
      <c r="X103" s="5"/>
      <c r="Y103" s="5"/>
      <c r="Z103" s="5">
        <f t="shared" si="40"/>
        <v>0</v>
      </c>
      <c r="AA103" s="5">
        <v>1790863.23</v>
      </c>
      <c r="AB103" s="5" t="s">
        <v>258</v>
      </c>
      <c r="AC103" s="5">
        <f t="shared" si="41"/>
        <v>487893.67200947099</v>
      </c>
      <c r="AD103" s="5">
        <f t="shared" si="42"/>
        <v>565956.58913098637</v>
      </c>
      <c r="AE103" s="5">
        <f t="shared" si="43"/>
        <v>1.0869013611227274E-2</v>
      </c>
      <c r="AF103" s="5">
        <f t="shared" si="51"/>
        <v>0</v>
      </c>
      <c r="AG103" s="5" t="s">
        <v>73</v>
      </c>
      <c r="AH103" s="5">
        <v>4</v>
      </c>
      <c r="AI103" s="5">
        <v>0</v>
      </c>
      <c r="AJ103" s="120" t="s">
        <v>259</v>
      </c>
      <c r="AK103" s="5" t="s">
        <v>256</v>
      </c>
      <c r="AL103" s="4" t="s">
        <v>90</v>
      </c>
      <c r="AM103" s="4" t="s">
        <v>216</v>
      </c>
      <c r="AN103" s="21"/>
      <c r="AO103" s="32"/>
      <c r="AP103" s="58"/>
      <c r="AQ103" s="58"/>
      <c r="AR103" s="23"/>
      <c r="AS103" s="23"/>
      <c r="AT103" s="4"/>
      <c r="AU103" s="4"/>
      <c r="AV103" s="4"/>
      <c r="AW103" s="4"/>
      <c r="AX103" s="9"/>
      <c r="AY103" s="9"/>
      <c r="AZ103" s="4"/>
      <c r="BB103" t="str">
        <f>VLOOKUP(B103,contactos!$A$1:$D$484,4,FALSE)</f>
        <v>ADMVENTAS@BABYCREYSI.COM</v>
      </c>
    </row>
    <row r="104" spans="2:54" customFormat="1" x14ac:dyDescent="0.25">
      <c r="B104" s="100">
        <v>82370</v>
      </c>
      <c r="C104" s="4" t="s">
        <v>319</v>
      </c>
      <c r="D104" s="5">
        <v>547009.90346483048</v>
      </c>
      <c r="E104" s="5">
        <v>3115.9219196569998</v>
      </c>
      <c r="F104" s="5">
        <v>0</v>
      </c>
      <c r="G104" s="5">
        <v>550125.81959999993</v>
      </c>
      <c r="H104" s="5">
        <v>550125.81000000006</v>
      </c>
      <c r="I104" s="5">
        <f t="shared" si="34"/>
        <v>547009.90346483048</v>
      </c>
      <c r="J104" s="5"/>
      <c r="K104" s="5">
        <f t="shared" si="35"/>
        <v>547009.90346483048</v>
      </c>
      <c r="L104" s="5">
        <f t="shared" si="36"/>
        <v>550125.82538448751</v>
      </c>
      <c r="M104" s="5"/>
      <c r="N104" s="5">
        <f t="shared" si="37"/>
        <v>550125.82538448751</v>
      </c>
      <c r="O104" s="21"/>
      <c r="P104" s="21"/>
      <c r="Q104" s="21"/>
      <c r="R104" s="21">
        <f t="shared" si="47"/>
        <v>0</v>
      </c>
      <c r="S104" s="21">
        <v>547009.90346483048</v>
      </c>
      <c r="T104" s="21">
        <f t="shared" si="49"/>
        <v>3115.9219196569998</v>
      </c>
      <c r="U104" s="21">
        <f t="shared" si="50"/>
        <v>0</v>
      </c>
      <c r="V104" s="21">
        <f t="shared" si="39"/>
        <v>550125.82538448751</v>
      </c>
      <c r="W104" s="21"/>
      <c r="X104" s="5"/>
      <c r="Y104" s="5"/>
      <c r="Z104" s="5">
        <f t="shared" si="40"/>
        <v>0</v>
      </c>
      <c r="AA104" s="5"/>
      <c r="AB104" s="5" t="s">
        <v>258</v>
      </c>
      <c r="AC104" s="5">
        <f t="shared" si="41"/>
        <v>547009.90346483048</v>
      </c>
      <c r="AD104" s="5">
        <f t="shared" si="42"/>
        <v>550125.82538448751</v>
      </c>
      <c r="AE104" s="5">
        <f t="shared" si="43"/>
        <v>-5.784487584605813E-3</v>
      </c>
      <c r="AF104" s="5">
        <f t="shared" si="51"/>
        <v>0</v>
      </c>
      <c r="AG104" s="5" t="s">
        <v>73</v>
      </c>
      <c r="AH104" s="5">
        <v>4</v>
      </c>
      <c r="AI104" s="5">
        <v>2</v>
      </c>
      <c r="AJ104" s="5" t="s">
        <v>320</v>
      </c>
      <c r="AK104" s="5" t="s">
        <v>59</v>
      </c>
      <c r="AL104" s="4" t="s">
        <v>75</v>
      </c>
      <c r="AM104" s="6" t="s">
        <v>119</v>
      </c>
      <c r="AN104" s="31">
        <v>123635.65</v>
      </c>
      <c r="AO104" s="30" t="s">
        <v>98</v>
      </c>
      <c r="AP104" s="60">
        <v>1</v>
      </c>
      <c r="AQ104" s="60"/>
      <c r="AR104" s="23">
        <v>46044</v>
      </c>
      <c r="AS104" s="23">
        <v>46045</v>
      </c>
      <c r="AT104" s="4"/>
      <c r="AU104" s="4"/>
      <c r="AV104" s="13" t="s">
        <v>321</v>
      </c>
      <c r="AW104" s="4"/>
      <c r="AX104" s="9" t="s">
        <v>71</v>
      </c>
      <c r="AY104" s="9"/>
      <c r="AZ104" s="4"/>
      <c r="BB104" t="str">
        <f>VLOOKUP(B104,contactos!$A$1:$D$484,4,FALSE)</f>
        <v>guillermowd@verdevalle.com</v>
      </c>
    </row>
    <row r="105" spans="2:54" customFormat="1" x14ac:dyDescent="0.25">
      <c r="B105" s="100">
        <v>328724</v>
      </c>
      <c r="C105" s="4" t="s">
        <v>322</v>
      </c>
      <c r="D105" s="5">
        <v>464092.44210711739</v>
      </c>
      <c r="E105" s="5">
        <v>0</v>
      </c>
      <c r="F105" s="5">
        <v>74254.780237138795</v>
      </c>
      <c r="G105" s="5">
        <v>538347.22000000009</v>
      </c>
      <c r="H105" s="5">
        <v>538347.21</v>
      </c>
      <c r="I105" s="5">
        <f t="shared" si="34"/>
        <v>464092.44210711739</v>
      </c>
      <c r="J105" s="5"/>
      <c r="K105" s="5">
        <f t="shared" si="35"/>
        <v>464092.44210711739</v>
      </c>
      <c r="L105" s="5">
        <f t="shared" si="36"/>
        <v>538347.22234425624</v>
      </c>
      <c r="M105" s="5"/>
      <c r="N105" s="5">
        <f t="shared" si="37"/>
        <v>538347.22234425624</v>
      </c>
      <c r="O105" s="21"/>
      <c r="P105" s="21"/>
      <c r="Q105" s="21"/>
      <c r="R105" s="21">
        <f t="shared" si="47"/>
        <v>0</v>
      </c>
      <c r="S105" s="21">
        <v>464092.44210711739</v>
      </c>
      <c r="T105" s="21">
        <f t="shared" si="49"/>
        <v>0</v>
      </c>
      <c r="U105" s="21">
        <f t="shared" si="50"/>
        <v>74254.780237138795</v>
      </c>
      <c r="V105" s="21">
        <f t="shared" si="39"/>
        <v>538347.22234425624</v>
      </c>
      <c r="W105" s="21"/>
      <c r="X105" s="5"/>
      <c r="Y105" s="5"/>
      <c r="Z105" s="5">
        <f t="shared" si="40"/>
        <v>0</v>
      </c>
      <c r="AA105" s="5">
        <v>1643539.29</v>
      </c>
      <c r="AB105" s="5" t="s">
        <v>258</v>
      </c>
      <c r="AC105" s="5">
        <f t="shared" si="41"/>
        <v>464092.44210711739</v>
      </c>
      <c r="AD105" s="5">
        <f t="shared" si="42"/>
        <v>538347.22234425624</v>
      </c>
      <c r="AE105" s="5">
        <f t="shared" si="43"/>
        <v>-2.3442561505362391E-3</v>
      </c>
      <c r="AF105" s="5">
        <f t="shared" si="51"/>
        <v>0</v>
      </c>
      <c r="AG105" s="5" t="s">
        <v>73</v>
      </c>
      <c r="AH105" s="5">
        <v>4</v>
      </c>
      <c r="AI105" s="5">
        <v>0</v>
      </c>
      <c r="AJ105" s="120" t="s">
        <v>323</v>
      </c>
      <c r="AK105" s="5" t="s">
        <v>256</v>
      </c>
      <c r="AL105" s="4" t="s">
        <v>90</v>
      </c>
      <c r="AM105" s="4" t="s">
        <v>67</v>
      </c>
      <c r="AN105" s="21"/>
      <c r="AO105" s="29"/>
      <c r="AP105" s="58"/>
      <c r="AQ105" s="58"/>
      <c r="AR105" s="23"/>
      <c r="AS105" s="23"/>
      <c r="AT105" s="4"/>
      <c r="AU105" s="4"/>
      <c r="AV105" s="4"/>
      <c r="AW105" s="4"/>
      <c r="AX105" s="9"/>
      <c r="AY105" s="9"/>
      <c r="AZ105" s="4"/>
      <c r="BB105" t="str">
        <f>VLOOKUP(B105,contactos!$A$1:$D$484,4,FALSE)</f>
        <v>jreyes@lavin.com.mx</v>
      </c>
    </row>
    <row r="106" spans="2:54" customFormat="1" x14ac:dyDescent="0.25">
      <c r="B106" s="100">
        <v>5766</v>
      </c>
      <c r="C106" s="4" t="s">
        <v>230</v>
      </c>
      <c r="D106" s="5">
        <v>497065.24765470042</v>
      </c>
      <c r="E106" s="5">
        <v>39752.194212376038</v>
      </c>
      <c r="F106" s="5">
        <v>0</v>
      </c>
      <c r="G106" s="5">
        <v>536817.44000000006</v>
      </c>
      <c r="H106" s="5">
        <v>536817.43999999994</v>
      </c>
      <c r="I106" s="5">
        <f t="shared" si="34"/>
        <v>497065.24765470042</v>
      </c>
      <c r="J106" s="5"/>
      <c r="K106" s="5">
        <f t="shared" si="35"/>
        <v>497065.24765470042</v>
      </c>
      <c r="L106" s="5">
        <f t="shared" si="36"/>
        <v>536817.44186707644</v>
      </c>
      <c r="M106" s="5"/>
      <c r="N106" s="5">
        <f t="shared" si="37"/>
        <v>536817.44186707644</v>
      </c>
      <c r="O106" s="21"/>
      <c r="P106" s="21"/>
      <c r="Q106" s="21"/>
      <c r="R106" s="21">
        <f t="shared" si="47"/>
        <v>0</v>
      </c>
      <c r="S106" s="21">
        <v>497065.24765470042</v>
      </c>
      <c r="T106" s="21">
        <f t="shared" si="49"/>
        <v>39752.194212376038</v>
      </c>
      <c r="U106" s="21">
        <f t="shared" si="50"/>
        <v>0</v>
      </c>
      <c r="V106" s="21">
        <f t="shared" si="39"/>
        <v>536817.44186707644</v>
      </c>
      <c r="W106" s="21"/>
      <c r="X106" s="5"/>
      <c r="Y106" s="5"/>
      <c r="Z106" s="5">
        <f t="shared" si="40"/>
        <v>0</v>
      </c>
      <c r="AA106" s="5">
        <v>1544383.68</v>
      </c>
      <c r="AB106" s="5" t="s">
        <v>258</v>
      </c>
      <c r="AC106" s="5">
        <f t="shared" si="41"/>
        <v>497065.24765470042</v>
      </c>
      <c r="AD106" s="5">
        <f t="shared" si="42"/>
        <v>536817.44186707644</v>
      </c>
      <c r="AE106" s="5">
        <f t="shared" si="43"/>
        <v>-1.8670763820409775E-3</v>
      </c>
      <c r="AF106" s="5">
        <f t="shared" si="51"/>
        <v>0</v>
      </c>
      <c r="AG106" s="5" t="s">
        <v>238</v>
      </c>
      <c r="AH106" s="5">
        <v>4</v>
      </c>
      <c r="AI106" s="5">
        <v>0</v>
      </c>
      <c r="AJ106" s="5">
        <v>0</v>
      </c>
      <c r="AK106" s="5" t="s">
        <v>256</v>
      </c>
      <c r="AL106" s="4" t="s">
        <v>90</v>
      </c>
      <c r="AM106" s="4" t="s">
        <v>112</v>
      </c>
      <c r="AN106" s="21"/>
      <c r="AO106" s="4"/>
      <c r="AP106" s="58"/>
      <c r="AQ106" s="58"/>
      <c r="AR106" s="23"/>
      <c r="AS106" s="23"/>
      <c r="AT106" s="4"/>
      <c r="AU106" s="4"/>
      <c r="AV106" s="4"/>
      <c r="AW106" s="4"/>
      <c r="AX106" s="9"/>
      <c r="AY106" s="9"/>
      <c r="AZ106" s="4"/>
      <c r="BB106" t="str">
        <f>VLOOKUP(B106,contactos!$A$1:$D$484,4,FALSE)</f>
        <v>jorgeperez@schettino.com.mx</v>
      </c>
    </row>
    <row r="107" spans="2:54" customFormat="1" x14ac:dyDescent="0.25">
      <c r="B107" s="100">
        <v>98327</v>
      </c>
      <c r="C107" s="4" t="s">
        <v>324</v>
      </c>
      <c r="D107" s="5">
        <v>454531.92000000016</v>
      </c>
      <c r="E107" s="5">
        <v>0</v>
      </c>
      <c r="F107" s="5">
        <v>72725.107200000013</v>
      </c>
      <c r="G107" s="5">
        <v>527257.07999999984</v>
      </c>
      <c r="H107" s="5">
        <v>0</v>
      </c>
      <c r="I107" s="5">
        <f t="shared" si="34"/>
        <v>0</v>
      </c>
      <c r="J107" s="5"/>
      <c r="K107" s="5">
        <f t="shared" si="35"/>
        <v>0</v>
      </c>
      <c r="L107" s="5">
        <f t="shared" si="36"/>
        <v>0</v>
      </c>
      <c r="M107" s="5"/>
      <c r="N107" s="5">
        <f t="shared" si="37"/>
        <v>0</v>
      </c>
      <c r="O107" s="21">
        <v>0</v>
      </c>
      <c r="P107" s="21"/>
      <c r="Q107" s="21"/>
      <c r="R107" s="21">
        <f t="shared" si="47"/>
        <v>0</v>
      </c>
      <c r="S107" s="21">
        <v>0</v>
      </c>
      <c r="T107" s="21">
        <f t="shared" si="49"/>
        <v>0</v>
      </c>
      <c r="U107" s="21">
        <f t="shared" si="50"/>
        <v>0</v>
      </c>
      <c r="V107" s="21">
        <f t="shared" si="39"/>
        <v>0</v>
      </c>
      <c r="W107" s="21">
        <v>454531.92</v>
      </c>
      <c r="X107" s="5"/>
      <c r="Y107" s="5">
        <v>72725.107199999999</v>
      </c>
      <c r="Z107" s="5">
        <f t="shared" si="40"/>
        <v>527257.02720000001</v>
      </c>
      <c r="AA107" s="5">
        <v>621049.68000000005</v>
      </c>
      <c r="AB107" s="5" t="s">
        <v>258</v>
      </c>
      <c r="AC107" s="5">
        <f t="shared" si="41"/>
        <v>454531.92</v>
      </c>
      <c r="AD107" s="5">
        <f t="shared" si="42"/>
        <v>527257.02720000001</v>
      </c>
      <c r="AE107" s="5">
        <f t="shared" si="43"/>
        <v>5.2799999830313027E-2</v>
      </c>
      <c r="AF107" s="5"/>
      <c r="AG107" s="5" t="s">
        <v>325</v>
      </c>
      <c r="AH107" s="5">
        <v>4</v>
      </c>
      <c r="AI107" s="5">
        <v>0</v>
      </c>
      <c r="AJ107" s="5" t="s">
        <v>326</v>
      </c>
      <c r="AK107" s="5" t="s">
        <v>59</v>
      </c>
      <c r="AL107" s="4" t="s">
        <v>82</v>
      </c>
      <c r="AM107" s="4" t="s">
        <v>216</v>
      </c>
      <c r="AN107" s="21">
        <v>527257.07999999996</v>
      </c>
      <c r="AO107" s="13" t="s">
        <v>98</v>
      </c>
      <c r="AP107" s="59">
        <v>1</v>
      </c>
      <c r="AQ107" s="59"/>
      <c r="AR107" s="23">
        <v>46041</v>
      </c>
      <c r="AS107" s="23">
        <v>46041</v>
      </c>
      <c r="AT107" s="4"/>
      <c r="AU107" s="4"/>
      <c r="AV107" s="4" t="s">
        <v>327</v>
      </c>
      <c r="AW107" s="4" t="s">
        <v>85</v>
      </c>
      <c r="AX107" s="9" t="s">
        <v>71</v>
      </c>
      <c r="AY107" s="9"/>
      <c r="AZ107" s="9"/>
      <c r="BA107" t="s">
        <v>328</v>
      </c>
      <c r="BB107" t="e">
        <f>VLOOKUP(B107,contactos!$A$1:$D$484,4,FALSE)</f>
        <v>#N/A</v>
      </c>
    </row>
    <row r="108" spans="2:54" customFormat="1" x14ac:dyDescent="0.25">
      <c r="B108" s="100">
        <v>8599</v>
      </c>
      <c r="C108" s="4" t="s">
        <v>313</v>
      </c>
      <c r="D108" s="5">
        <v>507149.52</v>
      </c>
      <c r="E108" s="5">
        <v>0</v>
      </c>
      <c r="F108" s="5">
        <v>0</v>
      </c>
      <c r="G108" s="5">
        <v>507149.52</v>
      </c>
      <c r="H108" s="5">
        <v>128549.15</v>
      </c>
      <c r="I108" s="5">
        <f t="shared" si="34"/>
        <v>507149.52</v>
      </c>
      <c r="J108" s="5"/>
      <c r="K108" s="5">
        <f>I108-J108</f>
        <v>507149.52</v>
      </c>
      <c r="L108" s="5">
        <f t="shared" si="36"/>
        <v>507149.52</v>
      </c>
      <c r="M108" s="5"/>
      <c r="N108" s="5">
        <f t="shared" si="37"/>
        <v>507149.52</v>
      </c>
      <c r="O108" s="21"/>
      <c r="P108" s="21"/>
      <c r="Q108" s="21"/>
      <c r="R108" s="21">
        <f t="shared" si="47"/>
        <v>0</v>
      </c>
      <c r="S108" s="21">
        <v>507149.52</v>
      </c>
      <c r="T108" s="21">
        <f t="shared" si="49"/>
        <v>0</v>
      </c>
      <c r="U108" s="21">
        <f t="shared" si="50"/>
        <v>0</v>
      </c>
      <c r="V108" s="21">
        <f t="shared" si="39"/>
        <v>507149.52</v>
      </c>
      <c r="W108" s="21"/>
      <c r="X108" s="5"/>
      <c r="Y108" s="5"/>
      <c r="Z108" s="5">
        <f t="shared" si="40"/>
        <v>0</v>
      </c>
      <c r="AA108" s="5">
        <v>886876.54</v>
      </c>
      <c r="AB108" s="5" t="s">
        <v>258</v>
      </c>
      <c r="AC108" s="5">
        <f t="shared" si="41"/>
        <v>507149.52</v>
      </c>
      <c r="AD108" s="5">
        <f t="shared" si="42"/>
        <v>507149.52</v>
      </c>
      <c r="AE108" s="5">
        <f t="shared" si="43"/>
        <v>0</v>
      </c>
      <c r="AF108" s="5">
        <f>D108-S108</f>
        <v>0</v>
      </c>
      <c r="AG108" s="5" t="s">
        <v>57</v>
      </c>
      <c r="AH108" s="5">
        <v>4</v>
      </c>
      <c r="AI108" s="5">
        <v>0</v>
      </c>
      <c r="AJ108" s="5" t="s">
        <v>329</v>
      </c>
      <c r="AK108" s="5" t="s">
        <v>59</v>
      </c>
      <c r="AL108" s="4" t="s">
        <v>133</v>
      </c>
      <c r="AM108" s="6" t="s">
        <v>61</v>
      </c>
      <c r="AN108" s="21">
        <v>507149.52</v>
      </c>
      <c r="AO108" s="4" t="s">
        <v>68</v>
      </c>
      <c r="AP108" s="58"/>
      <c r="AQ108" s="58"/>
      <c r="AR108" s="23">
        <v>46038</v>
      </c>
      <c r="AS108" s="23">
        <v>46041</v>
      </c>
      <c r="AT108" s="7"/>
      <c r="AU108" s="7"/>
      <c r="AV108" s="7"/>
      <c r="AW108" s="4"/>
      <c r="AX108" s="9"/>
      <c r="AY108" s="9" t="s">
        <v>71</v>
      </c>
      <c r="AZ108" s="9"/>
      <c r="BA108" t="s">
        <v>330</v>
      </c>
      <c r="BB108" t="e">
        <f>VLOOKUP(B108,contactos!$A$1:$D$484,4,FALSE)</f>
        <v>#N/A</v>
      </c>
    </row>
    <row r="109" spans="2:54" customFormat="1" x14ac:dyDescent="0.25">
      <c r="B109" s="100">
        <v>225839</v>
      </c>
      <c r="C109" s="4" t="s">
        <v>331</v>
      </c>
      <c r="D109" s="5">
        <v>480373.39701517497</v>
      </c>
      <c r="E109" s="5">
        <v>18743.066000000003</v>
      </c>
      <c r="F109" s="5">
        <v>0</v>
      </c>
      <c r="G109" s="5">
        <v>499116.47749999998</v>
      </c>
      <c r="H109" s="5">
        <v>499116.5</v>
      </c>
      <c r="I109" s="5">
        <f t="shared" si="34"/>
        <v>480373.39701517497</v>
      </c>
      <c r="J109" s="5"/>
      <c r="K109" s="5">
        <f t="shared" si="35"/>
        <v>480373.39701517497</v>
      </c>
      <c r="L109" s="5">
        <f t="shared" si="36"/>
        <v>499116.46301517496</v>
      </c>
      <c r="M109" s="5"/>
      <c r="N109" s="5">
        <f t="shared" si="37"/>
        <v>499116.46301517496</v>
      </c>
      <c r="O109" s="21"/>
      <c r="P109" s="21"/>
      <c r="Q109" s="21"/>
      <c r="R109" s="21">
        <f t="shared" si="47"/>
        <v>0</v>
      </c>
      <c r="S109" s="21">
        <v>480373.39701517497</v>
      </c>
      <c r="T109" s="21">
        <f t="shared" si="49"/>
        <v>18743.066000000003</v>
      </c>
      <c r="U109" s="21">
        <f t="shared" si="50"/>
        <v>0</v>
      </c>
      <c r="V109" s="21">
        <f t="shared" si="39"/>
        <v>499116.46301517496</v>
      </c>
      <c r="W109" s="21"/>
      <c r="X109" s="5"/>
      <c r="Y109" s="5"/>
      <c r="Z109" s="5">
        <f t="shared" si="40"/>
        <v>0</v>
      </c>
      <c r="AA109" s="5">
        <v>1340877.3500000001</v>
      </c>
      <c r="AB109" s="5" t="s">
        <v>258</v>
      </c>
      <c r="AC109" s="5">
        <f t="shared" si="41"/>
        <v>480373.39701517497</v>
      </c>
      <c r="AD109" s="5">
        <f t="shared" si="42"/>
        <v>499116.46301517496</v>
      </c>
      <c r="AE109" s="5">
        <f t="shared" si="43"/>
        <v>1.4484825020190328E-2</v>
      </c>
      <c r="AF109" s="5">
        <f>D109-S109</f>
        <v>0</v>
      </c>
      <c r="AG109" s="5" t="s">
        <v>238</v>
      </c>
      <c r="AH109" s="5">
        <v>4</v>
      </c>
      <c r="AI109" s="5">
        <v>0</v>
      </c>
      <c r="AJ109" s="5">
        <v>0</v>
      </c>
      <c r="AK109" s="5" t="s">
        <v>256</v>
      </c>
      <c r="AL109" s="4" t="s">
        <v>90</v>
      </c>
      <c r="AM109" s="4" t="s">
        <v>112</v>
      </c>
      <c r="AN109" s="21"/>
      <c r="AO109" s="4"/>
      <c r="AP109" s="58"/>
      <c r="AQ109" s="58"/>
      <c r="AR109" s="23"/>
      <c r="AS109" s="23"/>
      <c r="AT109" s="4"/>
      <c r="AU109" s="4"/>
      <c r="AV109" s="4"/>
      <c r="AW109" s="4"/>
      <c r="AX109" s="9"/>
      <c r="AY109" s="9"/>
      <c r="AZ109" s="4"/>
      <c r="BB109" t="e">
        <f>VLOOKUP(B109,contactos!$A$1:$D$484,4,FALSE)</f>
        <v>#N/A</v>
      </c>
    </row>
    <row r="110" spans="2:54" customFormat="1" x14ac:dyDescent="0.25">
      <c r="B110" s="100">
        <v>373894</v>
      </c>
      <c r="C110" s="4" t="s">
        <v>332</v>
      </c>
      <c r="D110" s="5">
        <v>426658.74</v>
      </c>
      <c r="E110" s="5">
        <v>0</v>
      </c>
      <c r="F110" s="5">
        <v>68265.398400000005</v>
      </c>
      <c r="G110" s="5">
        <v>494924.13</v>
      </c>
      <c r="H110" s="5">
        <v>494924.13</v>
      </c>
      <c r="I110" s="5">
        <f t="shared" si="34"/>
        <v>426658.74</v>
      </c>
      <c r="J110" s="5"/>
      <c r="K110" s="5">
        <f t="shared" si="35"/>
        <v>426658.74</v>
      </c>
      <c r="L110" s="5">
        <f t="shared" si="36"/>
        <v>494924.1384</v>
      </c>
      <c r="M110" s="5"/>
      <c r="N110" s="5">
        <f t="shared" si="37"/>
        <v>494924.1384</v>
      </c>
      <c r="O110" s="21"/>
      <c r="P110" s="21"/>
      <c r="Q110" s="21"/>
      <c r="R110" s="21">
        <f t="shared" si="47"/>
        <v>0</v>
      </c>
      <c r="S110" s="21">
        <v>426658.74</v>
      </c>
      <c r="T110" s="21">
        <f t="shared" si="49"/>
        <v>0</v>
      </c>
      <c r="U110" s="21">
        <f t="shared" si="50"/>
        <v>68265.398400000005</v>
      </c>
      <c r="V110" s="21">
        <f t="shared" si="39"/>
        <v>494924.1384</v>
      </c>
      <c r="W110" s="21"/>
      <c r="X110" s="5"/>
      <c r="Y110" s="5"/>
      <c r="Z110" s="5">
        <f t="shared" si="40"/>
        <v>0</v>
      </c>
      <c r="AA110" s="5">
        <v>829228.05</v>
      </c>
      <c r="AB110" s="5" t="s">
        <v>258</v>
      </c>
      <c r="AC110" s="5">
        <f t="shared" si="41"/>
        <v>426658.74</v>
      </c>
      <c r="AD110" s="5">
        <f t="shared" si="42"/>
        <v>494924.1384</v>
      </c>
      <c r="AE110" s="5">
        <f t="shared" si="43"/>
        <v>-8.3999999915249646E-3</v>
      </c>
      <c r="AF110" s="5">
        <f>D110-S110</f>
        <v>0</v>
      </c>
      <c r="AG110" s="5" t="s">
        <v>73</v>
      </c>
      <c r="AH110" s="5">
        <v>4</v>
      </c>
      <c r="AI110" s="5">
        <v>0</v>
      </c>
      <c r="AJ110" s="5" t="s">
        <v>333</v>
      </c>
      <c r="AK110" s="5" t="s">
        <v>256</v>
      </c>
      <c r="AL110" s="4" t="s">
        <v>90</v>
      </c>
      <c r="AM110" s="4" t="s">
        <v>76</v>
      </c>
      <c r="AN110" s="21"/>
      <c r="AO110" s="4"/>
      <c r="AP110" s="58"/>
      <c r="AQ110" s="58"/>
      <c r="AR110" s="23"/>
      <c r="AS110" s="23"/>
      <c r="AT110" s="4"/>
      <c r="AU110" s="4"/>
      <c r="AV110" s="4"/>
      <c r="AW110" s="4"/>
      <c r="AX110" s="9"/>
      <c r="AY110" s="9"/>
      <c r="AZ110" s="4"/>
      <c r="BB110" t="e">
        <f>VLOOKUP(B110,contactos!$A$1:$D$484,4,FALSE)</f>
        <v>#N/A</v>
      </c>
    </row>
    <row r="111" spans="2:54" customFormat="1" x14ac:dyDescent="0.25">
      <c r="B111" s="100">
        <v>76067</v>
      </c>
      <c r="C111" s="4" t="s">
        <v>334</v>
      </c>
      <c r="D111" s="5">
        <v>420730.38</v>
      </c>
      <c r="E111" s="5">
        <v>0</v>
      </c>
      <c r="F111" s="5">
        <v>67316.576799999995</v>
      </c>
      <c r="G111" s="5">
        <v>488046.62999999989</v>
      </c>
      <c r="H111" s="5">
        <v>488046.95</v>
      </c>
      <c r="I111" s="5">
        <f t="shared" si="34"/>
        <v>420730.38</v>
      </c>
      <c r="J111" s="5"/>
      <c r="K111" s="5">
        <f t="shared" si="35"/>
        <v>420730.38</v>
      </c>
      <c r="L111" s="5">
        <f t="shared" si="36"/>
        <v>488046.95679999999</v>
      </c>
      <c r="M111" s="5"/>
      <c r="N111" s="5">
        <f t="shared" si="37"/>
        <v>488046.95679999999</v>
      </c>
      <c r="O111" s="21"/>
      <c r="P111" s="21"/>
      <c r="Q111" s="21"/>
      <c r="R111" s="21">
        <f t="shared" si="47"/>
        <v>0</v>
      </c>
      <c r="S111" s="21">
        <v>420730.38</v>
      </c>
      <c r="T111" s="21">
        <f t="shared" si="49"/>
        <v>0</v>
      </c>
      <c r="U111" s="21">
        <f t="shared" si="50"/>
        <v>67316.576799999995</v>
      </c>
      <c r="V111" s="21">
        <f t="shared" si="39"/>
        <v>488046.95679999999</v>
      </c>
      <c r="W111" s="21"/>
      <c r="X111" s="5"/>
      <c r="Y111" s="5"/>
      <c r="Z111" s="5">
        <f t="shared" si="40"/>
        <v>0</v>
      </c>
      <c r="AA111" s="5">
        <v>834951.18</v>
      </c>
      <c r="AB111" s="5" t="s">
        <v>258</v>
      </c>
      <c r="AC111" s="5">
        <f t="shared" si="41"/>
        <v>420730.38</v>
      </c>
      <c r="AD111" s="5">
        <f t="shared" si="42"/>
        <v>488046.95679999999</v>
      </c>
      <c r="AE111" s="5">
        <f t="shared" si="43"/>
        <v>-0.32680000009713694</v>
      </c>
      <c r="AF111" s="5">
        <f>D111-S111</f>
        <v>0</v>
      </c>
      <c r="AG111" s="5" t="s">
        <v>73</v>
      </c>
      <c r="AH111" s="5">
        <v>4</v>
      </c>
      <c r="AI111" s="5">
        <v>0</v>
      </c>
      <c r="AJ111" s="5" t="s">
        <v>212</v>
      </c>
      <c r="AK111" s="5" t="s">
        <v>256</v>
      </c>
      <c r="AL111" s="4" t="s">
        <v>90</v>
      </c>
      <c r="AM111" s="4" t="s">
        <v>148</v>
      </c>
      <c r="AN111" s="21"/>
      <c r="AO111" s="4"/>
      <c r="AP111" s="58"/>
      <c r="AQ111" s="58"/>
      <c r="AR111" s="23"/>
      <c r="AS111" s="23"/>
      <c r="AT111" s="4"/>
      <c r="AU111" s="4"/>
      <c r="AV111" s="4"/>
      <c r="AW111" s="4"/>
      <c r="AX111" s="9"/>
      <c r="AY111" s="9"/>
      <c r="AZ111" s="4"/>
      <c r="BB111" t="e">
        <f>VLOOKUP(B111,contactos!$A$1:$D$484,4,FALSE)</f>
        <v>#N/A</v>
      </c>
    </row>
    <row r="112" spans="2:54" customFormat="1" x14ac:dyDescent="0.25">
      <c r="B112" s="100">
        <v>339564</v>
      </c>
      <c r="C112" s="4" t="s">
        <v>335</v>
      </c>
      <c r="D112" s="5">
        <v>411450.46955945302</v>
      </c>
      <c r="E112" s="5">
        <v>0</v>
      </c>
      <c r="F112" s="5">
        <v>65832.075129512479</v>
      </c>
      <c r="G112" s="5">
        <v>477282.55</v>
      </c>
      <c r="H112" s="5">
        <v>477282.54</v>
      </c>
      <c r="I112" s="5">
        <f t="shared" si="34"/>
        <v>411450.46955945302</v>
      </c>
      <c r="J112" s="5"/>
      <c r="K112" s="5">
        <f t="shared" si="35"/>
        <v>411450.46955945302</v>
      </c>
      <c r="L112" s="5">
        <f t="shared" si="36"/>
        <v>477282.54468896548</v>
      </c>
      <c r="M112" s="5"/>
      <c r="N112" s="5">
        <f t="shared" si="37"/>
        <v>477282.54468896548</v>
      </c>
      <c r="O112" s="27"/>
      <c r="P112" s="27"/>
      <c r="Q112" s="27"/>
      <c r="R112" s="21">
        <f t="shared" si="47"/>
        <v>0</v>
      </c>
      <c r="S112" s="27">
        <v>411450.46955945302</v>
      </c>
      <c r="T112" s="21">
        <f t="shared" si="49"/>
        <v>0</v>
      </c>
      <c r="U112" s="21">
        <f t="shared" si="50"/>
        <v>65832.075129512479</v>
      </c>
      <c r="V112" s="21">
        <f t="shared" si="39"/>
        <v>477282.54468896548</v>
      </c>
      <c r="W112" s="27"/>
      <c r="X112" s="5"/>
      <c r="Y112" s="5"/>
      <c r="Z112" s="5">
        <f t="shared" si="40"/>
        <v>0</v>
      </c>
      <c r="AA112" s="5">
        <v>464408.83</v>
      </c>
      <c r="AB112" s="5" t="s">
        <v>258</v>
      </c>
      <c r="AC112" s="5">
        <f t="shared" si="41"/>
        <v>411450.46955945302</v>
      </c>
      <c r="AD112" s="5">
        <f t="shared" si="42"/>
        <v>477282.54468896548</v>
      </c>
      <c r="AE112" s="5">
        <f t="shared" si="43"/>
        <v>5.3110345033928752E-3</v>
      </c>
      <c r="AF112" s="5">
        <f>D112-S112</f>
        <v>0</v>
      </c>
      <c r="AG112" s="5" t="s">
        <v>73</v>
      </c>
      <c r="AH112" s="5">
        <v>4</v>
      </c>
      <c r="AI112" s="5">
        <v>0</v>
      </c>
      <c r="AJ112" s="5">
        <v>0</v>
      </c>
      <c r="AK112" s="5" t="s">
        <v>256</v>
      </c>
      <c r="AL112" s="4" t="s">
        <v>90</v>
      </c>
      <c r="AM112" s="4" t="s">
        <v>83</v>
      </c>
      <c r="AN112" s="27"/>
      <c r="AO112" s="4"/>
      <c r="AP112" s="58"/>
      <c r="AQ112" s="58"/>
      <c r="AR112" s="23"/>
      <c r="AS112" s="23"/>
      <c r="AT112" s="4"/>
      <c r="AU112" s="4"/>
      <c r="AV112" s="4"/>
      <c r="AW112" s="4"/>
      <c r="AX112" s="12"/>
      <c r="AY112" s="12"/>
      <c r="AZ112" s="12"/>
      <c r="BB112" t="e">
        <f>VLOOKUP(B112,contactos!$A$1:$D$484,4,FALSE)</f>
        <v>#N/A</v>
      </c>
    </row>
    <row r="113" spans="2:54" customFormat="1" ht="30" x14ac:dyDescent="0.25">
      <c r="B113" s="100">
        <v>381467</v>
      </c>
      <c r="C113" s="4" t="s">
        <v>336</v>
      </c>
      <c r="D113" s="5">
        <v>440139.47854174156</v>
      </c>
      <c r="E113" s="5">
        <v>33452.155102484125</v>
      </c>
      <c r="F113" s="5">
        <v>3518.0063</v>
      </c>
      <c r="G113" s="5">
        <v>477109.64499999996</v>
      </c>
      <c r="H113" s="5">
        <v>65645.8</v>
      </c>
      <c r="I113" s="5">
        <f t="shared" si="34"/>
        <v>53010.559999999998</v>
      </c>
      <c r="J113" s="5"/>
      <c r="K113" s="5">
        <f t="shared" si="35"/>
        <v>53010.559999999998</v>
      </c>
      <c r="L113" s="5">
        <f t="shared" si="36"/>
        <v>57251.3963</v>
      </c>
      <c r="M113" s="5"/>
      <c r="N113" s="5">
        <f t="shared" si="37"/>
        <v>57251.3963</v>
      </c>
      <c r="O113" s="21">
        <v>45718.06</v>
      </c>
      <c r="P113" s="21">
        <v>3657.44</v>
      </c>
      <c r="Q113" s="21"/>
      <c r="R113" s="21">
        <f t="shared" si="47"/>
        <v>49375.5</v>
      </c>
      <c r="S113" s="21">
        <v>7292.5</v>
      </c>
      <c r="T113" s="21">
        <v>583.4</v>
      </c>
      <c r="U113" s="21">
        <f t="shared" si="50"/>
        <v>-3.7000000002080924E-3</v>
      </c>
      <c r="V113" s="21">
        <f t="shared" si="39"/>
        <v>7875.8962999999994</v>
      </c>
      <c r="W113" s="21">
        <v>387128.92</v>
      </c>
      <c r="X113" s="5">
        <v>29211.31</v>
      </c>
      <c r="Y113" s="5">
        <v>3518.01</v>
      </c>
      <c r="Z113" s="5">
        <f t="shared" si="40"/>
        <v>419858.24</v>
      </c>
      <c r="AA113" s="5">
        <v>692002.19</v>
      </c>
      <c r="AB113" s="5" t="s">
        <v>258</v>
      </c>
      <c r="AC113" s="5">
        <f t="shared" si="41"/>
        <v>440139.48</v>
      </c>
      <c r="AD113" s="5">
        <f t="shared" si="42"/>
        <v>477109.63630000001</v>
      </c>
      <c r="AE113" s="5">
        <f t="shared" si="43"/>
        <v>8.699999947566539E-3</v>
      </c>
      <c r="AF113" s="5"/>
      <c r="AG113" s="5" t="s">
        <v>73</v>
      </c>
      <c r="AH113" s="5">
        <v>4</v>
      </c>
      <c r="AI113" s="5">
        <v>5</v>
      </c>
      <c r="AJ113" s="120" t="s">
        <v>337</v>
      </c>
      <c r="AK113" s="5" t="s">
        <v>59</v>
      </c>
      <c r="AL113" s="4" t="s">
        <v>75</v>
      </c>
      <c r="AM113" s="6" t="s">
        <v>67</v>
      </c>
      <c r="AN113" s="5">
        <v>477109.64499999996</v>
      </c>
      <c r="AO113" s="4" t="s">
        <v>338</v>
      </c>
      <c r="AP113" s="58"/>
      <c r="AQ113" s="58"/>
      <c r="AR113" s="23">
        <v>46048</v>
      </c>
      <c r="AS113" s="23">
        <v>46048</v>
      </c>
      <c r="AT113" s="4"/>
      <c r="AU113" s="23">
        <v>46048</v>
      </c>
      <c r="AV113" s="45" t="s">
        <v>339</v>
      </c>
      <c r="AW113" s="13" t="s">
        <v>70</v>
      </c>
      <c r="AX113" s="9"/>
      <c r="AY113" s="9"/>
      <c r="AZ113" s="4"/>
      <c r="BA113" s="15" t="s">
        <v>340</v>
      </c>
      <c r="BB113" t="str">
        <f>VLOOKUP(B113,contactos!$A$1:$D$484,4,FALSE)</f>
        <v>kerime.vazquez@klassco.com</v>
      </c>
    </row>
    <row r="114" spans="2:54" customFormat="1" x14ac:dyDescent="0.25">
      <c r="B114" s="100">
        <v>379719</v>
      </c>
      <c r="C114" s="4" t="s">
        <v>341</v>
      </c>
      <c r="D114" s="5">
        <v>407793.90119752201</v>
      </c>
      <c r="E114" s="5">
        <v>0</v>
      </c>
      <c r="F114" s="5">
        <v>65247.044567731515</v>
      </c>
      <c r="G114" s="5">
        <v>473040.94130000001</v>
      </c>
      <c r="H114" s="5">
        <v>473040.94</v>
      </c>
      <c r="I114" s="5">
        <f t="shared" si="34"/>
        <v>407793.90119752201</v>
      </c>
      <c r="J114" s="5"/>
      <c r="K114" s="5">
        <f t="shared" si="35"/>
        <v>407793.90119752201</v>
      </c>
      <c r="L114" s="5">
        <f t="shared" si="36"/>
        <v>473040.94576525351</v>
      </c>
      <c r="M114" s="5"/>
      <c r="N114" s="5">
        <f t="shared" si="37"/>
        <v>473040.94576525351</v>
      </c>
      <c r="O114" s="21"/>
      <c r="P114" s="21"/>
      <c r="Q114" s="21"/>
      <c r="R114" s="21">
        <f t="shared" si="47"/>
        <v>0</v>
      </c>
      <c r="S114" s="21">
        <v>407793.90119752201</v>
      </c>
      <c r="T114" s="21">
        <f t="shared" ref="T114:T156" si="52">E114-X114</f>
        <v>0</v>
      </c>
      <c r="U114" s="21">
        <f t="shared" si="50"/>
        <v>65247.044567731515</v>
      </c>
      <c r="V114" s="21">
        <f t="shared" si="39"/>
        <v>473040.94576525351</v>
      </c>
      <c r="W114" s="21"/>
      <c r="X114" s="5"/>
      <c r="Y114" s="5"/>
      <c r="Z114" s="5">
        <f t="shared" si="40"/>
        <v>0</v>
      </c>
      <c r="AA114" s="5">
        <v>2818822.76</v>
      </c>
      <c r="AB114" s="5" t="s">
        <v>258</v>
      </c>
      <c r="AC114" s="5">
        <f t="shared" si="41"/>
        <v>407793.90119752201</v>
      </c>
      <c r="AD114" s="5">
        <f t="shared" si="42"/>
        <v>473040.94576525351</v>
      </c>
      <c r="AE114" s="5">
        <f t="shared" si="43"/>
        <v>-4.465253499802202E-3</v>
      </c>
      <c r="AF114" s="5">
        <f>D114-S114</f>
        <v>0</v>
      </c>
      <c r="AG114" s="5" t="s">
        <v>73</v>
      </c>
      <c r="AH114" s="5">
        <v>4</v>
      </c>
      <c r="AI114" s="5">
        <v>0</v>
      </c>
      <c r="AJ114" s="5" t="s">
        <v>279</v>
      </c>
      <c r="AK114" s="5" t="s">
        <v>256</v>
      </c>
      <c r="AL114" s="4" t="s">
        <v>90</v>
      </c>
      <c r="AM114" s="4" t="s">
        <v>119</v>
      </c>
      <c r="AN114" s="21"/>
      <c r="AO114" s="4"/>
      <c r="AP114" s="58"/>
      <c r="AQ114" s="58"/>
      <c r="AR114" s="23"/>
      <c r="AS114" s="23"/>
      <c r="AT114" s="4"/>
      <c r="AU114" s="4"/>
      <c r="AV114" s="4"/>
      <c r="AW114" s="4"/>
      <c r="AX114" s="9"/>
      <c r="AY114" s="9"/>
      <c r="AZ114" s="4"/>
      <c r="BB114" t="str">
        <f>VLOOKUP(B114,contactos!$A$1:$D$484,4,FALSE)</f>
        <v>connie.calles@virutexilko.com.mx</v>
      </c>
    </row>
    <row r="115" spans="2:54" customFormat="1" x14ac:dyDescent="0.25">
      <c r="B115" s="100">
        <v>696</v>
      </c>
      <c r="C115" s="4" t="s">
        <v>342</v>
      </c>
      <c r="D115" s="5">
        <v>401413.08193307603</v>
      </c>
      <c r="E115" s="5">
        <v>0</v>
      </c>
      <c r="F115" s="5">
        <v>64226.074909292161</v>
      </c>
      <c r="G115" s="5">
        <v>465639.16</v>
      </c>
      <c r="H115" s="5">
        <v>465639.16</v>
      </c>
      <c r="I115" s="5">
        <f t="shared" si="34"/>
        <v>30098.71</v>
      </c>
      <c r="J115" s="5">
        <v>0</v>
      </c>
      <c r="K115" s="5">
        <f t="shared" si="35"/>
        <v>30098.71</v>
      </c>
      <c r="L115" s="5">
        <f t="shared" si="36"/>
        <v>34914.5</v>
      </c>
      <c r="M115" s="5">
        <v>0</v>
      </c>
      <c r="N115" s="5">
        <f>L115-M115</f>
        <v>34914.5</v>
      </c>
      <c r="O115" s="21">
        <v>30098.71</v>
      </c>
      <c r="P115" s="21"/>
      <c r="Q115" s="21">
        <v>4815.79</v>
      </c>
      <c r="R115" s="21">
        <f t="shared" si="47"/>
        <v>34914.5</v>
      </c>
      <c r="S115" s="21"/>
      <c r="T115" s="21">
        <f t="shared" si="52"/>
        <v>0</v>
      </c>
      <c r="U115" s="21"/>
      <c r="V115" s="21">
        <f t="shared" si="39"/>
        <v>0</v>
      </c>
      <c r="W115" s="21">
        <v>371314.36</v>
      </c>
      <c r="X115" s="5"/>
      <c r="Y115" s="5">
        <v>59410.3</v>
      </c>
      <c r="Z115" s="5">
        <f t="shared" si="40"/>
        <v>430724.66</v>
      </c>
      <c r="AA115" s="5">
        <v>17199.900000000001</v>
      </c>
      <c r="AB115" s="5" t="s">
        <v>258</v>
      </c>
      <c r="AC115" s="5">
        <f t="shared" si="41"/>
        <v>401413.07</v>
      </c>
      <c r="AD115" s="5">
        <f t="shared" si="42"/>
        <v>465639.16</v>
      </c>
      <c r="AE115" s="5">
        <f t="shared" si="43"/>
        <v>0</v>
      </c>
      <c r="AF115" s="5"/>
      <c r="AG115" s="5" t="s">
        <v>303</v>
      </c>
      <c r="AH115" s="5">
        <v>4</v>
      </c>
      <c r="AI115" s="5">
        <v>0</v>
      </c>
      <c r="AJ115" s="5" t="s">
        <v>343</v>
      </c>
      <c r="AK115" s="5" t="s">
        <v>59</v>
      </c>
      <c r="AL115" s="4" t="s">
        <v>82</v>
      </c>
      <c r="AM115" s="4" t="s">
        <v>61</v>
      </c>
      <c r="AN115" s="21"/>
      <c r="AO115" s="4"/>
      <c r="AP115" s="58"/>
      <c r="AQ115" s="58"/>
      <c r="AR115" s="23"/>
      <c r="AS115" s="23">
        <v>46049</v>
      </c>
      <c r="AT115" s="4"/>
      <c r="AU115" s="4"/>
      <c r="AV115" s="4"/>
      <c r="AW115" s="4"/>
      <c r="AX115" s="9"/>
      <c r="AY115" s="9" t="s">
        <v>71</v>
      </c>
      <c r="AZ115" s="4"/>
      <c r="BA115" t="s">
        <v>344</v>
      </c>
      <c r="BB115" t="str">
        <f>VLOOKUP(B115,contactos!$A$1:$D$484,4,FALSE)</f>
        <v>gerencia_comercial2@indnohra.com</v>
      </c>
    </row>
    <row r="116" spans="2:54" customFormat="1" ht="30" x14ac:dyDescent="0.25">
      <c r="B116" s="100">
        <v>49890</v>
      </c>
      <c r="C116" s="4" t="s">
        <v>345</v>
      </c>
      <c r="D116" s="5">
        <v>395077.86580347246</v>
      </c>
      <c r="E116" s="5">
        <v>0</v>
      </c>
      <c r="F116" s="5">
        <v>63212.458528555602</v>
      </c>
      <c r="G116" s="5">
        <v>458290.34</v>
      </c>
      <c r="H116" s="5">
        <v>458290.34</v>
      </c>
      <c r="I116" s="5">
        <f t="shared" si="34"/>
        <v>395077.86580347246</v>
      </c>
      <c r="J116" s="5"/>
      <c r="K116" s="5">
        <f t="shared" si="35"/>
        <v>395077.86580347246</v>
      </c>
      <c r="L116" s="5">
        <f t="shared" si="36"/>
        <v>458290.32433202805</v>
      </c>
      <c r="M116" s="5"/>
      <c r="N116" s="5">
        <f t="shared" si="37"/>
        <v>458290.32433202805</v>
      </c>
      <c r="O116" s="21"/>
      <c r="P116" s="21"/>
      <c r="Q116" s="21"/>
      <c r="R116" s="21">
        <f t="shared" si="47"/>
        <v>0</v>
      </c>
      <c r="S116" s="21">
        <v>395077.86580347246</v>
      </c>
      <c r="T116" s="21">
        <f t="shared" si="52"/>
        <v>0</v>
      </c>
      <c r="U116" s="21">
        <f>F116-Y116</f>
        <v>63212.458528555602</v>
      </c>
      <c r="V116" s="21">
        <f t="shared" si="39"/>
        <v>458290.32433202805</v>
      </c>
      <c r="W116" s="21"/>
      <c r="X116" s="5"/>
      <c r="Y116" s="5"/>
      <c r="Z116" s="5">
        <f t="shared" si="40"/>
        <v>0</v>
      </c>
      <c r="AA116" s="5"/>
      <c r="AB116" s="5" t="s">
        <v>258</v>
      </c>
      <c r="AC116" s="5">
        <f t="shared" si="41"/>
        <v>395077.86580347246</v>
      </c>
      <c r="AD116" s="5">
        <f t="shared" si="42"/>
        <v>458290.32433202805</v>
      </c>
      <c r="AE116" s="5">
        <f t="shared" si="43"/>
        <v>1.566797198029235E-2</v>
      </c>
      <c r="AF116" s="5">
        <f>D116-S116</f>
        <v>0</v>
      </c>
      <c r="AG116" s="5" t="s">
        <v>73</v>
      </c>
      <c r="AH116" s="5">
        <v>4</v>
      </c>
      <c r="AI116" s="5">
        <v>2</v>
      </c>
      <c r="AJ116" s="120" t="s">
        <v>346</v>
      </c>
      <c r="AK116" s="5" t="s">
        <v>59</v>
      </c>
      <c r="AL116" s="4" t="s">
        <v>75</v>
      </c>
      <c r="AM116" s="6" t="s">
        <v>91</v>
      </c>
      <c r="AN116" s="21"/>
      <c r="AO116" s="4"/>
      <c r="AP116" s="58"/>
      <c r="AQ116" s="58"/>
      <c r="AR116" s="23">
        <v>46050</v>
      </c>
      <c r="AS116" s="23">
        <v>46050</v>
      </c>
      <c r="AT116" s="4"/>
      <c r="AU116" s="57">
        <v>46050</v>
      </c>
      <c r="AV116" s="4" t="s">
        <v>347</v>
      </c>
      <c r="AW116" s="13" t="s">
        <v>70</v>
      </c>
      <c r="AX116" s="9"/>
      <c r="AY116" s="9" t="s">
        <v>71</v>
      </c>
      <c r="AZ116" s="4"/>
      <c r="BB116" t="str">
        <f>VLOOKUP(B116,contactos!$A$1:$D$484,4,FALSE)</f>
        <v>FAUSTO.MOJICA@PACTIVEVERGREEN.COM</v>
      </c>
    </row>
    <row r="117" spans="2:54" customFormat="1" x14ac:dyDescent="0.25">
      <c r="B117" s="131">
        <v>20512</v>
      </c>
      <c r="C117" s="4" t="s">
        <v>348</v>
      </c>
      <c r="D117" s="5">
        <v>392647.01902704895</v>
      </c>
      <c r="E117" s="5">
        <v>0</v>
      </c>
      <c r="F117" s="5">
        <v>62823.529244327838</v>
      </c>
      <c r="G117" s="5">
        <v>455470.56000000006</v>
      </c>
      <c r="H117" s="5">
        <v>0</v>
      </c>
      <c r="I117" s="5">
        <f t="shared" si="34"/>
        <v>392647.01902704895</v>
      </c>
      <c r="J117" s="5"/>
      <c r="K117" s="5">
        <f t="shared" si="35"/>
        <v>392647.01902704895</v>
      </c>
      <c r="L117" s="5">
        <f t="shared" si="36"/>
        <v>455470.54827137681</v>
      </c>
      <c r="M117" s="5"/>
      <c r="N117" s="5">
        <f t="shared" si="37"/>
        <v>455470.54827137681</v>
      </c>
      <c r="O117" s="21"/>
      <c r="P117" s="21"/>
      <c r="Q117" s="21"/>
      <c r="R117" s="21">
        <f t="shared" si="47"/>
        <v>0</v>
      </c>
      <c r="S117" s="21">
        <v>392647.01902704895</v>
      </c>
      <c r="T117" s="21">
        <f t="shared" si="52"/>
        <v>0</v>
      </c>
      <c r="U117" s="21">
        <f>F117-Y117</f>
        <v>62823.529244327838</v>
      </c>
      <c r="V117" s="21">
        <f t="shared" si="39"/>
        <v>455470.54827137681</v>
      </c>
      <c r="W117" s="21"/>
      <c r="X117" s="5"/>
      <c r="Y117" s="5"/>
      <c r="Z117" s="5">
        <f t="shared" si="40"/>
        <v>0</v>
      </c>
      <c r="AA117" s="5">
        <v>1057321.17</v>
      </c>
      <c r="AB117" s="5" t="s">
        <v>258</v>
      </c>
      <c r="AC117" s="5">
        <f t="shared" si="41"/>
        <v>392647.01902704895</v>
      </c>
      <c r="AD117" s="5">
        <f t="shared" si="42"/>
        <v>455470.54827137681</v>
      </c>
      <c r="AE117" s="5">
        <f t="shared" si="43"/>
        <v>1.1728623241651803E-2</v>
      </c>
      <c r="AF117" s="5">
        <f>D117-S117</f>
        <v>0</v>
      </c>
      <c r="AG117" s="5" t="s">
        <v>73</v>
      </c>
      <c r="AH117" s="5">
        <v>4</v>
      </c>
      <c r="AI117" s="5">
        <v>0</v>
      </c>
      <c r="AJ117" s="5">
        <v>0</v>
      </c>
      <c r="AK117" s="5" t="s">
        <v>256</v>
      </c>
      <c r="AL117" s="4" t="s">
        <v>90</v>
      </c>
      <c r="AM117" s="6" t="s">
        <v>103</v>
      </c>
      <c r="AN117" s="21"/>
      <c r="AO117" s="4"/>
      <c r="AP117" s="58"/>
      <c r="AQ117" s="58"/>
      <c r="AR117" s="23"/>
      <c r="AS117" s="23"/>
      <c r="AT117" s="4"/>
      <c r="AU117" s="4"/>
      <c r="AV117" s="52"/>
      <c r="AW117" s="52"/>
      <c r="AX117" s="9"/>
      <c r="AY117" s="9"/>
      <c r="AZ117" s="4"/>
      <c r="BB117" t="e">
        <f>VLOOKUP(B117,contactos!$A$1:$D$484,4,FALSE)</f>
        <v>#N/A</v>
      </c>
    </row>
    <row r="118" spans="2:54" customFormat="1" x14ac:dyDescent="0.25">
      <c r="B118" s="100">
        <v>387860</v>
      </c>
      <c r="C118" s="4" t="s">
        <v>349</v>
      </c>
      <c r="D118" s="5">
        <v>426983.94794031</v>
      </c>
      <c r="E118" s="5">
        <v>0</v>
      </c>
      <c r="F118" s="5">
        <v>0</v>
      </c>
      <c r="G118" s="5">
        <v>426983.94999999995</v>
      </c>
      <c r="H118" s="5">
        <v>426983.67999999999</v>
      </c>
      <c r="I118" s="5">
        <f t="shared" si="34"/>
        <v>426983.94794031</v>
      </c>
      <c r="J118" s="5"/>
      <c r="K118" s="5">
        <f t="shared" si="35"/>
        <v>426983.94794031</v>
      </c>
      <c r="L118" s="5">
        <f t="shared" si="36"/>
        <v>426983.94794031</v>
      </c>
      <c r="M118" s="5"/>
      <c r="N118" s="5">
        <f t="shared" si="37"/>
        <v>426983.94794031</v>
      </c>
      <c r="O118" s="21"/>
      <c r="P118" s="21"/>
      <c r="Q118" s="21"/>
      <c r="R118" s="21">
        <f t="shared" si="47"/>
        <v>0</v>
      </c>
      <c r="S118" s="21">
        <v>426983.94794031</v>
      </c>
      <c r="T118" s="21">
        <f t="shared" si="52"/>
        <v>0</v>
      </c>
      <c r="U118" s="21">
        <f>F118-Y118</f>
        <v>0</v>
      </c>
      <c r="V118" s="21">
        <f t="shared" si="39"/>
        <v>426983.94794031</v>
      </c>
      <c r="W118" s="21"/>
      <c r="X118" s="5"/>
      <c r="Y118" s="5"/>
      <c r="Z118" s="5">
        <f t="shared" si="40"/>
        <v>0</v>
      </c>
      <c r="AA118" s="5">
        <v>1219888.93</v>
      </c>
      <c r="AB118" s="5" t="s">
        <v>258</v>
      </c>
      <c r="AC118" s="5">
        <f t="shared" si="41"/>
        <v>426983.94794031</v>
      </c>
      <c r="AD118" s="5">
        <f t="shared" si="42"/>
        <v>426983.94794031</v>
      </c>
      <c r="AE118" s="5">
        <f t="shared" si="43"/>
        <v>2.0596899557858706E-3</v>
      </c>
      <c r="AF118" s="5">
        <f>D118-S118</f>
        <v>0</v>
      </c>
      <c r="AG118" s="5" t="s">
        <v>73</v>
      </c>
      <c r="AH118" s="5">
        <v>4</v>
      </c>
      <c r="AI118" s="5">
        <v>0</v>
      </c>
      <c r="AJ118" s="5" t="s">
        <v>333</v>
      </c>
      <c r="AK118" s="5" t="s">
        <v>256</v>
      </c>
      <c r="AL118" s="4" t="s">
        <v>90</v>
      </c>
      <c r="AM118" s="4" t="s">
        <v>76</v>
      </c>
      <c r="AN118" s="21"/>
      <c r="AO118" s="4"/>
      <c r="AP118" s="58"/>
      <c r="AQ118" s="58"/>
      <c r="AR118" s="23"/>
      <c r="AS118" s="23"/>
      <c r="AT118" s="4"/>
      <c r="AU118" s="4"/>
      <c r="AV118" s="4"/>
      <c r="AW118" s="4"/>
      <c r="AX118" s="9"/>
      <c r="AY118" s="9"/>
      <c r="AZ118" s="4"/>
      <c r="BB118" t="e">
        <f>VLOOKUP(B118,contactos!$A$1:$D$484,4,FALSE)</f>
        <v>#N/A</v>
      </c>
    </row>
    <row r="119" spans="2:54" customFormat="1" x14ac:dyDescent="0.25">
      <c r="B119" s="100">
        <v>384446</v>
      </c>
      <c r="C119" s="4" t="s">
        <v>350</v>
      </c>
      <c r="D119" s="5">
        <v>379101.52611303015</v>
      </c>
      <c r="E119" s="5">
        <v>13952.684859557603</v>
      </c>
      <c r="F119" s="5">
        <v>32750.780758969602</v>
      </c>
      <c r="G119" s="5">
        <v>425805.37</v>
      </c>
      <c r="H119" s="5">
        <v>425805.37</v>
      </c>
      <c r="I119" s="5">
        <f t="shared" si="34"/>
        <v>379101.52611303015</v>
      </c>
      <c r="J119" s="5"/>
      <c r="K119" s="5">
        <f t="shared" si="35"/>
        <v>379101.52611303015</v>
      </c>
      <c r="L119" s="5">
        <f t="shared" si="36"/>
        <v>425804.99173155735</v>
      </c>
      <c r="M119" s="5"/>
      <c r="N119" s="5">
        <f t="shared" si="37"/>
        <v>425804.99173155735</v>
      </c>
      <c r="O119" s="21"/>
      <c r="P119" s="21"/>
      <c r="Q119" s="21"/>
      <c r="R119" s="21">
        <f t="shared" si="47"/>
        <v>0</v>
      </c>
      <c r="S119" s="21">
        <v>379101.52611303015</v>
      </c>
      <c r="T119" s="21">
        <f t="shared" si="52"/>
        <v>13952.684859557603</v>
      </c>
      <c r="U119" s="21">
        <f>F119-Y119</f>
        <v>32750.780758969602</v>
      </c>
      <c r="V119" s="21">
        <f t="shared" si="39"/>
        <v>425804.99173155735</v>
      </c>
      <c r="W119" s="21"/>
      <c r="X119" s="5"/>
      <c r="Y119" s="5"/>
      <c r="Z119" s="5">
        <f t="shared" si="40"/>
        <v>0</v>
      </c>
      <c r="AA119" s="5">
        <v>1684953.91</v>
      </c>
      <c r="AB119" s="5" t="s">
        <v>258</v>
      </c>
      <c r="AC119" s="5">
        <f t="shared" si="41"/>
        <v>379101.52611303015</v>
      </c>
      <c r="AD119" s="5">
        <f t="shared" si="42"/>
        <v>425804.99173155735</v>
      </c>
      <c r="AE119" s="5">
        <f t="shared" si="43"/>
        <v>0.37826844264054671</v>
      </c>
      <c r="AF119" s="5">
        <f>D119-S119</f>
        <v>0</v>
      </c>
      <c r="AG119" s="5" t="s">
        <v>73</v>
      </c>
      <c r="AH119" s="5">
        <v>4</v>
      </c>
      <c r="AI119" s="5">
        <v>0</v>
      </c>
      <c r="AJ119" s="5">
        <v>0</v>
      </c>
      <c r="AK119" s="5" t="s">
        <v>256</v>
      </c>
      <c r="AL119" s="4" t="s">
        <v>90</v>
      </c>
      <c r="AM119" s="4" t="s">
        <v>61</v>
      </c>
      <c r="AN119" s="21"/>
      <c r="AO119" s="4"/>
      <c r="AP119" s="58"/>
      <c r="AQ119" s="58"/>
      <c r="AR119" s="23"/>
      <c r="AS119" s="23"/>
      <c r="AT119" s="4"/>
      <c r="AU119" s="4"/>
      <c r="AV119" s="4"/>
      <c r="AW119" s="4"/>
      <c r="AX119" s="9"/>
      <c r="AY119" s="9"/>
      <c r="AZ119" s="4"/>
      <c r="BB119" t="e">
        <f>VLOOKUP(B119,contactos!$A$1:$D$484,4,FALSE)</f>
        <v>#N/A</v>
      </c>
    </row>
    <row r="120" spans="2:54" customFormat="1" x14ac:dyDescent="0.25">
      <c r="B120" s="131">
        <v>20851</v>
      </c>
      <c r="C120" s="4" t="s">
        <v>351</v>
      </c>
      <c r="D120" s="5">
        <v>232797.77352597401</v>
      </c>
      <c r="E120" s="5">
        <v>123152.25522876623</v>
      </c>
      <c r="F120" s="5">
        <v>56952.004448758431</v>
      </c>
      <c r="G120" s="5">
        <v>412902.01</v>
      </c>
      <c r="H120" s="5">
        <v>412902.01</v>
      </c>
      <c r="I120" s="5">
        <f t="shared" si="34"/>
        <v>232797.77352597401</v>
      </c>
      <c r="J120" s="5"/>
      <c r="K120" s="5">
        <f t="shared" si="35"/>
        <v>232797.77352597401</v>
      </c>
      <c r="L120" s="5">
        <f t="shared" si="36"/>
        <v>412902.03320349869</v>
      </c>
      <c r="M120" s="5"/>
      <c r="N120" s="5">
        <f t="shared" si="37"/>
        <v>412902.03320349869</v>
      </c>
      <c r="O120" s="21"/>
      <c r="P120" s="21"/>
      <c r="Q120" s="21"/>
      <c r="R120" s="21">
        <f t="shared" si="47"/>
        <v>0</v>
      </c>
      <c r="S120" s="21">
        <v>232797.77352597401</v>
      </c>
      <c r="T120" s="21">
        <f t="shared" si="52"/>
        <v>123152.25522876623</v>
      </c>
      <c r="U120" s="21">
        <f>F120-Y120</f>
        <v>56952.004448758431</v>
      </c>
      <c r="V120" s="21">
        <f t="shared" si="39"/>
        <v>412902.03320349869</v>
      </c>
      <c r="W120" s="21"/>
      <c r="X120" s="5"/>
      <c r="Y120" s="5"/>
      <c r="Z120" s="5">
        <f t="shared" si="40"/>
        <v>0</v>
      </c>
      <c r="AA120" s="5">
        <v>113580.98</v>
      </c>
      <c r="AB120" s="5" t="s">
        <v>258</v>
      </c>
      <c r="AC120" s="5">
        <f t="shared" si="41"/>
        <v>232797.77352597401</v>
      </c>
      <c r="AD120" s="5">
        <f t="shared" si="42"/>
        <v>412902.03320349869</v>
      </c>
      <c r="AE120" s="5">
        <f t="shared" si="43"/>
        <v>-2.3203498683869839E-2</v>
      </c>
      <c r="AF120" s="5">
        <f>D120-S120</f>
        <v>0</v>
      </c>
      <c r="AG120" s="5" t="s">
        <v>73</v>
      </c>
      <c r="AH120" s="5">
        <v>4</v>
      </c>
      <c r="AI120" s="5">
        <v>0</v>
      </c>
      <c r="AJ120" s="5">
        <v>0</v>
      </c>
      <c r="AK120" s="5" t="s">
        <v>256</v>
      </c>
      <c r="AL120" s="4" t="s">
        <v>90</v>
      </c>
      <c r="AM120" s="6" t="s">
        <v>103</v>
      </c>
      <c r="AN120" s="21"/>
      <c r="AO120" s="4"/>
      <c r="AP120" s="58"/>
      <c r="AQ120" s="58"/>
      <c r="AR120" s="23"/>
      <c r="AS120" s="23"/>
      <c r="AT120" s="4"/>
      <c r="AU120" s="4"/>
      <c r="AV120" s="52"/>
      <c r="AW120" s="52"/>
      <c r="AX120" s="9"/>
      <c r="AY120" s="9"/>
      <c r="AZ120" s="4"/>
      <c r="BB120" t="e">
        <f>VLOOKUP(B120,contactos!$A$1:$D$484,4,FALSE)</f>
        <v>#N/A</v>
      </c>
    </row>
    <row r="121" spans="2:54" customFormat="1" ht="30" x14ac:dyDescent="0.25">
      <c r="B121" s="100">
        <v>716</v>
      </c>
      <c r="C121" s="4" t="s">
        <v>352</v>
      </c>
      <c r="D121" s="5">
        <v>354374.51104173745</v>
      </c>
      <c r="E121" s="5">
        <v>0</v>
      </c>
      <c r="F121" s="5">
        <v>56699.921766677995</v>
      </c>
      <c r="G121" s="5">
        <v>411074.43000000005</v>
      </c>
      <c r="H121" s="5">
        <v>0</v>
      </c>
      <c r="I121" s="5">
        <f t="shared" si="34"/>
        <v>78028.721041737474</v>
      </c>
      <c r="J121" s="5"/>
      <c r="K121" s="5">
        <f t="shared" si="35"/>
        <v>78028.721041737474</v>
      </c>
      <c r="L121" s="5">
        <f t="shared" si="36"/>
        <v>90513.322808415483</v>
      </c>
      <c r="M121" s="5"/>
      <c r="N121" s="5">
        <f t="shared" si="37"/>
        <v>90513.322808415483</v>
      </c>
      <c r="O121" s="21">
        <f>D121-W121</f>
        <v>78028.721041737474</v>
      </c>
      <c r="P121" s="21"/>
      <c r="Q121" s="5">
        <v>12484.6</v>
      </c>
      <c r="R121" s="21">
        <f t="shared" si="47"/>
        <v>90513.321041737479</v>
      </c>
      <c r="S121" s="74">
        <v>0</v>
      </c>
      <c r="T121" s="21">
        <f t="shared" si="52"/>
        <v>0</v>
      </c>
      <c r="U121" s="21">
        <f>F121-Q121-Y121</f>
        <v>1.766677996783983E-3</v>
      </c>
      <c r="V121" s="21">
        <f t="shared" si="39"/>
        <v>1.766677996783983E-3</v>
      </c>
      <c r="W121" s="21">
        <v>276345.78999999998</v>
      </c>
      <c r="X121" s="5"/>
      <c r="Y121" s="5">
        <v>44215.32</v>
      </c>
      <c r="Z121" s="5">
        <f t="shared" si="40"/>
        <v>320561.11</v>
      </c>
      <c r="AA121" s="5">
        <v>9422.08</v>
      </c>
      <c r="AB121" s="5" t="s">
        <v>258</v>
      </c>
      <c r="AC121" s="5">
        <f t="shared" si="41"/>
        <v>354374.51104173745</v>
      </c>
      <c r="AD121" s="5">
        <f t="shared" si="42"/>
        <v>411074.4328084155</v>
      </c>
      <c r="AE121" s="5">
        <f t="shared" si="43"/>
        <v>-2.8084154473617673E-3</v>
      </c>
      <c r="AF121" s="5"/>
      <c r="AG121" s="5" t="s">
        <v>81</v>
      </c>
      <c r="AH121" s="5">
        <v>4</v>
      </c>
      <c r="AI121" s="5">
        <v>0</v>
      </c>
      <c r="AJ121" s="5" t="s">
        <v>285</v>
      </c>
      <c r="AK121" s="5" t="s">
        <v>59</v>
      </c>
      <c r="AL121" s="4" t="s">
        <v>82</v>
      </c>
      <c r="AM121" s="4" t="s">
        <v>148</v>
      </c>
      <c r="AN121" s="21">
        <v>320561.12</v>
      </c>
      <c r="AO121" s="4" t="s">
        <v>68</v>
      </c>
      <c r="AP121" s="58">
        <v>1</v>
      </c>
      <c r="AQ121" s="58"/>
      <c r="AR121" s="23">
        <v>46042</v>
      </c>
      <c r="AS121" s="23">
        <v>46042</v>
      </c>
      <c r="AT121" s="23">
        <v>46042</v>
      </c>
      <c r="AU121" s="4"/>
      <c r="AV121" s="49" t="s">
        <v>353</v>
      </c>
      <c r="AW121" s="4" t="s">
        <v>85</v>
      </c>
      <c r="AX121" s="9" t="s">
        <v>71</v>
      </c>
      <c r="AY121" s="10"/>
      <c r="AZ121" s="4"/>
      <c r="BA121" s="15" t="s">
        <v>354</v>
      </c>
      <c r="BB121" t="e">
        <f>VLOOKUP(B121,contactos!$A$1:$D$484,4,FALSE)</f>
        <v>#N/A</v>
      </c>
    </row>
    <row r="122" spans="2:54" customFormat="1" x14ac:dyDescent="0.25">
      <c r="B122" s="100">
        <v>32169</v>
      </c>
      <c r="C122" s="4" t="s">
        <v>355</v>
      </c>
      <c r="D122" s="5">
        <v>350559.26460213598</v>
      </c>
      <c r="E122" s="5">
        <v>0</v>
      </c>
      <c r="F122" s="5">
        <v>56089.482336341753</v>
      </c>
      <c r="G122" s="5">
        <v>406648.74</v>
      </c>
      <c r="H122" s="5">
        <v>406648.74</v>
      </c>
      <c r="I122" s="5">
        <f t="shared" si="34"/>
        <v>350559.26460213598</v>
      </c>
      <c r="J122" s="5"/>
      <c r="K122" s="5">
        <f t="shared" si="35"/>
        <v>350559.26460213598</v>
      </c>
      <c r="L122" s="5">
        <f t="shared" si="36"/>
        <v>406648.74693847774</v>
      </c>
      <c r="M122" s="5"/>
      <c r="N122" s="5">
        <f t="shared" si="37"/>
        <v>406648.74693847774</v>
      </c>
      <c r="O122" s="21"/>
      <c r="P122" s="21"/>
      <c r="Q122" s="21"/>
      <c r="R122" s="21">
        <f t="shared" si="47"/>
        <v>0</v>
      </c>
      <c r="S122" s="21">
        <v>350559.26460213598</v>
      </c>
      <c r="T122" s="21">
        <f t="shared" si="52"/>
        <v>0</v>
      </c>
      <c r="U122" s="21">
        <f t="shared" ref="U122:U154" si="53">F122-Y122</f>
        <v>56089.482336341753</v>
      </c>
      <c r="V122" s="21">
        <f t="shared" si="39"/>
        <v>406648.74693847774</v>
      </c>
      <c r="W122" s="21"/>
      <c r="X122" s="5"/>
      <c r="Y122" s="5"/>
      <c r="Z122" s="5">
        <f t="shared" si="40"/>
        <v>0</v>
      </c>
      <c r="AA122" s="5">
        <v>191640.37</v>
      </c>
      <c r="AB122" s="5" t="s">
        <v>258</v>
      </c>
      <c r="AC122" s="5">
        <f t="shared" si="41"/>
        <v>350559.26460213598</v>
      </c>
      <c r="AD122" s="5">
        <f t="shared" si="42"/>
        <v>406648.74693847774</v>
      </c>
      <c r="AE122" s="5">
        <f t="shared" si="43"/>
        <v>-6.9384777452796698E-3</v>
      </c>
      <c r="AF122" s="5">
        <f t="shared" ref="AF122:AF142" si="54">D122-S122</f>
        <v>0</v>
      </c>
      <c r="AG122" s="5" t="s">
        <v>238</v>
      </c>
      <c r="AH122" s="5">
        <v>4</v>
      </c>
      <c r="AI122" s="5">
        <v>0</v>
      </c>
      <c r="AJ122" s="5">
        <v>0</v>
      </c>
      <c r="AK122" s="5" t="s">
        <v>256</v>
      </c>
      <c r="AL122" s="4" t="s">
        <v>90</v>
      </c>
      <c r="AM122" s="4" t="s">
        <v>61</v>
      </c>
      <c r="AN122" s="21"/>
      <c r="AO122" s="4"/>
      <c r="AP122" s="58"/>
      <c r="AQ122" s="58"/>
      <c r="AR122" s="23"/>
      <c r="AS122" s="23"/>
      <c r="AT122" s="4"/>
      <c r="AU122" s="4"/>
      <c r="AV122" s="4"/>
      <c r="AW122" s="4"/>
      <c r="AX122" s="9"/>
      <c r="AY122" s="9"/>
      <c r="AZ122" s="4"/>
      <c r="BB122" t="e">
        <f>VLOOKUP(B122,contactos!$A$1:$D$484,4,FALSE)</f>
        <v>#N/A</v>
      </c>
    </row>
    <row r="123" spans="2:54" customFormat="1" x14ac:dyDescent="0.25">
      <c r="B123" s="131">
        <v>325373</v>
      </c>
      <c r="C123" s="4" t="s">
        <v>356</v>
      </c>
      <c r="D123" s="5">
        <v>374998.65179602796</v>
      </c>
      <c r="E123" s="5">
        <v>29999.892143682242</v>
      </c>
      <c r="F123" s="5">
        <v>0</v>
      </c>
      <c r="G123" s="5">
        <v>404998.55000000005</v>
      </c>
      <c r="H123" s="5">
        <v>404998.54</v>
      </c>
      <c r="I123" s="5">
        <f t="shared" si="34"/>
        <v>374998.65179602796</v>
      </c>
      <c r="J123" s="5"/>
      <c r="K123" s="5">
        <f t="shared" si="35"/>
        <v>374998.65179602796</v>
      </c>
      <c r="L123" s="5">
        <f t="shared" si="36"/>
        <v>404998.54393971019</v>
      </c>
      <c r="M123" s="5"/>
      <c r="N123" s="5">
        <f t="shared" si="37"/>
        <v>404998.54393971019</v>
      </c>
      <c r="O123" s="21"/>
      <c r="P123" s="21"/>
      <c r="Q123" s="21"/>
      <c r="R123" s="21">
        <f t="shared" si="47"/>
        <v>0</v>
      </c>
      <c r="S123" s="21">
        <v>374998.65179602796</v>
      </c>
      <c r="T123" s="21">
        <f t="shared" si="52"/>
        <v>29999.892143682242</v>
      </c>
      <c r="U123" s="21">
        <f t="shared" si="53"/>
        <v>0</v>
      </c>
      <c r="V123" s="21">
        <f t="shared" si="39"/>
        <v>404998.54393971019</v>
      </c>
      <c r="W123" s="21"/>
      <c r="X123" s="5"/>
      <c r="Y123" s="5"/>
      <c r="Z123" s="5">
        <f t="shared" si="40"/>
        <v>0</v>
      </c>
      <c r="AA123" s="5">
        <v>1757204.86</v>
      </c>
      <c r="AB123" s="5" t="s">
        <v>258</v>
      </c>
      <c r="AC123" s="5">
        <f t="shared" si="41"/>
        <v>374998.65179602796</v>
      </c>
      <c r="AD123" s="5">
        <f t="shared" si="42"/>
        <v>404998.54393971019</v>
      </c>
      <c r="AE123" s="5">
        <f t="shared" si="43"/>
        <v>6.0602898593060672E-3</v>
      </c>
      <c r="AF123" s="5">
        <f t="shared" si="54"/>
        <v>0</v>
      </c>
      <c r="AG123" s="5" t="s">
        <v>73</v>
      </c>
      <c r="AH123" s="5">
        <v>4</v>
      </c>
      <c r="AI123" s="5">
        <v>0</v>
      </c>
      <c r="AJ123" s="5">
        <v>0</v>
      </c>
      <c r="AK123" s="5" t="s">
        <v>256</v>
      </c>
      <c r="AL123" s="4" t="s">
        <v>90</v>
      </c>
      <c r="AM123" s="6" t="s">
        <v>103</v>
      </c>
      <c r="AN123" s="21"/>
      <c r="AO123" s="4"/>
      <c r="AP123" s="58"/>
      <c r="AQ123" s="58"/>
      <c r="AR123" s="23"/>
      <c r="AS123" s="23"/>
      <c r="AT123" s="4"/>
      <c r="AU123" s="4"/>
      <c r="AV123" s="52"/>
      <c r="AW123" s="52"/>
      <c r="AX123" s="9"/>
      <c r="AY123" s="9"/>
      <c r="AZ123" s="4"/>
      <c r="BB123" t="e">
        <f>VLOOKUP(B123,contactos!$A$1:$D$484,4,FALSE)</f>
        <v>#N/A</v>
      </c>
    </row>
    <row r="124" spans="2:54" customFormat="1" x14ac:dyDescent="0.25">
      <c r="B124" s="100">
        <v>14680</v>
      </c>
      <c r="C124" s="4" t="s">
        <v>357</v>
      </c>
      <c r="D124" s="5">
        <v>344660.56086255243</v>
      </c>
      <c r="E124" s="5">
        <v>0</v>
      </c>
      <c r="F124" s="5">
        <v>55145.689738008376</v>
      </c>
      <c r="G124" s="5">
        <v>399806.26</v>
      </c>
      <c r="H124" s="5">
        <v>399806.26</v>
      </c>
      <c r="I124" s="5">
        <f t="shared" si="34"/>
        <v>344660.56086255243</v>
      </c>
      <c r="J124" s="5"/>
      <c r="K124" s="5">
        <f t="shared" si="35"/>
        <v>344660.56086255243</v>
      </c>
      <c r="L124" s="5">
        <f t="shared" si="36"/>
        <v>399806.2506005608</v>
      </c>
      <c r="M124" s="5"/>
      <c r="N124" s="5">
        <f t="shared" si="37"/>
        <v>399806.2506005608</v>
      </c>
      <c r="O124" s="21"/>
      <c r="P124" s="21"/>
      <c r="Q124" s="21"/>
      <c r="R124" s="21">
        <f t="shared" si="47"/>
        <v>0</v>
      </c>
      <c r="S124" s="21">
        <v>344660.56086255243</v>
      </c>
      <c r="T124" s="21">
        <f t="shared" si="52"/>
        <v>0</v>
      </c>
      <c r="U124" s="21">
        <f t="shared" si="53"/>
        <v>55145.689738008376</v>
      </c>
      <c r="V124" s="21">
        <f t="shared" si="39"/>
        <v>399806.2506005608</v>
      </c>
      <c r="W124" s="21"/>
      <c r="X124" s="5"/>
      <c r="Y124" s="5"/>
      <c r="Z124" s="5">
        <f t="shared" si="40"/>
        <v>0</v>
      </c>
      <c r="AA124" s="5">
        <v>21575.75</v>
      </c>
      <c r="AB124" s="5" t="s">
        <v>258</v>
      </c>
      <c r="AC124" s="5">
        <f t="shared" si="41"/>
        <v>344660.56086255243</v>
      </c>
      <c r="AD124" s="5">
        <f t="shared" si="42"/>
        <v>399806.2506005608</v>
      </c>
      <c r="AE124" s="5">
        <f t="shared" si="43"/>
        <v>9.3994392082095146E-3</v>
      </c>
      <c r="AF124" s="5">
        <f t="shared" si="54"/>
        <v>0</v>
      </c>
      <c r="AG124" s="5" t="s">
        <v>73</v>
      </c>
      <c r="AH124" s="5">
        <v>4</v>
      </c>
      <c r="AI124" s="5">
        <v>0</v>
      </c>
      <c r="AJ124" s="5">
        <v>0</v>
      </c>
      <c r="AK124" s="5" t="s">
        <v>256</v>
      </c>
      <c r="AL124" s="4" t="s">
        <v>90</v>
      </c>
      <c r="AM124" s="4" t="s">
        <v>141</v>
      </c>
      <c r="AN124" s="21"/>
      <c r="AO124" s="4"/>
      <c r="AP124" s="58"/>
      <c r="AQ124" s="58"/>
      <c r="AR124" s="23"/>
      <c r="AS124" s="23"/>
      <c r="AT124" s="4"/>
      <c r="AU124" s="4"/>
      <c r="AV124" s="4"/>
      <c r="AW124" s="4"/>
      <c r="AX124" s="9"/>
      <c r="AY124" s="9"/>
      <c r="AZ124" s="4"/>
      <c r="BB124" t="e">
        <f>VLOOKUP(B124,contactos!$A$1:$D$484,4,FALSE)</f>
        <v>#N/A</v>
      </c>
    </row>
    <row r="125" spans="2:54" customFormat="1" x14ac:dyDescent="0.25">
      <c r="B125" s="100">
        <v>3806</v>
      </c>
      <c r="C125" s="4" t="s">
        <v>358</v>
      </c>
      <c r="D125" s="5">
        <v>336807.9</v>
      </c>
      <c r="E125" s="5">
        <v>0</v>
      </c>
      <c r="F125" s="5">
        <v>53889.282500000001</v>
      </c>
      <c r="G125" s="5">
        <v>390697.21000000008</v>
      </c>
      <c r="H125" s="5">
        <v>7737.8</v>
      </c>
      <c r="I125" s="5">
        <f t="shared" si="34"/>
        <v>336807.9</v>
      </c>
      <c r="J125" s="5"/>
      <c r="K125" s="5">
        <f t="shared" si="35"/>
        <v>336807.9</v>
      </c>
      <c r="L125" s="5">
        <f t="shared" si="36"/>
        <v>390697.1825</v>
      </c>
      <c r="M125" s="5"/>
      <c r="N125" s="5">
        <f t="shared" si="37"/>
        <v>390697.1825</v>
      </c>
      <c r="O125" s="21"/>
      <c r="P125" s="21"/>
      <c r="Q125" s="21"/>
      <c r="R125" s="21">
        <f t="shared" si="47"/>
        <v>0</v>
      </c>
      <c r="S125" s="21">
        <v>336807.9</v>
      </c>
      <c r="T125" s="21">
        <f t="shared" si="52"/>
        <v>0</v>
      </c>
      <c r="U125" s="21">
        <f t="shared" si="53"/>
        <v>53889.282500000001</v>
      </c>
      <c r="V125" s="21">
        <f t="shared" si="39"/>
        <v>390697.1825</v>
      </c>
      <c r="W125" s="21"/>
      <c r="X125" s="5"/>
      <c r="Y125" s="5"/>
      <c r="Z125" s="5">
        <f t="shared" si="40"/>
        <v>0</v>
      </c>
      <c r="AA125" s="5">
        <v>871716.24</v>
      </c>
      <c r="AB125" s="5" t="s">
        <v>258</v>
      </c>
      <c r="AC125" s="5">
        <f t="shared" si="41"/>
        <v>336807.9</v>
      </c>
      <c r="AD125" s="5">
        <f t="shared" si="42"/>
        <v>390697.1825</v>
      </c>
      <c r="AE125" s="5">
        <f t="shared" si="43"/>
        <v>2.7500000083819032E-2</v>
      </c>
      <c r="AF125" s="5">
        <f t="shared" si="54"/>
        <v>0</v>
      </c>
      <c r="AG125" s="5" t="s">
        <v>73</v>
      </c>
      <c r="AH125" s="5">
        <v>4</v>
      </c>
      <c r="AI125" s="5">
        <v>0</v>
      </c>
      <c r="AJ125" s="5">
        <v>0</v>
      </c>
      <c r="AK125" s="5" t="s">
        <v>256</v>
      </c>
      <c r="AL125" s="4" t="s">
        <v>90</v>
      </c>
      <c r="AM125" s="4" t="s">
        <v>61</v>
      </c>
      <c r="AN125" s="21"/>
      <c r="AO125" s="4"/>
      <c r="AP125" s="58"/>
      <c r="AQ125" s="58"/>
      <c r="AR125" s="23"/>
      <c r="AS125" s="23"/>
      <c r="AT125" s="4"/>
      <c r="AU125" s="4"/>
      <c r="AV125" s="4"/>
      <c r="AW125" s="4"/>
      <c r="AX125" s="9"/>
      <c r="AY125" s="9"/>
      <c r="AZ125" s="4"/>
      <c r="BB125" t="e">
        <f>VLOOKUP(B125,contactos!$A$1:$D$484,4,FALSE)</f>
        <v>#N/A</v>
      </c>
    </row>
    <row r="126" spans="2:54" customFormat="1" x14ac:dyDescent="0.25">
      <c r="B126" s="131">
        <v>76216</v>
      </c>
      <c r="C126" s="4" t="s">
        <v>359</v>
      </c>
      <c r="D126" s="5">
        <v>335959.94000000006</v>
      </c>
      <c r="E126" s="5">
        <v>0</v>
      </c>
      <c r="F126" s="5">
        <v>53753.590400000001</v>
      </c>
      <c r="G126" s="5">
        <v>389713.54000000004</v>
      </c>
      <c r="H126" s="5">
        <v>389713.54</v>
      </c>
      <c r="I126" s="5">
        <f t="shared" si="34"/>
        <v>335959.94000000006</v>
      </c>
      <c r="J126" s="5"/>
      <c r="K126" s="5">
        <f t="shared" si="35"/>
        <v>335959.94000000006</v>
      </c>
      <c r="L126" s="5">
        <f t="shared" si="36"/>
        <v>389713.53040000005</v>
      </c>
      <c r="M126" s="5"/>
      <c r="N126" s="5">
        <f t="shared" si="37"/>
        <v>389713.53040000005</v>
      </c>
      <c r="O126" s="21"/>
      <c r="P126" s="21"/>
      <c r="Q126" s="21"/>
      <c r="R126" s="21">
        <f t="shared" si="47"/>
        <v>0</v>
      </c>
      <c r="S126" s="21">
        <v>335959.94000000006</v>
      </c>
      <c r="T126" s="21">
        <f t="shared" si="52"/>
        <v>0</v>
      </c>
      <c r="U126" s="21">
        <f t="shared" si="53"/>
        <v>53753.590400000001</v>
      </c>
      <c r="V126" s="21">
        <f t="shared" si="39"/>
        <v>389713.53040000005</v>
      </c>
      <c r="W126" s="21"/>
      <c r="X126" s="5"/>
      <c r="Y126" s="5"/>
      <c r="Z126" s="5">
        <f t="shared" si="40"/>
        <v>0</v>
      </c>
      <c r="AA126" s="5">
        <v>2960324.53</v>
      </c>
      <c r="AB126" s="5" t="s">
        <v>258</v>
      </c>
      <c r="AC126" s="5">
        <f t="shared" si="41"/>
        <v>335959.94000000006</v>
      </c>
      <c r="AD126" s="5">
        <f t="shared" si="42"/>
        <v>389713.53040000005</v>
      </c>
      <c r="AE126" s="5">
        <f t="shared" si="43"/>
        <v>9.5999999903142452E-3</v>
      </c>
      <c r="AF126" s="5">
        <f t="shared" si="54"/>
        <v>0</v>
      </c>
      <c r="AG126" s="5" t="s">
        <v>238</v>
      </c>
      <c r="AH126" s="5">
        <v>4</v>
      </c>
      <c r="AI126" s="5">
        <v>0</v>
      </c>
      <c r="AJ126" s="5">
        <v>0</v>
      </c>
      <c r="AK126" s="5" t="s">
        <v>256</v>
      </c>
      <c r="AL126" s="4" t="s">
        <v>90</v>
      </c>
      <c r="AM126" s="6" t="s">
        <v>103</v>
      </c>
      <c r="AN126" s="21"/>
      <c r="AO126" s="4"/>
      <c r="AP126" s="58"/>
      <c r="AQ126" s="58"/>
      <c r="AR126" s="23"/>
      <c r="AS126" s="23"/>
      <c r="AT126" s="4"/>
      <c r="AU126" s="4"/>
      <c r="AV126" s="52"/>
      <c r="AW126" s="52"/>
      <c r="AX126" s="9"/>
      <c r="AY126" s="9"/>
      <c r="AZ126" s="4"/>
      <c r="BB126" t="str">
        <f>VLOOKUP(B126,contactos!$A$1:$D$484,4,FALSE)</f>
        <v>pmcantu@scj.com</v>
      </c>
    </row>
    <row r="127" spans="2:54" customFormat="1" x14ac:dyDescent="0.25">
      <c r="B127" s="100">
        <v>54999</v>
      </c>
      <c r="C127" s="4" t="s">
        <v>360</v>
      </c>
      <c r="D127" s="5">
        <v>380655.67669473396</v>
      </c>
      <c r="E127" s="5">
        <v>0</v>
      </c>
      <c r="F127" s="5">
        <v>0</v>
      </c>
      <c r="G127" s="5">
        <v>380655.67560000002</v>
      </c>
      <c r="H127" s="5">
        <v>380655.67</v>
      </c>
      <c r="I127" s="5">
        <f t="shared" si="34"/>
        <v>380655.67669473396</v>
      </c>
      <c r="J127" s="5"/>
      <c r="K127" s="5">
        <f t="shared" si="35"/>
        <v>380655.67669473396</v>
      </c>
      <c r="L127" s="5">
        <f t="shared" si="36"/>
        <v>380655.67669473396</v>
      </c>
      <c r="M127" s="5"/>
      <c r="N127" s="5">
        <f t="shared" si="37"/>
        <v>380655.67669473396</v>
      </c>
      <c r="O127" s="21"/>
      <c r="P127" s="21"/>
      <c r="Q127" s="21"/>
      <c r="R127" s="21">
        <f t="shared" si="47"/>
        <v>0</v>
      </c>
      <c r="S127" s="21">
        <v>380655.67669473396</v>
      </c>
      <c r="T127" s="21">
        <f t="shared" si="52"/>
        <v>0</v>
      </c>
      <c r="U127" s="21">
        <f t="shared" si="53"/>
        <v>0</v>
      </c>
      <c r="V127" s="21">
        <f t="shared" si="39"/>
        <v>380655.67669473396</v>
      </c>
      <c r="W127" s="21"/>
      <c r="X127" s="5"/>
      <c r="Y127" s="5"/>
      <c r="Z127" s="5">
        <f t="shared" si="40"/>
        <v>0</v>
      </c>
      <c r="AA127" s="5">
        <v>782840.94</v>
      </c>
      <c r="AB127" s="5" t="s">
        <v>258</v>
      </c>
      <c r="AC127" s="5">
        <f t="shared" si="41"/>
        <v>380655.67669473396</v>
      </c>
      <c r="AD127" s="5">
        <f t="shared" si="42"/>
        <v>380655.67669473396</v>
      </c>
      <c r="AE127" s="5">
        <f t="shared" si="43"/>
        <v>-1.0947339469566941E-3</v>
      </c>
      <c r="AF127" s="5">
        <f t="shared" si="54"/>
        <v>0</v>
      </c>
      <c r="AG127" s="5" t="s">
        <v>73</v>
      </c>
      <c r="AH127" s="5">
        <v>4</v>
      </c>
      <c r="AI127" s="5">
        <v>0</v>
      </c>
      <c r="AJ127" s="120" t="s">
        <v>296</v>
      </c>
      <c r="AK127" s="5" t="s">
        <v>256</v>
      </c>
      <c r="AL127" s="4" t="s">
        <v>90</v>
      </c>
      <c r="AM127" s="4" t="s">
        <v>216</v>
      </c>
      <c r="AN127" s="21"/>
      <c r="AO127" s="4"/>
      <c r="AP127" s="58"/>
      <c r="AQ127" s="58"/>
      <c r="AR127" s="23"/>
      <c r="AS127" s="23"/>
      <c r="AT127" s="4"/>
      <c r="AU127" s="4"/>
      <c r="AV127" s="4"/>
      <c r="AW127" s="4"/>
      <c r="AX127" s="9"/>
      <c r="AY127" s="9"/>
      <c r="AZ127" s="4"/>
      <c r="BB127" t="e">
        <f>VLOOKUP(B127,contactos!$A$1:$D$484,4,FALSE)</f>
        <v>#N/A</v>
      </c>
    </row>
    <row r="128" spans="2:54" customFormat="1" x14ac:dyDescent="0.25">
      <c r="B128" s="100">
        <v>50153</v>
      </c>
      <c r="C128" s="4" t="s">
        <v>361</v>
      </c>
      <c r="D128" s="5">
        <v>374842.02</v>
      </c>
      <c r="E128" s="5">
        <v>0</v>
      </c>
      <c r="F128" s="5">
        <v>0</v>
      </c>
      <c r="G128" s="5">
        <v>374842.02</v>
      </c>
      <c r="H128" s="5">
        <v>374842.02</v>
      </c>
      <c r="I128" s="5">
        <f t="shared" si="34"/>
        <v>374842.02</v>
      </c>
      <c r="J128" s="5"/>
      <c r="K128" s="5">
        <f t="shared" si="35"/>
        <v>374842.02</v>
      </c>
      <c r="L128" s="5">
        <f t="shared" si="36"/>
        <v>374842.02</v>
      </c>
      <c r="M128" s="5"/>
      <c r="N128" s="5">
        <f t="shared" si="37"/>
        <v>374842.02</v>
      </c>
      <c r="O128" s="21"/>
      <c r="P128" s="21"/>
      <c r="Q128" s="21"/>
      <c r="R128" s="21">
        <f t="shared" si="47"/>
        <v>0</v>
      </c>
      <c r="S128" s="21">
        <v>374842.02</v>
      </c>
      <c r="T128" s="21">
        <f t="shared" si="52"/>
        <v>0</v>
      </c>
      <c r="U128" s="21">
        <f t="shared" si="53"/>
        <v>0</v>
      </c>
      <c r="V128" s="21">
        <f t="shared" si="39"/>
        <v>374842.02</v>
      </c>
      <c r="W128" s="21"/>
      <c r="X128" s="5"/>
      <c r="Y128" s="5"/>
      <c r="Z128" s="5">
        <f t="shared" si="40"/>
        <v>0</v>
      </c>
      <c r="AA128" s="5">
        <v>1816796.03</v>
      </c>
      <c r="AB128" s="5" t="s">
        <v>258</v>
      </c>
      <c r="AC128" s="5">
        <f t="shared" si="41"/>
        <v>374842.02</v>
      </c>
      <c r="AD128" s="5">
        <f t="shared" si="42"/>
        <v>374842.02</v>
      </c>
      <c r="AE128" s="5">
        <f t="shared" si="43"/>
        <v>0</v>
      </c>
      <c r="AF128" s="5">
        <f t="shared" si="54"/>
        <v>0</v>
      </c>
      <c r="AG128" s="5" t="s">
        <v>238</v>
      </c>
      <c r="AH128" s="5">
        <v>4</v>
      </c>
      <c r="AI128" s="5">
        <v>0</v>
      </c>
      <c r="AJ128" s="5">
        <v>0</v>
      </c>
      <c r="AK128" s="5" t="s">
        <v>256</v>
      </c>
      <c r="AL128" s="4" t="s">
        <v>90</v>
      </c>
      <c r="AM128" s="4" t="s">
        <v>162</v>
      </c>
      <c r="AN128" s="21"/>
      <c r="AO128" s="4"/>
      <c r="AP128" s="58"/>
      <c r="AQ128" s="58"/>
      <c r="AR128" s="23"/>
      <c r="AS128" s="23"/>
      <c r="AT128" s="4"/>
      <c r="AU128" s="4"/>
      <c r="AV128" s="4"/>
      <c r="AW128" s="4"/>
      <c r="AX128" s="9"/>
      <c r="AY128" s="9"/>
      <c r="AZ128" s="4"/>
      <c r="BB128" t="e">
        <f>VLOOKUP(B128,contactos!$A$1:$D$484,4,FALSE)</f>
        <v>#N/A</v>
      </c>
    </row>
    <row r="129" spans="2:54" customFormat="1" x14ac:dyDescent="0.25">
      <c r="B129" s="100">
        <v>6346</v>
      </c>
      <c r="C129" s="4" t="s">
        <v>362</v>
      </c>
      <c r="D129" s="5">
        <v>317346.71850135003</v>
      </c>
      <c r="E129" s="5">
        <v>0</v>
      </c>
      <c r="F129" s="5">
        <v>50775.474960216001</v>
      </c>
      <c r="G129" s="5">
        <v>368122.19</v>
      </c>
      <c r="H129" s="5">
        <v>368122.19</v>
      </c>
      <c r="I129" s="5">
        <f t="shared" si="34"/>
        <v>317346.71850135003</v>
      </c>
      <c r="J129" s="5"/>
      <c r="K129" s="5">
        <f t="shared" si="35"/>
        <v>317346.71850135003</v>
      </c>
      <c r="L129" s="5">
        <f t="shared" si="36"/>
        <v>368122.193461566</v>
      </c>
      <c r="M129" s="5"/>
      <c r="N129" s="5">
        <f t="shared" si="37"/>
        <v>368122.193461566</v>
      </c>
      <c r="O129" s="21"/>
      <c r="P129" s="21"/>
      <c r="Q129" s="21"/>
      <c r="R129" s="21">
        <f t="shared" si="47"/>
        <v>0</v>
      </c>
      <c r="S129" s="21">
        <v>317346.71850135003</v>
      </c>
      <c r="T129" s="21">
        <f t="shared" si="52"/>
        <v>0</v>
      </c>
      <c r="U129" s="21">
        <f t="shared" si="53"/>
        <v>50775.474960216001</v>
      </c>
      <c r="V129" s="21">
        <f t="shared" si="39"/>
        <v>368122.193461566</v>
      </c>
      <c r="W129" s="21"/>
      <c r="X129" s="5"/>
      <c r="Y129" s="5"/>
      <c r="Z129" s="5">
        <f t="shared" si="40"/>
        <v>0</v>
      </c>
      <c r="AA129" s="5">
        <v>806997.24</v>
      </c>
      <c r="AB129" s="5" t="s">
        <v>258</v>
      </c>
      <c r="AC129" s="5">
        <f t="shared" si="41"/>
        <v>317346.71850135003</v>
      </c>
      <c r="AD129" s="5">
        <f t="shared" si="42"/>
        <v>368122.193461566</v>
      </c>
      <c r="AE129" s="5">
        <f t="shared" si="43"/>
        <v>-3.4615659969858825E-3</v>
      </c>
      <c r="AF129" s="5">
        <f t="shared" si="54"/>
        <v>0</v>
      </c>
      <c r="AG129" s="5" t="s">
        <v>73</v>
      </c>
      <c r="AH129" s="5">
        <v>4</v>
      </c>
      <c r="AI129" s="5">
        <v>1</v>
      </c>
      <c r="AJ129" s="5" t="s">
        <v>363</v>
      </c>
      <c r="AK129" s="5" t="s">
        <v>59</v>
      </c>
      <c r="AL129" s="4" t="s">
        <v>75</v>
      </c>
      <c r="AM129" s="6" t="s">
        <v>141</v>
      </c>
      <c r="AN129" s="21">
        <v>316392.8</v>
      </c>
      <c r="AO129" s="4" t="s">
        <v>98</v>
      </c>
      <c r="AP129" s="58">
        <v>5</v>
      </c>
      <c r="AQ129" s="58"/>
      <c r="AR129" s="23">
        <v>46041</v>
      </c>
      <c r="AS129" s="23">
        <v>46041</v>
      </c>
      <c r="AT129" s="4"/>
      <c r="AU129" s="4"/>
      <c r="AV129" s="4" t="s">
        <v>364</v>
      </c>
      <c r="AW129" s="4"/>
      <c r="AX129" s="9" t="s">
        <v>71</v>
      </c>
      <c r="AY129" s="9"/>
      <c r="AZ129" s="9"/>
      <c r="BA129" t="s">
        <v>248</v>
      </c>
      <c r="BB129" t="e">
        <f>VLOOKUP(B129,contactos!$A$1:$D$484,4,FALSE)</f>
        <v>#N/A</v>
      </c>
    </row>
    <row r="130" spans="2:54" customFormat="1" x14ac:dyDescent="0.25">
      <c r="B130" s="100">
        <v>391177</v>
      </c>
      <c r="C130" s="4" t="s">
        <v>365</v>
      </c>
      <c r="D130" s="5">
        <v>309144.48</v>
      </c>
      <c r="E130" s="5">
        <v>0</v>
      </c>
      <c r="F130" s="5">
        <v>49463.116800000003</v>
      </c>
      <c r="G130" s="5">
        <v>358607.61</v>
      </c>
      <c r="H130" s="5">
        <v>358607.59</v>
      </c>
      <c r="I130" s="5">
        <f t="shared" si="34"/>
        <v>309144.48</v>
      </c>
      <c r="J130" s="5"/>
      <c r="K130" s="5">
        <f t="shared" si="35"/>
        <v>309144.48</v>
      </c>
      <c r="L130" s="5">
        <f t="shared" si="36"/>
        <v>358607.5968</v>
      </c>
      <c r="M130" s="5"/>
      <c r="N130" s="5">
        <f t="shared" si="37"/>
        <v>358607.5968</v>
      </c>
      <c r="O130" s="21"/>
      <c r="P130" s="21"/>
      <c r="Q130" s="21"/>
      <c r="R130" s="21">
        <f t="shared" si="47"/>
        <v>0</v>
      </c>
      <c r="S130" s="21">
        <v>309144.48</v>
      </c>
      <c r="T130" s="21">
        <f t="shared" si="52"/>
        <v>0</v>
      </c>
      <c r="U130" s="21">
        <f t="shared" si="53"/>
        <v>49463.116800000003</v>
      </c>
      <c r="V130" s="21">
        <f t="shared" si="39"/>
        <v>358607.5968</v>
      </c>
      <c r="W130" s="21"/>
      <c r="X130" s="5"/>
      <c r="Y130" s="5"/>
      <c r="Z130" s="5">
        <f t="shared" si="40"/>
        <v>0</v>
      </c>
      <c r="AA130" s="5">
        <v>3324974.97</v>
      </c>
      <c r="AB130" s="5" t="s">
        <v>258</v>
      </c>
      <c r="AC130" s="5">
        <f t="shared" si="41"/>
        <v>309144.48</v>
      </c>
      <c r="AD130" s="5">
        <f t="shared" si="42"/>
        <v>358607.5968</v>
      </c>
      <c r="AE130" s="5">
        <f t="shared" si="43"/>
        <v>1.3199999986682087E-2</v>
      </c>
      <c r="AF130" s="5">
        <f t="shared" si="54"/>
        <v>0</v>
      </c>
      <c r="AG130" s="5" t="s">
        <v>73</v>
      </c>
      <c r="AH130" s="5">
        <v>4</v>
      </c>
      <c r="AI130" s="5">
        <v>0</v>
      </c>
      <c r="AJ130" s="5">
        <v>0</v>
      </c>
      <c r="AK130" s="5" t="s">
        <v>256</v>
      </c>
      <c r="AL130" s="4" t="s">
        <v>90</v>
      </c>
      <c r="AM130" s="4" t="s">
        <v>76</v>
      </c>
      <c r="AN130" s="21"/>
      <c r="AO130" s="4"/>
      <c r="AP130" s="58"/>
      <c r="AQ130" s="58"/>
      <c r="AR130" s="23"/>
      <c r="AS130" s="23"/>
      <c r="AT130" s="4"/>
      <c r="AU130" s="4"/>
      <c r="AV130" s="4"/>
      <c r="AW130" s="4"/>
      <c r="AX130" s="9"/>
      <c r="AY130" s="9"/>
      <c r="AZ130" s="4"/>
      <c r="BB130" t="str">
        <f>VLOOKUP(B130,contactos!$A$1:$D$484,4,FALSE)</f>
        <v>PAULINA_A@GCP-TISSUE.COM.MX</v>
      </c>
    </row>
    <row r="131" spans="2:54" customFormat="1" x14ac:dyDescent="0.25">
      <c r="B131" s="100">
        <v>15606</v>
      </c>
      <c r="C131" s="4" t="s">
        <v>366</v>
      </c>
      <c r="D131" s="5">
        <v>303210.96441707999</v>
      </c>
      <c r="E131" s="5">
        <v>0</v>
      </c>
      <c r="F131" s="5">
        <v>48513.754306732793</v>
      </c>
      <c r="G131" s="5">
        <v>351724.75000000017</v>
      </c>
      <c r="H131" s="5">
        <v>351724.75</v>
      </c>
      <c r="I131" s="5">
        <f t="shared" si="34"/>
        <v>303210.96441707999</v>
      </c>
      <c r="J131" s="5"/>
      <c r="K131" s="5">
        <f t="shared" si="35"/>
        <v>303210.96441707999</v>
      </c>
      <c r="L131" s="5">
        <f t="shared" si="36"/>
        <v>351724.71872381278</v>
      </c>
      <c r="M131" s="5"/>
      <c r="N131" s="5">
        <f t="shared" si="37"/>
        <v>351724.71872381278</v>
      </c>
      <c r="O131" s="21"/>
      <c r="P131" s="21"/>
      <c r="Q131" s="21"/>
      <c r="R131" s="21">
        <f t="shared" si="47"/>
        <v>0</v>
      </c>
      <c r="S131" s="21">
        <v>303210.96441707999</v>
      </c>
      <c r="T131" s="21">
        <f t="shared" si="52"/>
        <v>0</v>
      </c>
      <c r="U131" s="21">
        <f t="shared" si="53"/>
        <v>48513.754306732793</v>
      </c>
      <c r="V131" s="21">
        <f t="shared" si="39"/>
        <v>351724.71872381278</v>
      </c>
      <c r="W131" s="21"/>
      <c r="X131" s="5"/>
      <c r="Y131" s="5"/>
      <c r="Z131" s="5">
        <f t="shared" si="40"/>
        <v>0</v>
      </c>
      <c r="AA131" s="5">
        <v>1210994.58</v>
      </c>
      <c r="AB131" s="5" t="s">
        <v>258</v>
      </c>
      <c r="AC131" s="5">
        <f t="shared" si="41"/>
        <v>303210.96441707999</v>
      </c>
      <c r="AD131" s="5">
        <f t="shared" si="42"/>
        <v>351724.71872381278</v>
      </c>
      <c r="AE131" s="5">
        <f t="shared" si="43"/>
        <v>3.1276187393814325E-2</v>
      </c>
      <c r="AF131" s="5">
        <f t="shared" si="54"/>
        <v>0</v>
      </c>
      <c r="AG131" s="5" t="s">
        <v>238</v>
      </c>
      <c r="AH131" s="5">
        <v>4</v>
      </c>
      <c r="AI131" s="5">
        <v>0</v>
      </c>
      <c r="AJ131" s="5">
        <v>0</v>
      </c>
      <c r="AK131" s="5" t="s">
        <v>256</v>
      </c>
      <c r="AL131" s="4" t="s">
        <v>90</v>
      </c>
      <c r="AM131" s="4" t="s">
        <v>137</v>
      </c>
      <c r="AN131" s="21"/>
      <c r="AO131" s="4"/>
      <c r="AP131" s="58"/>
      <c r="AQ131" s="58"/>
      <c r="AR131" s="23"/>
      <c r="AS131" s="23"/>
      <c r="AT131" s="4"/>
      <c r="AU131" s="4"/>
      <c r="AV131" s="4"/>
      <c r="AW131" s="4"/>
      <c r="AX131" s="9"/>
      <c r="AY131" s="9"/>
      <c r="AZ131" s="4"/>
      <c r="BB131" t="str">
        <f>VLOOKUP(B131,contactos!$A$1:$D$484,4,FALSE)</f>
        <v>laura.alvarado@wella.com</v>
      </c>
    </row>
    <row r="132" spans="2:54" customFormat="1" x14ac:dyDescent="0.25">
      <c r="B132" s="100">
        <v>20436</v>
      </c>
      <c r="C132" s="4" t="s">
        <v>367</v>
      </c>
      <c r="D132" s="5">
        <v>197985.4818132885</v>
      </c>
      <c r="E132" s="5">
        <v>104932.30536104291</v>
      </c>
      <c r="F132" s="5">
        <v>48466.845983893028</v>
      </c>
      <c r="G132" s="5">
        <v>351384.56621600001</v>
      </c>
      <c r="H132" s="5">
        <v>351384.57</v>
      </c>
      <c r="I132" s="5">
        <f t="shared" si="34"/>
        <v>197985.4818132885</v>
      </c>
      <c r="J132" s="5"/>
      <c r="K132" s="5">
        <f t="shared" si="35"/>
        <v>197985.4818132885</v>
      </c>
      <c r="L132" s="5">
        <f t="shared" si="36"/>
        <v>351384.6331582244</v>
      </c>
      <c r="M132" s="5"/>
      <c r="N132" s="5">
        <f t="shared" si="37"/>
        <v>351384.6331582244</v>
      </c>
      <c r="O132" s="21"/>
      <c r="P132" s="21"/>
      <c r="Q132" s="21"/>
      <c r="R132" s="21">
        <f t="shared" si="47"/>
        <v>0</v>
      </c>
      <c r="S132" s="21">
        <v>197985.4818132885</v>
      </c>
      <c r="T132" s="21">
        <f t="shared" si="52"/>
        <v>104932.30536104291</v>
      </c>
      <c r="U132" s="21">
        <f t="shared" si="53"/>
        <v>48466.845983893028</v>
      </c>
      <c r="V132" s="21">
        <f t="shared" si="39"/>
        <v>351384.6331582244</v>
      </c>
      <c r="W132" s="21"/>
      <c r="X132" s="5"/>
      <c r="Y132" s="5"/>
      <c r="Z132" s="5">
        <f t="shared" si="40"/>
        <v>0</v>
      </c>
      <c r="AA132" s="5">
        <v>2123942.21</v>
      </c>
      <c r="AB132" s="5" t="s">
        <v>258</v>
      </c>
      <c r="AC132" s="5">
        <f t="shared" si="41"/>
        <v>197985.4818132885</v>
      </c>
      <c r="AD132" s="5">
        <f t="shared" si="42"/>
        <v>351384.6331582244</v>
      </c>
      <c r="AE132" s="5">
        <f t="shared" si="43"/>
        <v>-6.694222439546138E-2</v>
      </c>
      <c r="AF132" s="5">
        <f t="shared" si="54"/>
        <v>0</v>
      </c>
      <c r="AG132" s="5" t="s">
        <v>73</v>
      </c>
      <c r="AH132" s="5">
        <v>4</v>
      </c>
      <c r="AI132" s="5">
        <v>0</v>
      </c>
      <c r="AJ132" s="5">
        <v>0</v>
      </c>
      <c r="AK132" s="5" t="s">
        <v>256</v>
      </c>
      <c r="AL132" s="4" t="s">
        <v>90</v>
      </c>
      <c r="AM132" s="4" t="s">
        <v>112</v>
      </c>
      <c r="AN132" s="21"/>
      <c r="AO132" s="4"/>
      <c r="AP132" s="58"/>
      <c r="AQ132" s="58"/>
      <c r="AR132" s="23"/>
      <c r="AS132" s="23"/>
      <c r="AT132" s="4"/>
      <c r="AU132" s="4"/>
      <c r="AV132" s="4"/>
      <c r="AW132" s="4"/>
      <c r="AX132" s="9"/>
      <c r="AY132" s="9"/>
      <c r="AZ132" s="4"/>
      <c r="BB132" t="str">
        <f>VLOOKUP(B132,contactos!$A$1:$D$484,4,FALSE)</f>
        <v>Ismael.Ramon@BeamSuntory.com</v>
      </c>
    </row>
    <row r="133" spans="2:54" customFormat="1" x14ac:dyDescent="0.25">
      <c r="B133" s="100">
        <v>97071</v>
      </c>
      <c r="C133" s="4" t="s">
        <v>368</v>
      </c>
      <c r="D133" s="5">
        <v>321220.79999999993</v>
      </c>
      <c r="E133" s="5">
        <v>0</v>
      </c>
      <c r="F133" s="5">
        <v>27715.814400000003</v>
      </c>
      <c r="G133" s="5">
        <v>348936.59</v>
      </c>
      <c r="H133" s="5">
        <v>348936.59</v>
      </c>
      <c r="I133" s="5">
        <f t="shared" si="34"/>
        <v>321220.79999999993</v>
      </c>
      <c r="J133" s="5"/>
      <c r="K133" s="5">
        <f t="shared" si="35"/>
        <v>321220.79999999993</v>
      </c>
      <c r="L133" s="5">
        <f t="shared" si="36"/>
        <v>348936.61439999996</v>
      </c>
      <c r="M133" s="5"/>
      <c r="N133" s="5">
        <f t="shared" si="37"/>
        <v>348936.61439999996</v>
      </c>
      <c r="O133" s="21"/>
      <c r="P133" s="21"/>
      <c r="Q133" s="21"/>
      <c r="R133" s="21">
        <f t="shared" si="47"/>
        <v>0</v>
      </c>
      <c r="S133" s="21">
        <v>321220.79999999993</v>
      </c>
      <c r="T133" s="21">
        <f t="shared" si="52"/>
        <v>0</v>
      </c>
      <c r="U133" s="21">
        <f t="shared" si="53"/>
        <v>27715.814400000003</v>
      </c>
      <c r="V133" s="21">
        <f t="shared" si="39"/>
        <v>348936.61439999996</v>
      </c>
      <c r="W133" s="21"/>
      <c r="X133" s="5"/>
      <c r="Y133" s="5"/>
      <c r="Z133" s="5">
        <f t="shared" si="40"/>
        <v>0</v>
      </c>
      <c r="AA133" s="5">
        <v>1651195.74</v>
      </c>
      <c r="AB133" s="5" t="s">
        <v>258</v>
      </c>
      <c r="AC133" s="5">
        <f t="shared" si="41"/>
        <v>321220.79999999993</v>
      </c>
      <c r="AD133" s="5">
        <f t="shared" si="42"/>
        <v>348936.61439999996</v>
      </c>
      <c r="AE133" s="5">
        <f t="shared" si="43"/>
        <v>-2.4399999936576933E-2</v>
      </c>
      <c r="AF133" s="5">
        <f t="shared" si="54"/>
        <v>0</v>
      </c>
      <c r="AG133" s="5" t="s">
        <v>238</v>
      </c>
      <c r="AH133" s="5">
        <v>4</v>
      </c>
      <c r="AI133" s="5">
        <v>0</v>
      </c>
      <c r="AJ133" s="5">
        <v>0</v>
      </c>
      <c r="AK133" s="5" t="s">
        <v>256</v>
      </c>
      <c r="AL133" s="4" t="s">
        <v>90</v>
      </c>
      <c r="AM133" s="4" t="s">
        <v>94</v>
      </c>
      <c r="AN133" s="21"/>
      <c r="AO133" s="4"/>
      <c r="AP133" s="58"/>
      <c r="AQ133" s="58"/>
      <c r="AR133" s="23"/>
      <c r="AS133" s="23"/>
      <c r="AT133" s="4"/>
      <c r="AU133" s="4"/>
      <c r="AV133" s="4"/>
      <c r="AW133" s="4"/>
      <c r="AX133" s="9"/>
      <c r="AY133" s="9"/>
      <c r="AZ133" s="4"/>
      <c r="BB133" t="str">
        <f>VLOOKUP(B133,contactos!$A$1:$D$484,4,FALSE)</f>
        <v>roberto.calderon@genommalab.com</v>
      </c>
    </row>
    <row r="134" spans="2:54" customFormat="1" x14ac:dyDescent="0.25">
      <c r="B134" s="100">
        <v>11544</v>
      </c>
      <c r="C134" s="4" t="s">
        <v>369</v>
      </c>
      <c r="D134" s="5">
        <v>321758.43324456509</v>
      </c>
      <c r="E134" s="5">
        <v>19495.62775956521</v>
      </c>
      <c r="F134" s="5">
        <v>399.11199999999997</v>
      </c>
      <c r="G134" s="5">
        <v>341653.16999999993</v>
      </c>
      <c r="H134" s="5">
        <v>341653.17</v>
      </c>
      <c r="I134" s="5">
        <f t="shared" si="34"/>
        <v>321758.43324456509</v>
      </c>
      <c r="J134" s="5"/>
      <c r="K134" s="5">
        <f t="shared" si="35"/>
        <v>321758.43324456509</v>
      </c>
      <c r="L134" s="5">
        <f t="shared" si="36"/>
        <v>341653.17300413031</v>
      </c>
      <c r="M134" s="5"/>
      <c r="N134" s="5">
        <f t="shared" si="37"/>
        <v>341653.17300413031</v>
      </c>
      <c r="O134" s="21"/>
      <c r="P134" s="21"/>
      <c r="Q134" s="21"/>
      <c r="R134" s="21">
        <f t="shared" si="47"/>
        <v>0</v>
      </c>
      <c r="S134" s="21">
        <v>321758.43324456509</v>
      </c>
      <c r="T134" s="21">
        <f t="shared" si="52"/>
        <v>19495.62775956521</v>
      </c>
      <c r="U134" s="21">
        <f t="shared" si="53"/>
        <v>399.11199999999997</v>
      </c>
      <c r="V134" s="21">
        <f t="shared" si="39"/>
        <v>341653.17300413031</v>
      </c>
      <c r="W134" s="21"/>
      <c r="X134" s="5"/>
      <c r="Y134" s="5"/>
      <c r="Z134" s="5">
        <f t="shared" si="40"/>
        <v>0</v>
      </c>
      <c r="AA134" s="5">
        <v>649966.56000000006</v>
      </c>
      <c r="AB134" s="5" t="s">
        <v>258</v>
      </c>
      <c r="AC134" s="5">
        <f t="shared" si="41"/>
        <v>321758.43324456509</v>
      </c>
      <c r="AD134" s="5">
        <f t="shared" si="42"/>
        <v>341653.17300413031</v>
      </c>
      <c r="AE134" s="5">
        <f t="shared" si="43"/>
        <v>-3.0041303834877908E-3</v>
      </c>
      <c r="AF134" s="5">
        <f t="shared" si="54"/>
        <v>0</v>
      </c>
      <c r="AG134" s="5" t="s">
        <v>238</v>
      </c>
      <c r="AH134" s="5">
        <v>4</v>
      </c>
      <c r="AI134" s="5">
        <v>0</v>
      </c>
      <c r="AJ134" s="5">
        <v>0</v>
      </c>
      <c r="AK134" s="5" t="s">
        <v>256</v>
      </c>
      <c r="AL134" s="4" t="s">
        <v>90</v>
      </c>
      <c r="AM134" s="4" t="s">
        <v>76</v>
      </c>
      <c r="AN134" s="21"/>
      <c r="AO134" s="4"/>
      <c r="AP134" s="58"/>
      <c r="AQ134" s="58"/>
      <c r="AR134" s="23"/>
      <c r="AS134" s="23"/>
      <c r="AT134" s="4"/>
      <c r="AU134" s="4"/>
      <c r="AV134" s="4"/>
      <c r="AW134" s="4"/>
      <c r="AX134" s="9"/>
      <c r="AY134" s="9"/>
      <c r="AZ134" s="4"/>
      <c r="BB134" t="e">
        <f>VLOOKUP(B134,contactos!$A$1:$D$484,4,FALSE)</f>
        <v>#N/A</v>
      </c>
    </row>
    <row r="135" spans="2:54" customFormat="1" x14ac:dyDescent="0.25">
      <c r="B135" s="100">
        <v>26831</v>
      </c>
      <c r="C135" s="4" t="s">
        <v>370</v>
      </c>
      <c r="D135" s="5">
        <v>336250.07908752403</v>
      </c>
      <c r="E135" s="5">
        <v>0</v>
      </c>
      <c r="F135" s="5">
        <v>0</v>
      </c>
      <c r="G135" s="5">
        <v>336250.08</v>
      </c>
      <c r="H135" s="5">
        <v>336250.08</v>
      </c>
      <c r="I135" s="5">
        <f t="shared" si="34"/>
        <v>336250.07908752403</v>
      </c>
      <c r="J135" s="5"/>
      <c r="K135" s="5">
        <f t="shared" si="35"/>
        <v>336250.07908752403</v>
      </c>
      <c r="L135" s="5">
        <f t="shared" si="36"/>
        <v>336250.07908752403</v>
      </c>
      <c r="M135" s="5"/>
      <c r="N135" s="5">
        <f t="shared" si="37"/>
        <v>336250.07908752403</v>
      </c>
      <c r="O135" s="21"/>
      <c r="P135" s="21"/>
      <c r="Q135" s="21"/>
      <c r="R135" s="21">
        <f t="shared" si="47"/>
        <v>0</v>
      </c>
      <c r="S135" s="21">
        <v>336250.07908752403</v>
      </c>
      <c r="T135" s="21">
        <f t="shared" si="52"/>
        <v>0</v>
      </c>
      <c r="U135" s="21">
        <f t="shared" si="53"/>
        <v>0</v>
      </c>
      <c r="V135" s="21">
        <f t="shared" si="39"/>
        <v>336250.07908752403</v>
      </c>
      <c r="W135" s="21"/>
      <c r="X135" s="5"/>
      <c r="Y135" s="5"/>
      <c r="Z135" s="5">
        <f t="shared" si="40"/>
        <v>0</v>
      </c>
      <c r="AA135" s="5"/>
      <c r="AB135" s="5" t="s">
        <v>258</v>
      </c>
      <c r="AC135" s="5">
        <f t="shared" si="41"/>
        <v>336250.07908752403</v>
      </c>
      <c r="AD135" s="5">
        <f t="shared" si="42"/>
        <v>336250.07908752403</v>
      </c>
      <c r="AE135" s="5">
        <f t="shared" si="43"/>
        <v>9.1247598174959421E-4</v>
      </c>
      <c r="AF135" s="5">
        <f t="shared" si="54"/>
        <v>0</v>
      </c>
      <c r="AG135" s="5" t="s">
        <v>73</v>
      </c>
      <c r="AH135" s="5">
        <v>4</v>
      </c>
      <c r="AI135" s="5">
        <v>1</v>
      </c>
      <c r="AJ135" s="120" t="s">
        <v>371</v>
      </c>
      <c r="AK135" s="5" t="s">
        <v>59</v>
      </c>
      <c r="AL135" s="4" t="s">
        <v>75</v>
      </c>
      <c r="AM135" s="6" t="s">
        <v>91</v>
      </c>
      <c r="AN135" s="21">
        <v>336250.08</v>
      </c>
      <c r="AO135" s="13" t="s">
        <v>68</v>
      </c>
      <c r="AP135" s="59">
        <v>6</v>
      </c>
      <c r="AQ135" s="59" t="s">
        <v>189</v>
      </c>
      <c r="AR135" s="23">
        <v>46041</v>
      </c>
      <c r="AS135" s="23">
        <v>46041</v>
      </c>
      <c r="AT135" s="7"/>
      <c r="AU135" s="7"/>
      <c r="AV135" s="7" t="s">
        <v>254</v>
      </c>
      <c r="AW135" s="4" t="s">
        <v>70</v>
      </c>
      <c r="AX135" s="9" t="s">
        <v>71</v>
      </c>
      <c r="AY135" s="9"/>
      <c r="AZ135" s="9"/>
      <c r="BA135" t="s">
        <v>248</v>
      </c>
      <c r="BB135" t="str">
        <f>VLOOKUP(B135,contactos!$A$1:$D$484,4,FALSE)</f>
        <v>alejandro.solorzano@proteinol.com.mx</v>
      </c>
    </row>
    <row r="136" spans="2:54" customFormat="1" ht="30" x14ac:dyDescent="0.25">
      <c r="B136" s="100">
        <v>315838</v>
      </c>
      <c r="C136" s="4" t="s">
        <v>372</v>
      </c>
      <c r="D136" s="5">
        <v>280053.8</v>
      </c>
      <c r="E136" s="5">
        <v>0</v>
      </c>
      <c r="F136" s="5">
        <v>44808.611699999994</v>
      </c>
      <c r="G136" s="5">
        <v>324862.32999999996</v>
      </c>
      <c r="H136" s="5">
        <v>82071.83</v>
      </c>
      <c r="I136" s="5">
        <f t="shared" ref="I136:I199" si="55">O136+S136</f>
        <v>280053.8</v>
      </c>
      <c r="J136" s="5"/>
      <c r="K136" s="5">
        <f t="shared" ref="K136:K199" si="56">I136-J136</f>
        <v>280053.8</v>
      </c>
      <c r="L136" s="5">
        <f t="shared" ref="L136:L199" si="57">R136+V136</f>
        <v>324862.4117</v>
      </c>
      <c r="M136" s="5"/>
      <c r="N136" s="5">
        <f t="shared" ref="N136:N199" si="58">L136-M136</f>
        <v>324862.4117</v>
      </c>
      <c r="O136" s="21"/>
      <c r="P136" s="21"/>
      <c r="Q136" s="21"/>
      <c r="R136" s="21">
        <f t="shared" si="47"/>
        <v>0</v>
      </c>
      <c r="S136" s="21">
        <v>280053.8</v>
      </c>
      <c r="T136" s="21">
        <f t="shared" si="52"/>
        <v>0</v>
      </c>
      <c r="U136" s="21">
        <f t="shared" si="53"/>
        <v>44808.611699999994</v>
      </c>
      <c r="V136" s="21">
        <f t="shared" si="39"/>
        <v>324862.4117</v>
      </c>
      <c r="W136" s="21"/>
      <c r="X136" s="5"/>
      <c r="Y136" s="5"/>
      <c r="Z136" s="5">
        <f t="shared" si="40"/>
        <v>0</v>
      </c>
      <c r="AA136" s="5">
        <v>823139.12</v>
      </c>
      <c r="AB136" s="5" t="s">
        <v>258</v>
      </c>
      <c r="AC136" s="5">
        <f t="shared" si="41"/>
        <v>280053.8</v>
      </c>
      <c r="AD136" s="5">
        <f t="shared" si="42"/>
        <v>324862.4117</v>
      </c>
      <c r="AE136" s="5">
        <f t="shared" si="43"/>
        <v>-8.1700000038836151E-2</v>
      </c>
      <c r="AF136" s="5">
        <f t="shared" si="54"/>
        <v>0</v>
      </c>
      <c r="AG136" s="5" t="s">
        <v>73</v>
      </c>
      <c r="AH136" s="5">
        <v>4</v>
      </c>
      <c r="AI136" s="5">
        <v>3</v>
      </c>
      <c r="AJ136" s="120" t="s">
        <v>373</v>
      </c>
      <c r="AK136" s="5" t="s">
        <v>59</v>
      </c>
      <c r="AL136" s="4" t="s">
        <v>75</v>
      </c>
      <c r="AM136" s="6" t="s">
        <v>91</v>
      </c>
      <c r="AN136" s="21">
        <v>324862.32999999996</v>
      </c>
      <c r="AO136" s="4" t="s">
        <v>68</v>
      </c>
      <c r="AP136" s="58"/>
      <c r="AQ136" s="58"/>
      <c r="AR136" s="23">
        <v>46038</v>
      </c>
      <c r="AS136" s="23">
        <v>46041</v>
      </c>
      <c r="AT136" s="7" t="s">
        <v>129</v>
      </c>
      <c r="AU136" s="7"/>
      <c r="AV136" s="45" t="s">
        <v>374</v>
      </c>
      <c r="AW136" s="4" t="s">
        <v>70</v>
      </c>
      <c r="AX136" s="9"/>
      <c r="AY136" s="9" t="s">
        <v>71</v>
      </c>
      <c r="AZ136" s="9"/>
      <c r="BA136" t="s">
        <v>179</v>
      </c>
      <c r="BB136" t="e">
        <f>VLOOKUP(B136,contactos!$A$1:$D$484,4,FALSE)</f>
        <v>#N/A</v>
      </c>
    </row>
    <row r="137" spans="2:54" customFormat="1" x14ac:dyDescent="0.25">
      <c r="B137" s="100">
        <v>90589</v>
      </c>
      <c r="C137" s="4" t="s">
        <v>375</v>
      </c>
      <c r="D137" s="5">
        <v>323205.01837348699</v>
      </c>
      <c r="E137" s="5">
        <v>0</v>
      </c>
      <c r="F137" s="5">
        <v>0</v>
      </c>
      <c r="G137" s="5">
        <v>323205.07</v>
      </c>
      <c r="H137" s="5">
        <v>323205.01</v>
      </c>
      <c r="I137" s="5">
        <f t="shared" si="55"/>
        <v>323205.01837348699</v>
      </c>
      <c r="J137" s="5"/>
      <c r="K137" s="5">
        <f t="shared" si="56"/>
        <v>323205.01837348699</v>
      </c>
      <c r="L137" s="5">
        <f t="shared" si="57"/>
        <v>323205.01837348699</v>
      </c>
      <c r="M137" s="5"/>
      <c r="N137" s="5">
        <f t="shared" si="58"/>
        <v>323205.01837348699</v>
      </c>
      <c r="O137" s="21"/>
      <c r="P137" s="21"/>
      <c r="Q137" s="21"/>
      <c r="R137" s="21">
        <f t="shared" si="47"/>
        <v>0</v>
      </c>
      <c r="S137" s="21">
        <v>323205.01837348699</v>
      </c>
      <c r="T137" s="21">
        <f t="shared" si="52"/>
        <v>0</v>
      </c>
      <c r="U137" s="21">
        <f t="shared" si="53"/>
        <v>0</v>
      </c>
      <c r="V137" s="21">
        <f t="shared" ref="V137:V200" si="59">SUM(S137:U137)</f>
        <v>323205.01837348699</v>
      </c>
      <c r="W137" s="21"/>
      <c r="X137" s="5"/>
      <c r="Y137" s="5"/>
      <c r="Z137" s="5">
        <f t="shared" ref="Z137:Z200" si="60">SUM(W137:Y137)</f>
        <v>0</v>
      </c>
      <c r="AA137" s="5">
        <v>639142.39</v>
      </c>
      <c r="AB137" s="5" t="s">
        <v>258</v>
      </c>
      <c r="AC137" s="5">
        <f t="shared" ref="AC137:AC200" si="61">O137+S137+W137</f>
        <v>323205.01837348699</v>
      </c>
      <c r="AD137" s="5">
        <f t="shared" ref="AD137:AD200" si="62">R137+V137+Z137</f>
        <v>323205.01837348699</v>
      </c>
      <c r="AE137" s="5">
        <f t="shared" ref="AE137:AE200" si="63">G137-AD137</f>
        <v>5.1626513013616204E-2</v>
      </c>
      <c r="AF137" s="5">
        <f t="shared" si="54"/>
        <v>0</v>
      </c>
      <c r="AG137" s="5" t="s">
        <v>73</v>
      </c>
      <c r="AH137" s="5">
        <v>4</v>
      </c>
      <c r="AI137" s="5">
        <v>0</v>
      </c>
      <c r="AJ137" s="5" t="s">
        <v>212</v>
      </c>
      <c r="AK137" s="5" t="s">
        <v>256</v>
      </c>
      <c r="AL137" s="4" t="s">
        <v>90</v>
      </c>
      <c r="AM137" s="4" t="s">
        <v>148</v>
      </c>
      <c r="AN137" s="21"/>
      <c r="AO137" s="4"/>
      <c r="AP137" s="58"/>
      <c r="AQ137" s="58"/>
      <c r="AR137" s="23"/>
      <c r="AS137" s="23"/>
      <c r="AT137" s="4"/>
      <c r="AU137" s="4"/>
      <c r="AV137" s="4"/>
      <c r="AW137" s="4"/>
      <c r="AX137" s="9"/>
      <c r="AY137" s="9"/>
      <c r="AZ137" s="4"/>
      <c r="BB137" t="e">
        <f>VLOOKUP(B137,contactos!$A$1:$D$484,4,FALSE)</f>
        <v>#N/A</v>
      </c>
    </row>
    <row r="138" spans="2:54" customFormat="1" x14ac:dyDescent="0.25">
      <c r="B138" s="100">
        <v>7542</v>
      </c>
      <c r="C138" s="4" t="s">
        <v>376</v>
      </c>
      <c r="D138" s="5">
        <v>298118.80460872198</v>
      </c>
      <c r="E138" s="5">
        <v>23849.504368697759</v>
      </c>
      <c r="F138" s="5">
        <v>0</v>
      </c>
      <c r="G138" s="5">
        <v>321968.34999999998</v>
      </c>
      <c r="H138" s="5">
        <v>321968.34999999998</v>
      </c>
      <c r="I138" s="5">
        <f t="shared" si="55"/>
        <v>298118.80460872198</v>
      </c>
      <c r="J138" s="5"/>
      <c r="K138" s="5">
        <f t="shared" si="56"/>
        <v>298118.80460872198</v>
      </c>
      <c r="L138" s="5">
        <f t="shared" si="57"/>
        <v>321968.30897741974</v>
      </c>
      <c r="M138" s="5"/>
      <c r="N138" s="5">
        <f t="shared" si="58"/>
        <v>321968.30897741974</v>
      </c>
      <c r="O138" s="21"/>
      <c r="P138" s="21"/>
      <c r="Q138" s="21"/>
      <c r="R138" s="21">
        <f t="shared" si="47"/>
        <v>0</v>
      </c>
      <c r="S138" s="21">
        <v>298118.80460872198</v>
      </c>
      <c r="T138" s="21">
        <f t="shared" si="52"/>
        <v>23849.504368697759</v>
      </c>
      <c r="U138" s="21">
        <f t="shared" si="53"/>
        <v>0</v>
      </c>
      <c r="V138" s="21">
        <f t="shared" si="59"/>
        <v>321968.30897741974</v>
      </c>
      <c r="W138" s="21"/>
      <c r="X138" s="5"/>
      <c r="Y138" s="5"/>
      <c r="Z138" s="5">
        <f t="shared" si="60"/>
        <v>0</v>
      </c>
      <c r="AA138" s="5">
        <v>969861.16</v>
      </c>
      <c r="AB138" s="5" t="s">
        <v>258</v>
      </c>
      <c r="AC138" s="5">
        <f t="shared" si="61"/>
        <v>298118.80460872198</v>
      </c>
      <c r="AD138" s="5">
        <f t="shared" si="62"/>
        <v>321968.30897741974</v>
      </c>
      <c r="AE138" s="5">
        <f t="shared" si="63"/>
        <v>4.102258023340255E-2</v>
      </c>
      <c r="AF138" s="5">
        <f t="shared" si="54"/>
        <v>0</v>
      </c>
      <c r="AG138" s="5" t="s">
        <v>238</v>
      </c>
      <c r="AH138" s="5">
        <v>4</v>
      </c>
      <c r="AI138" s="5">
        <v>0</v>
      </c>
      <c r="AJ138" s="5" t="s">
        <v>279</v>
      </c>
      <c r="AK138" s="5" t="s">
        <v>256</v>
      </c>
      <c r="AL138" s="4" t="s">
        <v>90</v>
      </c>
      <c r="AM138" s="4" t="s">
        <v>119</v>
      </c>
      <c r="AN138" s="21"/>
      <c r="AO138" s="4"/>
      <c r="AP138" s="58"/>
      <c r="AQ138" s="58"/>
      <c r="AR138" s="23"/>
      <c r="AS138" s="23"/>
      <c r="AT138" s="4"/>
      <c r="AU138" s="4"/>
      <c r="AV138" s="4"/>
      <c r="AW138" s="4"/>
      <c r="AX138" s="9"/>
      <c r="AY138" s="9"/>
      <c r="AZ138" s="4"/>
      <c r="BB138" t="e">
        <f>VLOOKUP(B138,contactos!$A$1:$D$484,4,FALSE)</f>
        <v>#N/A</v>
      </c>
    </row>
    <row r="139" spans="2:54" customFormat="1" x14ac:dyDescent="0.25">
      <c r="B139" s="100">
        <v>387977</v>
      </c>
      <c r="C139" s="4" t="s">
        <v>377</v>
      </c>
      <c r="D139" s="5">
        <v>275350.02938666404</v>
      </c>
      <c r="E139" s="5">
        <v>0</v>
      </c>
      <c r="F139" s="5">
        <v>44056.024201866239</v>
      </c>
      <c r="G139" s="5">
        <v>319406.03000000003</v>
      </c>
      <c r="H139" s="5">
        <v>319406.03000000003</v>
      </c>
      <c r="I139" s="5">
        <f t="shared" si="55"/>
        <v>275350.02938666404</v>
      </c>
      <c r="J139" s="5"/>
      <c r="K139" s="5">
        <f t="shared" si="56"/>
        <v>275350.02938666404</v>
      </c>
      <c r="L139" s="5">
        <f t="shared" si="57"/>
        <v>319406.05358853028</v>
      </c>
      <c r="M139" s="5"/>
      <c r="N139" s="5">
        <f t="shared" si="58"/>
        <v>319406.05358853028</v>
      </c>
      <c r="O139" s="21"/>
      <c r="P139" s="21"/>
      <c r="Q139" s="21"/>
      <c r="R139" s="21">
        <f t="shared" si="47"/>
        <v>0</v>
      </c>
      <c r="S139" s="21">
        <v>275350.02938666404</v>
      </c>
      <c r="T139" s="21">
        <f t="shared" si="52"/>
        <v>0</v>
      </c>
      <c r="U139" s="21">
        <f t="shared" si="53"/>
        <v>44056.024201866239</v>
      </c>
      <c r="V139" s="21">
        <f t="shared" si="59"/>
        <v>319406.05358853028</v>
      </c>
      <c r="W139" s="21"/>
      <c r="X139" s="5"/>
      <c r="Y139" s="5"/>
      <c r="Z139" s="5">
        <f t="shared" si="60"/>
        <v>0</v>
      </c>
      <c r="AA139" s="5">
        <v>637644.14</v>
      </c>
      <c r="AB139" s="5" t="s">
        <v>258</v>
      </c>
      <c r="AC139" s="5">
        <f t="shared" si="61"/>
        <v>275350.02938666404</v>
      </c>
      <c r="AD139" s="5">
        <f t="shared" si="62"/>
        <v>319406.05358853028</v>
      </c>
      <c r="AE139" s="5">
        <f t="shared" si="63"/>
        <v>-2.3588530253618956E-2</v>
      </c>
      <c r="AF139" s="5">
        <f t="shared" si="54"/>
        <v>0</v>
      </c>
      <c r="AG139" s="5" t="s">
        <v>73</v>
      </c>
      <c r="AH139" s="5">
        <v>4</v>
      </c>
      <c r="AI139" s="5">
        <v>0</v>
      </c>
      <c r="AJ139" s="5">
        <v>0</v>
      </c>
      <c r="AK139" s="5" t="s">
        <v>256</v>
      </c>
      <c r="AL139" s="4" t="s">
        <v>90</v>
      </c>
      <c r="AM139" s="4" t="s">
        <v>112</v>
      </c>
      <c r="AN139" s="21"/>
      <c r="AO139" s="4"/>
      <c r="AP139" s="58"/>
      <c r="AQ139" s="58"/>
      <c r="AR139" s="23"/>
      <c r="AS139" s="23"/>
      <c r="AT139" s="4"/>
      <c r="AU139" s="4"/>
      <c r="AV139" s="4"/>
      <c r="AW139" s="4"/>
      <c r="AX139" s="9"/>
      <c r="AY139" s="9"/>
      <c r="AZ139" s="4"/>
      <c r="BB139" t="str">
        <f>VLOOKUP(B139,contactos!$A$1:$D$484,4,FALSE)</f>
        <v>cobranza@exportprint.mx</v>
      </c>
    </row>
    <row r="140" spans="2:54" customFormat="1" x14ac:dyDescent="0.25">
      <c r="B140" s="100">
        <v>93591</v>
      </c>
      <c r="C140" s="4" t="s">
        <v>378</v>
      </c>
      <c r="D140" s="5">
        <v>301946.31033576798</v>
      </c>
      <c r="E140" s="5">
        <v>0</v>
      </c>
      <c r="F140" s="5">
        <v>0</v>
      </c>
      <c r="G140" s="5">
        <v>301946.31</v>
      </c>
      <c r="H140" s="5">
        <v>301946.31</v>
      </c>
      <c r="I140" s="5">
        <f t="shared" si="55"/>
        <v>301946.31033576798</v>
      </c>
      <c r="J140" s="5"/>
      <c r="K140" s="5">
        <f t="shared" si="56"/>
        <v>301946.31033576798</v>
      </c>
      <c r="L140" s="5">
        <f t="shared" si="57"/>
        <v>301946.31033576798</v>
      </c>
      <c r="M140" s="5"/>
      <c r="N140" s="5">
        <f t="shared" si="58"/>
        <v>301946.31033576798</v>
      </c>
      <c r="O140" s="21"/>
      <c r="P140" s="21"/>
      <c r="Q140" s="21"/>
      <c r="R140" s="21">
        <f t="shared" si="47"/>
        <v>0</v>
      </c>
      <c r="S140" s="21">
        <v>301946.31033576798</v>
      </c>
      <c r="T140" s="21">
        <f t="shared" si="52"/>
        <v>0</v>
      </c>
      <c r="U140" s="21">
        <f t="shared" si="53"/>
        <v>0</v>
      </c>
      <c r="V140" s="21">
        <f t="shared" si="59"/>
        <v>301946.31033576798</v>
      </c>
      <c r="W140" s="21"/>
      <c r="X140" s="5"/>
      <c r="Y140" s="5"/>
      <c r="Z140" s="5">
        <f t="shared" si="60"/>
        <v>0</v>
      </c>
      <c r="AA140" s="5">
        <v>2591226.4</v>
      </c>
      <c r="AB140" s="5" t="s">
        <v>258</v>
      </c>
      <c r="AC140" s="5">
        <f t="shared" si="61"/>
        <v>301946.31033576798</v>
      </c>
      <c r="AD140" s="5">
        <f t="shared" si="62"/>
        <v>301946.31033576798</v>
      </c>
      <c r="AE140" s="5">
        <f t="shared" si="63"/>
        <v>-3.3576798159629107E-4</v>
      </c>
      <c r="AF140" s="5">
        <f t="shared" si="54"/>
        <v>0</v>
      </c>
      <c r="AG140" s="5" t="s">
        <v>238</v>
      </c>
      <c r="AH140" s="5">
        <v>4</v>
      </c>
      <c r="AI140" s="5">
        <v>0</v>
      </c>
      <c r="AJ140" s="5">
        <v>0</v>
      </c>
      <c r="AK140" s="5" t="s">
        <v>59</v>
      </c>
      <c r="AL140" s="4" t="s">
        <v>133</v>
      </c>
      <c r="AM140" s="6" t="s">
        <v>61</v>
      </c>
      <c r="AN140" s="21">
        <v>301946.31</v>
      </c>
      <c r="AO140" s="4" t="s">
        <v>379</v>
      </c>
      <c r="AP140" s="58">
        <v>2</v>
      </c>
      <c r="AQ140" s="58"/>
      <c r="AR140" s="23">
        <v>46062</v>
      </c>
      <c r="AS140" s="23"/>
      <c r="AT140" s="4"/>
      <c r="AU140" s="4"/>
      <c r="AV140" s="4"/>
      <c r="AW140" s="4"/>
      <c r="AX140" s="9"/>
      <c r="AY140" s="9"/>
      <c r="AZ140" s="4"/>
      <c r="BB140" t="str">
        <f>VLOOKUP(B140,contactos!$A$1:$D$484,4,FALSE)</f>
        <v>eduardo.zatarain@pilgrims.com</v>
      </c>
    </row>
    <row r="141" spans="2:54" customFormat="1" ht="30" x14ac:dyDescent="0.25">
      <c r="B141" s="100">
        <v>943</v>
      </c>
      <c r="C141" s="4" t="s">
        <v>380</v>
      </c>
      <c r="D141" s="5">
        <v>257653.60293544998</v>
      </c>
      <c r="E141" s="5">
        <v>0</v>
      </c>
      <c r="F141" s="5">
        <v>41224.659</v>
      </c>
      <c r="G141" s="5">
        <v>298878.25339999993</v>
      </c>
      <c r="H141" s="5">
        <v>298878.24</v>
      </c>
      <c r="I141" s="5">
        <f t="shared" si="55"/>
        <v>257653.60293544998</v>
      </c>
      <c r="J141" s="5"/>
      <c r="K141" s="5">
        <f t="shared" si="56"/>
        <v>257653.60293544998</v>
      </c>
      <c r="L141" s="5">
        <f t="shared" si="57"/>
        <v>298878.26193544996</v>
      </c>
      <c r="M141" s="5"/>
      <c r="N141" s="5">
        <f t="shared" si="58"/>
        <v>298878.26193544996</v>
      </c>
      <c r="O141" s="21"/>
      <c r="P141" s="21"/>
      <c r="Q141" s="21"/>
      <c r="R141" s="21">
        <f t="shared" si="47"/>
        <v>0</v>
      </c>
      <c r="S141" s="21">
        <v>257653.60293544998</v>
      </c>
      <c r="T141" s="21">
        <f t="shared" si="52"/>
        <v>0</v>
      </c>
      <c r="U141" s="21">
        <f t="shared" si="53"/>
        <v>41224.659</v>
      </c>
      <c r="V141" s="21">
        <f t="shared" si="59"/>
        <v>298878.26193544996</v>
      </c>
      <c r="W141" s="21"/>
      <c r="X141" s="5"/>
      <c r="Y141" s="5"/>
      <c r="Z141" s="5">
        <f t="shared" si="60"/>
        <v>0</v>
      </c>
      <c r="AA141" s="5">
        <v>987815.31</v>
      </c>
      <c r="AB141" s="5" t="s">
        <v>258</v>
      </c>
      <c r="AC141" s="5">
        <f t="shared" si="61"/>
        <v>257653.60293544998</v>
      </c>
      <c r="AD141" s="5">
        <f t="shared" si="62"/>
        <v>298878.26193544996</v>
      </c>
      <c r="AE141" s="5">
        <f t="shared" si="63"/>
        <v>-8.535450033377856E-3</v>
      </c>
      <c r="AF141" s="5">
        <f t="shared" si="54"/>
        <v>0</v>
      </c>
      <c r="AG141" s="5" t="s">
        <v>238</v>
      </c>
      <c r="AH141" s="5">
        <v>4</v>
      </c>
      <c r="AI141" s="5">
        <v>0</v>
      </c>
      <c r="AJ141" s="5">
        <v>0</v>
      </c>
      <c r="AK141" s="5" t="s">
        <v>256</v>
      </c>
      <c r="AL141" s="4" t="s">
        <v>90</v>
      </c>
      <c r="AM141" s="4" t="s">
        <v>137</v>
      </c>
      <c r="AN141" s="21"/>
      <c r="AO141" s="4"/>
      <c r="AP141" s="58"/>
      <c r="AQ141" s="58"/>
      <c r="AR141" s="23"/>
      <c r="AS141" s="23">
        <v>46050</v>
      </c>
      <c r="AT141" s="4"/>
      <c r="AU141" s="4"/>
      <c r="AV141" s="4" t="s">
        <v>381</v>
      </c>
      <c r="AW141" s="13" t="s">
        <v>70</v>
      </c>
      <c r="AX141" s="9"/>
      <c r="AY141" s="9" t="s">
        <v>198</v>
      </c>
      <c r="AZ141" s="4"/>
      <c r="BB141" t="e">
        <f>VLOOKUP(B141,contactos!$A$1:$D$484,4,FALSE)</f>
        <v>#N/A</v>
      </c>
    </row>
    <row r="142" spans="2:54" customFormat="1" x14ac:dyDescent="0.25">
      <c r="B142" s="100">
        <v>36152</v>
      </c>
      <c r="C142" s="4" t="s">
        <v>382</v>
      </c>
      <c r="D142" s="5">
        <v>298263.64581100101</v>
      </c>
      <c r="E142" s="5">
        <v>0</v>
      </c>
      <c r="F142" s="5">
        <v>0</v>
      </c>
      <c r="G142" s="5">
        <v>298263.62999999995</v>
      </c>
      <c r="H142" s="5">
        <v>298263.63</v>
      </c>
      <c r="I142" s="5">
        <f t="shared" si="55"/>
        <v>298263.64581100101</v>
      </c>
      <c r="J142" s="5"/>
      <c r="K142" s="5">
        <f t="shared" si="56"/>
        <v>298263.64581100101</v>
      </c>
      <c r="L142" s="5">
        <f t="shared" si="57"/>
        <v>298263.64581100101</v>
      </c>
      <c r="M142" s="5"/>
      <c r="N142" s="5">
        <f t="shared" si="58"/>
        <v>298263.64581100101</v>
      </c>
      <c r="O142" s="21"/>
      <c r="P142" s="21"/>
      <c r="Q142" s="21"/>
      <c r="R142" s="21">
        <f t="shared" si="47"/>
        <v>0</v>
      </c>
      <c r="S142" s="21">
        <v>298263.64581100101</v>
      </c>
      <c r="T142" s="21">
        <f t="shared" si="52"/>
        <v>0</v>
      </c>
      <c r="U142" s="21">
        <f t="shared" si="53"/>
        <v>0</v>
      </c>
      <c r="V142" s="21">
        <f t="shared" si="59"/>
        <v>298263.64581100101</v>
      </c>
      <c r="W142" s="21"/>
      <c r="X142" s="5"/>
      <c r="Y142" s="5"/>
      <c r="Z142" s="5">
        <f t="shared" si="60"/>
        <v>0</v>
      </c>
      <c r="AA142" s="5"/>
      <c r="AB142" s="5" t="s">
        <v>258</v>
      </c>
      <c r="AC142" s="5">
        <f t="shared" si="61"/>
        <v>298263.64581100101</v>
      </c>
      <c r="AD142" s="5">
        <f t="shared" si="62"/>
        <v>298263.64581100101</v>
      </c>
      <c r="AE142" s="5">
        <f t="shared" si="63"/>
        <v>-1.5811001067049801E-2</v>
      </c>
      <c r="AF142" s="5">
        <f t="shared" si="54"/>
        <v>0</v>
      </c>
      <c r="AG142" s="5" t="s">
        <v>73</v>
      </c>
      <c r="AH142" s="5">
        <v>4</v>
      </c>
      <c r="AI142" s="5">
        <v>1</v>
      </c>
      <c r="AJ142" s="120" t="s">
        <v>383</v>
      </c>
      <c r="AK142" s="5" t="s">
        <v>59</v>
      </c>
      <c r="AL142" s="4" t="s">
        <v>75</v>
      </c>
      <c r="AM142" s="6" t="s">
        <v>67</v>
      </c>
      <c r="AN142" s="21">
        <v>298263.63</v>
      </c>
      <c r="AO142" s="4" t="s">
        <v>68</v>
      </c>
      <c r="AP142" s="58"/>
      <c r="AQ142" s="58"/>
      <c r="AR142" s="23">
        <v>46044</v>
      </c>
      <c r="AS142" s="23"/>
      <c r="AT142" s="4"/>
      <c r="AU142" s="4"/>
      <c r="AV142" s="7" t="s">
        <v>254</v>
      </c>
      <c r="AW142" s="4" t="s">
        <v>70</v>
      </c>
      <c r="AX142" s="9" t="s">
        <v>71</v>
      </c>
      <c r="AY142" s="9"/>
      <c r="AZ142" s="4" t="s">
        <v>71</v>
      </c>
      <c r="BB142" t="str">
        <f>VLOOKUP(B142,contactos!$A$1:$D$484,4,FALSE)</f>
        <v>danielrodriguez02@coca-cola.com</v>
      </c>
    </row>
    <row r="143" spans="2:54" customFormat="1" x14ac:dyDescent="0.25">
      <c r="B143" s="100">
        <v>314815</v>
      </c>
      <c r="C143" s="4" t="s">
        <v>384</v>
      </c>
      <c r="D143" s="5">
        <v>292805.63561095798</v>
      </c>
      <c r="E143" s="5">
        <v>986.06320000000005</v>
      </c>
      <c r="F143" s="5">
        <v>125.12479999999999</v>
      </c>
      <c r="G143" s="5">
        <v>293916.81999999995</v>
      </c>
      <c r="H143" s="5">
        <v>293916.82</v>
      </c>
      <c r="I143" s="5">
        <f t="shared" si="55"/>
        <v>292805.63561095798</v>
      </c>
      <c r="J143" s="5"/>
      <c r="K143" s="5">
        <f t="shared" si="56"/>
        <v>292805.63561095798</v>
      </c>
      <c r="L143" s="5">
        <f t="shared" si="57"/>
        <v>293916.82361095794</v>
      </c>
      <c r="M143" s="5"/>
      <c r="N143" s="5">
        <f t="shared" si="58"/>
        <v>293916.82361095794</v>
      </c>
      <c r="O143" s="21"/>
      <c r="P143" s="21"/>
      <c r="Q143" s="21"/>
      <c r="R143" s="21">
        <f t="shared" si="47"/>
        <v>0</v>
      </c>
      <c r="S143" s="21">
        <v>292805.63561095798</v>
      </c>
      <c r="T143" s="21">
        <f t="shared" si="52"/>
        <v>986.06320000000005</v>
      </c>
      <c r="U143" s="21">
        <f t="shared" si="53"/>
        <v>125.12479999999999</v>
      </c>
      <c r="V143" s="21">
        <f t="shared" si="59"/>
        <v>293916.82361095794</v>
      </c>
      <c r="W143" s="21"/>
      <c r="X143" s="5"/>
      <c r="Y143" s="5"/>
      <c r="Z143" s="5">
        <f t="shared" si="60"/>
        <v>0</v>
      </c>
      <c r="AA143" s="5"/>
      <c r="AB143" s="5" t="s">
        <v>258</v>
      </c>
      <c r="AC143" s="5">
        <f t="shared" si="61"/>
        <v>292805.63561095798</v>
      </c>
      <c r="AD143" s="5">
        <f t="shared" si="62"/>
        <v>293916.82361095794</v>
      </c>
      <c r="AE143" s="5">
        <f t="shared" si="63"/>
        <v>-3.6109579959884286E-3</v>
      </c>
      <c r="AF143" s="5"/>
      <c r="AG143" s="5" t="s">
        <v>238</v>
      </c>
      <c r="AH143" s="5">
        <v>4</v>
      </c>
      <c r="AI143" s="5">
        <v>0</v>
      </c>
      <c r="AJ143" s="5">
        <v>0</v>
      </c>
      <c r="AK143" s="5" t="s">
        <v>256</v>
      </c>
      <c r="AL143" s="4" t="s">
        <v>90</v>
      </c>
      <c r="AM143" s="4" t="s">
        <v>107</v>
      </c>
      <c r="AN143" s="21"/>
      <c r="AO143" s="4"/>
      <c r="AP143" s="58"/>
      <c r="AQ143" s="58"/>
      <c r="AR143" s="23"/>
      <c r="AS143" s="23"/>
      <c r="AT143" s="4"/>
      <c r="AU143" s="4"/>
      <c r="AV143" s="4"/>
      <c r="AW143" s="4"/>
      <c r="AX143" s="9"/>
      <c r="AY143" s="9"/>
      <c r="AZ143" s="4"/>
      <c r="BB143" t="str">
        <f>VLOOKUP(B143,contactos!$A$1:$D$484,4,FALSE)</f>
        <v>jbocanegra@achfood.com.mx</v>
      </c>
    </row>
    <row r="144" spans="2:54" customFormat="1" x14ac:dyDescent="0.25">
      <c r="B144" s="100">
        <v>49601</v>
      </c>
      <c r="C144" s="4" t="s">
        <v>385</v>
      </c>
      <c r="D144" s="5">
        <v>249464.299644602</v>
      </c>
      <c r="E144" s="5">
        <v>0</v>
      </c>
      <c r="F144" s="5">
        <v>39914.287943136325</v>
      </c>
      <c r="G144" s="5">
        <v>289378.56</v>
      </c>
      <c r="H144" s="5">
        <v>289378.57</v>
      </c>
      <c r="I144" s="5">
        <f t="shared" si="55"/>
        <v>249464.299644602</v>
      </c>
      <c r="J144" s="5"/>
      <c r="K144" s="5">
        <f t="shared" si="56"/>
        <v>249464.299644602</v>
      </c>
      <c r="L144" s="5">
        <f t="shared" si="57"/>
        <v>289378.58758773829</v>
      </c>
      <c r="M144" s="5"/>
      <c r="N144" s="5">
        <f t="shared" si="58"/>
        <v>289378.58758773829</v>
      </c>
      <c r="O144" s="21"/>
      <c r="P144" s="21"/>
      <c r="Q144" s="21"/>
      <c r="R144" s="21">
        <f t="shared" si="47"/>
        <v>0</v>
      </c>
      <c r="S144" s="21">
        <v>249464.299644602</v>
      </c>
      <c r="T144" s="21">
        <f t="shared" si="52"/>
        <v>0</v>
      </c>
      <c r="U144" s="21">
        <f t="shared" si="53"/>
        <v>39914.287943136325</v>
      </c>
      <c r="V144" s="21">
        <f t="shared" si="59"/>
        <v>289378.58758773829</v>
      </c>
      <c r="W144" s="21"/>
      <c r="X144" s="5"/>
      <c r="Y144" s="5"/>
      <c r="Z144" s="5">
        <f t="shared" si="60"/>
        <v>0</v>
      </c>
      <c r="AA144" s="5">
        <v>1471305.47</v>
      </c>
      <c r="AB144" s="5" t="s">
        <v>258</v>
      </c>
      <c r="AC144" s="5">
        <f t="shared" si="61"/>
        <v>249464.299644602</v>
      </c>
      <c r="AD144" s="5">
        <f t="shared" si="62"/>
        <v>289378.58758773829</v>
      </c>
      <c r="AE144" s="5">
        <f t="shared" si="63"/>
        <v>-2.7587738295551389E-2</v>
      </c>
      <c r="AF144" s="5">
        <f t="shared" ref="AF144:AF154" si="64">D144-S144</f>
        <v>0</v>
      </c>
      <c r="AG144" s="5" t="s">
        <v>73</v>
      </c>
      <c r="AH144" s="5">
        <v>4</v>
      </c>
      <c r="AI144" s="5">
        <v>0</v>
      </c>
      <c r="AJ144" s="120" t="s">
        <v>386</v>
      </c>
      <c r="AK144" s="5" t="s">
        <v>256</v>
      </c>
      <c r="AL144" s="4" t="s">
        <v>90</v>
      </c>
      <c r="AM144" s="4" t="s">
        <v>67</v>
      </c>
      <c r="AN144" s="21"/>
      <c r="AO144" s="4"/>
      <c r="AP144" s="58"/>
      <c r="AQ144" s="58"/>
      <c r="AR144" s="23"/>
      <c r="AS144" s="23"/>
      <c r="AT144" s="4"/>
      <c r="AU144" s="4"/>
      <c r="AV144" s="4"/>
      <c r="AW144" s="4"/>
      <c r="AX144" s="9"/>
      <c r="AY144" s="9"/>
      <c r="AZ144" s="4"/>
      <c r="BB144" t="str">
        <f>VLOOKUP(B144,contactos!$A$1:$D$484,4,FALSE)</f>
        <v>MIRIAM.MORALES@HENKEL.COM</v>
      </c>
    </row>
    <row r="145" spans="2:54" customFormat="1" x14ac:dyDescent="0.25">
      <c r="B145" s="100">
        <v>33241</v>
      </c>
      <c r="C145" s="4" t="s">
        <v>387</v>
      </c>
      <c r="D145" s="5">
        <v>249396.46418810054</v>
      </c>
      <c r="E145" s="5">
        <v>0</v>
      </c>
      <c r="F145" s="5">
        <v>39903.446170096075</v>
      </c>
      <c r="G145" s="5">
        <v>289299.92</v>
      </c>
      <c r="H145" s="5">
        <v>289299.90999999997</v>
      </c>
      <c r="I145" s="5">
        <f t="shared" si="55"/>
        <v>249396.46418810054</v>
      </c>
      <c r="J145" s="5"/>
      <c r="K145" s="5">
        <f t="shared" si="56"/>
        <v>249396.46418810054</v>
      </c>
      <c r="L145" s="5">
        <f t="shared" si="57"/>
        <v>289299.91035819659</v>
      </c>
      <c r="M145" s="5"/>
      <c r="N145" s="5">
        <f t="shared" si="58"/>
        <v>289299.91035819659</v>
      </c>
      <c r="O145" s="21"/>
      <c r="P145" s="21"/>
      <c r="Q145" s="21"/>
      <c r="R145" s="21">
        <f t="shared" si="47"/>
        <v>0</v>
      </c>
      <c r="S145" s="21">
        <v>249396.46418810054</v>
      </c>
      <c r="T145" s="21">
        <f t="shared" si="52"/>
        <v>0</v>
      </c>
      <c r="U145" s="21">
        <f t="shared" si="53"/>
        <v>39903.446170096075</v>
      </c>
      <c r="V145" s="21">
        <f t="shared" si="59"/>
        <v>289299.91035819659</v>
      </c>
      <c r="W145" s="21"/>
      <c r="X145" s="5"/>
      <c r="Y145" s="5"/>
      <c r="Z145" s="5">
        <f t="shared" si="60"/>
        <v>0</v>
      </c>
      <c r="AA145" s="5">
        <v>1156554.92</v>
      </c>
      <c r="AB145" s="5" t="s">
        <v>258</v>
      </c>
      <c r="AC145" s="5">
        <f t="shared" si="61"/>
        <v>249396.46418810054</v>
      </c>
      <c r="AD145" s="5">
        <f t="shared" si="62"/>
        <v>289299.91035819659</v>
      </c>
      <c r="AE145" s="5">
        <f t="shared" si="63"/>
        <v>9.6418033936060965E-3</v>
      </c>
      <c r="AF145" s="5">
        <f t="shared" si="64"/>
        <v>0</v>
      </c>
      <c r="AG145" s="5" t="s">
        <v>73</v>
      </c>
      <c r="AH145" s="5">
        <v>4</v>
      </c>
      <c r="AI145" s="5">
        <v>0</v>
      </c>
      <c r="AJ145" s="5">
        <v>0</v>
      </c>
      <c r="AK145" s="5" t="s">
        <v>256</v>
      </c>
      <c r="AL145" s="4" t="s">
        <v>90</v>
      </c>
      <c r="AM145" s="4" t="s">
        <v>162</v>
      </c>
      <c r="AN145" s="21"/>
      <c r="AO145" s="4"/>
      <c r="AP145" s="58"/>
      <c r="AQ145" s="58"/>
      <c r="AR145" s="23"/>
      <c r="AS145" s="23"/>
      <c r="AT145" s="4"/>
      <c r="AU145" s="4"/>
      <c r="AV145" s="4"/>
      <c r="AW145" s="4"/>
      <c r="AX145" s="9"/>
      <c r="AY145" s="9"/>
      <c r="AZ145" s="4"/>
      <c r="BB145" t="e">
        <f>VLOOKUP(B145,contactos!$A$1:$D$484,4,FALSE)</f>
        <v>#N/A</v>
      </c>
    </row>
    <row r="146" spans="2:54" customFormat="1" x14ac:dyDescent="0.25">
      <c r="B146" s="100">
        <v>201</v>
      </c>
      <c r="C146" s="4" t="s">
        <v>388</v>
      </c>
      <c r="D146" s="5">
        <v>248399.84</v>
      </c>
      <c r="E146" s="5">
        <v>0</v>
      </c>
      <c r="F146" s="5">
        <v>39743.974399999999</v>
      </c>
      <c r="G146" s="5">
        <v>288143.82999999996</v>
      </c>
      <c r="H146" s="5">
        <v>288143.83</v>
      </c>
      <c r="I146" s="5">
        <f t="shared" si="55"/>
        <v>248399.84</v>
      </c>
      <c r="J146" s="5"/>
      <c r="K146" s="5">
        <f t="shared" si="56"/>
        <v>248399.84</v>
      </c>
      <c r="L146" s="5">
        <f t="shared" si="57"/>
        <v>288143.81439999997</v>
      </c>
      <c r="M146" s="5"/>
      <c r="N146" s="5">
        <f t="shared" si="58"/>
        <v>288143.81439999997</v>
      </c>
      <c r="O146" s="21"/>
      <c r="P146" s="21"/>
      <c r="Q146" s="21"/>
      <c r="R146" s="21">
        <f t="shared" si="47"/>
        <v>0</v>
      </c>
      <c r="S146" s="21">
        <v>248399.84</v>
      </c>
      <c r="T146" s="21">
        <f t="shared" si="52"/>
        <v>0</v>
      </c>
      <c r="U146" s="21">
        <f t="shared" si="53"/>
        <v>39743.974399999999</v>
      </c>
      <c r="V146" s="21">
        <f t="shared" si="59"/>
        <v>288143.81439999997</v>
      </c>
      <c r="W146" s="21"/>
      <c r="X146" s="5"/>
      <c r="Y146" s="5"/>
      <c r="Z146" s="5">
        <f t="shared" si="60"/>
        <v>0</v>
      </c>
      <c r="AA146" s="5">
        <v>81285.179999999993</v>
      </c>
      <c r="AB146" s="5" t="s">
        <v>258</v>
      </c>
      <c r="AC146" s="5">
        <f t="shared" si="61"/>
        <v>248399.84</v>
      </c>
      <c r="AD146" s="5">
        <f t="shared" si="62"/>
        <v>288143.81439999997</v>
      </c>
      <c r="AE146" s="5">
        <f t="shared" si="63"/>
        <v>1.5599999984260648E-2</v>
      </c>
      <c r="AF146" s="5">
        <f t="shared" si="64"/>
        <v>0</v>
      </c>
      <c r="AG146" s="5" t="s">
        <v>73</v>
      </c>
      <c r="AH146" s="5">
        <v>4</v>
      </c>
      <c r="AI146" s="5">
        <v>0</v>
      </c>
      <c r="AJ146" s="5" t="s">
        <v>212</v>
      </c>
      <c r="AK146" s="5" t="s">
        <v>256</v>
      </c>
      <c r="AL146" s="4" t="s">
        <v>90</v>
      </c>
      <c r="AM146" s="4" t="s">
        <v>148</v>
      </c>
      <c r="AN146" s="21"/>
      <c r="AO146" s="4"/>
      <c r="AP146" s="58"/>
      <c r="AQ146" s="58"/>
      <c r="AR146" s="23"/>
      <c r="AS146" s="23"/>
      <c r="AT146" s="4"/>
      <c r="AU146" s="4"/>
      <c r="AV146" s="4"/>
      <c r="AW146" s="4"/>
      <c r="AX146" s="9"/>
      <c r="AY146" s="9"/>
      <c r="AZ146" s="4"/>
      <c r="BB146" t="e">
        <f>VLOOKUP(B146,contactos!$A$1:$D$484,4,FALSE)</f>
        <v>#N/A</v>
      </c>
    </row>
    <row r="147" spans="2:54" customFormat="1" x14ac:dyDescent="0.25">
      <c r="B147" s="100">
        <v>40279</v>
      </c>
      <c r="C147" s="4" t="s">
        <v>389</v>
      </c>
      <c r="D147" s="5">
        <v>261272.62853087598</v>
      </c>
      <c r="E147" s="5">
        <v>19988.847202774079</v>
      </c>
      <c r="F147" s="5">
        <v>0</v>
      </c>
      <c r="G147" s="5">
        <v>281261.6188</v>
      </c>
      <c r="H147" s="5">
        <v>281261.61</v>
      </c>
      <c r="I147" s="5">
        <f t="shared" si="55"/>
        <v>261272.62853087598</v>
      </c>
      <c r="J147" s="5"/>
      <c r="K147" s="5">
        <f t="shared" si="56"/>
        <v>261272.62853087598</v>
      </c>
      <c r="L147" s="5">
        <f t="shared" si="57"/>
        <v>281261.47573365003</v>
      </c>
      <c r="M147" s="5"/>
      <c r="N147" s="5">
        <f t="shared" si="58"/>
        <v>281261.47573365003</v>
      </c>
      <c r="O147" s="21"/>
      <c r="P147" s="21"/>
      <c r="Q147" s="21"/>
      <c r="R147" s="21">
        <f t="shared" si="47"/>
        <v>0</v>
      </c>
      <c r="S147" s="21">
        <v>261272.62853087598</v>
      </c>
      <c r="T147" s="21">
        <f t="shared" si="52"/>
        <v>19988.847202774079</v>
      </c>
      <c r="U147" s="21">
        <f t="shared" si="53"/>
        <v>0</v>
      </c>
      <c r="V147" s="21">
        <f t="shared" si="59"/>
        <v>281261.47573365003</v>
      </c>
      <c r="W147" s="21"/>
      <c r="X147" s="5"/>
      <c r="Y147" s="5"/>
      <c r="Z147" s="5">
        <f t="shared" si="60"/>
        <v>0</v>
      </c>
      <c r="AA147" s="5">
        <v>847652.48</v>
      </c>
      <c r="AB147" s="5" t="s">
        <v>258</v>
      </c>
      <c r="AC147" s="5">
        <f t="shared" si="61"/>
        <v>261272.62853087598</v>
      </c>
      <c r="AD147" s="5">
        <f t="shared" si="62"/>
        <v>281261.47573365003</v>
      </c>
      <c r="AE147" s="5">
        <f t="shared" si="63"/>
        <v>0.1430663499631919</v>
      </c>
      <c r="AF147" s="5">
        <f t="shared" si="64"/>
        <v>0</v>
      </c>
      <c r="AG147" s="5" t="s">
        <v>73</v>
      </c>
      <c r="AH147" s="5">
        <v>4</v>
      </c>
      <c r="AI147" s="5">
        <v>0</v>
      </c>
      <c r="AJ147" s="5" t="s">
        <v>279</v>
      </c>
      <c r="AK147" s="5" t="s">
        <v>256</v>
      </c>
      <c r="AL147" s="4" t="s">
        <v>90</v>
      </c>
      <c r="AM147" s="4" t="s">
        <v>119</v>
      </c>
      <c r="AN147" s="21"/>
      <c r="AO147" s="4"/>
      <c r="AP147" s="58"/>
      <c r="AQ147" s="58"/>
      <c r="AR147" s="23"/>
      <c r="AS147" s="23"/>
      <c r="AT147" s="4"/>
      <c r="AU147" s="4"/>
      <c r="AV147" s="4"/>
      <c r="AW147" s="4"/>
      <c r="AX147" s="9"/>
      <c r="AY147" s="9"/>
      <c r="AZ147" s="4"/>
      <c r="BB147" t="e">
        <f>VLOOKUP(B147,contactos!$A$1:$D$484,4,FALSE)</f>
        <v>#N/A</v>
      </c>
    </row>
    <row r="148" spans="2:54" customFormat="1" x14ac:dyDescent="0.25">
      <c r="B148" s="100">
        <v>26138</v>
      </c>
      <c r="C148" s="4" t="s">
        <v>390</v>
      </c>
      <c r="D148" s="5">
        <v>242077.98090947518</v>
      </c>
      <c r="E148" s="5">
        <v>0</v>
      </c>
      <c r="F148" s="5">
        <v>27285.856</v>
      </c>
      <c r="G148" s="5">
        <v>269363.86039999995</v>
      </c>
      <c r="H148" s="5">
        <v>269363.86</v>
      </c>
      <c r="I148" s="5">
        <f t="shared" si="55"/>
        <v>242077.98090947518</v>
      </c>
      <c r="J148" s="5"/>
      <c r="K148" s="5">
        <f t="shared" si="56"/>
        <v>242077.98090947518</v>
      </c>
      <c r="L148" s="5">
        <f t="shared" si="57"/>
        <v>269363.83690947515</v>
      </c>
      <c r="M148" s="5"/>
      <c r="N148" s="5">
        <f t="shared" si="58"/>
        <v>269363.83690947515</v>
      </c>
      <c r="O148" s="27"/>
      <c r="P148" s="27"/>
      <c r="Q148" s="27"/>
      <c r="R148" s="21">
        <f t="shared" si="47"/>
        <v>0</v>
      </c>
      <c r="S148" s="27">
        <v>242077.98090947518</v>
      </c>
      <c r="T148" s="21">
        <f t="shared" si="52"/>
        <v>0</v>
      </c>
      <c r="U148" s="21">
        <f t="shared" si="53"/>
        <v>27285.856</v>
      </c>
      <c r="V148" s="21">
        <f t="shared" si="59"/>
        <v>269363.83690947515</v>
      </c>
      <c r="W148" s="27"/>
      <c r="X148" s="5"/>
      <c r="Y148" s="5"/>
      <c r="Z148" s="5">
        <f t="shared" si="60"/>
        <v>0</v>
      </c>
      <c r="AA148" s="5">
        <v>1292308.81</v>
      </c>
      <c r="AB148" s="5" t="s">
        <v>258</v>
      </c>
      <c r="AC148" s="5">
        <f t="shared" si="61"/>
        <v>242077.98090947518</v>
      </c>
      <c r="AD148" s="5">
        <f t="shared" si="62"/>
        <v>269363.83690947515</v>
      </c>
      <c r="AE148" s="5">
        <f t="shared" si="63"/>
        <v>2.3490524792578071E-2</v>
      </c>
      <c r="AF148" s="5">
        <f t="shared" si="64"/>
        <v>0</v>
      </c>
      <c r="AG148" s="5" t="s">
        <v>238</v>
      </c>
      <c r="AH148" s="5">
        <v>4</v>
      </c>
      <c r="AI148" s="5">
        <v>0</v>
      </c>
      <c r="AJ148" s="5">
        <v>0</v>
      </c>
      <c r="AK148" s="5" t="s">
        <v>256</v>
      </c>
      <c r="AL148" s="4" t="s">
        <v>90</v>
      </c>
      <c r="AM148" s="4" t="s">
        <v>83</v>
      </c>
      <c r="AN148" s="27"/>
      <c r="AO148" s="4"/>
      <c r="AP148" s="58"/>
      <c r="AQ148" s="58"/>
      <c r="AR148" s="23"/>
      <c r="AS148" s="23"/>
      <c r="AT148" s="4"/>
      <c r="AU148" s="4"/>
      <c r="AV148" s="4"/>
      <c r="AW148" s="4"/>
      <c r="AX148" s="12"/>
      <c r="AY148" s="12"/>
      <c r="AZ148" s="12"/>
      <c r="BB148" t="str">
        <f>VLOOKUP(B148,contactos!$A$1:$D$484,4,FALSE)</f>
        <v>humberto.varela@oetker.com</v>
      </c>
    </row>
    <row r="149" spans="2:54" customFormat="1" ht="30" x14ac:dyDescent="0.25">
      <c r="B149" s="100">
        <v>24927</v>
      </c>
      <c r="C149" s="4" t="s">
        <v>391</v>
      </c>
      <c r="D149" s="5">
        <v>186146.19382640003</v>
      </c>
      <c r="E149" s="5">
        <v>46386.393899999995</v>
      </c>
      <c r="F149" s="5">
        <v>36231.527800000003</v>
      </c>
      <c r="G149" s="5">
        <v>268764.16019999998</v>
      </c>
      <c r="H149" s="5">
        <v>268764.15999999997</v>
      </c>
      <c r="I149" s="5">
        <f t="shared" si="55"/>
        <v>186146.19382640003</v>
      </c>
      <c r="J149" s="5"/>
      <c r="K149" s="5">
        <f t="shared" si="56"/>
        <v>186146.19382640003</v>
      </c>
      <c r="L149" s="5">
        <f t="shared" si="57"/>
        <v>268764.11552640004</v>
      </c>
      <c r="M149" s="5"/>
      <c r="N149" s="5">
        <f t="shared" si="58"/>
        <v>268764.11552640004</v>
      </c>
      <c r="O149" s="21"/>
      <c r="P149" s="21"/>
      <c r="Q149" s="21"/>
      <c r="R149" s="21">
        <f t="shared" si="47"/>
        <v>0</v>
      </c>
      <c r="S149" s="21">
        <v>186146.19382640003</v>
      </c>
      <c r="T149" s="21">
        <f t="shared" si="52"/>
        <v>46386.393899999995</v>
      </c>
      <c r="U149" s="21">
        <f t="shared" si="53"/>
        <v>36231.527800000003</v>
      </c>
      <c r="V149" s="21">
        <f t="shared" si="59"/>
        <v>268764.11552640004</v>
      </c>
      <c r="W149" s="21"/>
      <c r="X149" s="5"/>
      <c r="Y149" s="5"/>
      <c r="Z149" s="5">
        <f t="shared" si="60"/>
        <v>0</v>
      </c>
      <c r="AA149" s="5">
        <v>2281446.4500000002</v>
      </c>
      <c r="AB149" s="5" t="s">
        <v>258</v>
      </c>
      <c r="AC149" s="5">
        <f t="shared" si="61"/>
        <v>186146.19382640003</v>
      </c>
      <c r="AD149" s="5">
        <f t="shared" si="62"/>
        <v>268764.11552640004</v>
      </c>
      <c r="AE149" s="5">
        <f t="shared" si="63"/>
        <v>4.4673599943052977E-2</v>
      </c>
      <c r="AF149" s="5">
        <f t="shared" si="64"/>
        <v>0</v>
      </c>
      <c r="AG149" s="5" t="s">
        <v>73</v>
      </c>
      <c r="AH149" s="5">
        <v>4</v>
      </c>
      <c r="AI149" s="5">
        <v>2</v>
      </c>
      <c r="AJ149" s="5"/>
      <c r="AK149" s="5" t="s">
        <v>59</v>
      </c>
      <c r="AL149" s="4" t="s">
        <v>75</v>
      </c>
      <c r="AM149" s="6" t="s">
        <v>162</v>
      </c>
      <c r="AN149" s="21">
        <v>164846</v>
      </c>
      <c r="AO149" s="13" t="s">
        <v>392</v>
      </c>
      <c r="AP149" s="58">
        <v>2</v>
      </c>
      <c r="AQ149" s="58"/>
      <c r="AR149" s="23">
        <v>46056</v>
      </c>
      <c r="AS149" s="23"/>
      <c r="AT149" s="4"/>
      <c r="AU149" s="4"/>
      <c r="AV149" s="4" t="s">
        <v>393</v>
      </c>
      <c r="AW149" s="4"/>
      <c r="AX149" s="9" t="s">
        <v>394</v>
      </c>
      <c r="AY149" s="9"/>
      <c r="AZ149" s="4"/>
      <c r="BB149" t="e">
        <f>VLOOKUP(B149,contactos!$A$1:$D$484,4,FALSE)</f>
        <v>#N/A</v>
      </c>
    </row>
    <row r="150" spans="2:54" customFormat="1" x14ac:dyDescent="0.25">
      <c r="B150" s="100">
        <v>327148</v>
      </c>
      <c r="C150" s="4" t="s">
        <v>395</v>
      </c>
      <c r="D150" s="5">
        <v>231474.16511999999</v>
      </c>
      <c r="E150" s="5">
        <v>0</v>
      </c>
      <c r="F150" s="5">
        <v>37035.866499999996</v>
      </c>
      <c r="G150" s="5">
        <v>268510.03520000004</v>
      </c>
      <c r="H150" s="5">
        <v>268510.03000000003</v>
      </c>
      <c r="I150" s="5">
        <f t="shared" si="55"/>
        <v>231474.16511999999</v>
      </c>
      <c r="J150" s="5"/>
      <c r="K150" s="5">
        <f t="shared" si="56"/>
        <v>231474.16511999999</v>
      </c>
      <c r="L150" s="5">
        <f t="shared" si="57"/>
        <v>268510.03161999997</v>
      </c>
      <c r="M150" s="5"/>
      <c r="N150" s="5">
        <f t="shared" si="58"/>
        <v>268510.03161999997</v>
      </c>
      <c r="O150" s="21"/>
      <c r="P150" s="21"/>
      <c r="Q150" s="21"/>
      <c r="R150" s="21">
        <f t="shared" si="47"/>
        <v>0</v>
      </c>
      <c r="S150" s="21">
        <v>231474.16511999999</v>
      </c>
      <c r="T150" s="21">
        <f t="shared" si="52"/>
        <v>0</v>
      </c>
      <c r="U150" s="21">
        <f t="shared" si="53"/>
        <v>37035.866499999996</v>
      </c>
      <c r="V150" s="21">
        <f t="shared" si="59"/>
        <v>268510.03161999997</v>
      </c>
      <c r="W150" s="21"/>
      <c r="X150" s="5"/>
      <c r="Y150" s="5"/>
      <c r="Z150" s="5">
        <f t="shared" si="60"/>
        <v>0</v>
      </c>
      <c r="AA150" s="5">
        <v>1147255.18</v>
      </c>
      <c r="AB150" s="5" t="s">
        <v>258</v>
      </c>
      <c r="AC150" s="5">
        <f t="shared" si="61"/>
        <v>231474.16511999999</v>
      </c>
      <c r="AD150" s="5">
        <f t="shared" si="62"/>
        <v>268510.03161999997</v>
      </c>
      <c r="AE150" s="5">
        <f t="shared" si="63"/>
        <v>3.5800000769086182E-3</v>
      </c>
      <c r="AF150" s="5">
        <f t="shared" si="64"/>
        <v>0</v>
      </c>
      <c r="AG150" s="5" t="s">
        <v>73</v>
      </c>
      <c r="AH150" s="5">
        <v>4</v>
      </c>
      <c r="AI150" s="5">
        <v>0</v>
      </c>
      <c r="AJ150" s="5">
        <v>0</v>
      </c>
      <c r="AK150" s="5" t="s">
        <v>256</v>
      </c>
      <c r="AL150" s="4" t="s">
        <v>90</v>
      </c>
      <c r="AM150" s="4" t="s">
        <v>162</v>
      </c>
      <c r="AN150" s="21"/>
      <c r="AO150" s="4"/>
      <c r="AP150" s="58"/>
      <c r="AQ150" s="58"/>
      <c r="AR150" s="23"/>
      <c r="AS150" s="23"/>
      <c r="AT150" s="4"/>
      <c r="AU150" s="4"/>
      <c r="AV150" s="4"/>
      <c r="AW150" s="4"/>
      <c r="AX150" s="9"/>
      <c r="AY150" s="9"/>
      <c r="AZ150" s="4"/>
      <c r="BB150" t="e">
        <f>VLOOKUP(B150,contactos!$A$1:$D$484,4,FALSE)</f>
        <v>#N/A</v>
      </c>
    </row>
    <row r="151" spans="2:54" customFormat="1" x14ac:dyDescent="0.25">
      <c r="B151" s="100">
        <v>152561</v>
      </c>
      <c r="C151" s="4" t="s">
        <v>396</v>
      </c>
      <c r="D151" s="5">
        <v>229805.7333580892</v>
      </c>
      <c r="E151" s="5">
        <v>0</v>
      </c>
      <c r="F151" s="5">
        <v>36768.917337294268</v>
      </c>
      <c r="G151" s="5">
        <v>266574.65999999997</v>
      </c>
      <c r="H151" s="5">
        <v>266574.65999999997</v>
      </c>
      <c r="I151" s="5">
        <f t="shared" si="55"/>
        <v>229805.7333580892</v>
      </c>
      <c r="J151" s="5"/>
      <c r="K151" s="5">
        <f t="shared" si="56"/>
        <v>229805.7333580892</v>
      </c>
      <c r="L151" s="5">
        <f t="shared" si="57"/>
        <v>266574.65069538349</v>
      </c>
      <c r="M151" s="5"/>
      <c r="N151" s="5">
        <f t="shared" si="58"/>
        <v>266574.65069538349</v>
      </c>
      <c r="O151" s="21"/>
      <c r="P151" s="21"/>
      <c r="Q151" s="21"/>
      <c r="R151" s="21">
        <f t="shared" si="47"/>
        <v>0</v>
      </c>
      <c r="S151" s="21">
        <v>229805.7333580892</v>
      </c>
      <c r="T151" s="21">
        <f t="shared" si="52"/>
        <v>0</v>
      </c>
      <c r="U151" s="21">
        <f t="shared" si="53"/>
        <v>36768.917337294268</v>
      </c>
      <c r="V151" s="21">
        <f t="shared" si="59"/>
        <v>266574.65069538349</v>
      </c>
      <c r="W151" s="21"/>
      <c r="X151" s="5"/>
      <c r="Y151" s="5"/>
      <c r="Z151" s="5">
        <f t="shared" si="60"/>
        <v>0</v>
      </c>
      <c r="AA151" s="5">
        <v>1806986.96</v>
      </c>
      <c r="AB151" s="5" t="s">
        <v>258</v>
      </c>
      <c r="AC151" s="5">
        <f t="shared" si="61"/>
        <v>229805.7333580892</v>
      </c>
      <c r="AD151" s="5">
        <f t="shared" si="62"/>
        <v>266574.65069538349</v>
      </c>
      <c r="AE151" s="5">
        <f t="shared" si="63"/>
        <v>9.3046164838597178E-3</v>
      </c>
      <c r="AF151" s="5">
        <f t="shared" si="64"/>
        <v>0</v>
      </c>
      <c r="AG151" s="5" t="s">
        <v>238</v>
      </c>
      <c r="AH151" s="5">
        <v>4</v>
      </c>
      <c r="AI151" s="5">
        <v>0</v>
      </c>
      <c r="AJ151" s="5">
        <v>0</v>
      </c>
      <c r="AK151" s="5" t="s">
        <v>256</v>
      </c>
      <c r="AL151" s="4" t="s">
        <v>90</v>
      </c>
      <c r="AM151" s="4" t="s">
        <v>91</v>
      </c>
      <c r="AN151" s="21"/>
      <c r="AO151" s="4"/>
      <c r="AP151" s="58"/>
      <c r="AQ151" s="58"/>
      <c r="AR151" s="23"/>
      <c r="AS151" s="23"/>
      <c r="AT151" s="4"/>
      <c r="AU151" s="4"/>
      <c r="AV151" s="4"/>
      <c r="AW151" s="4"/>
      <c r="AX151" s="9"/>
      <c r="AY151" s="9"/>
      <c r="AZ151" s="4"/>
      <c r="BB151" t="e">
        <f>VLOOKUP(B151,contactos!$A$1:$D$484,4,FALSE)</f>
        <v>#N/A</v>
      </c>
    </row>
    <row r="152" spans="2:54" customFormat="1" x14ac:dyDescent="0.25">
      <c r="B152" s="100">
        <v>332296</v>
      </c>
      <c r="C152" s="4" t="s">
        <v>397</v>
      </c>
      <c r="D152" s="5">
        <v>228117.72000000006</v>
      </c>
      <c r="E152" s="5">
        <v>0</v>
      </c>
      <c r="F152" s="5">
        <v>36498.826399999998</v>
      </c>
      <c r="G152" s="5">
        <v>264616.51</v>
      </c>
      <c r="H152" s="5">
        <v>264616.53999999998</v>
      </c>
      <c r="I152" s="5">
        <f t="shared" si="55"/>
        <v>228117.72000000006</v>
      </c>
      <c r="J152" s="5"/>
      <c r="K152" s="5">
        <f t="shared" si="56"/>
        <v>228117.72000000006</v>
      </c>
      <c r="L152" s="5">
        <f t="shared" si="57"/>
        <v>264616.54640000005</v>
      </c>
      <c r="M152" s="5"/>
      <c r="N152" s="5">
        <f t="shared" si="58"/>
        <v>264616.54640000005</v>
      </c>
      <c r="O152" s="21"/>
      <c r="P152" s="21"/>
      <c r="Q152" s="21"/>
      <c r="R152" s="21">
        <f t="shared" si="47"/>
        <v>0</v>
      </c>
      <c r="S152" s="21">
        <v>228117.72000000006</v>
      </c>
      <c r="T152" s="21">
        <f t="shared" si="52"/>
        <v>0</v>
      </c>
      <c r="U152" s="21">
        <f t="shared" si="53"/>
        <v>36498.826399999998</v>
      </c>
      <c r="V152" s="21">
        <f t="shared" si="59"/>
        <v>264616.54640000005</v>
      </c>
      <c r="W152" s="21"/>
      <c r="X152" s="5"/>
      <c r="Y152" s="5"/>
      <c r="Z152" s="5">
        <f t="shared" si="60"/>
        <v>0</v>
      </c>
      <c r="AA152" s="5">
        <v>369000.68</v>
      </c>
      <c r="AB152" s="5" t="s">
        <v>258</v>
      </c>
      <c r="AC152" s="5">
        <f t="shared" si="61"/>
        <v>228117.72000000006</v>
      </c>
      <c r="AD152" s="5">
        <f t="shared" si="62"/>
        <v>264616.54640000005</v>
      </c>
      <c r="AE152" s="5">
        <f t="shared" si="63"/>
        <v>-3.6400000040885061E-2</v>
      </c>
      <c r="AF152" s="5">
        <f t="shared" si="64"/>
        <v>0</v>
      </c>
      <c r="AG152" s="5" t="s">
        <v>73</v>
      </c>
      <c r="AH152" s="5">
        <v>4</v>
      </c>
      <c r="AI152" s="5">
        <v>0</v>
      </c>
      <c r="AJ152" s="5">
        <v>0</v>
      </c>
      <c r="AK152" s="5" t="s">
        <v>256</v>
      </c>
      <c r="AL152" s="4" t="s">
        <v>90</v>
      </c>
      <c r="AM152" s="4" t="s">
        <v>162</v>
      </c>
      <c r="AN152" s="21"/>
      <c r="AO152" s="4"/>
      <c r="AP152" s="58"/>
      <c r="AQ152" s="58"/>
      <c r="AR152" s="23"/>
      <c r="AS152" s="23"/>
      <c r="AT152" s="4"/>
      <c r="AU152" s="4"/>
      <c r="AV152" s="4"/>
      <c r="AW152" s="4"/>
      <c r="AX152" s="9"/>
      <c r="AY152" s="9"/>
      <c r="AZ152" s="4"/>
      <c r="BB152" t="e">
        <f>VLOOKUP(B152,contactos!$A$1:$D$484,4,FALSE)</f>
        <v>#N/A</v>
      </c>
    </row>
    <row r="153" spans="2:54" customFormat="1" x14ac:dyDescent="0.25">
      <c r="B153" s="100">
        <v>328658</v>
      </c>
      <c r="C153" s="4" t="s">
        <v>398</v>
      </c>
      <c r="D153" s="5">
        <v>225683.12</v>
      </c>
      <c r="E153" s="5">
        <v>0</v>
      </c>
      <c r="F153" s="5">
        <v>36036.350900000005</v>
      </c>
      <c r="G153" s="5">
        <v>261719.64999999997</v>
      </c>
      <c r="H153" s="5">
        <v>0</v>
      </c>
      <c r="I153" s="5">
        <f t="shared" si="55"/>
        <v>225683.12</v>
      </c>
      <c r="J153" s="5"/>
      <c r="K153" s="5">
        <f t="shared" si="56"/>
        <v>225683.12</v>
      </c>
      <c r="L153" s="5">
        <f t="shared" si="57"/>
        <v>261719.47090000001</v>
      </c>
      <c r="M153" s="5"/>
      <c r="N153" s="5">
        <f t="shared" si="58"/>
        <v>261719.47090000001</v>
      </c>
      <c r="O153" s="21"/>
      <c r="P153" s="21"/>
      <c r="Q153" s="21"/>
      <c r="R153" s="21">
        <f t="shared" si="47"/>
        <v>0</v>
      </c>
      <c r="S153" s="21">
        <v>225683.12</v>
      </c>
      <c r="T153" s="21">
        <f t="shared" si="52"/>
        <v>0</v>
      </c>
      <c r="U153" s="21">
        <f t="shared" si="53"/>
        <v>36036.350900000005</v>
      </c>
      <c r="V153" s="21">
        <f t="shared" si="59"/>
        <v>261719.47090000001</v>
      </c>
      <c r="W153" s="21"/>
      <c r="X153" s="5"/>
      <c r="Y153" s="5"/>
      <c r="Z153" s="5">
        <f t="shared" si="60"/>
        <v>0</v>
      </c>
      <c r="AA153" s="5">
        <v>1107485.4099999999</v>
      </c>
      <c r="AB153" s="5" t="s">
        <v>258</v>
      </c>
      <c r="AC153" s="5">
        <f t="shared" si="61"/>
        <v>225683.12</v>
      </c>
      <c r="AD153" s="5">
        <f t="shared" si="62"/>
        <v>261719.47090000001</v>
      </c>
      <c r="AE153" s="5">
        <f t="shared" si="63"/>
        <v>0.17909999995026737</v>
      </c>
      <c r="AF153" s="5">
        <f t="shared" si="64"/>
        <v>0</v>
      </c>
      <c r="AG153" s="5" t="s">
        <v>73</v>
      </c>
      <c r="AH153" s="5">
        <v>4</v>
      </c>
      <c r="AI153" s="5">
        <v>0</v>
      </c>
      <c r="AJ153" s="5">
        <v>0</v>
      </c>
      <c r="AK153" s="5" t="s">
        <v>256</v>
      </c>
      <c r="AL153" s="4" t="s">
        <v>90</v>
      </c>
      <c r="AM153" s="4" t="s">
        <v>162</v>
      </c>
      <c r="AN153" s="21"/>
      <c r="AO153" s="4"/>
      <c r="AP153" s="58"/>
      <c r="AQ153" s="58"/>
      <c r="AR153" s="23"/>
      <c r="AS153" s="23"/>
      <c r="AT153" s="4"/>
      <c r="AU153" s="4"/>
      <c r="AV153" s="4"/>
      <c r="AW153" s="4"/>
      <c r="AX153" s="9"/>
      <c r="AY153" s="9"/>
      <c r="AZ153" s="4"/>
      <c r="BB153" t="e">
        <f>VLOOKUP(B153,contactos!$A$1:$D$484,4,FALSE)</f>
        <v>#N/A</v>
      </c>
    </row>
    <row r="154" spans="2:54" customFormat="1" x14ac:dyDescent="0.25">
      <c r="B154" s="131">
        <v>325670</v>
      </c>
      <c r="C154" s="4" t="s">
        <v>399</v>
      </c>
      <c r="D154" s="5">
        <v>227169.03894894346</v>
      </c>
      <c r="E154" s="5">
        <v>0</v>
      </c>
      <c r="F154" s="5">
        <v>33232.574619604238</v>
      </c>
      <c r="G154" s="5">
        <v>260401.57000000007</v>
      </c>
      <c r="H154" s="5">
        <v>260401.57</v>
      </c>
      <c r="I154" s="5">
        <f t="shared" si="55"/>
        <v>227169.03894894346</v>
      </c>
      <c r="J154" s="5"/>
      <c r="K154" s="5">
        <f t="shared" si="56"/>
        <v>227169.03894894346</v>
      </c>
      <c r="L154" s="5">
        <f t="shared" si="57"/>
        <v>260401.61356854771</v>
      </c>
      <c r="M154" s="5"/>
      <c r="N154" s="5">
        <f t="shared" si="58"/>
        <v>260401.61356854771</v>
      </c>
      <c r="O154" s="21"/>
      <c r="P154" s="21"/>
      <c r="Q154" s="21"/>
      <c r="R154" s="21">
        <f t="shared" ref="R154:R217" si="65">SUM(O154:Q154)</f>
        <v>0</v>
      </c>
      <c r="S154" s="21">
        <v>227169.03894894346</v>
      </c>
      <c r="T154" s="21">
        <f t="shared" si="52"/>
        <v>0</v>
      </c>
      <c r="U154" s="21">
        <f t="shared" si="53"/>
        <v>33232.574619604238</v>
      </c>
      <c r="V154" s="21">
        <f t="shared" si="59"/>
        <v>260401.61356854771</v>
      </c>
      <c r="W154" s="21"/>
      <c r="X154" s="5"/>
      <c r="Y154" s="5"/>
      <c r="Z154" s="5">
        <f t="shared" si="60"/>
        <v>0</v>
      </c>
      <c r="AA154" s="5"/>
      <c r="AB154" s="5" t="s">
        <v>258</v>
      </c>
      <c r="AC154" s="5">
        <f t="shared" si="61"/>
        <v>227169.03894894346</v>
      </c>
      <c r="AD154" s="5">
        <f t="shared" si="62"/>
        <v>260401.61356854771</v>
      </c>
      <c r="AE154" s="5">
        <f t="shared" si="63"/>
        <v>-4.3568547640461475E-2</v>
      </c>
      <c r="AF154" s="5">
        <f t="shared" si="64"/>
        <v>0</v>
      </c>
      <c r="AG154" s="5" t="s">
        <v>238</v>
      </c>
      <c r="AH154" s="5">
        <v>4</v>
      </c>
      <c r="AI154" s="5">
        <v>0</v>
      </c>
      <c r="AJ154" s="5">
        <v>0</v>
      </c>
      <c r="AK154" s="5" t="s">
        <v>256</v>
      </c>
      <c r="AL154" s="4" t="s">
        <v>90</v>
      </c>
      <c r="AM154" s="6" t="s">
        <v>103</v>
      </c>
      <c r="AN154" s="21"/>
      <c r="AO154" s="4"/>
      <c r="AP154" s="58"/>
      <c r="AQ154" s="58"/>
      <c r="AR154" s="23"/>
      <c r="AS154" s="23"/>
      <c r="AT154" s="4"/>
      <c r="AU154" s="4"/>
      <c r="AV154" s="52"/>
      <c r="AW154" s="52"/>
      <c r="AX154" s="9"/>
      <c r="AY154" s="9"/>
      <c r="AZ154" s="4"/>
      <c r="BB154" t="str">
        <f>VLOOKUP(B154,contactos!$A$1:$D$484,4,FALSE)</f>
        <v>alejandro.jactthar@kdrp.com</v>
      </c>
    </row>
    <row r="155" spans="2:54" customFormat="1" x14ac:dyDescent="0.25">
      <c r="B155" s="100">
        <v>26393</v>
      </c>
      <c r="C155" s="4" t="s">
        <v>400</v>
      </c>
      <c r="D155" s="5">
        <v>223893.68</v>
      </c>
      <c r="E155" s="5">
        <v>0</v>
      </c>
      <c r="F155" s="5">
        <v>35822.988799999999</v>
      </c>
      <c r="G155" s="5">
        <v>259716.65999999997</v>
      </c>
      <c r="H155" s="5">
        <v>259716.66</v>
      </c>
      <c r="I155" s="5">
        <f t="shared" si="55"/>
        <v>223893.68</v>
      </c>
      <c r="J155" s="5"/>
      <c r="K155" s="5">
        <f t="shared" si="56"/>
        <v>223893.68</v>
      </c>
      <c r="L155" s="5">
        <f t="shared" si="57"/>
        <v>259716.66879999998</v>
      </c>
      <c r="M155" s="5"/>
      <c r="N155" s="5">
        <f t="shared" si="58"/>
        <v>259716.66879999998</v>
      </c>
      <c r="O155" s="21">
        <v>223893.68</v>
      </c>
      <c r="P155" s="21"/>
      <c r="Q155" s="5">
        <v>35822.988799999999</v>
      </c>
      <c r="R155" s="21">
        <f t="shared" si="65"/>
        <v>259716.66879999998</v>
      </c>
      <c r="S155" s="21"/>
      <c r="T155" s="21">
        <f t="shared" si="52"/>
        <v>0</v>
      </c>
      <c r="U155" s="21">
        <f>F155-Q155-Y155</f>
        <v>0</v>
      </c>
      <c r="V155" s="21">
        <f t="shared" si="59"/>
        <v>0</v>
      </c>
      <c r="W155" s="21"/>
      <c r="X155" s="5"/>
      <c r="Y155" s="5"/>
      <c r="Z155" s="5">
        <f t="shared" si="60"/>
        <v>0</v>
      </c>
      <c r="AA155" s="5">
        <v>187691.15</v>
      </c>
      <c r="AB155" s="5" t="s">
        <v>258</v>
      </c>
      <c r="AC155" s="5">
        <f t="shared" si="61"/>
        <v>223893.68</v>
      </c>
      <c r="AD155" s="5">
        <f t="shared" si="62"/>
        <v>259716.66879999998</v>
      </c>
      <c r="AE155" s="5">
        <f t="shared" si="63"/>
        <v>-8.8000000105239451E-3</v>
      </c>
      <c r="AF155" s="5" t="s">
        <v>401</v>
      </c>
      <c r="AG155" s="5" t="s">
        <v>238</v>
      </c>
      <c r="AH155" s="5">
        <v>4</v>
      </c>
      <c r="AI155" s="5">
        <v>0</v>
      </c>
      <c r="AJ155" s="5" t="s">
        <v>285</v>
      </c>
      <c r="AK155" s="5" t="s">
        <v>59</v>
      </c>
      <c r="AL155" s="4" t="s">
        <v>82</v>
      </c>
      <c r="AM155" s="4" t="s">
        <v>148</v>
      </c>
      <c r="AN155" s="21">
        <v>259716.65999999997</v>
      </c>
      <c r="AO155" s="4" t="s">
        <v>68</v>
      </c>
      <c r="AP155" s="58">
        <v>1</v>
      </c>
      <c r="AQ155" s="58"/>
      <c r="AR155" s="23">
        <v>46042</v>
      </c>
      <c r="AS155" s="23">
        <v>46042</v>
      </c>
      <c r="AT155" s="4"/>
      <c r="AU155" s="4"/>
      <c r="AV155" s="49" t="s">
        <v>402</v>
      </c>
      <c r="AW155" s="4" t="s">
        <v>85</v>
      </c>
      <c r="AX155" s="9" t="s">
        <v>71</v>
      </c>
      <c r="AY155" s="9"/>
      <c r="AZ155" s="4"/>
      <c r="BA155" t="s">
        <v>403</v>
      </c>
      <c r="BB155" t="e">
        <f>VLOOKUP(B155,contactos!$A$1:$D$484,4,FALSE)</f>
        <v>#N/A</v>
      </c>
    </row>
    <row r="156" spans="2:54" customFormat="1" x14ac:dyDescent="0.25">
      <c r="B156" s="100">
        <v>221226</v>
      </c>
      <c r="C156" s="4" t="s">
        <v>404</v>
      </c>
      <c r="D156" s="5">
        <v>258217.35592169201</v>
      </c>
      <c r="E156" s="5">
        <v>0</v>
      </c>
      <c r="F156" s="5">
        <v>0</v>
      </c>
      <c r="G156" s="5">
        <v>258217.37000000002</v>
      </c>
      <c r="H156" s="5">
        <v>258217.34</v>
      </c>
      <c r="I156" s="5">
        <f t="shared" si="55"/>
        <v>258217.35592169201</v>
      </c>
      <c r="J156" s="5"/>
      <c r="K156" s="5">
        <f t="shared" si="56"/>
        <v>258217.35592169201</v>
      </c>
      <c r="L156" s="5">
        <f t="shared" si="57"/>
        <v>258217.35592169201</v>
      </c>
      <c r="M156" s="5"/>
      <c r="N156" s="5">
        <f t="shared" si="58"/>
        <v>258217.35592169201</v>
      </c>
      <c r="O156" s="21"/>
      <c r="P156" s="21"/>
      <c r="Q156" s="21"/>
      <c r="R156" s="21">
        <f t="shared" si="65"/>
        <v>0</v>
      </c>
      <c r="S156" s="21">
        <v>258217.35592169201</v>
      </c>
      <c r="T156" s="21">
        <f t="shared" si="52"/>
        <v>0</v>
      </c>
      <c r="U156" s="21">
        <f>F156-Y156</f>
        <v>0</v>
      </c>
      <c r="V156" s="21">
        <f t="shared" si="59"/>
        <v>258217.35592169201</v>
      </c>
      <c r="W156" s="21"/>
      <c r="X156" s="5"/>
      <c r="Y156" s="5"/>
      <c r="Z156" s="5">
        <f t="shared" si="60"/>
        <v>0</v>
      </c>
      <c r="AA156" s="5">
        <v>374067.54</v>
      </c>
      <c r="AB156" s="5" t="s">
        <v>258</v>
      </c>
      <c r="AC156" s="5">
        <f t="shared" si="61"/>
        <v>258217.35592169201</v>
      </c>
      <c r="AD156" s="5">
        <f t="shared" si="62"/>
        <v>258217.35592169201</v>
      </c>
      <c r="AE156" s="5">
        <f t="shared" si="63"/>
        <v>1.4078308013267815E-2</v>
      </c>
      <c r="AF156" s="5"/>
      <c r="AG156" s="5" t="s">
        <v>73</v>
      </c>
      <c r="AH156" s="5">
        <v>4</v>
      </c>
      <c r="AI156" s="5">
        <v>0</v>
      </c>
      <c r="AJ156" s="120" t="s">
        <v>259</v>
      </c>
      <c r="AK156" s="5" t="s">
        <v>256</v>
      </c>
      <c r="AL156" s="4" t="s">
        <v>90</v>
      </c>
      <c r="AM156" s="4" t="s">
        <v>216</v>
      </c>
      <c r="AN156" s="21"/>
      <c r="AO156" s="4"/>
      <c r="AP156" s="58"/>
      <c r="AQ156" s="58"/>
      <c r="AR156" s="23"/>
      <c r="AS156" s="23"/>
      <c r="AT156" s="4"/>
      <c r="AU156" s="4"/>
      <c r="AV156" s="4"/>
      <c r="AW156" s="4"/>
      <c r="AX156" s="9"/>
      <c r="AY156" s="9"/>
      <c r="AZ156" s="4"/>
      <c r="BB156" t="str">
        <f>VLOOKUP(B156,contactos!$A$1:$D$484,4,FALSE)</f>
        <v>iceron@salsascastillo.com</v>
      </c>
    </row>
    <row r="157" spans="2:54" customFormat="1" x14ac:dyDescent="0.25">
      <c r="B157" s="100">
        <v>8613</v>
      </c>
      <c r="C157" s="4" t="s">
        <v>405</v>
      </c>
      <c r="D157" s="5">
        <v>222084.41116088399</v>
      </c>
      <c r="E157" s="5">
        <v>0</v>
      </c>
      <c r="F157" s="5">
        <v>35533.509978261442</v>
      </c>
      <c r="G157" s="5">
        <v>257617.91479999997</v>
      </c>
      <c r="H157" s="5">
        <v>211173.92</v>
      </c>
      <c r="I157" s="5">
        <f t="shared" si="55"/>
        <v>182046.48</v>
      </c>
      <c r="J157" s="5"/>
      <c r="K157" s="5">
        <f t="shared" si="56"/>
        <v>182046.48</v>
      </c>
      <c r="L157" s="5">
        <f t="shared" si="57"/>
        <v>211173.92</v>
      </c>
      <c r="M157" s="5"/>
      <c r="N157" s="5">
        <f t="shared" si="58"/>
        <v>211173.92</v>
      </c>
      <c r="O157" s="21">
        <v>182046.48</v>
      </c>
      <c r="P157" s="21"/>
      <c r="Q157" s="21">
        <v>29127.439999999999</v>
      </c>
      <c r="R157" s="21">
        <f t="shared" si="65"/>
        <v>211173.92</v>
      </c>
      <c r="S157" s="21"/>
      <c r="T157" s="21"/>
      <c r="U157" s="21"/>
      <c r="V157" s="21">
        <f t="shared" si="59"/>
        <v>0</v>
      </c>
      <c r="W157" s="21">
        <v>40037.93</v>
      </c>
      <c r="X157" s="5"/>
      <c r="Y157" s="5">
        <v>6406.07</v>
      </c>
      <c r="Z157" s="5">
        <f t="shared" si="60"/>
        <v>46444</v>
      </c>
      <c r="AA157" s="5">
        <v>126063.7</v>
      </c>
      <c r="AB157" s="5" t="s">
        <v>258</v>
      </c>
      <c r="AC157" s="5">
        <f t="shared" si="61"/>
        <v>222084.41</v>
      </c>
      <c r="AD157" s="5">
        <f t="shared" si="62"/>
        <v>257617.92000000001</v>
      </c>
      <c r="AE157" s="5">
        <f t="shared" si="63"/>
        <v>-5.2000000432599336E-3</v>
      </c>
      <c r="AF157" s="5"/>
      <c r="AG157" s="5" t="s">
        <v>81</v>
      </c>
      <c r="AH157" s="5">
        <v>4</v>
      </c>
      <c r="AI157" s="5">
        <v>0</v>
      </c>
      <c r="AJ157" s="5">
        <v>0</v>
      </c>
      <c r="AK157" s="5" t="s">
        <v>59</v>
      </c>
      <c r="AL157" s="4" t="s">
        <v>82</v>
      </c>
      <c r="AM157" s="4" t="s">
        <v>61</v>
      </c>
      <c r="AN157" s="44">
        <v>159642.25</v>
      </c>
      <c r="AO157" s="4"/>
      <c r="AP157" s="58">
        <v>2</v>
      </c>
      <c r="AQ157" s="58"/>
      <c r="AR157" s="23">
        <v>46049</v>
      </c>
      <c r="AS157" s="23">
        <v>46049</v>
      </c>
      <c r="AT157" s="4"/>
      <c r="AU157" s="4"/>
      <c r="AV157" s="4" t="s">
        <v>406</v>
      </c>
      <c r="AW157" s="4"/>
      <c r="AX157" s="9" t="s">
        <v>71</v>
      </c>
      <c r="AY157" s="9"/>
      <c r="AZ157" s="4"/>
      <c r="BB157" t="e">
        <f>VLOOKUP(B157,contactos!$A$1:$D$484,4,FALSE)</f>
        <v>#N/A</v>
      </c>
    </row>
    <row r="158" spans="2:54" customFormat="1" x14ac:dyDescent="0.25">
      <c r="B158" s="100">
        <v>16636</v>
      </c>
      <c r="C158" s="4" t="s">
        <v>407</v>
      </c>
      <c r="D158" s="5">
        <v>257030.58445999998</v>
      </c>
      <c r="E158" s="5">
        <v>136.11599999999999</v>
      </c>
      <c r="F158" s="5">
        <v>0</v>
      </c>
      <c r="G158" s="5">
        <v>257166.70449999999</v>
      </c>
      <c r="H158" s="5">
        <v>72571.63</v>
      </c>
      <c r="I158" s="5">
        <f t="shared" si="55"/>
        <v>257030.58445999998</v>
      </c>
      <c r="J158" s="5"/>
      <c r="K158" s="5">
        <f t="shared" si="56"/>
        <v>257030.58445999998</v>
      </c>
      <c r="L158" s="5">
        <f t="shared" si="57"/>
        <v>257166.70045999999</v>
      </c>
      <c r="M158" s="5"/>
      <c r="N158" s="5">
        <f t="shared" si="58"/>
        <v>257166.70045999999</v>
      </c>
      <c r="O158" s="21"/>
      <c r="P158" s="21"/>
      <c r="Q158" s="21"/>
      <c r="R158" s="21">
        <f t="shared" si="65"/>
        <v>0</v>
      </c>
      <c r="S158" s="21">
        <v>257030.58445999998</v>
      </c>
      <c r="T158" s="21">
        <f t="shared" ref="T158:T189" si="66">E158-X158</f>
        <v>136.11599999999999</v>
      </c>
      <c r="U158" s="21">
        <f t="shared" ref="U158:U189" si="67">F158-Y158</f>
        <v>0</v>
      </c>
      <c r="V158" s="21">
        <f t="shared" si="59"/>
        <v>257166.70045999999</v>
      </c>
      <c r="W158" s="21"/>
      <c r="X158" s="5"/>
      <c r="Y158" s="5"/>
      <c r="Z158" s="5">
        <f t="shared" si="60"/>
        <v>0</v>
      </c>
      <c r="AA158" s="5">
        <v>2231291.5699999998</v>
      </c>
      <c r="AB158" s="5" t="s">
        <v>258</v>
      </c>
      <c r="AC158" s="5">
        <f t="shared" si="61"/>
        <v>257030.58445999998</v>
      </c>
      <c r="AD158" s="5">
        <f t="shared" si="62"/>
        <v>257166.70045999999</v>
      </c>
      <c r="AE158" s="5">
        <f t="shared" si="63"/>
        <v>4.0399999998044223E-3</v>
      </c>
      <c r="AF158" s="5"/>
      <c r="AG158" s="5" t="s">
        <v>73</v>
      </c>
      <c r="AH158" s="5">
        <v>4</v>
      </c>
      <c r="AI158" s="5">
        <v>0</v>
      </c>
      <c r="AJ158" s="5" t="s">
        <v>333</v>
      </c>
      <c r="AK158" s="5" t="s">
        <v>256</v>
      </c>
      <c r="AL158" s="4" t="s">
        <v>90</v>
      </c>
      <c r="AM158" s="4" t="s">
        <v>76</v>
      </c>
      <c r="AN158" s="21"/>
      <c r="AO158" s="4"/>
      <c r="AP158" s="58"/>
      <c r="AQ158" s="58"/>
      <c r="AR158" s="23"/>
      <c r="AS158" s="23"/>
      <c r="AT158" s="4"/>
      <c r="AU158" s="4"/>
      <c r="AV158" s="4"/>
      <c r="AW158" s="4"/>
      <c r="AX158" s="9"/>
      <c r="AY158" s="9"/>
      <c r="AZ158" s="4"/>
      <c r="BB158" t="e">
        <f>VLOOKUP(B158,contactos!$A$1:$D$484,4,FALSE)</f>
        <v>#N/A</v>
      </c>
    </row>
    <row r="159" spans="2:54" customFormat="1" x14ac:dyDescent="0.25">
      <c r="B159" s="100">
        <v>318980</v>
      </c>
      <c r="C159" s="4" t="s">
        <v>408</v>
      </c>
      <c r="D159" s="5">
        <v>211547.92000000004</v>
      </c>
      <c r="E159" s="5">
        <v>0</v>
      </c>
      <c r="F159" s="5">
        <v>33847.6132</v>
      </c>
      <c r="G159" s="5">
        <v>245395.50000000003</v>
      </c>
      <c r="H159" s="5">
        <v>245395.53</v>
      </c>
      <c r="I159" s="5">
        <f t="shared" si="55"/>
        <v>142285.02000000005</v>
      </c>
      <c r="J159" s="5">
        <v>0</v>
      </c>
      <c r="K159" s="5">
        <f t="shared" si="56"/>
        <v>142285.02000000005</v>
      </c>
      <c r="L159" s="5">
        <f t="shared" si="57"/>
        <v>165050.57320000004</v>
      </c>
      <c r="M159" s="5">
        <v>0</v>
      </c>
      <c r="N159" s="5">
        <f t="shared" si="58"/>
        <v>165050.57320000004</v>
      </c>
      <c r="O159" s="21"/>
      <c r="P159" s="21"/>
      <c r="Q159" s="21"/>
      <c r="R159" s="21">
        <f t="shared" si="65"/>
        <v>0</v>
      </c>
      <c r="S159" s="21">
        <f>D159-W159</f>
        <v>142285.02000000005</v>
      </c>
      <c r="T159" s="21">
        <f>E159-X159</f>
        <v>0</v>
      </c>
      <c r="U159" s="21">
        <f>F159-Y159</f>
        <v>22765.553200000002</v>
      </c>
      <c r="V159" s="21">
        <f t="shared" si="59"/>
        <v>165050.57320000004</v>
      </c>
      <c r="W159" s="21">
        <v>69262.899999999994</v>
      </c>
      <c r="X159" s="5">
        <v>0</v>
      </c>
      <c r="Y159" s="5">
        <v>11082.06</v>
      </c>
      <c r="Z159" s="5">
        <f t="shared" si="60"/>
        <v>80344.959999999992</v>
      </c>
      <c r="AA159" s="5">
        <v>60839.06</v>
      </c>
      <c r="AB159" s="5" t="s">
        <v>258</v>
      </c>
      <c r="AC159" s="5">
        <f t="shared" si="61"/>
        <v>211547.92000000004</v>
      </c>
      <c r="AD159" s="5">
        <f t="shared" si="62"/>
        <v>245395.53320000003</v>
      </c>
      <c r="AE159" s="5">
        <f t="shared" si="63"/>
        <v>-3.3200000005308539E-2</v>
      </c>
      <c r="AF159" s="5"/>
      <c r="AG159" s="5" t="s">
        <v>73</v>
      </c>
      <c r="AH159" s="5">
        <v>4</v>
      </c>
      <c r="AI159" s="5">
        <v>0</v>
      </c>
      <c r="AJ159" s="5">
        <v>0</v>
      </c>
      <c r="AK159" s="5" t="s">
        <v>256</v>
      </c>
      <c r="AL159" s="4" t="s">
        <v>90</v>
      </c>
      <c r="AM159" s="4" t="s">
        <v>141</v>
      </c>
      <c r="AN159" s="21"/>
      <c r="AO159" s="4"/>
      <c r="AP159" s="58"/>
      <c r="AQ159" s="58"/>
      <c r="AR159" s="23"/>
      <c r="AS159" s="23"/>
      <c r="AT159" s="4"/>
      <c r="AU159" s="4"/>
      <c r="AV159" s="4"/>
      <c r="AW159" s="4"/>
      <c r="AX159" s="9"/>
      <c r="AY159" s="9"/>
      <c r="AZ159" s="4"/>
      <c r="BB159" t="e">
        <f>VLOOKUP(B159,contactos!$A$1:$D$484,4,FALSE)</f>
        <v>#N/A</v>
      </c>
    </row>
    <row r="160" spans="2:54" customFormat="1" x14ac:dyDescent="0.25">
      <c r="B160" s="100">
        <v>398289</v>
      </c>
      <c r="C160" s="4" t="s">
        <v>409</v>
      </c>
      <c r="D160" s="5">
        <v>209333.7562529</v>
      </c>
      <c r="E160" s="5">
        <v>0</v>
      </c>
      <c r="F160" s="5">
        <v>33493.401100000003</v>
      </c>
      <c r="G160" s="5">
        <v>242827.15959999998</v>
      </c>
      <c r="H160" s="5">
        <v>242827.15</v>
      </c>
      <c r="I160" s="5">
        <f t="shared" si="55"/>
        <v>209333.7562529</v>
      </c>
      <c r="J160" s="5"/>
      <c r="K160" s="5">
        <f t="shared" si="56"/>
        <v>209333.7562529</v>
      </c>
      <c r="L160" s="5">
        <f t="shared" si="57"/>
        <v>242827.15735290002</v>
      </c>
      <c r="M160" s="5"/>
      <c r="N160" s="5">
        <f t="shared" si="58"/>
        <v>242827.15735290002</v>
      </c>
      <c r="O160" s="21"/>
      <c r="P160" s="21"/>
      <c r="Q160" s="21"/>
      <c r="R160" s="21">
        <f t="shared" si="65"/>
        <v>0</v>
      </c>
      <c r="S160" s="21">
        <v>209333.7562529</v>
      </c>
      <c r="T160" s="21">
        <f t="shared" si="66"/>
        <v>0</v>
      </c>
      <c r="U160" s="21">
        <f t="shared" si="67"/>
        <v>33493.401100000003</v>
      </c>
      <c r="V160" s="21">
        <f t="shared" si="59"/>
        <v>242827.15735290002</v>
      </c>
      <c r="W160" s="21"/>
      <c r="X160" s="5"/>
      <c r="Y160" s="5"/>
      <c r="Z160" s="5">
        <f t="shared" si="60"/>
        <v>0</v>
      </c>
      <c r="AA160" s="5">
        <v>341891.62</v>
      </c>
      <c r="AB160" s="5" t="s">
        <v>258</v>
      </c>
      <c r="AC160" s="5">
        <f t="shared" si="61"/>
        <v>209333.7562529</v>
      </c>
      <c r="AD160" s="5">
        <f t="shared" si="62"/>
        <v>242827.15735290002</v>
      </c>
      <c r="AE160" s="5">
        <f t="shared" si="63"/>
        <v>2.2470999683719128E-3</v>
      </c>
      <c r="AF160" s="5"/>
      <c r="AG160" s="5" t="s">
        <v>73</v>
      </c>
      <c r="AH160" s="5">
        <v>4</v>
      </c>
      <c r="AI160" s="5">
        <v>0</v>
      </c>
      <c r="AJ160" s="5">
        <v>0</v>
      </c>
      <c r="AK160" s="5" t="s">
        <v>256</v>
      </c>
      <c r="AL160" s="4" t="s">
        <v>90</v>
      </c>
      <c r="AM160" s="4" t="s">
        <v>112</v>
      </c>
      <c r="AN160" s="21"/>
      <c r="AO160" s="4"/>
      <c r="AP160" s="58"/>
      <c r="AQ160" s="58"/>
      <c r="AR160" s="23"/>
      <c r="AS160" s="23"/>
      <c r="AT160" s="4"/>
      <c r="AU160" s="4"/>
      <c r="AV160" s="4"/>
      <c r="AW160" s="4"/>
      <c r="AX160" s="9"/>
      <c r="AY160" s="9"/>
      <c r="AZ160" s="4"/>
      <c r="BB160" t="e">
        <f>VLOOKUP(B160,contactos!$A$1:$D$484,4,FALSE)</f>
        <v>#N/A</v>
      </c>
    </row>
    <row r="161" spans="2:54" customFormat="1" x14ac:dyDescent="0.25">
      <c r="B161" s="100">
        <v>9943</v>
      </c>
      <c r="C161" s="4" t="s">
        <v>410</v>
      </c>
      <c r="D161" s="5">
        <v>232617.76827155001</v>
      </c>
      <c r="E161" s="5">
        <v>0</v>
      </c>
      <c r="F161" s="5">
        <v>7944.9552000000003</v>
      </c>
      <c r="G161" s="5">
        <v>240562.72820000001</v>
      </c>
      <c r="H161" s="5">
        <v>240562.74</v>
      </c>
      <c r="I161" s="5">
        <f t="shared" si="55"/>
        <v>232617.76827155001</v>
      </c>
      <c r="J161" s="5"/>
      <c r="K161" s="5">
        <f t="shared" si="56"/>
        <v>232617.76827155001</v>
      </c>
      <c r="L161" s="5">
        <f t="shared" si="57"/>
        <v>240562.72347155001</v>
      </c>
      <c r="M161" s="5"/>
      <c r="N161" s="5">
        <f t="shared" si="58"/>
        <v>240562.72347155001</v>
      </c>
      <c r="O161" s="21"/>
      <c r="P161" s="21"/>
      <c r="Q161" s="21"/>
      <c r="R161" s="21">
        <f t="shared" si="65"/>
        <v>0</v>
      </c>
      <c r="S161" s="21">
        <v>232617.76827155001</v>
      </c>
      <c r="T161" s="21">
        <f t="shared" si="66"/>
        <v>0</v>
      </c>
      <c r="U161" s="21">
        <f t="shared" si="67"/>
        <v>7944.9552000000003</v>
      </c>
      <c r="V161" s="21">
        <f t="shared" si="59"/>
        <v>240562.72347155001</v>
      </c>
      <c r="W161" s="21"/>
      <c r="X161" s="5"/>
      <c r="Y161" s="5"/>
      <c r="Z161" s="5">
        <f t="shared" si="60"/>
        <v>0</v>
      </c>
      <c r="AA161" s="5">
        <v>592439.52</v>
      </c>
      <c r="AB161" s="5" t="s">
        <v>258</v>
      </c>
      <c r="AC161" s="5">
        <f t="shared" si="61"/>
        <v>232617.76827155001</v>
      </c>
      <c r="AD161" s="5">
        <f t="shared" si="62"/>
        <v>240562.72347155001</v>
      </c>
      <c r="AE161" s="5">
        <f t="shared" si="63"/>
        <v>4.7284500033129007E-3</v>
      </c>
      <c r="AF161" s="5"/>
      <c r="AG161" s="5" t="s">
        <v>238</v>
      </c>
      <c r="AH161" s="5">
        <v>4</v>
      </c>
      <c r="AI161" s="5">
        <v>0</v>
      </c>
      <c r="AJ161" s="5">
        <v>0</v>
      </c>
      <c r="AK161" s="5" t="s">
        <v>256</v>
      </c>
      <c r="AL161" s="4" t="s">
        <v>90</v>
      </c>
      <c r="AM161" s="4" t="s">
        <v>216</v>
      </c>
      <c r="AN161" s="21"/>
      <c r="AO161" s="4"/>
      <c r="AP161" s="58"/>
      <c r="AQ161" s="58"/>
      <c r="AR161" s="23"/>
      <c r="AS161" s="23"/>
      <c r="AT161" s="4"/>
      <c r="AU161" s="4"/>
      <c r="AV161" s="4"/>
      <c r="AW161" s="4"/>
      <c r="AX161" s="9"/>
      <c r="AY161" s="9"/>
      <c r="AZ161" s="4"/>
      <c r="BB161" t="e">
        <f>VLOOKUP(B161,contactos!$A$1:$D$484,4,FALSE)</f>
        <v>#N/A</v>
      </c>
    </row>
    <row r="162" spans="2:54" customFormat="1" x14ac:dyDescent="0.25">
      <c r="B162" s="100">
        <v>300210</v>
      </c>
      <c r="C162" s="4" t="s">
        <v>411</v>
      </c>
      <c r="D162" s="5">
        <v>203401.21000000002</v>
      </c>
      <c r="E162" s="5">
        <v>0</v>
      </c>
      <c r="F162" s="5">
        <v>32544.193599999999</v>
      </c>
      <c r="G162" s="5">
        <v>235945.4</v>
      </c>
      <c r="H162" s="5">
        <v>0</v>
      </c>
      <c r="I162" s="5">
        <f t="shared" si="55"/>
        <v>203401.21000000002</v>
      </c>
      <c r="J162" s="5"/>
      <c r="K162" s="5">
        <f t="shared" si="56"/>
        <v>203401.21000000002</v>
      </c>
      <c r="L162" s="5">
        <f t="shared" si="57"/>
        <v>235945.40360000002</v>
      </c>
      <c r="M162" s="5"/>
      <c r="N162" s="5">
        <f t="shared" si="58"/>
        <v>235945.40360000002</v>
      </c>
      <c r="O162" s="21"/>
      <c r="P162" s="21"/>
      <c r="Q162" s="21"/>
      <c r="R162" s="21">
        <f t="shared" si="65"/>
        <v>0</v>
      </c>
      <c r="S162" s="21">
        <v>203401.21000000002</v>
      </c>
      <c r="T162" s="21">
        <f t="shared" si="66"/>
        <v>0</v>
      </c>
      <c r="U162" s="21">
        <f t="shared" si="67"/>
        <v>32544.193599999999</v>
      </c>
      <c r="V162" s="21">
        <f t="shared" si="59"/>
        <v>235945.40360000002</v>
      </c>
      <c r="W162" s="21"/>
      <c r="X162" s="5"/>
      <c r="Y162" s="5"/>
      <c r="Z162" s="5">
        <f t="shared" si="60"/>
        <v>0</v>
      </c>
      <c r="AA162" s="5">
        <v>141673.41</v>
      </c>
      <c r="AB162" s="5" t="s">
        <v>258</v>
      </c>
      <c r="AC162" s="5">
        <f t="shared" si="61"/>
        <v>203401.21000000002</v>
      </c>
      <c r="AD162" s="5">
        <f t="shared" si="62"/>
        <v>235945.40360000002</v>
      </c>
      <c r="AE162" s="5">
        <f t="shared" si="63"/>
        <v>-3.6000000254716724E-3</v>
      </c>
      <c r="AF162" s="5"/>
      <c r="AG162" s="5" t="s">
        <v>73</v>
      </c>
      <c r="AH162" s="5">
        <v>4</v>
      </c>
      <c r="AI162" s="5">
        <v>0</v>
      </c>
      <c r="AJ162" s="5" t="s">
        <v>212</v>
      </c>
      <c r="AK162" s="5" t="s">
        <v>256</v>
      </c>
      <c r="AL162" s="4" t="s">
        <v>90</v>
      </c>
      <c r="AM162" s="4" t="s">
        <v>148</v>
      </c>
      <c r="AN162" s="21"/>
      <c r="AO162" s="4"/>
      <c r="AP162" s="58"/>
      <c r="AQ162" s="58"/>
      <c r="AR162" s="23"/>
      <c r="AS162" s="23"/>
      <c r="AT162" s="4"/>
      <c r="AU162" s="4"/>
      <c r="AV162" s="4"/>
      <c r="AW162" s="4"/>
      <c r="AX162" s="9"/>
      <c r="AY162" s="9"/>
      <c r="AZ162" s="4"/>
      <c r="BB162" t="e">
        <f>VLOOKUP(B162,contactos!$A$1:$D$484,4,FALSE)</f>
        <v>#N/A</v>
      </c>
    </row>
    <row r="163" spans="2:54" customFormat="1" x14ac:dyDescent="0.25">
      <c r="B163" s="100">
        <v>319335</v>
      </c>
      <c r="C163" s="4" t="s">
        <v>412</v>
      </c>
      <c r="D163" s="5">
        <v>203208.96999999997</v>
      </c>
      <c r="E163" s="5">
        <v>0</v>
      </c>
      <c r="F163" s="5">
        <v>32513.4352</v>
      </c>
      <c r="G163" s="5">
        <v>235722.38</v>
      </c>
      <c r="H163" s="5">
        <v>235722.38</v>
      </c>
      <c r="I163" s="5">
        <f t="shared" si="55"/>
        <v>203208.96999999997</v>
      </c>
      <c r="J163" s="5"/>
      <c r="K163" s="5">
        <f t="shared" si="56"/>
        <v>203208.96999999997</v>
      </c>
      <c r="L163" s="5">
        <f t="shared" si="57"/>
        <v>235722.40519999998</v>
      </c>
      <c r="M163" s="5"/>
      <c r="N163" s="5">
        <f t="shared" si="58"/>
        <v>235722.40519999998</v>
      </c>
      <c r="O163" s="21"/>
      <c r="P163" s="21"/>
      <c r="Q163" s="21"/>
      <c r="R163" s="21">
        <f t="shared" si="65"/>
        <v>0</v>
      </c>
      <c r="S163" s="21">
        <v>203208.96999999997</v>
      </c>
      <c r="T163" s="21">
        <f t="shared" si="66"/>
        <v>0</v>
      </c>
      <c r="U163" s="21">
        <f t="shared" si="67"/>
        <v>32513.4352</v>
      </c>
      <c r="V163" s="21">
        <f t="shared" si="59"/>
        <v>235722.40519999998</v>
      </c>
      <c r="W163" s="21"/>
      <c r="X163" s="5"/>
      <c r="Y163" s="5"/>
      <c r="Z163" s="5">
        <f t="shared" si="60"/>
        <v>0</v>
      </c>
      <c r="AA163" s="5">
        <v>80982.22</v>
      </c>
      <c r="AB163" s="5" t="s">
        <v>258</v>
      </c>
      <c r="AC163" s="5">
        <f t="shared" si="61"/>
        <v>203208.96999999997</v>
      </c>
      <c r="AD163" s="5">
        <f t="shared" si="62"/>
        <v>235722.40519999998</v>
      </c>
      <c r="AE163" s="5">
        <f t="shared" si="63"/>
        <v>-2.5199999974574894E-2</v>
      </c>
      <c r="AF163" s="5"/>
      <c r="AG163" s="5" t="s">
        <v>238</v>
      </c>
      <c r="AH163" s="5">
        <v>4</v>
      </c>
      <c r="AI163" s="5">
        <v>0</v>
      </c>
      <c r="AJ163" s="5" t="s">
        <v>274</v>
      </c>
      <c r="AK163" s="5" t="s">
        <v>256</v>
      </c>
      <c r="AL163" s="4" t="s">
        <v>90</v>
      </c>
      <c r="AM163" s="4" t="s">
        <v>148</v>
      </c>
      <c r="AN163" s="21"/>
      <c r="AO163" s="4"/>
      <c r="AP163" s="58"/>
      <c r="AQ163" s="58"/>
      <c r="AR163" s="23"/>
      <c r="AS163" s="23"/>
      <c r="AT163" s="4"/>
      <c r="AU163" s="4"/>
      <c r="AV163" s="4"/>
      <c r="AW163" s="4"/>
      <c r="AX163" s="9"/>
      <c r="AY163" s="9"/>
      <c r="AZ163" s="4"/>
      <c r="BB163" t="e">
        <f>VLOOKUP(B163,contactos!$A$1:$D$484,4,FALSE)</f>
        <v>#N/A</v>
      </c>
    </row>
    <row r="164" spans="2:54" customFormat="1" x14ac:dyDescent="0.25">
      <c r="B164" s="100">
        <v>22666</v>
      </c>
      <c r="C164" s="4" t="s">
        <v>413</v>
      </c>
      <c r="D164" s="5">
        <v>202342.80999999997</v>
      </c>
      <c r="E164" s="5">
        <v>0</v>
      </c>
      <c r="F164" s="5">
        <v>32374.849599999994</v>
      </c>
      <c r="G164" s="5">
        <v>234717.6</v>
      </c>
      <c r="H164" s="5">
        <v>234717.65</v>
      </c>
      <c r="I164" s="5">
        <f t="shared" si="55"/>
        <v>202342.80999999997</v>
      </c>
      <c r="J164" s="5"/>
      <c r="K164" s="5">
        <f t="shared" si="56"/>
        <v>202342.80999999997</v>
      </c>
      <c r="L164" s="5">
        <f t="shared" si="57"/>
        <v>234717.65959999996</v>
      </c>
      <c r="M164" s="5"/>
      <c r="N164" s="5">
        <f t="shared" si="58"/>
        <v>234717.65959999996</v>
      </c>
      <c r="O164" s="21"/>
      <c r="P164" s="21"/>
      <c r="Q164" s="21"/>
      <c r="R164" s="21">
        <f t="shared" si="65"/>
        <v>0</v>
      </c>
      <c r="S164" s="21">
        <v>202342.80999999997</v>
      </c>
      <c r="T164" s="21">
        <f t="shared" si="66"/>
        <v>0</v>
      </c>
      <c r="U164" s="21">
        <f t="shared" si="67"/>
        <v>32374.849599999994</v>
      </c>
      <c r="V164" s="21">
        <f t="shared" si="59"/>
        <v>234717.65959999996</v>
      </c>
      <c r="W164" s="21"/>
      <c r="X164" s="5"/>
      <c r="Y164" s="5"/>
      <c r="Z164" s="5">
        <f t="shared" si="60"/>
        <v>0</v>
      </c>
      <c r="AA164" s="5">
        <v>469284.18</v>
      </c>
      <c r="AB164" s="5" t="s">
        <v>258</v>
      </c>
      <c r="AC164" s="5">
        <f t="shared" si="61"/>
        <v>202342.80999999997</v>
      </c>
      <c r="AD164" s="5">
        <f t="shared" si="62"/>
        <v>234717.65959999996</v>
      </c>
      <c r="AE164" s="5">
        <f t="shared" si="63"/>
        <v>-5.9599999949568883E-2</v>
      </c>
      <c r="AF164" s="5"/>
      <c r="AG164" s="5" t="s">
        <v>73</v>
      </c>
      <c r="AH164" s="5">
        <v>4</v>
      </c>
      <c r="AI164" s="5">
        <v>1</v>
      </c>
      <c r="AJ164" s="120" t="s">
        <v>414</v>
      </c>
      <c r="AK164" s="5" t="s">
        <v>59</v>
      </c>
      <c r="AL164" s="4" t="s">
        <v>75</v>
      </c>
      <c r="AM164" s="6" t="s">
        <v>216</v>
      </c>
      <c r="AN164" s="21">
        <v>234717.6</v>
      </c>
      <c r="AO164" s="4" t="s">
        <v>379</v>
      </c>
      <c r="AP164" s="58">
        <v>8</v>
      </c>
      <c r="AQ164" s="58"/>
      <c r="AR164" s="23">
        <v>46062</v>
      </c>
      <c r="AS164" s="23"/>
      <c r="AT164" s="4"/>
      <c r="AU164" s="4"/>
      <c r="AV164" s="4"/>
      <c r="AW164" s="4"/>
      <c r="AX164" s="9"/>
      <c r="AY164" s="9"/>
      <c r="AZ164" s="4"/>
      <c r="BB164" t="e">
        <f>VLOOKUP(B164,contactos!$A$1:$D$484,4,FALSE)</f>
        <v>#N/A</v>
      </c>
    </row>
    <row r="165" spans="2:54" customFormat="1" x14ac:dyDescent="0.25">
      <c r="B165" s="100">
        <v>308651</v>
      </c>
      <c r="C165" s="4" t="s">
        <v>415</v>
      </c>
      <c r="D165" s="5">
        <v>232163.33000000002</v>
      </c>
      <c r="E165" s="5">
        <v>0</v>
      </c>
      <c r="F165" s="5">
        <v>0</v>
      </c>
      <c r="G165" s="5">
        <v>232163.33000000002</v>
      </c>
      <c r="H165" s="5">
        <v>232163.33</v>
      </c>
      <c r="I165" s="5">
        <f t="shared" si="55"/>
        <v>232163.33000000002</v>
      </c>
      <c r="J165" s="5"/>
      <c r="K165" s="5">
        <f t="shared" si="56"/>
        <v>232163.33000000002</v>
      </c>
      <c r="L165" s="5">
        <f t="shared" si="57"/>
        <v>232163.33000000002</v>
      </c>
      <c r="M165" s="5"/>
      <c r="N165" s="5">
        <f t="shared" si="58"/>
        <v>232163.33000000002</v>
      </c>
      <c r="O165" s="21"/>
      <c r="P165" s="21"/>
      <c r="Q165" s="21"/>
      <c r="R165" s="21">
        <f t="shared" si="65"/>
        <v>0</v>
      </c>
      <c r="S165" s="21">
        <v>232163.33000000002</v>
      </c>
      <c r="T165" s="21">
        <f t="shared" si="66"/>
        <v>0</v>
      </c>
      <c r="U165" s="21">
        <f t="shared" si="67"/>
        <v>0</v>
      </c>
      <c r="V165" s="21">
        <f t="shared" si="59"/>
        <v>232163.33000000002</v>
      </c>
      <c r="W165" s="21"/>
      <c r="X165" s="5"/>
      <c r="Y165" s="5"/>
      <c r="Z165" s="5">
        <f t="shared" si="60"/>
        <v>0</v>
      </c>
      <c r="AA165" s="5">
        <v>2269586.7200000002</v>
      </c>
      <c r="AB165" s="5" t="s">
        <v>258</v>
      </c>
      <c r="AC165" s="5">
        <f t="shared" si="61"/>
        <v>232163.33000000002</v>
      </c>
      <c r="AD165" s="5">
        <f t="shared" si="62"/>
        <v>232163.33000000002</v>
      </c>
      <c r="AE165" s="5">
        <f t="shared" si="63"/>
        <v>0</v>
      </c>
      <c r="AF165" s="5"/>
      <c r="AG165" s="5" t="s">
        <v>73</v>
      </c>
      <c r="AH165" s="5">
        <v>4</v>
      </c>
      <c r="AI165" s="5">
        <v>0</v>
      </c>
      <c r="AJ165" s="5">
        <v>0</v>
      </c>
      <c r="AK165" s="5" t="s">
        <v>256</v>
      </c>
      <c r="AL165" s="4" t="s">
        <v>90</v>
      </c>
      <c r="AM165" s="4" t="s">
        <v>141</v>
      </c>
      <c r="AN165" s="21"/>
      <c r="AO165" s="4"/>
      <c r="AP165" s="58"/>
      <c r="AQ165" s="58"/>
      <c r="AR165" s="23"/>
      <c r="AS165" s="23"/>
      <c r="AT165" s="4"/>
      <c r="AU165" s="4"/>
      <c r="AV165" s="4"/>
      <c r="AW165" s="4"/>
      <c r="AX165" s="9"/>
      <c r="AY165" s="9"/>
      <c r="AZ165" s="4"/>
      <c r="BB165" t="e">
        <f>VLOOKUP(B165,contactos!$A$1:$D$484,4,FALSE)</f>
        <v>#N/A</v>
      </c>
    </row>
    <row r="166" spans="2:54" customFormat="1" ht="30" x14ac:dyDescent="0.25">
      <c r="B166" s="100">
        <v>9264</v>
      </c>
      <c r="C166" s="4" t="s">
        <v>416</v>
      </c>
      <c r="D166" s="5">
        <v>182778.68991783797</v>
      </c>
      <c r="E166" s="5">
        <v>17247.516</v>
      </c>
      <c r="F166" s="5">
        <v>32004.192946854084</v>
      </c>
      <c r="G166" s="5">
        <v>232030.4</v>
      </c>
      <c r="H166" s="5">
        <v>232030.4</v>
      </c>
      <c r="I166" s="5">
        <f t="shared" si="55"/>
        <v>182778.68991783797</v>
      </c>
      <c r="J166" s="5"/>
      <c r="K166" s="5">
        <f t="shared" si="56"/>
        <v>182778.68991783797</v>
      </c>
      <c r="L166" s="5">
        <f t="shared" si="57"/>
        <v>232030.39886469205</v>
      </c>
      <c r="M166" s="5"/>
      <c r="N166" s="5">
        <f t="shared" si="58"/>
        <v>232030.39886469205</v>
      </c>
      <c r="O166" s="21"/>
      <c r="P166" s="21"/>
      <c r="Q166" s="21"/>
      <c r="R166" s="21">
        <f t="shared" si="65"/>
        <v>0</v>
      </c>
      <c r="S166" s="21">
        <v>182778.68991783797</v>
      </c>
      <c r="T166" s="21">
        <f t="shared" si="66"/>
        <v>17247.516</v>
      </c>
      <c r="U166" s="21">
        <f t="shared" si="67"/>
        <v>32004.192946854084</v>
      </c>
      <c r="V166" s="21">
        <f t="shared" si="59"/>
        <v>232030.39886469205</v>
      </c>
      <c r="W166" s="21"/>
      <c r="X166" s="5"/>
      <c r="Y166" s="5"/>
      <c r="Z166" s="5">
        <f t="shared" si="60"/>
        <v>0</v>
      </c>
      <c r="AA166" s="5">
        <v>271668.90999999997</v>
      </c>
      <c r="AB166" s="5" t="s">
        <v>258</v>
      </c>
      <c r="AC166" s="5">
        <f t="shared" si="61"/>
        <v>182778.68991783797</v>
      </c>
      <c r="AD166" s="5">
        <f t="shared" si="62"/>
        <v>232030.39886469205</v>
      </c>
      <c r="AE166" s="5">
        <f t="shared" si="63"/>
        <v>1.1353079462423921E-3</v>
      </c>
      <c r="AF166" s="5"/>
      <c r="AG166" s="5" t="s">
        <v>238</v>
      </c>
      <c r="AH166" s="5">
        <v>4</v>
      </c>
      <c r="AI166" s="5">
        <v>0</v>
      </c>
      <c r="AJ166" s="5">
        <v>0</v>
      </c>
      <c r="AK166" s="5" t="s">
        <v>59</v>
      </c>
      <c r="AL166" s="4" t="s">
        <v>75</v>
      </c>
      <c r="AM166" s="6" t="s">
        <v>216</v>
      </c>
      <c r="AN166" s="21">
        <v>232030.4</v>
      </c>
      <c r="AO166" s="4" t="s">
        <v>417</v>
      </c>
      <c r="AP166" s="58"/>
      <c r="AQ166" s="58"/>
      <c r="AR166" s="23">
        <v>46050</v>
      </c>
      <c r="AS166" s="23">
        <v>46050</v>
      </c>
      <c r="AT166" s="4"/>
      <c r="AU166" s="4"/>
      <c r="AV166" s="13" t="s">
        <v>92</v>
      </c>
      <c r="AW166" s="13" t="s">
        <v>70</v>
      </c>
      <c r="AX166" s="9"/>
      <c r="AY166" s="9"/>
      <c r="AZ166" s="4"/>
      <c r="BB166" t="e">
        <f>VLOOKUP(B166,contactos!$A$1:$D$484,4,FALSE)</f>
        <v>#N/A</v>
      </c>
    </row>
    <row r="167" spans="2:54" customFormat="1" x14ac:dyDescent="0.25">
      <c r="B167" s="100">
        <v>13773</v>
      </c>
      <c r="C167" s="4" t="s">
        <v>418</v>
      </c>
      <c r="D167" s="5">
        <v>199289</v>
      </c>
      <c r="E167" s="5">
        <v>0</v>
      </c>
      <c r="F167" s="5">
        <v>31886.239999999998</v>
      </c>
      <c r="G167" s="5">
        <v>231175.24</v>
      </c>
      <c r="H167" s="5">
        <v>10684.99</v>
      </c>
      <c r="I167" s="5">
        <f t="shared" si="55"/>
        <v>199289</v>
      </c>
      <c r="J167" s="5"/>
      <c r="K167" s="5">
        <f t="shared" si="56"/>
        <v>199289</v>
      </c>
      <c r="L167" s="5">
        <f t="shared" si="57"/>
        <v>231175.24</v>
      </c>
      <c r="M167" s="5"/>
      <c r="N167" s="5">
        <f t="shared" si="58"/>
        <v>231175.24</v>
      </c>
      <c r="O167" s="21"/>
      <c r="P167" s="21"/>
      <c r="Q167" s="21"/>
      <c r="R167" s="21">
        <f t="shared" si="65"/>
        <v>0</v>
      </c>
      <c r="S167" s="21">
        <v>199289</v>
      </c>
      <c r="T167" s="21">
        <f t="shared" si="66"/>
        <v>0</v>
      </c>
      <c r="U167" s="21">
        <f t="shared" si="67"/>
        <v>31886.239999999998</v>
      </c>
      <c r="V167" s="21">
        <f t="shared" si="59"/>
        <v>231175.24</v>
      </c>
      <c r="W167" s="21"/>
      <c r="X167" s="5"/>
      <c r="Y167" s="5"/>
      <c r="Z167" s="5">
        <f t="shared" si="60"/>
        <v>0</v>
      </c>
      <c r="AA167" s="5">
        <v>605374.05000000005</v>
      </c>
      <c r="AB167" s="5" t="s">
        <v>258</v>
      </c>
      <c r="AC167" s="5">
        <f t="shared" si="61"/>
        <v>199289</v>
      </c>
      <c r="AD167" s="5">
        <f t="shared" si="62"/>
        <v>231175.24</v>
      </c>
      <c r="AE167" s="5">
        <f t="shared" si="63"/>
        <v>0</v>
      </c>
      <c r="AF167" s="5"/>
      <c r="AG167" s="5" t="s">
        <v>73</v>
      </c>
      <c r="AH167" s="5">
        <v>4</v>
      </c>
      <c r="AI167" s="5">
        <v>0</v>
      </c>
      <c r="AJ167" s="5" t="s">
        <v>419</v>
      </c>
      <c r="AK167" s="5" t="s">
        <v>256</v>
      </c>
      <c r="AL167" s="4" t="s">
        <v>90</v>
      </c>
      <c r="AM167" s="4" t="s">
        <v>91</v>
      </c>
      <c r="AN167" s="21"/>
      <c r="AO167" s="4"/>
      <c r="AP167" s="58"/>
      <c r="AQ167" s="58"/>
      <c r="AR167" s="23"/>
      <c r="AS167" s="23"/>
      <c r="AT167" s="4"/>
      <c r="AU167" s="4"/>
      <c r="AV167" s="4"/>
      <c r="AW167" s="4"/>
      <c r="AX167" s="9"/>
      <c r="AY167" s="9"/>
      <c r="AZ167" s="4"/>
      <c r="BB167" t="str">
        <f>VLOOKUP(B167,contactos!$A$1:$D$484,4,FALSE)</f>
        <v>GALAMILLA@PREMIUMBEERS.COM.MX</v>
      </c>
    </row>
    <row r="168" spans="2:54" customFormat="1" x14ac:dyDescent="0.25">
      <c r="B168" s="100">
        <v>397315</v>
      </c>
      <c r="C168" s="4" t="s">
        <v>420</v>
      </c>
      <c r="D168" s="5">
        <v>228770.40825110502</v>
      </c>
      <c r="E168" s="5">
        <v>0</v>
      </c>
      <c r="F168" s="5">
        <v>2000.6972105977602</v>
      </c>
      <c r="G168" s="5">
        <v>230771.1139</v>
      </c>
      <c r="H168" s="5">
        <v>230771.13</v>
      </c>
      <c r="I168" s="5">
        <f t="shared" si="55"/>
        <v>228770.40825110502</v>
      </c>
      <c r="J168" s="5"/>
      <c r="K168" s="5">
        <f t="shared" si="56"/>
        <v>228770.40825110502</v>
      </c>
      <c r="L168" s="5">
        <f t="shared" si="57"/>
        <v>230771.10546170277</v>
      </c>
      <c r="M168" s="5"/>
      <c r="N168" s="5">
        <f t="shared" si="58"/>
        <v>230771.10546170277</v>
      </c>
      <c r="O168" s="21"/>
      <c r="P168" s="21"/>
      <c r="Q168" s="21"/>
      <c r="R168" s="21">
        <f t="shared" si="65"/>
        <v>0</v>
      </c>
      <c r="S168" s="21">
        <v>228770.40825110502</v>
      </c>
      <c r="T168" s="21">
        <f t="shared" si="66"/>
        <v>0</v>
      </c>
      <c r="U168" s="21">
        <f t="shared" si="67"/>
        <v>2000.6972105977602</v>
      </c>
      <c r="V168" s="21">
        <f t="shared" si="59"/>
        <v>230771.10546170277</v>
      </c>
      <c r="W168" s="21"/>
      <c r="X168" s="5"/>
      <c r="Y168" s="5"/>
      <c r="Z168" s="5">
        <f t="shared" si="60"/>
        <v>0</v>
      </c>
      <c r="AA168" s="5">
        <v>855199.97</v>
      </c>
      <c r="AB168" s="5" t="s">
        <v>258</v>
      </c>
      <c r="AC168" s="5">
        <f t="shared" si="61"/>
        <v>228770.40825110502</v>
      </c>
      <c r="AD168" s="5">
        <f t="shared" si="62"/>
        <v>230771.10546170277</v>
      </c>
      <c r="AE168" s="5">
        <f t="shared" si="63"/>
        <v>8.4382972272578627E-3</v>
      </c>
      <c r="AF168" s="5"/>
      <c r="AG168" s="5" t="s">
        <v>73</v>
      </c>
      <c r="AH168" s="5">
        <v>4</v>
      </c>
      <c r="AI168" s="5">
        <v>0</v>
      </c>
      <c r="AJ168" s="5" t="s">
        <v>212</v>
      </c>
      <c r="AK168" s="5" t="s">
        <v>256</v>
      </c>
      <c r="AL168" s="4" t="s">
        <v>90</v>
      </c>
      <c r="AM168" s="4" t="s">
        <v>94</v>
      </c>
      <c r="AN168" s="21"/>
      <c r="AO168" s="4"/>
      <c r="AP168" s="58"/>
      <c r="AQ168" s="58"/>
      <c r="AR168" s="23"/>
      <c r="AS168" s="23"/>
      <c r="AT168" s="4"/>
      <c r="AU168" s="4"/>
      <c r="AV168" s="4"/>
      <c r="AW168" s="4"/>
      <c r="AX168" s="9"/>
      <c r="AY168" s="9"/>
      <c r="AZ168" s="4"/>
      <c r="BB168" t="str">
        <f>VLOOKUP(B168,contactos!$A$1:$D$484,4,FALSE)</f>
        <v>BORTOLOTTI Horacio &lt;horacio.bortolotti@danone.com</v>
      </c>
    </row>
    <row r="169" spans="2:54" customFormat="1" x14ac:dyDescent="0.25">
      <c r="B169" s="100">
        <v>12560</v>
      </c>
      <c r="C169" s="4" t="s">
        <v>421</v>
      </c>
      <c r="D169" s="5">
        <v>195833.07959226807</v>
      </c>
      <c r="E169" s="5">
        <v>0</v>
      </c>
      <c r="F169" s="5">
        <v>31333.292734762879</v>
      </c>
      <c r="G169" s="5">
        <v>227166.32</v>
      </c>
      <c r="H169" s="5">
        <v>0</v>
      </c>
      <c r="I169" s="5">
        <f t="shared" si="55"/>
        <v>195833.07959226807</v>
      </c>
      <c r="J169" s="5"/>
      <c r="K169" s="5">
        <f t="shared" si="56"/>
        <v>195833.07959226807</v>
      </c>
      <c r="L169" s="5">
        <f t="shared" si="57"/>
        <v>227166.37232703096</v>
      </c>
      <c r="M169" s="5"/>
      <c r="N169" s="5">
        <f t="shared" si="58"/>
        <v>227166.37232703096</v>
      </c>
      <c r="O169" s="21"/>
      <c r="P169" s="21"/>
      <c r="Q169" s="21"/>
      <c r="R169" s="21">
        <f t="shared" si="65"/>
        <v>0</v>
      </c>
      <c r="S169" s="21">
        <v>195833.07959226807</v>
      </c>
      <c r="T169" s="21">
        <f t="shared" si="66"/>
        <v>0</v>
      </c>
      <c r="U169" s="21">
        <f t="shared" si="67"/>
        <v>31333.292734762879</v>
      </c>
      <c r="V169" s="21">
        <f t="shared" si="59"/>
        <v>227166.37232703096</v>
      </c>
      <c r="W169" s="21"/>
      <c r="X169" s="5"/>
      <c r="Y169" s="5"/>
      <c r="Z169" s="5">
        <f t="shared" si="60"/>
        <v>0</v>
      </c>
      <c r="AA169" s="5">
        <v>1850688.6</v>
      </c>
      <c r="AB169" s="5" t="s">
        <v>258</v>
      </c>
      <c r="AC169" s="5">
        <f t="shared" si="61"/>
        <v>195833.07959226807</v>
      </c>
      <c r="AD169" s="5">
        <f t="shared" si="62"/>
        <v>227166.37232703096</v>
      </c>
      <c r="AE169" s="5">
        <f t="shared" si="63"/>
        <v>-5.2327030949527398E-2</v>
      </c>
      <c r="AF169" s="5"/>
      <c r="AG169" s="5" t="s">
        <v>238</v>
      </c>
      <c r="AH169" s="5">
        <v>4</v>
      </c>
      <c r="AI169" s="5">
        <v>0</v>
      </c>
      <c r="AJ169" s="5">
        <v>0</v>
      </c>
      <c r="AK169" s="5" t="s">
        <v>256</v>
      </c>
      <c r="AL169" s="4" t="s">
        <v>90</v>
      </c>
      <c r="AM169" s="4" t="s">
        <v>141</v>
      </c>
      <c r="AN169" s="21"/>
      <c r="AO169" s="4"/>
      <c r="AP169" s="58"/>
      <c r="AQ169" s="58"/>
      <c r="AR169" s="23"/>
      <c r="AS169" s="23"/>
      <c r="AT169" s="4"/>
      <c r="AU169" s="4"/>
      <c r="AV169" s="4"/>
      <c r="AW169" s="4"/>
      <c r="AX169" s="9"/>
      <c r="AY169" s="9"/>
      <c r="AZ169" s="4"/>
      <c r="BB169" t="e">
        <f>VLOOKUP(B169,contactos!$A$1:$D$484,4,FALSE)</f>
        <v>#N/A</v>
      </c>
    </row>
    <row r="170" spans="2:54" customFormat="1" x14ac:dyDescent="0.25">
      <c r="B170" s="100">
        <v>318493</v>
      </c>
      <c r="C170" s="4" t="s">
        <v>422</v>
      </c>
      <c r="D170" s="5">
        <v>195274.96</v>
      </c>
      <c r="E170" s="5">
        <v>0</v>
      </c>
      <c r="F170" s="5">
        <v>31243.993599999998</v>
      </c>
      <c r="G170" s="5">
        <v>226518.94000000003</v>
      </c>
      <c r="H170" s="5">
        <v>226518.94</v>
      </c>
      <c r="I170" s="5">
        <f t="shared" si="55"/>
        <v>195274.96</v>
      </c>
      <c r="J170" s="5"/>
      <c r="K170" s="5">
        <f t="shared" si="56"/>
        <v>195274.96</v>
      </c>
      <c r="L170" s="5">
        <f t="shared" si="57"/>
        <v>226518.95359999998</v>
      </c>
      <c r="M170" s="5"/>
      <c r="N170" s="5">
        <f t="shared" si="58"/>
        <v>226518.95359999998</v>
      </c>
      <c r="O170" s="21"/>
      <c r="P170" s="21"/>
      <c r="Q170" s="21"/>
      <c r="R170" s="21">
        <f t="shared" si="65"/>
        <v>0</v>
      </c>
      <c r="S170" s="21">
        <v>195274.96</v>
      </c>
      <c r="T170" s="21">
        <f t="shared" si="66"/>
        <v>0</v>
      </c>
      <c r="U170" s="21">
        <f t="shared" si="67"/>
        <v>31243.993599999998</v>
      </c>
      <c r="V170" s="21">
        <f t="shared" si="59"/>
        <v>226518.95359999998</v>
      </c>
      <c r="W170" s="21"/>
      <c r="X170" s="5"/>
      <c r="Y170" s="5"/>
      <c r="Z170" s="5">
        <f t="shared" si="60"/>
        <v>0</v>
      </c>
      <c r="AA170" s="5">
        <v>175210.67</v>
      </c>
      <c r="AB170" s="5" t="s">
        <v>258</v>
      </c>
      <c r="AC170" s="5">
        <f t="shared" si="61"/>
        <v>195274.96</v>
      </c>
      <c r="AD170" s="5">
        <f t="shared" si="62"/>
        <v>226518.95359999998</v>
      </c>
      <c r="AE170" s="5">
        <f t="shared" si="63"/>
        <v>-1.3599999947473407E-2</v>
      </c>
      <c r="AF170" s="5"/>
      <c r="AG170" s="5" t="s">
        <v>238</v>
      </c>
      <c r="AH170" s="5">
        <v>4</v>
      </c>
      <c r="AI170" s="5">
        <v>0</v>
      </c>
      <c r="AJ170" s="5">
        <v>0</v>
      </c>
      <c r="AK170" s="5" t="s">
        <v>256</v>
      </c>
      <c r="AL170" s="4" t="s">
        <v>90</v>
      </c>
      <c r="AM170" s="4" t="s">
        <v>141</v>
      </c>
      <c r="AN170" s="21"/>
      <c r="AO170" s="4"/>
      <c r="AP170" s="58"/>
      <c r="AQ170" s="58"/>
      <c r="AR170" s="23"/>
      <c r="AS170" s="23"/>
      <c r="AT170" s="4"/>
      <c r="AU170" s="4"/>
      <c r="AV170" s="4"/>
      <c r="AW170" s="4"/>
      <c r="AX170" s="9"/>
      <c r="AY170" s="9"/>
      <c r="AZ170" s="4"/>
      <c r="BB170" t="e">
        <f>VLOOKUP(B170,contactos!$A$1:$D$484,4,FALSE)</f>
        <v>#N/A</v>
      </c>
    </row>
    <row r="171" spans="2:54" customFormat="1" x14ac:dyDescent="0.25">
      <c r="B171" s="100">
        <v>8684</v>
      </c>
      <c r="C171" s="4" t="s">
        <v>423</v>
      </c>
      <c r="D171" s="5">
        <v>191150.91788764799</v>
      </c>
      <c r="E171" s="5">
        <v>0</v>
      </c>
      <c r="F171" s="5">
        <v>30584.146808103676</v>
      </c>
      <c r="G171" s="5">
        <v>221735.11490000004</v>
      </c>
      <c r="H171" s="5">
        <v>221735.06</v>
      </c>
      <c r="I171" s="5">
        <f t="shared" si="55"/>
        <v>191150.91788764799</v>
      </c>
      <c r="J171" s="5"/>
      <c r="K171" s="5">
        <f t="shared" si="56"/>
        <v>191150.91788764799</v>
      </c>
      <c r="L171" s="5">
        <f t="shared" si="57"/>
        <v>221735.06469575167</v>
      </c>
      <c r="M171" s="5"/>
      <c r="N171" s="5">
        <f t="shared" si="58"/>
        <v>221735.06469575167</v>
      </c>
      <c r="O171" s="21"/>
      <c r="P171" s="21"/>
      <c r="Q171" s="21"/>
      <c r="R171" s="21">
        <f t="shared" si="65"/>
        <v>0</v>
      </c>
      <c r="S171" s="21">
        <v>191150.91788764799</v>
      </c>
      <c r="T171" s="21">
        <f t="shared" si="66"/>
        <v>0</v>
      </c>
      <c r="U171" s="21">
        <f t="shared" si="67"/>
        <v>30584.146808103676</v>
      </c>
      <c r="V171" s="21">
        <f t="shared" si="59"/>
        <v>221735.06469575167</v>
      </c>
      <c r="W171" s="21"/>
      <c r="X171" s="5"/>
      <c r="Y171" s="5"/>
      <c r="Z171" s="5">
        <f t="shared" si="60"/>
        <v>0</v>
      </c>
      <c r="AA171" s="5">
        <v>796521.4</v>
      </c>
      <c r="AB171" s="5" t="s">
        <v>258</v>
      </c>
      <c r="AC171" s="5">
        <f t="shared" si="61"/>
        <v>191150.91788764799</v>
      </c>
      <c r="AD171" s="5">
        <f t="shared" si="62"/>
        <v>221735.06469575167</v>
      </c>
      <c r="AE171" s="5">
        <f t="shared" si="63"/>
        <v>5.0204248371301219E-2</v>
      </c>
      <c r="AF171" s="5"/>
      <c r="AG171" s="5" t="s">
        <v>73</v>
      </c>
      <c r="AH171" s="5">
        <v>4</v>
      </c>
      <c r="AI171" s="5">
        <v>0</v>
      </c>
      <c r="AJ171" s="5">
        <v>0</v>
      </c>
      <c r="AK171" s="5" t="s">
        <v>256</v>
      </c>
      <c r="AL171" s="4" t="s">
        <v>90</v>
      </c>
      <c r="AM171" s="4" t="s">
        <v>107</v>
      </c>
      <c r="AN171" s="21"/>
      <c r="AO171" s="4"/>
      <c r="AP171" s="58"/>
      <c r="AQ171" s="58"/>
      <c r="AR171" s="23"/>
      <c r="AS171" s="23"/>
      <c r="AT171" s="4"/>
      <c r="AU171" s="4"/>
      <c r="AV171" s="4"/>
      <c r="AW171" s="4"/>
      <c r="AX171" s="9"/>
      <c r="AY171" s="9"/>
      <c r="AZ171" s="4"/>
      <c r="BB171" t="e">
        <f>VLOOKUP(B171,contactos!$A$1:$D$484,4,FALSE)</f>
        <v>#N/A</v>
      </c>
    </row>
    <row r="172" spans="2:54" customFormat="1" x14ac:dyDescent="0.25">
      <c r="B172" s="100">
        <v>11077</v>
      </c>
      <c r="C172" s="4" t="s">
        <v>424</v>
      </c>
      <c r="D172" s="5">
        <v>189864.61999999994</v>
      </c>
      <c r="E172" s="5">
        <v>0</v>
      </c>
      <c r="F172" s="5">
        <v>30378.339200000002</v>
      </c>
      <c r="G172" s="5">
        <v>220242.97000000003</v>
      </c>
      <c r="H172" s="5">
        <v>220242.97</v>
      </c>
      <c r="I172" s="5">
        <f t="shared" si="55"/>
        <v>189864.61999999994</v>
      </c>
      <c r="J172" s="5"/>
      <c r="K172" s="5">
        <f t="shared" si="56"/>
        <v>189864.61999999994</v>
      </c>
      <c r="L172" s="5">
        <f t="shared" si="57"/>
        <v>220242.95919999992</v>
      </c>
      <c r="M172" s="5"/>
      <c r="N172" s="5">
        <f t="shared" si="58"/>
        <v>220242.95919999992</v>
      </c>
      <c r="O172" s="21"/>
      <c r="P172" s="21"/>
      <c r="Q172" s="21"/>
      <c r="R172" s="21">
        <f t="shared" si="65"/>
        <v>0</v>
      </c>
      <c r="S172" s="21">
        <v>189864.61999999994</v>
      </c>
      <c r="T172" s="21">
        <f t="shared" si="66"/>
        <v>0</v>
      </c>
      <c r="U172" s="21">
        <f t="shared" si="67"/>
        <v>30378.339200000002</v>
      </c>
      <c r="V172" s="21">
        <f t="shared" si="59"/>
        <v>220242.95919999992</v>
      </c>
      <c r="W172" s="21"/>
      <c r="X172" s="5"/>
      <c r="Y172" s="5"/>
      <c r="Z172" s="5">
        <f t="shared" si="60"/>
        <v>0</v>
      </c>
      <c r="AA172" s="5">
        <v>1225469.6000000001</v>
      </c>
      <c r="AB172" s="5" t="s">
        <v>258</v>
      </c>
      <c r="AC172" s="5">
        <f t="shared" si="61"/>
        <v>189864.61999999994</v>
      </c>
      <c r="AD172" s="5">
        <f t="shared" si="62"/>
        <v>220242.95919999992</v>
      </c>
      <c r="AE172" s="5">
        <f t="shared" si="63"/>
        <v>1.0800000105518848E-2</v>
      </c>
      <c r="AF172" s="5"/>
      <c r="AG172" s="5" t="s">
        <v>238</v>
      </c>
      <c r="AH172" s="5">
        <v>4</v>
      </c>
      <c r="AI172" s="5">
        <v>0</v>
      </c>
      <c r="AJ172" s="5" t="s">
        <v>212</v>
      </c>
      <c r="AK172" s="5" t="s">
        <v>256</v>
      </c>
      <c r="AL172" s="4" t="s">
        <v>90</v>
      </c>
      <c r="AM172" s="4" t="s">
        <v>148</v>
      </c>
      <c r="AN172" s="21"/>
      <c r="AO172" s="4"/>
      <c r="AP172" s="58"/>
      <c r="AQ172" s="58"/>
      <c r="AR172" s="23"/>
      <c r="AS172" s="23"/>
      <c r="AT172" s="4"/>
      <c r="AU172" s="4"/>
      <c r="AV172" s="4"/>
      <c r="AW172" s="4"/>
      <c r="AX172" s="9"/>
      <c r="AY172" s="9"/>
      <c r="AZ172" s="4"/>
      <c r="BB172" t="e">
        <f>VLOOKUP(B172,contactos!$A$1:$D$484,4,FALSE)</f>
        <v>#N/A</v>
      </c>
    </row>
    <row r="173" spans="2:54" customFormat="1" x14ac:dyDescent="0.25">
      <c r="B173" s="100">
        <v>311159</v>
      </c>
      <c r="C173" s="4" t="s">
        <v>425</v>
      </c>
      <c r="D173" s="5">
        <v>189068.26999999996</v>
      </c>
      <c r="E173" s="5">
        <v>0</v>
      </c>
      <c r="F173" s="5">
        <v>29987.373800000001</v>
      </c>
      <c r="G173" s="5">
        <v>219055.65</v>
      </c>
      <c r="H173" s="5">
        <v>219055.64</v>
      </c>
      <c r="I173" s="5">
        <f t="shared" si="55"/>
        <v>0</v>
      </c>
      <c r="J173" s="5">
        <v>0</v>
      </c>
      <c r="K173" s="5">
        <f t="shared" si="56"/>
        <v>0</v>
      </c>
      <c r="L173" s="5">
        <f t="shared" si="57"/>
        <v>6.200000032549724E-3</v>
      </c>
      <c r="M173" s="5">
        <v>0</v>
      </c>
      <c r="N173" s="5">
        <f t="shared" si="58"/>
        <v>6.200000032549724E-3</v>
      </c>
      <c r="O173" s="21"/>
      <c r="P173" s="21"/>
      <c r="Q173" s="21"/>
      <c r="R173" s="21">
        <f t="shared" si="65"/>
        <v>0</v>
      </c>
      <c r="S173" s="21">
        <f>D173-W173</f>
        <v>0</v>
      </c>
      <c r="T173" s="21">
        <f>E173-X173</f>
        <v>0</v>
      </c>
      <c r="U173" s="21">
        <f>G173-Z173</f>
        <v>6.200000032549724E-3</v>
      </c>
      <c r="V173" s="21">
        <f t="shared" si="59"/>
        <v>6.200000032549724E-3</v>
      </c>
      <c r="W173" s="21">
        <v>189068.26999999996</v>
      </c>
      <c r="X173" s="5"/>
      <c r="Y173" s="5">
        <v>29987.373800000001</v>
      </c>
      <c r="Z173" s="5">
        <f t="shared" si="60"/>
        <v>219055.64379999996</v>
      </c>
      <c r="AA173" s="5">
        <v>221361.93</v>
      </c>
      <c r="AB173" s="5" t="s">
        <v>258</v>
      </c>
      <c r="AC173" s="5">
        <f t="shared" si="61"/>
        <v>189068.26999999996</v>
      </c>
      <c r="AD173" s="5">
        <f t="shared" si="62"/>
        <v>219055.65</v>
      </c>
      <c r="AE173" s="5">
        <f t="shared" si="63"/>
        <v>0</v>
      </c>
      <c r="AF173" s="5"/>
      <c r="AG173" s="5" t="s">
        <v>57</v>
      </c>
      <c r="AH173" s="5">
        <v>4</v>
      </c>
      <c r="AI173" s="5">
        <v>3</v>
      </c>
      <c r="AJ173" s="5" t="s">
        <v>426</v>
      </c>
      <c r="AK173" s="5" t="s">
        <v>59</v>
      </c>
      <c r="AL173" s="4" t="s">
        <v>75</v>
      </c>
      <c r="AM173" s="6" t="s">
        <v>94</v>
      </c>
      <c r="AN173" s="44">
        <v>180039.21</v>
      </c>
      <c r="AO173" s="16" t="s">
        <v>427</v>
      </c>
      <c r="AP173" s="58">
        <v>1</v>
      </c>
      <c r="AQ173" s="58" t="s">
        <v>125</v>
      </c>
      <c r="AR173" s="23">
        <v>46048</v>
      </c>
      <c r="AS173" s="23">
        <v>46048</v>
      </c>
      <c r="AT173" s="4"/>
      <c r="AU173" s="4"/>
      <c r="AV173" s="4" t="s">
        <v>428</v>
      </c>
      <c r="AW173" s="4"/>
      <c r="AX173" s="9" t="s">
        <v>71</v>
      </c>
      <c r="AY173" s="9"/>
      <c r="AZ173" s="4"/>
      <c r="BB173" t="e">
        <f>VLOOKUP(B173,contactos!$A$1:$D$484,4,FALSE)</f>
        <v>#N/A</v>
      </c>
    </row>
    <row r="174" spans="2:54" customFormat="1" x14ac:dyDescent="0.25">
      <c r="B174" s="100">
        <v>384552</v>
      </c>
      <c r="C174" s="4" t="s">
        <v>233</v>
      </c>
      <c r="D174" s="5">
        <v>188228.02469999995</v>
      </c>
      <c r="E174" s="5">
        <v>0</v>
      </c>
      <c r="F174" s="5">
        <v>30116.483899999999</v>
      </c>
      <c r="G174" s="5">
        <v>218344.47540000005</v>
      </c>
      <c r="H174" s="5">
        <v>218344.5</v>
      </c>
      <c r="I174" s="5">
        <f t="shared" si="55"/>
        <v>188228.02469999995</v>
      </c>
      <c r="J174" s="5"/>
      <c r="K174" s="5">
        <f t="shared" si="56"/>
        <v>188228.02469999995</v>
      </c>
      <c r="L174" s="5">
        <f t="shared" si="57"/>
        <v>218344.50859999994</v>
      </c>
      <c r="M174" s="5"/>
      <c r="N174" s="5">
        <f t="shared" si="58"/>
        <v>218344.50859999994</v>
      </c>
      <c r="O174" s="21"/>
      <c r="P174" s="21"/>
      <c r="Q174" s="21"/>
      <c r="R174" s="21">
        <f t="shared" si="65"/>
        <v>0</v>
      </c>
      <c r="S174" s="21">
        <v>188228.02469999995</v>
      </c>
      <c r="T174" s="21">
        <f t="shared" si="66"/>
        <v>0</v>
      </c>
      <c r="U174" s="21">
        <f t="shared" si="67"/>
        <v>30116.483899999999</v>
      </c>
      <c r="V174" s="21">
        <f t="shared" si="59"/>
        <v>218344.50859999994</v>
      </c>
      <c r="W174" s="21"/>
      <c r="X174" s="5"/>
      <c r="Y174" s="5"/>
      <c r="Z174" s="5">
        <f t="shared" si="60"/>
        <v>0</v>
      </c>
      <c r="AA174" s="5">
        <v>1078512.73</v>
      </c>
      <c r="AB174" s="5" t="s">
        <v>258</v>
      </c>
      <c r="AC174" s="5">
        <f t="shared" si="61"/>
        <v>188228.02469999995</v>
      </c>
      <c r="AD174" s="5">
        <f t="shared" si="62"/>
        <v>218344.50859999994</v>
      </c>
      <c r="AE174" s="5">
        <f t="shared" si="63"/>
        <v>-3.3199999888893217E-2</v>
      </c>
      <c r="AF174" s="5"/>
      <c r="AG174" s="5" t="s">
        <v>73</v>
      </c>
      <c r="AH174" s="5">
        <v>4</v>
      </c>
      <c r="AI174" s="5">
        <v>0</v>
      </c>
      <c r="AJ174" s="5" t="s">
        <v>333</v>
      </c>
      <c r="AK174" s="5" t="s">
        <v>256</v>
      </c>
      <c r="AL174" s="4" t="s">
        <v>90</v>
      </c>
      <c r="AM174" s="4" t="s">
        <v>76</v>
      </c>
      <c r="AN174" s="21"/>
      <c r="AO174" s="4"/>
      <c r="AP174" s="58"/>
      <c r="AQ174" s="58"/>
      <c r="AR174" s="23"/>
      <c r="AS174" s="23"/>
      <c r="AT174" s="4"/>
      <c r="AU174" s="4"/>
      <c r="AV174" s="4"/>
      <c r="AW174" s="4"/>
      <c r="AX174" s="9"/>
      <c r="AY174" s="9"/>
      <c r="AZ174" s="4"/>
      <c r="BB174" t="e">
        <f>VLOOKUP(B174,contactos!$A$1:$D$484,4,FALSE)</f>
        <v>#N/A</v>
      </c>
    </row>
    <row r="175" spans="2:54" customFormat="1" x14ac:dyDescent="0.25">
      <c r="B175" s="100">
        <v>307900</v>
      </c>
      <c r="C175" s="4" t="s">
        <v>429</v>
      </c>
      <c r="D175" s="5">
        <v>186768.93732174</v>
      </c>
      <c r="E175" s="5">
        <v>0</v>
      </c>
      <c r="F175" s="5">
        <v>29883.029971478398</v>
      </c>
      <c r="G175" s="5">
        <v>216651.96000000002</v>
      </c>
      <c r="H175" s="5">
        <v>216651.96</v>
      </c>
      <c r="I175" s="5">
        <f t="shared" si="55"/>
        <v>186768.93732174</v>
      </c>
      <c r="J175" s="5"/>
      <c r="K175" s="5">
        <f t="shared" si="56"/>
        <v>186768.93732174</v>
      </c>
      <c r="L175" s="5">
        <f t="shared" si="57"/>
        <v>216651.96729321839</v>
      </c>
      <c r="M175" s="5"/>
      <c r="N175" s="5">
        <f t="shared" si="58"/>
        <v>216651.96729321839</v>
      </c>
      <c r="O175" s="21"/>
      <c r="P175" s="21"/>
      <c r="Q175" s="21"/>
      <c r="R175" s="21">
        <f t="shared" si="65"/>
        <v>0</v>
      </c>
      <c r="S175" s="21">
        <v>186768.93732174</v>
      </c>
      <c r="T175" s="21">
        <f t="shared" si="66"/>
        <v>0</v>
      </c>
      <c r="U175" s="21">
        <f t="shared" si="67"/>
        <v>29883.029971478398</v>
      </c>
      <c r="V175" s="21">
        <f t="shared" si="59"/>
        <v>216651.96729321839</v>
      </c>
      <c r="W175" s="21"/>
      <c r="X175" s="5"/>
      <c r="Y175" s="5"/>
      <c r="Z175" s="5">
        <f t="shared" si="60"/>
        <v>0</v>
      </c>
      <c r="AA175" s="5">
        <v>976666.06</v>
      </c>
      <c r="AB175" s="5" t="s">
        <v>258</v>
      </c>
      <c r="AC175" s="5">
        <f t="shared" si="61"/>
        <v>186768.93732174</v>
      </c>
      <c r="AD175" s="5">
        <f t="shared" si="62"/>
        <v>216651.96729321839</v>
      </c>
      <c r="AE175" s="5">
        <f t="shared" si="63"/>
        <v>-7.2932183684315532E-3</v>
      </c>
      <c r="AF175" s="5"/>
      <c r="AG175" s="5" t="s">
        <v>73</v>
      </c>
      <c r="AH175" s="5">
        <v>4</v>
      </c>
      <c r="AI175" s="5">
        <v>0</v>
      </c>
      <c r="AJ175" s="120" t="s">
        <v>259</v>
      </c>
      <c r="AK175" s="5" t="s">
        <v>256</v>
      </c>
      <c r="AL175" s="4" t="s">
        <v>90</v>
      </c>
      <c r="AM175" s="4" t="s">
        <v>216</v>
      </c>
      <c r="AN175" s="21"/>
      <c r="AO175" s="4"/>
      <c r="AP175" s="58"/>
      <c r="AQ175" s="58"/>
      <c r="AR175" s="23"/>
      <c r="AS175" s="23"/>
      <c r="AT175" s="4"/>
      <c r="AU175" s="4"/>
      <c r="AV175" s="4"/>
      <c r="AW175" s="4"/>
      <c r="AX175" s="9"/>
      <c r="AY175" s="9"/>
      <c r="AZ175" s="4"/>
      <c r="BB175" t="e">
        <f>VLOOKUP(B175,contactos!$A$1:$D$484,4,FALSE)</f>
        <v>#N/A</v>
      </c>
    </row>
    <row r="176" spans="2:54" customFormat="1" ht="30" x14ac:dyDescent="0.25">
      <c r="B176" s="100">
        <v>229732</v>
      </c>
      <c r="C176" s="4" t="s">
        <v>430</v>
      </c>
      <c r="D176" s="5">
        <v>209443.383902723</v>
      </c>
      <c r="E176" s="5">
        <v>5848.1951621886001</v>
      </c>
      <c r="F176" s="5">
        <v>0</v>
      </c>
      <c r="G176" s="5">
        <v>215291.55000000002</v>
      </c>
      <c r="H176" s="5">
        <v>215291.55</v>
      </c>
      <c r="I176" s="5">
        <f t="shared" si="55"/>
        <v>209443.383902723</v>
      </c>
      <c r="J176" s="5"/>
      <c r="K176" s="5">
        <f t="shared" si="56"/>
        <v>209443.383902723</v>
      </c>
      <c r="L176" s="5">
        <f t="shared" si="57"/>
        <v>215291.57906491161</v>
      </c>
      <c r="M176" s="5"/>
      <c r="N176" s="5">
        <f t="shared" si="58"/>
        <v>215291.57906491161</v>
      </c>
      <c r="O176" s="21"/>
      <c r="P176" s="21"/>
      <c r="Q176" s="21"/>
      <c r="R176" s="21">
        <f t="shared" si="65"/>
        <v>0</v>
      </c>
      <c r="S176" s="21">
        <v>209443.383902723</v>
      </c>
      <c r="T176" s="21">
        <f t="shared" si="66"/>
        <v>5848.1951621886001</v>
      </c>
      <c r="U176" s="21">
        <f t="shared" si="67"/>
        <v>0</v>
      </c>
      <c r="V176" s="21">
        <f t="shared" si="59"/>
        <v>215291.57906491161</v>
      </c>
      <c r="W176" s="21"/>
      <c r="X176" s="5"/>
      <c r="Y176" s="5"/>
      <c r="Z176" s="5">
        <f t="shared" si="60"/>
        <v>0</v>
      </c>
      <c r="AA176" s="5">
        <v>500919.34</v>
      </c>
      <c r="AB176" s="5" t="s">
        <v>258</v>
      </c>
      <c r="AC176" s="5">
        <f t="shared" si="61"/>
        <v>209443.383902723</v>
      </c>
      <c r="AD176" s="5">
        <f t="shared" si="62"/>
        <v>215291.57906491161</v>
      </c>
      <c r="AE176" s="5">
        <f t="shared" si="63"/>
        <v>-2.906491159228608E-2</v>
      </c>
      <c r="AF176" s="5"/>
      <c r="AG176" s="5" t="s">
        <v>238</v>
      </c>
      <c r="AH176" s="5">
        <v>4</v>
      </c>
      <c r="AI176" s="5">
        <v>0</v>
      </c>
      <c r="AJ176" s="5">
        <v>0</v>
      </c>
      <c r="AK176" s="5" t="s">
        <v>256</v>
      </c>
      <c r="AL176" s="4" t="s">
        <v>90</v>
      </c>
      <c r="AM176" s="4" t="s">
        <v>91</v>
      </c>
      <c r="AN176" s="21"/>
      <c r="AO176" s="4"/>
      <c r="AP176" s="58"/>
      <c r="AQ176" s="58"/>
      <c r="AR176" s="23"/>
      <c r="AS176" s="23">
        <v>46050</v>
      </c>
      <c r="AT176" s="4"/>
      <c r="AU176" s="4"/>
      <c r="AV176" s="4" t="s">
        <v>431</v>
      </c>
      <c r="AW176" s="13" t="s">
        <v>70</v>
      </c>
      <c r="AX176" s="9"/>
      <c r="AY176" s="9" t="s">
        <v>198</v>
      </c>
      <c r="AZ176" s="4"/>
      <c r="BB176" t="e">
        <f>VLOOKUP(B176,contactos!$A$1:$D$484,4,FALSE)</f>
        <v>#N/A</v>
      </c>
    </row>
    <row r="177" spans="2:54" customFormat="1" x14ac:dyDescent="0.25">
      <c r="B177" s="100">
        <v>206466</v>
      </c>
      <c r="C177" s="4" t="s">
        <v>432</v>
      </c>
      <c r="D177" s="5">
        <v>184141.24382747195</v>
      </c>
      <c r="E177" s="5">
        <v>0</v>
      </c>
      <c r="F177" s="5">
        <v>29462.599012395502</v>
      </c>
      <c r="G177" s="5">
        <v>213603.89</v>
      </c>
      <c r="H177" s="5">
        <v>213603.54</v>
      </c>
      <c r="I177" s="5">
        <f t="shared" si="55"/>
        <v>184141.24382747195</v>
      </c>
      <c r="J177" s="5"/>
      <c r="K177" s="5">
        <f t="shared" si="56"/>
        <v>184141.24382747195</v>
      </c>
      <c r="L177" s="5">
        <f t="shared" si="57"/>
        <v>213603.84283986746</v>
      </c>
      <c r="M177" s="5"/>
      <c r="N177" s="5">
        <f t="shared" si="58"/>
        <v>213603.84283986746</v>
      </c>
      <c r="O177" s="21"/>
      <c r="P177" s="21"/>
      <c r="Q177" s="21"/>
      <c r="R177" s="21">
        <f t="shared" si="65"/>
        <v>0</v>
      </c>
      <c r="S177" s="21">
        <v>184141.24382747195</v>
      </c>
      <c r="T177" s="21">
        <f t="shared" si="66"/>
        <v>0</v>
      </c>
      <c r="U177" s="21">
        <f t="shared" si="67"/>
        <v>29462.599012395502</v>
      </c>
      <c r="V177" s="21">
        <f t="shared" si="59"/>
        <v>213603.84283986746</v>
      </c>
      <c r="W177" s="21"/>
      <c r="X177" s="5"/>
      <c r="Y177" s="5"/>
      <c r="Z177" s="5">
        <f t="shared" si="60"/>
        <v>0</v>
      </c>
      <c r="AA177" s="5">
        <v>1332522.53</v>
      </c>
      <c r="AB177" s="5" t="s">
        <v>258</v>
      </c>
      <c r="AC177" s="5">
        <f t="shared" si="61"/>
        <v>184141.24382747195</v>
      </c>
      <c r="AD177" s="5">
        <f t="shared" si="62"/>
        <v>213603.84283986746</v>
      </c>
      <c r="AE177" s="5">
        <f t="shared" si="63"/>
        <v>4.7160132555291057E-2</v>
      </c>
      <c r="AF177" s="5"/>
      <c r="AG177" s="5" t="s">
        <v>73</v>
      </c>
      <c r="AH177" s="5">
        <v>4</v>
      </c>
      <c r="AI177" s="5">
        <v>0</v>
      </c>
      <c r="AJ177" s="5" t="s">
        <v>212</v>
      </c>
      <c r="AK177" s="5" t="s">
        <v>256</v>
      </c>
      <c r="AL177" s="4" t="s">
        <v>90</v>
      </c>
      <c r="AM177" s="4" t="s">
        <v>148</v>
      </c>
      <c r="AN177" s="21"/>
      <c r="AO177" s="4"/>
      <c r="AP177" s="58"/>
      <c r="AQ177" s="58"/>
      <c r="AR177" s="23"/>
      <c r="AS177" s="23"/>
      <c r="AT177" s="4"/>
      <c r="AU177" s="4"/>
      <c r="AV177" s="4"/>
      <c r="AW177" s="4"/>
      <c r="AX177" s="9"/>
      <c r="AY177" s="9"/>
      <c r="AZ177" s="4"/>
      <c r="BB177" t="e">
        <f>VLOOKUP(B177,contactos!$A$1:$D$484,4,FALSE)</f>
        <v>#N/A</v>
      </c>
    </row>
    <row r="178" spans="2:54" customFormat="1" x14ac:dyDescent="0.25">
      <c r="B178" s="100">
        <v>70664</v>
      </c>
      <c r="C178" s="4" t="s">
        <v>433</v>
      </c>
      <c r="D178" s="5">
        <v>183038.017560129</v>
      </c>
      <c r="E178" s="5">
        <v>0</v>
      </c>
      <c r="F178" s="5">
        <v>29286.107309620642</v>
      </c>
      <c r="G178" s="5">
        <v>212324.08000000002</v>
      </c>
      <c r="H178" s="5">
        <v>212324.08</v>
      </c>
      <c r="I178" s="5">
        <f t="shared" si="55"/>
        <v>183038.017560129</v>
      </c>
      <c r="J178" s="5"/>
      <c r="K178" s="5">
        <f t="shared" si="56"/>
        <v>183038.017560129</v>
      </c>
      <c r="L178" s="5">
        <f t="shared" si="57"/>
        <v>212324.12486974965</v>
      </c>
      <c r="M178" s="5"/>
      <c r="N178" s="5">
        <f t="shared" si="58"/>
        <v>212324.12486974965</v>
      </c>
      <c r="O178" s="21"/>
      <c r="P178" s="21"/>
      <c r="Q178" s="21"/>
      <c r="R178" s="21">
        <f t="shared" si="65"/>
        <v>0</v>
      </c>
      <c r="S178" s="21">
        <v>183038.017560129</v>
      </c>
      <c r="T178" s="21">
        <f t="shared" si="66"/>
        <v>0</v>
      </c>
      <c r="U178" s="21">
        <f t="shared" si="67"/>
        <v>29286.107309620642</v>
      </c>
      <c r="V178" s="21">
        <f t="shared" si="59"/>
        <v>212324.12486974965</v>
      </c>
      <c r="W178" s="21"/>
      <c r="X178" s="5"/>
      <c r="Y178" s="5"/>
      <c r="Z178" s="5">
        <f t="shared" si="60"/>
        <v>0</v>
      </c>
      <c r="AA178" s="5">
        <v>542004.5</v>
      </c>
      <c r="AB178" s="5" t="s">
        <v>258</v>
      </c>
      <c r="AC178" s="5">
        <f t="shared" si="61"/>
        <v>183038.017560129</v>
      </c>
      <c r="AD178" s="5">
        <f t="shared" si="62"/>
        <v>212324.12486974965</v>
      </c>
      <c r="AE178" s="5">
        <f t="shared" si="63"/>
        <v>-4.4869749632198364E-2</v>
      </c>
      <c r="AF178" s="5"/>
      <c r="AG178" s="5" t="s">
        <v>238</v>
      </c>
      <c r="AH178" s="5">
        <v>4</v>
      </c>
      <c r="AI178" s="5">
        <v>0</v>
      </c>
      <c r="AJ178" s="5">
        <v>0</v>
      </c>
      <c r="AK178" s="5" t="s">
        <v>256</v>
      </c>
      <c r="AL178" s="4" t="s">
        <v>90</v>
      </c>
      <c r="AM178" s="4" t="s">
        <v>107</v>
      </c>
      <c r="AN178" s="21"/>
      <c r="AO178" s="4"/>
      <c r="AP178" s="58"/>
      <c r="AQ178" s="58"/>
      <c r="AR178" s="23"/>
      <c r="AS178" s="23"/>
      <c r="AT178" s="4"/>
      <c r="AU178" s="4"/>
      <c r="AV178" s="4"/>
      <c r="AW178" s="4"/>
      <c r="AX178" s="9"/>
      <c r="AY178" s="9"/>
      <c r="AZ178" s="4"/>
      <c r="BB178" t="e">
        <f>VLOOKUP(B178,contactos!$A$1:$D$484,4,FALSE)</f>
        <v>#N/A</v>
      </c>
    </row>
    <row r="179" spans="2:54" customFormat="1" x14ac:dyDescent="0.25">
      <c r="B179" s="100">
        <v>333336</v>
      </c>
      <c r="C179" s="4" t="s">
        <v>434</v>
      </c>
      <c r="D179" s="5">
        <v>180561.54871439992</v>
      </c>
      <c r="E179" s="5">
        <v>0</v>
      </c>
      <c r="F179" s="5">
        <v>28889.847794304002</v>
      </c>
      <c r="G179" s="5">
        <v>209451.39</v>
      </c>
      <c r="H179" s="5">
        <v>0</v>
      </c>
      <c r="I179" s="5">
        <f t="shared" si="55"/>
        <v>180561.54871439992</v>
      </c>
      <c r="J179" s="5"/>
      <c r="K179" s="5">
        <f t="shared" si="56"/>
        <v>180561.54871439992</v>
      </c>
      <c r="L179" s="5">
        <f t="shared" si="57"/>
        <v>209451.39650870391</v>
      </c>
      <c r="M179" s="5"/>
      <c r="N179" s="5">
        <f t="shared" si="58"/>
        <v>209451.39650870391</v>
      </c>
      <c r="O179" s="21"/>
      <c r="P179" s="21"/>
      <c r="Q179" s="21"/>
      <c r="R179" s="21">
        <f t="shared" si="65"/>
        <v>0</v>
      </c>
      <c r="S179" s="21">
        <v>180561.54871439992</v>
      </c>
      <c r="T179" s="21">
        <f t="shared" si="66"/>
        <v>0</v>
      </c>
      <c r="U179" s="21">
        <f t="shared" si="67"/>
        <v>28889.847794304002</v>
      </c>
      <c r="V179" s="21">
        <f t="shared" si="59"/>
        <v>209451.39650870391</v>
      </c>
      <c r="W179" s="21"/>
      <c r="X179" s="5"/>
      <c r="Y179" s="5"/>
      <c r="Z179" s="5">
        <f t="shared" si="60"/>
        <v>0</v>
      </c>
      <c r="AA179" s="5">
        <v>19821.11</v>
      </c>
      <c r="AB179" s="5" t="s">
        <v>258</v>
      </c>
      <c r="AC179" s="5">
        <f t="shared" si="61"/>
        <v>180561.54871439992</v>
      </c>
      <c r="AD179" s="5">
        <f t="shared" si="62"/>
        <v>209451.39650870391</v>
      </c>
      <c r="AE179" s="5">
        <f t="shared" si="63"/>
        <v>-6.5087038965430111E-3</v>
      </c>
      <c r="AF179" s="5"/>
      <c r="AG179" s="5" t="s">
        <v>73</v>
      </c>
      <c r="AH179" s="5">
        <v>4</v>
      </c>
      <c r="AI179" s="5">
        <v>0</v>
      </c>
      <c r="AJ179" s="5">
        <v>0</v>
      </c>
      <c r="AK179" s="5" t="s">
        <v>256</v>
      </c>
      <c r="AL179" s="4" t="s">
        <v>90</v>
      </c>
      <c r="AM179" s="4" t="s">
        <v>141</v>
      </c>
      <c r="AN179" s="21"/>
      <c r="AO179" s="4"/>
      <c r="AP179" s="58"/>
      <c r="AQ179" s="58"/>
      <c r="AR179" s="23"/>
      <c r="AS179" s="23"/>
      <c r="AT179" s="4"/>
      <c r="AU179" s="4"/>
      <c r="AV179" s="4"/>
      <c r="AW179" s="4"/>
      <c r="AX179" s="9"/>
      <c r="AY179" s="9"/>
      <c r="AZ179" s="4"/>
      <c r="BB179" t="e">
        <f>VLOOKUP(B179,contactos!$A$1:$D$484,4,FALSE)</f>
        <v>#N/A</v>
      </c>
    </row>
    <row r="180" spans="2:54" customFormat="1" x14ac:dyDescent="0.25">
      <c r="B180" s="100">
        <v>3860</v>
      </c>
      <c r="C180" s="4" t="s">
        <v>435</v>
      </c>
      <c r="D180" s="5">
        <v>208872.33999999997</v>
      </c>
      <c r="E180" s="5">
        <v>0</v>
      </c>
      <c r="F180" s="5">
        <v>0</v>
      </c>
      <c r="G180" s="5">
        <v>208872.33999999997</v>
      </c>
      <c r="H180" s="5">
        <v>208872.34</v>
      </c>
      <c r="I180" s="5">
        <f t="shared" si="55"/>
        <v>208872.33999999997</v>
      </c>
      <c r="J180" s="5"/>
      <c r="K180" s="5">
        <f t="shared" si="56"/>
        <v>208872.33999999997</v>
      </c>
      <c r="L180" s="5">
        <f t="shared" si="57"/>
        <v>208872.33999999997</v>
      </c>
      <c r="M180" s="5"/>
      <c r="N180" s="5">
        <f t="shared" si="58"/>
        <v>208872.33999999997</v>
      </c>
      <c r="O180" s="21"/>
      <c r="P180" s="21"/>
      <c r="Q180" s="21"/>
      <c r="R180" s="21">
        <f t="shared" si="65"/>
        <v>0</v>
      </c>
      <c r="S180" s="21">
        <v>208872.33999999997</v>
      </c>
      <c r="T180" s="21">
        <f t="shared" si="66"/>
        <v>0</v>
      </c>
      <c r="U180" s="21">
        <f t="shared" si="67"/>
        <v>0</v>
      </c>
      <c r="V180" s="21">
        <f t="shared" si="59"/>
        <v>208872.33999999997</v>
      </c>
      <c r="W180" s="21"/>
      <c r="X180" s="5"/>
      <c r="Y180" s="5"/>
      <c r="Z180" s="5">
        <f t="shared" si="60"/>
        <v>0</v>
      </c>
      <c r="AA180" s="5">
        <v>173909.9</v>
      </c>
      <c r="AB180" s="5" t="s">
        <v>258</v>
      </c>
      <c r="AC180" s="5">
        <f t="shared" si="61"/>
        <v>208872.33999999997</v>
      </c>
      <c r="AD180" s="5">
        <f t="shared" si="62"/>
        <v>208872.33999999997</v>
      </c>
      <c r="AE180" s="5">
        <f t="shared" si="63"/>
        <v>0</v>
      </c>
      <c r="AF180" s="5"/>
      <c r="AG180" s="5" t="s">
        <v>238</v>
      </c>
      <c r="AH180" s="5">
        <v>4</v>
      </c>
      <c r="AI180" s="5">
        <v>0</v>
      </c>
      <c r="AJ180" s="5">
        <v>0</v>
      </c>
      <c r="AK180" s="5" t="s">
        <v>256</v>
      </c>
      <c r="AL180" s="4" t="s">
        <v>90</v>
      </c>
      <c r="AM180" s="4" t="s">
        <v>216</v>
      </c>
      <c r="AN180" s="21"/>
      <c r="AO180" s="4"/>
      <c r="AP180" s="58"/>
      <c r="AQ180" s="58"/>
      <c r="AR180" s="23"/>
      <c r="AS180" s="23"/>
      <c r="AT180" s="4"/>
      <c r="AU180" s="4"/>
      <c r="AV180" s="4"/>
      <c r="AW180" s="4"/>
      <c r="AX180" s="9"/>
      <c r="AY180" s="9"/>
      <c r="AZ180" s="4"/>
      <c r="BB180" t="str">
        <f>VLOOKUP(B180,contactos!$A$1:$D$484,4,FALSE)</f>
        <v>ventas2@miym.com.mx</v>
      </c>
    </row>
    <row r="181" spans="2:54" customFormat="1" x14ac:dyDescent="0.25">
      <c r="B181" s="100">
        <v>55004</v>
      </c>
      <c r="C181" s="4" t="s">
        <v>251</v>
      </c>
      <c r="D181" s="5">
        <v>177280.01</v>
      </c>
      <c r="E181" s="5">
        <v>0</v>
      </c>
      <c r="F181" s="5">
        <v>28364.801900000002</v>
      </c>
      <c r="G181" s="5">
        <v>205644.79</v>
      </c>
      <c r="H181" s="5">
        <v>205644.79</v>
      </c>
      <c r="I181" s="5">
        <f t="shared" si="55"/>
        <v>177280.01</v>
      </c>
      <c r="J181" s="5"/>
      <c r="K181" s="5">
        <f t="shared" si="56"/>
        <v>177280.01</v>
      </c>
      <c r="L181" s="5">
        <f t="shared" si="57"/>
        <v>205644.8119</v>
      </c>
      <c r="M181" s="5"/>
      <c r="N181" s="5">
        <f t="shared" si="58"/>
        <v>205644.8119</v>
      </c>
      <c r="O181" s="21"/>
      <c r="P181" s="21"/>
      <c r="Q181" s="21"/>
      <c r="R181" s="21">
        <f t="shared" si="65"/>
        <v>0</v>
      </c>
      <c r="S181" s="21">
        <v>177280.01</v>
      </c>
      <c r="T181" s="21">
        <f t="shared" si="66"/>
        <v>0</v>
      </c>
      <c r="U181" s="21">
        <f t="shared" si="67"/>
        <v>28364.801900000002</v>
      </c>
      <c r="V181" s="21">
        <f t="shared" si="59"/>
        <v>205644.8119</v>
      </c>
      <c r="W181" s="21"/>
      <c r="X181" s="5"/>
      <c r="Y181" s="5"/>
      <c r="Z181" s="5">
        <f t="shared" si="60"/>
        <v>0</v>
      </c>
      <c r="AA181" s="5"/>
      <c r="AB181" s="5" t="s">
        <v>258</v>
      </c>
      <c r="AC181" s="5">
        <f t="shared" si="61"/>
        <v>177280.01</v>
      </c>
      <c r="AD181" s="5">
        <f t="shared" si="62"/>
        <v>205644.8119</v>
      </c>
      <c r="AE181" s="5">
        <f t="shared" si="63"/>
        <v>-2.1899999992456287E-2</v>
      </c>
      <c r="AF181" s="5"/>
      <c r="AG181" s="5" t="s">
        <v>238</v>
      </c>
      <c r="AH181" s="5">
        <v>4</v>
      </c>
      <c r="AI181" s="5">
        <v>0</v>
      </c>
      <c r="AJ181" s="5">
        <v>0</v>
      </c>
      <c r="AK181" s="5" t="s">
        <v>256</v>
      </c>
      <c r="AL181" s="4" t="s">
        <v>90</v>
      </c>
      <c r="AM181" s="4" t="s">
        <v>76</v>
      </c>
      <c r="AN181" s="41"/>
      <c r="AO181" s="32"/>
      <c r="AP181" s="58"/>
      <c r="AQ181" s="58"/>
      <c r="AR181" s="23"/>
      <c r="AS181" s="23"/>
      <c r="AT181" s="4"/>
      <c r="AU181" s="4"/>
      <c r="AV181" s="4"/>
      <c r="AW181" s="4"/>
      <c r="AX181" s="9"/>
      <c r="AY181" s="9"/>
      <c r="AZ181" s="4"/>
      <c r="BB181" t="str">
        <f>VLOOKUP(B181,contactos!$A$1:$D$484,4,FALSE)</f>
        <v>CARLOTA.AGUIRRE@GIS.COM.MX</v>
      </c>
    </row>
    <row r="182" spans="2:54" customFormat="1" x14ac:dyDescent="0.25">
      <c r="B182" s="100">
        <v>348557</v>
      </c>
      <c r="C182" s="4" t="s">
        <v>436</v>
      </c>
      <c r="D182" s="5">
        <v>174627.69</v>
      </c>
      <c r="E182" s="5">
        <v>0</v>
      </c>
      <c r="F182" s="5">
        <v>27940.430399999997</v>
      </c>
      <c r="G182" s="5">
        <v>202568.11</v>
      </c>
      <c r="H182" s="5">
        <v>202568.11</v>
      </c>
      <c r="I182" s="5">
        <f t="shared" si="55"/>
        <v>174627.69</v>
      </c>
      <c r="J182" s="5"/>
      <c r="K182" s="5">
        <f t="shared" si="56"/>
        <v>174627.69</v>
      </c>
      <c r="L182" s="5">
        <f t="shared" si="57"/>
        <v>202568.12040000001</v>
      </c>
      <c r="M182" s="5"/>
      <c r="N182" s="5">
        <f t="shared" si="58"/>
        <v>202568.12040000001</v>
      </c>
      <c r="O182" s="21"/>
      <c r="P182" s="21"/>
      <c r="Q182" s="21"/>
      <c r="R182" s="21">
        <f t="shared" si="65"/>
        <v>0</v>
      </c>
      <c r="S182" s="21">
        <v>174627.69</v>
      </c>
      <c r="T182" s="21">
        <f t="shared" si="66"/>
        <v>0</v>
      </c>
      <c r="U182" s="21">
        <f t="shared" si="67"/>
        <v>27940.430399999997</v>
      </c>
      <c r="V182" s="21">
        <f t="shared" si="59"/>
        <v>202568.12040000001</v>
      </c>
      <c r="W182" s="21"/>
      <c r="X182" s="5"/>
      <c r="Y182" s="5"/>
      <c r="Z182" s="5">
        <f t="shared" si="60"/>
        <v>0</v>
      </c>
      <c r="AA182" s="5"/>
      <c r="AB182" s="5" t="s">
        <v>258</v>
      </c>
      <c r="AC182" s="5">
        <f t="shared" si="61"/>
        <v>174627.69</v>
      </c>
      <c r="AD182" s="5">
        <f t="shared" si="62"/>
        <v>202568.12040000001</v>
      </c>
      <c r="AE182" s="5">
        <f t="shared" si="63"/>
        <v>-1.0400000028312206E-2</v>
      </c>
      <c r="AF182" s="5"/>
      <c r="AG182" s="5" t="s">
        <v>73</v>
      </c>
      <c r="AH182" s="5">
        <v>4</v>
      </c>
      <c r="AI182" s="5">
        <v>2</v>
      </c>
      <c r="AJ182" s="120" t="s">
        <v>437</v>
      </c>
      <c r="AK182" s="5" t="s">
        <v>59</v>
      </c>
      <c r="AL182" s="4" t="s">
        <v>75</v>
      </c>
      <c r="AM182" s="124" t="s">
        <v>216</v>
      </c>
      <c r="AN182" s="42">
        <v>202568.11</v>
      </c>
      <c r="AO182" s="43" t="s">
        <v>68</v>
      </c>
      <c r="AP182" s="60"/>
      <c r="AQ182" s="60"/>
      <c r="AR182" s="23">
        <v>46048</v>
      </c>
      <c r="AS182" s="23">
        <v>46048</v>
      </c>
      <c r="AT182" s="4"/>
      <c r="AU182" s="4"/>
      <c r="AV182" s="7" t="s">
        <v>254</v>
      </c>
      <c r="AW182" s="4"/>
      <c r="AX182" s="9" t="s">
        <v>71</v>
      </c>
      <c r="AY182" s="9"/>
      <c r="AZ182" s="4"/>
      <c r="BB182" t="str">
        <f>VLOOKUP(B182,contactos!$A$1:$D$484,4,FALSE)</f>
        <v>MONTSERRAT.IZQUIERDO@AGUAVIENTO.COM</v>
      </c>
    </row>
    <row r="183" spans="2:54" customFormat="1" x14ac:dyDescent="0.25">
      <c r="B183" s="102">
        <v>52670</v>
      </c>
      <c r="C183" s="89" t="s">
        <v>438</v>
      </c>
      <c r="D183" s="87">
        <v>173040.32</v>
      </c>
      <c r="E183" s="87">
        <v>0</v>
      </c>
      <c r="F183" s="87">
        <v>27686.451199999996</v>
      </c>
      <c r="G183" s="87">
        <v>200726.8</v>
      </c>
      <c r="H183" s="5">
        <v>0</v>
      </c>
      <c r="I183" s="5">
        <f t="shared" si="55"/>
        <v>173040.32</v>
      </c>
      <c r="J183" s="5"/>
      <c r="K183" s="5">
        <f t="shared" si="56"/>
        <v>173040.32</v>
      </c>
      <c r="L183" s="5">
        <f t="shared" si="57"/>
        <v>200726.77120000002</v>
      </c>
      <c r="M183" s="5"/>
      <c r="N183" s="5">
        <f t="shared" si="58"/>
        <v>200726.77120000002</v>
      </c>
      <c r="O183" s="96"/>
      <c r="P183" s="96"/>
      <c r="Q183" s="96"/>
      <c r="R183" s="21">
        <f t="shared" si="65"/>
        <v>0</v>
      </c>
      <c r="S183" s="96">
        <v>173040.32</v>
      </c>
      <c r="T183" s="21">
        <f t="shared" si="66"/>
        <v>0</v>
      </c>
      <c r="U183" s="21">
        <f t="shared" si="67"/>
        <v>27686.451199999996</v>
      </c>
      <c r="V183" s="21">
        <f t="shared" si="59"/>
        <v>200726.77120000002</v>
      </c>
      <c r="W183" s="96">
        <v>0</v>
      </c>
      <c r="X183" s="87"/>
      <c r="Y183" s="87"/>
      <c r="Z183" s="5">
        <f t="shared" si="60"/>
        <v>0</v>
      </c>
      <c r="AA183" s="5">
        <v>1116402.48</v>
      </c>
      <c r="AB183" s="5" t="s">
        <v>258</v>
      </c>
      <c r="AC183" s="5">
        <f t="shared" si="61"/>
        <v>173040.32</v>
      </c>
      <c r="AD183" s="5">
        <f t="shared" si="62"/>
        <v>200726.77120000002</v>
      </c>
      <c r="AE183" s="5">
        <f t="shared" si="63"/>
        <v>2.8799999970942736E-2</v>
      </c>
      <c r="AF183" s="5"/>
      <c r="AG183" s="5" t="s">
        <v>57</v>
      </c>
      <c r="AH183" s="5">
        <v>4</v>
      </c>
      <c r="AI183" s="5">
        <v>2</v>
      </c>
      <c r="AJ183" s="120" t="s">
        <v>439</v>
      </c>
      <c r="AK183" s="5" t="s">
        <v>59</v>
      </c>
      <c r="AL183" s="4" t="s">
        <v>60</v>
      </c>
      <c r="AM183" s="4" t="s">
        <v>137</v>
      </c>
      <c r="AN183" s="38"/>
      <c r="AO183" s="29"/>
      <c r="AP183" s="58"/>
      <c r="AQ183" s="58"/>
      <c r="AR183" s="23"/>
      <c r="AS183" s="23">
        <v>46323</v>
      </c>
      <c r="AT183" s="7">
        <v>46323</v>
      </c>
      <c r="AU183" s="7">
        <v>46323</v>
      </c>
      <c r="AV183" s="4" t="s">
        <v>440</v>
      </c>
      <c r="AW183" s="4"/>
      <c r="AX183" s="9"/>
      <c r="AY183" s="9"/>
      <c r="AZ183" s="4"/>
      <c r="BB183" t="str">
        <f>VLOOKUP(B183,contactos!$A$1:$D$484,4,FALSE)</f>
        <v>MARGARITAGUADALUPE.GONZALEZ@RECKITT.COM</v>
      </c>
    </row>
    <row r="184" spans="2:54" customFormat="1" x14ac:dyDescent="0.25">
      <c r="B184" s="100">
        <v>17183</v>
      </c>
      <c r="C184" s="4" t="s">
        <v>441</v>
      </c>
      <c r="D184" s="5">
        <v>168591.59999999998</v>
      </c>
      <c r="E184" s="5">
        <v>0</v>
      </c>
      <c r="F184" s="5">
        <v>26974.655999999995</v>
      </c>
      <c r="G184" s="5">
        <v>195566.30000000002</v>
      </c>
      <c r="H184" s="5">
        <v>195566.3</v>
      </c>
      <c r="I184" s="5">
        <f t="shared" si="55"/>
        <v>168591.59999999998</v>
      </c>
      <c r="J184" s="5"/>
      <c r="K184" s="5">
        <f t="shared" si="56"/>
        <v>168591.59999999998</v>
      </c>
      <c r="L184" s="5">
        <f t="shared" si="57"/>
        <v>195566.25599999996</v>
      </c>
      <c r="M184" s="5"/>
      <c r="N184" s="5">
        <f t="shared" si="58"/>
        <v>195566.25599999996</v>
      </c>
      <c r="O184" s="21"/>
      <c r="P184" s="21"/>
      <c r="Q184" s="21"/>
      <c r="R184" s="21">
        <f t="shared" si="65"/>
        <v>0</v>
      </c>
      <c r="S184" s="21">
        <v>168591.59999999998</v>
      </c>
      <c r="T184" s="21">
        <f t="shared" si="66"/>
        <v>0</v>
      </c>
      <c r="U184" s="21">
        <f t="shared" si="67"/>
        <v>26974.655999999995</v>
      </c>
      <c r="V184" s="21">
        <f t="shared" si="59"/>
        <v>195566.25599999996</v>
      </c>
      <c r="W184" s="21"/>
      <c r="X184" s="5"/>
      <c r="Y184" s="5"/>
      <c r="Z184" s="5">
        <f t="shared" si="60"/>
        <v>0</v>
      </c>
      <c r="AA184" s="5">
        <v>1133495.3999999999</v>
      </c>
      <c r="AB184" s="5" t="s">
        <v>258</v>
      </c>
      <c r="AC184" s="5">
        <f t="shared" si="61"/>
        <v>168591.59999999998</v>
      </c>
      <c r="AD184" s="5">
        <f t="shared" si="62"/>
        <v>195566.25599999996</v>
      </c>
      <c r="AE184" s="5">
        <f t="shared" si="63"/>
        <v>4.4000000052619725E-2</v>
      </c>
      <c r="AF184" s="5"/>
      <c r="AG184" s="5" t="s">
        <v>73</v>
      </c>
      <c r="AH184" s="5">
        <v>4</v>
      </c>
      <c r="AI184" s="5">
        <v>0</v>
      </c>
      <c r="AJ184" s="5" t="s">
        <v>212</v>
      </c>
      <c r="AK184" s="5" t="s">
        <v>256</v>
      </c>
      <c r="AL184" s="4" t="s">
        <v>90</v>
      </c>
      <c r="AM184" s="4" t="s">
        <v>148</v>
      </c>
      <c r="AN184" s="21"/>
      <c r="AO184" s="4"/>
      <c r="AP184" s="58"/>
      <c r="AQ184" s="58"/>
      <c r="AR184" s="23"/>
      <c r="AS184" s="23"/>
      <c r="AT184" s="4"/>
      <c r="AU184" s="4"/>
      <c r="AV184" s="4"/>
      <c r="AW184" s="4"/>
      <c r="AX184" s="9"/>
      <c r="AY184" s="9"/>
      <c r="AZ184" s="4"/>
      <c r="BB184" t="e">
        <f>VLOOKUP(B184,contactos!$A$1:$D$484,4,FALSE)</f>
        <v>#N/A</v>
      </c>
    </row>
    <row r="185" spans="2:54" customFormat="1" x14ac:dyDescent="0.25">
      <c r="B185" s="100">
        <v>9263</v>
      </c>
      <c r="C185" s="4" t="s">
        <v>442</v>
      </c>
      <c r="D185" s="5">
        <v>168036.17999999996</v>
      </c>
      <c r="E185" s="5">
        <v>0</v>
      </c>
      <c r="F185" s="5">
        <v>26885.798399999996</v>
      </c>
      <c r="G185" s="5">
        <v>194921.95999999996</v>
      </c>
      <c r="H185" s="5">
        <v>194921.97</v>
      </c>
      <c r="I185" s="5">
        <f t="shared" si="55"/>
        <v>168036.17999999996</v>
      </c>
      <c r="J185" s="5"/>
      <c r="K185" s="5">
        <f t="shared" si="56"/>
        <v>168036.17999999996</v>
      </c>
      <c r="L185" s="5">
        <f t="shared" si="57"/>
        <v>194921.97839999996</v>
      </c>
      <c r="M185" s="5"/>
      <c r="N185" s="5">
        <f t="shared" si="58"/>
        <v>194921.97839999996</v>
      </c>
      <c r="O185" s="21"/>
      <c r="P185" s="21"/>
      <c r="Q185" s="21"/>
      <c r="R185" s="21">
        <f t="shared" si="65"/>
        <v>0</v>
      </c>
      <c r="S185" s="21">
        <v>168036.17999999996</v>
      </c>
      <c r="T185" s="21">
        <f t="shared" si="66"/>
        <v>0</v>
      </c>
      <c r="U185" s="21">
        <f t="shared" si="67"/>
        <v>26885.798399999996</v>
      </c>
      <c r="V185" s="21">
        <f t="shared" si="59"/>
        <v>194921.97839999996</v>
      </c>
      <c r="W185" s="21"/>
      <c r="X185" s="5"/>
      <c r="Y185" s="5"/>
      <c r="Z185" s="5">
        <f t="shared" si="60"/>
        <v>0</v>
      </c>
      <c r="AA185" s="5">
        <v>131529.59</v>
      </c>
      <c r="AB185" s="5" t="s">
        <v>258</v>
      </c>
      <c r="AC185" s="5">
        <f t="shared" si="61"/>
        <v>168036.17999999996</v>
      </c>
      <c r="AD185" s="5">
        <f t="shared" si="62"/>
        <v>194921.97839999996</v>
      </c>
      <c r="AE185" s="5">
        <f t="shared" si="63"/>
        <v>-1.840000000083819E-2</v>
      </c>
      <c r="AF185" s="5"/>
      <c r="AG185" s="5" t="s">
        <v>73</v>
      </c>
      <c r="AH185" s="5">
        <v>4</v>
      </c>
      <c r="AI185" s="5">
        <v>0</v>
      </c>
      <c r="AJ185" s="5" t="s">
        <v>333</v>
      </c>
      <c r="AK185" s="5" t="s">
        <v>256</v>
      </c>
      <c r="AL185" s="4" t="s">
        <v>90</v>
      </c>
      <c r="AM185" s="4" t="s">
        <v>76</v>
      </c>
      <c r="AN185" s="21"/>
      <c r="AO185" s="4"/>
      <c r="AP185" s="58"/>
      <c r="AQ185" s="58"/>
      <c r="AR185" s="23"/>
      <c r="AS185" s="23"/>
      <c r="AT185" s="4"/>
      <c r="AU185" s="4"/>
      <c r="AV185" s="4"/>
      <c r="AW185" s="4"/>
      <c r="AX185" s="9"/>
      <c r="AY185" s="9"/>
      <c r="AZ185" s="4"/>
      <c r="BB185" t="e">
        <f>VLOOKUP(B185,contactos!$A$1:$D$484,4,FALSE)</f>
        <v>#N/A</v>
      </c>
    </row>
    <row r="186" spans="2:54" customFormat="1" x14ac:dyDescent="0.25">
      <c r="B186" s="100">
        <v>885</v>
      </c>
      <c r="C186" s="4" t="s">
        <v>443</v>
      </c>
      <c r="D186" s="5">
        <v>162633.99999999997</v>
      </c>
      <c r="E186" s="5">
        <v>0</v>
      </c>
      <c r="F186" s="5">
        <v>26021.455600000001</v>
      </c>
      <c r="G186" s="5">
        <v>188655.53000000003</v>
      </c>
      <c r="H186" s="5">
        <v>188655.45</v>
      </c>
      <c r="I186" s="5">
        <f t="shared" si="55"/>
        <v>162633.99999999997</v>
      </c>
      <c r="J186" s="5"/>
      <c r="K186" s="5">
        <f t="shared" si="56"/>
        <v>162633.99999999997</v>
      </c>
      <c r="L186" s="5">
        <f t="shared" si="57"/>
        <v>188655.45559999999</v>
      </c>
      <c r="M186" s="5"/>
      <c r="N186" s="5">
        <f t="shared" si="58"/>
        <v>188655.45559999999</v>
      </c>
      <c r="O186" s="21"/>
      <c r="P186" s="21"/>
      <c r="Q186" s="21"/>
      <c r="R186" s="21">
        <f t="shared" si="65"/>
        <v>0</v>
      </c>
      <c r="S186" s="21">
        <v>162633.99999999997</v>
      </c>
      <c r="T186" s="21">
        <f t="shared" si="66"/>
        <v>0</v>
      </c>
      <c r="U186" s="21">
        <f t="shared" si="67"/>
        <v>26021.455600000001</v>
      </c>
      <c r="V186" s="21">
        <f t="shared" si="59"/>
        <v>188655.45559999999</v>
      </c>
      <c r="W186" s="21"/>
      <c r="X186" s="5"/>
      <c r="Y186" s="5"/>
      <c r="Z186" s="5">
        <f t="shared" si="60"/>
        <v>0</v>
      </c>
      <c r="AA186" s="5">
        <v>1096864.3400000001</v>
      </c>
      <c r="AB186" s="5" t="s">
        <v>258</v>
      </c>
      <c r="AC186" s="5">
        <f t="shared" si="61"/>
        <v>162633.99999999997</v>
      </c>
      <c r="AD186" s="5">
        <f t="shared" si="62"/>
        <v>188655.45559999999</v>
      </c>
      <c r="AE186" s="5">
        <f t="shared" si="63"/>
        <v>7.4400000041350722E-2</v>
      </c>
      <c r="AF186" s="5"/>
      <c r="AG186" s="5" t="s">
        <v>73</v>
      </c>
      <c r="AH186" s="5">
        <v>4</v>
      </c>
      <c r="AI186" s="5">
        <v>0</v>
      </c>
      <c r="AJ186" s="5" t="s">
        <v>212</v>
      </c>
      <c r="AK186" s="5" t="s">
        <v>256</v>
      </c>
      <c r="AL186" s="4" t="s">
        <v>90</v>
      </c>
      <c r="AM186" s="4" t="s">
        <v>94</v>
      </c>
      <c r="AN186" s="21"/>
      <c r="AO186" s="4"/>
      <c r="AP186" s="58"/>
      <c r="AQ186" s="58"/>
      <c r="AR186" s="23"/>
      <c r="AS186" s="23"/>
      <c r="AT186" s="4"/>
      <c r="AU186" s="4"/>
      <c r="AV186" s="4"/>
      <c r="AW186" s="4"/>
      <c r="AX186" s="9"/>
      <c r="AY186" s="9"/>
      <c r="AZ186" s="4"/>
      <c r="BB186" t="e">
        <f>VLOOKUP(B186,contactos!$A$1:$D$484,4,FALSE)</f>
        <v>#N/A</v>
      </c>
    </row>
    <row r="187" spans="2:54" customFormat="1" x14ac:dyDescent="0.25">
      <c r="B187" s="100">
        <v>206417</v>
      </c>
      <c r="C187" s="4" t="s">
        <v>444</v>
      </c>
      <c r="D187" s="5">
        <v>186580.51933283647</v>
      </c>
      <c r="E187" s="5">
        <v>0</v>
      </c>
      <c r="F187" s="5">
        <v>0</v>
      </c>
      <c r="G187" s="5">
        <v>186580.53999999998</v>
      </c>
      <c r="H187" s="5">
        <v>186580.54</v>
      </c>
      <c r="I187" s="5">
        <f t="shared" si="55"/>
        <v>186580.51933283647</v>
      </c>
      <c r="J187" s="5"/>
      <c r="K187" s="5">
        <f t="shared" si="56"/>
        <v>186580.51933283647</v>
      </c>
      <c r="L187" s="5">
        <f t="shared" si="57"/>
        <v>186580.51933283647</v>
      </c>
      <c r="M187" s="5"/>
      <c r="N187" s="5">
        <f t="shared" si="58"/>
        <v>186580.51933283647</v>
      </c>
      <c r="O187" s="21"/>
      <c r="P187" s="21"/>
      <c r="Q187" s="21"/>
      <c r="R187" s="21">
        <f t="shared" si="65"/>
        <v>0</v>
      </c>
      <c r="S187" s="21">
        <v>186580.51933283647</v>
      </c>
      <c r="T187" s="21">
        <f t="shared" si="66"/>
        <v>0</v>
      </c>
      <c r="U187" s="21">
        <f t="shared" si="67"/>
        <v>0</v>
      </c>
      <c r="V187" s="21">
        <f t="shared" si="59"/>
        <v>186580.51933283647</v>
      </c>
      <c r="W187" s="21"/>
      <c r="X187" s="5"/>
      <c r="Y187" s="5"/>
      <c r="Z187" s="5">
        <f t="shared" si="60"/>
        <v>0</v>
      </c>
      <c r="AA187" s="5">
        <v>416401.78</v>
      </c>
      <c r="AB187" s="5" t="s">
        <v>258</v>
      </c>
      <c r="AC187" s="5">
        <f t="shared" si="61"/>
        <v>186580.51933283647</v>
      </c>
      <c r="AD187" s="5">
        <f t="shared" si="62"/>
        <v>186580.51933283647</v>
      </c>
      <c r="AE187" s="5">
        <f t="shared" si="63"/>
        <v>2.0667163509642705E-2</v>
      </c>
      <c r="AF187" s="5"/>
      <c r="AG187" s="5" t="s">
        <v>238</v>
      </c>
      <c r="AH187" s="5">
        <v>4</v>
      </c>
      <c r="AI187" s="5">
        <v>0</v>
      </c>
      <c r="AJ187" s="5">
        <v>0</v>
      </c>
      <c r="AK187" s="5" t="s">
        <v>256</v>
      </c>
      <c r="AL187" s="4" t="s">
        <v>90</v>
      </c>
      <c r="AM187" s="4" t="s">
        <v>91</v>
      </c>
      <c r="AN187" s="21"/>
      <c r="AO187" s="4"/>
      <c r="AP187" s="58"/>
      <c r="AQ187" s="58"/>
      <c r="AR187" s="23"/>
      <c r="AS187" s="23"/>
      <c r="AT187" s="4"/>
      <c r="AU187" s="4"/>
      <c r="AV187" s="4"/>
      <c r="AW187" s="4"/>
      <c r="AX187" s="9"/>
      <c r="AY187" s="9"/>
      <c r="AZ187" s="4"/>
      <c r="BB187" t="str">
        <f>VLOOKUP(B187,contactos!$A$1:$D$484,4,FALSE)</f>
        <v>eduardo.pena@lechesanmarcos.com.mx</v>
      </c>
    </row>
    <row r="188" spans="2:54" customFormat="1" x14ac:dyDescent="0.25">
      <c r="B188" s="100">
        <v>9506</v>
      </c>
      <c r="C188" s="4" t="s">
        <v>445</v>
      </c>
      <c r="D188" s="5">
        <v>186479.81999999998</v>
      </c>
      <c r="E188" s="5">
        <v>0</v>
      </c>
      <c r="F188" s="5">
        <v>0</v>
      </c>
      <c r="G188" s="5">
        <v>186479.81999999998</v>
      </c>
      <c r="H188" s="5">
        <v>186479.82</v>
      </c>
      <c r="I188" s="5">
        <f t="shared" si="55"/>
        <v>186479.81999999998</v>
      </c>
      <c r="J188" s="5"/>
      <c r="K188" s="5">
        <f t="shared" si="56"/>
        <v>186479.81999999998</v>
      </c>
      <c r="L188" s="5">
        <f t="shared" si="57"/>
        <v>186479.81999999998</v>
      </c>
      <c r="M188" s="5"/>
      <c r="N188" s="5">
        <f t="shared" si="58"/>
        <v>186479.81999999998</v>
      </c>
      <c r="O188" s="21"/>
      <c r="P188" s="21"/>
      <c r="Q188" s="21"/>
      <c r="R188" s="21">
        <f t="shared" si="65"/>
        <v>0</v>
      </c>
      <c r="S188" s="21">
        <v>186479.81999999998</v>
      </c>
      <c r="T188" s="21">
        <f t="shared" si="66"/>
        <v>0</v>
      </c>
      <c r="U188" s="21">
        <f t="shared" si="67"/>
        <v>0</v>
      </c>
      <c r="V188" s="21">
        <f t="shared" si="59"/>
        <v>186479.81999999998</v>
      </c>
      <c r="W188" s="21"/>
      <c r="X188" s="5"/>
      <c r="Y188" s="5"/>
      <c r="Z188" s="5">
        <f t="shared" si="60"/>
        <v>0</v>
      </c>
      <c r="AA188" s="5"/>
      <c r="AB188" s="5" t="s">
        <v>258</v>
      </c>
      <c r="AC188" s="5">
        <f t="shared" si="61"/>
        <v>186479.81999999998</v>
      </c>
      <c r="AD188" s="5">
        <f t="shared" si="62"/>
        <v>186479.81999999998</v>
      </c>
      <c r="AE188" s="5">
        <f t="shared" si="63"/>
        <v>0</v>
      </c>
      <c r="AF188" s="5"/>
      <c r="AG188" s="5" t="s">
        <v>238</v>
      </c>
      <c r="AH188" s="5">
        <v>4</v>
      </c>
      <c r="AI188" s="5">
        <v>0</v>
      </c>
      <c r="AJ188" s="5">
        <v>0</v>
      </c>
      <c r="AK188" s="5" t="s">
        <v>256</v>
      </c>
      <c r="AL188" s="4" t="s">
        <v>90</v>
      </c>
      <c r="AM188" s="4" t="s">
        <v>91</v>
      </c>
      <c r="AN188" s="21"/>
      <c r="AO188" s="4"/>
      <c r="AP188" s="58"/>
      <c r="AQ188" s="58"/>
      <c r="AR188" s="23"/>
      <c r="AS188" s="23"/>
      <c r="AT188" s="4"/>
      <c r="AU188" s="4"/>
      <c r="AV188" s="4"/>
      <c r="AW188" s="4"/>
      <c r="AX188" s="9"/>
      <c r="AY188" s="9"/>
      <c r="AZ188" s="4"/>
      <c r="BB188" t="str">
        <f>VLOOKUP(B188,contactos!$A$1:$D$484,4,FALSE)</f>
        <v>federico.rodriguez@cremeria-americana.com.mx</v>
      </c>
    </row>
    <row r="189" spans="2:54" customFormat="1" x14ac:dyDescent="0.25">
      <c r="B189" s="100">
        <v>388801</v>
      </c>
      <c r="C189" s="4" t="s">
        <v>446</v>
      </c>
      <c r="D189" s="5">
        <v>156694.99968393499</v>
      </c>
      <c r="E189" s="5">
        <v>0</v>
      </c>
      <c r="F189" s="5">
        <v>25071.1999494296</v>
      </c>
      <c r="G189" s="5">
        <v>181766.26</v>
      </c>
      <c r="H189" s="5">
        <v>181766.19</v>
      </c>
      <c r="I189" s="5">
        <f t="shared" si="55"/>
        <v>156694.99968393499</v>
      </c>
      <c r="J189" s="5"/>
      <c r="K189" s="5">
        <f t="shared" si="56"/>
        <v>156694.99968393499</v>
      </c>
      <c r="L189" s="5">
        <f t="shared" si="57"/>
        <v>181766.19963336459</v>
      </c>
      <c r="M189" s="5"/>
      <c r="N189" s="5">
        <f t="shared" si="58"/>
        <v>181766.19963336459</v>
      </c>
      <c r="O189" s="21"/>
      <c r="P189" s="21"/>
      <c r="Q189" s="21"/>
      <c r="R189" s="21">
        <f t="shared" si="65"/>
        <v>0</v>
      </c>
      <c r="S189" s="21">
        <v>156694.99968393499</v>
      </c>
      <c r="T189" s="21">
        <f t="shared" si="66"/>
        <v>0</v>
      </c>
      <c r="U189" s="21">
        <f t="shared" si="67"/>
        <v>25071.1999494296</v>
      </c>
      <c r="V189" s="21">
        <f t="shared" si="59"/>
        <v>181766.19963336459</v>
      </c>
      <c r="W189" s="21"/>
      <c r="X189" s="5"/>
      <c r="Y189" s="5"/>
      <c r="Z189" s="5">
        <f t="shared" si="60"/>
        <v>0</v>
      </c>
      <c r="AA189" s="5">
        <v>244464.55</v>
      </c>
      <c r="AB189" s="5" t="s">
        <v>258</v>
      </c>
      <c r="AC189" s="5">
        <f t="shared" si="61"/>
        <v>156694.99968393499</v>
      </c>
      <c r="AD189" s="5">
        <f t="shared" si="62"/>
        <v>181766.19963336459</v>
      </c>
      <c r="AE189" s="5">
        <f t="shared" si="63"/>
        <v>6.0366635414538905E-2</v>
      </c>
      <c r="AF189" s="5"/>
      <c r="AG189" s="5" t="s">
        <v>73</v>
      </c>
      <c r="AH189" s="5">
        <v>4</v>
      </c>
      <c r="AI189" s="5">
        <v>0</v>
      </c>
      <c r="AJ189" s="5">
        <v>0</v>
      </c>
      <c r="AK189" s="5" t="s">
        <v>256</v>
      </c>
      <c r="AL189" s="4" t="s">
        <v>90</v>
      </c>
      <c r="AM189" s="4" t="s">
        <v>162</v>
      </c>
      <c r="AN189" s="21"/>
      <c r="AO189" s="4"/>
      <c r="AP189" s="58"/>
      <c r="AQ189" s="58"/>
      <c r="AR189" s="23"/>
      <c r="AS189" s="23"/>
      <c r="AT189" s="4"/>
      <c r="AU189" s="4"/>
      <c r="AV189" s="4"/>
      <c r="AW189" s="4"/>
      <c r="AX189" s="9"/>
      <c r="AY189" s="9"/>
      <c r="AZ189" s="4"/>
      <c r="BB189" t="e">
        <f>VLOOKUP(B189,contactos!$A$1:$D$484,4,FALSE)</f>
        <v>#N/A</v>
      </c>
    </row>
    <row r="190" spans="2:54" customFormat="1" x14ac:dyDescent="0.25">
      <c r="B190" s="100">
        <v>21844</v>
      </c>
      <c r="C190" s="4" t="s">
        <v>447</v>
      </c>
      <c r="D190" s="5">
        <v>180095.14889697559</v>
      </c>
      <c r="E190" s="5">
        <v>0</v>
      </c>
      <c r="F190" s="5">
        <v>0</v>
      </c>
      <c r="G190" s="5">
        <v>180095.16510000001</v>
      </c>
      <c r="H190" s="5">
        <v>180095.14</v>
      </c>
      <c r="I190" s="5">
        <f t="shared" si="55"/>
        <v>180095.14889697559</v>
      </c>
      <c r="J190" s="5"/>
      <c r="K190" s="5">
        <f t="shared" si="56"/>
        <v>180095.14889697559</v>
      </c>
      <c r="L190" s="5">
        <f t="shared" si="57"/>
        <v>180095.14889697559</v>
      </c>
      <c r="M190" s="5"/>
      <c r="N190" s="5">
        <f t="shared" si="58"/>
        <v>180095.14889697559</v>
      </c>
      <c r="O190" s="21"/>
      <c r="P190" s="21"/>
      <c r="Q190" s="21"/>
      <c r="R190" s="21">
        <f t="shared" si="65"/>
        <v>0</v>
      </c>
      <c r="S190" s="21">
        <v>180095.14889697559</v>
      </c>
      <c r="T190" s="21">
        <f t="shared" ref="T190:T221" si="68">E190-X190</f>
        <v>0</v>
      </c>
      <c r="U190" s="21">
        <f t="shared" ref="U190:U220" si="69">F190-Y190</f>
        <v>0</v>
      </c>
      <c r="V190" s="21">
        <f t="shared" si="59"/>
        <v>180095.14889697559</v>
      </c>
      <c r="W190" s="21"/>
      <c r="X190" s="5"/>
      <c r="Y190" s="5"/>
      <c r="Z190" s="5">
        <f t="shared" si="60"/>
        <v>0</v>
      </c>
      <c r="AA190" s="5"/>
      <c r="AB190" s="5" t="s">
        <v>258</v>
      </c>
      <c r="AC190" s="5">
        <f t="shared" si="61"/>
        <v>180095.14889697559</v>
      </c>
      <c r="AD190" s="5">
        <f t="shared" si="62"/>
        <v>180095.14889697559</v>
      </c>
      <c r="AE190" s="5">
        <f t="shared" si="63"/>
        <v>1.6203024424612522E-2</v>
      </c>
      <c r="AF190" s="5"/>
      <c r="AG190" s="5" t="s">
        <v>73</v>
      </c>
      <c r="AH190" s="5">
        <v>4</v>
      </c>
      <c r="AI190" s="5">
        <v>0</v>
      </c>
      <c r="AJ190" s="5" t="s">
        <v>333</v>
      </c>
      <c r="AK190" s="5" t="s">
        <v>256</v>
      </c>
      <c r="AL190" s="4" t="s">
        <v>90</v>
      </c>
      <c r="AM190" s="4" t="s">
        <v>137</v>
      </c>
      <c r="AN190" s="21"/>
      <c r="AO190" s="4"/>
      <c r="AP190" s="58"/>
      <c r="AQ190" s="58"/>
      <c r="AR190" s="23"/>
      <c r="AS190" s="23"/>
      <c r="AT190" s="4"/>
      <c r="AU190" s="4"/>
      <c r="AV190" s="4"/>
      <c r="AW190" s="4"/>
      <c r="AX190" s="9"/>
      <c r="AY190" s="9"/>
      <c r="AZ190" s="4"/>
      <c r="BB190" t="str">
        <f>VLOOKUP(B190,contactos!$A$1:$D$484,4,FALSE)</f>
        <v>amancilla@campofresco.com.mx</v>
      </c>
    </row>
    <row r="191" spans="2:54" customFormat="1" x14ac:dyDescent="0.25">
      <c r="B191" s="100">
        <v>392183</v>
      </c>
      <c r="C191" s="4" t="s">
        <v>448</v>
      </c>
      <c r="D191" s="5">
        <v>152311.541980104</v>
      </c>
      <c r="E191" s="5">
        <v>0</v>
      </c>
      <c r="F191" s="5">
        <v>24369.854116816638</v>
      </c>
      <c r="G191" s="5">
        <v>176681.39</v>
      </c>
      <c r="H191" s="5">
        <v>176681.39</v>
      </c>
      <c r="I191" s="5">
        <f t="shared" si="55"/>
        <v>152311.541980104</v>
      </c>
      <c r="J191" s="5"/>
      <c r="K191" s="5">
        <f t="shared" si="56"/>
        <v>152311.541980104</v>
      </c>
      <c r="L191" s="5">
        <f t="shared" si="57"/>
        <v>176681.39609692062</v>
      </c>
      <c r="M191" s="5"/>
      <c r="N191" s="5">
        <f t="shared" si="58"/>
        <v>176681.39609692062</v>
      </c>
      <c r="O191" s="21"/>
      <c r="P191" s="21"/>
      <c r="Q191" s="21"/>
      <c r="R191" s="21">
        <f t="shared" si="65"/>
        <v>0</v>
      </c>
      <c r="S191" s="21">
        <v>152311.541980104</v>
      </c>
      <c r="T191" s="21">
        <f t="shared" si="68"/>
        <v>0</v>
      </c>
      <c r="U191" s="21">
        <f t="shared" si="69"/>
        <v>24369.854116816638</v>
      </c>
      <c r="V191" s="21">
        <f t="shared" si="59"/>
        <v>176681.39609692062</v>
      </c>
      <c r="W191" s="21"/>
      <c r="X191" s="5"/>
      <c r="Y191" s="5"/>
      <c r="Z191" s="5">
        <f t="shared" si="60"/>
        <v>0</v>
      </c>
      <c r="AA191" s="5">
        <v>25384.6</v>
      </c>
      <c r="AB191" s="5" t="s">
        <v>258</v>
      </c>
      <c r="AC191" s="5">
        <f t="shared" si="61"/>
        <v>152311.541980104</v>
      </c>
      <c r="AD191" s="5">
        <f t="shared" si="62"/>
        <v>176681.39609692062</v>
      </c>
      <c r="AE191" s="5">
        <f t="shared" si="63"/>
        <v>-6.0969206097070128E-3</v>
      </c>
      <c r="AF191" s="5"/>
      <c r="AG191" s="5" t="s">
        <v>238</v>
      </c>
      <c r="AH191" s="5">
        <v>4</v>
      </c>
      <c r="AI191" s="5">
        <v>0</v>
      </c>
      <c r="AJ191" s="5" t="s">
        <v>212</v>
      </c>
      <c r="AK191" s="5" t="s">
        <v>256</v>
      </c>
      <c r="AL191" s="4" t="s">
        <v>90</v>
      </c>
      <c r="AM191" s="4" t="s">
        <v>148</v>
      </c>
      <c r="AN191" s="21"/>
      <c r="AO191" s="4"/>
      <c r="AP191" s="58"/>
      <c r="AQ191" s="58"/>
      <c r="AR191" s="23"/>
      <c r="AS191" s="23"/>
      <c r="AT191" s="4"/>
      <c r="AU191" s="4"/>
      <c r="AV191" s="4"/>
      <c r="AW191" s="4"/>
      <c r="AX191" s="9"/>
      <c r="AY191" s="9"/>
      <c r="AZ191" s="4"/>
      <c r="BB191" t="e">
        <f>VLOOKUP(B191,contactos!$A$1:$D$484,4,FALSE)</f>
        <v>#N/A</v>
      </c>
    </row>
    <row r="192" spans="2:54" customFormat="1" x14ac:dyDescent="0.25">
      <c r="B192" s="100">
        <v>55814</v>
      </c>
      <c r="C192" s="4" t="s">
        <v>449</v>
      </c>
      <c r="D192" s="5">
        <v>171441.06</v>
      </c>
      <c r="E192" s="5">
        <v>2482.5024000000003</v>
      </c>
      <c r="F192" s="5">
        <v>0</v>
      </c>
      <c r="G192" s="5">
        <v>173923.56</v>
      </c>
      <c r="H192" s="5">
        <v>173923.56</v>
      </c>
      <c r="I192" s="5">
        <f t="shared" si="55"/>
        <v>171441.06</v>
      </c>
      <c r="J192" s="5"/>
      <c r="K192" s="5">
        <f t="shared" si="56"/>
        <v>171441.06</v>
      </c>
      <c r="L192" s="5">
        <f t="shared" si="57"/>
        <v>173923.5624</v>
      </c>
      <c r="M192" s="5"/>
      <c r="N192" s="5">
        <f t="shared" si="58"/>
        <v>173923.5624</v>
      </c>
      <c r="O192" s="21"/>
      <c r="P192" s="21"/>
      <c r="Q192" s="21"/>
      <c r="R192" s="21">
        <f t="shared" si="65"/>
        <v>0</v>
      </c>
      <c r="S192" s="21">
        <v>171441.06</v>
      </c>
      <c r="T192" s="21">
        <f t="shared" si="68"/>
        <v>2482.5024000000003</v>
      </c>
      <c r="U192" s="21">
        <f t="shared" si="69"/>
        <v>0</v>
      </c>
      <c r="V192" s="21">
        <f t="shared" si="59"/>
        <v>173923.5624</v>
      </c>
      <c r="W192" s="21"/>
      <c r="X192" s="5"/>
      <c r="Y192" s="5"/>
      <c r="Z192" s="5">
        <f t="shared" si="60"/>
        <v>0</v>
      </c>
      <c r="AA192" s="5"/>
      <c r="AB192" s="5" t="s">
        <v>258</v>
      </c>
      <c r="AC192" s="5">
        <f t="shared" si="61"/>
        <v>171441.06</v>
      </c>
      <c r="AD192" s="5">
        <f t="shared" si="62"/>
        <v>173923.5624</v>
      </c>
      <c r="AE192" s="5">
        <f t="shared" si="63"/>
        <v>-2.3999999975785613E-3</v>
      </c>
      <c r="AF192" s="5"/>
      <c r="AG192" s="5" t="s">
        <v>238</v>
      </c>
      <c r="AH192" s="5">
        <v>4</v>
      </c>
      <c r="AI192" s="5">
        <v>0</v>
      </c>
      <c r="AJ192" s="5">
        <v>0</v>
      </c>
      <c r="AK192" s="5" t="s">
        <v>256</v>
      </c>
      <c r="AL192" s="4" t="s">
        <v>90</v>
      </c>
      <c r="AM192" s="4" t="s">
        <v>112</v>
      </c>
      <c r="AN192" s="21"/>
      <c r="AO192" s="4"/>
      <c r="AP192" s="58"/>
      <c r="AQ192" s="58"/>
      <c r="AR192" s="23"/>
      <c r="AS192" s="23"/>
      <c r="AT192" s="4"/>
      <c r="AU192" s="4"/>
      <c r="AV192" s="4"/>
      <c r="AW192" s="4"/>
      <c r="AX192" s="9"/>
      <c r="AY192" s="9"/>
      <c r="AZ192" s="4"/>
      <c r="BB192" t="str">
        <f>VLOOKUP(B192,contactos!$A$1:$D$484,4,FALSE)</f>
        <v>lmeza@rich.com</v>
      </c>
    </row>
    <row r="193" spans="2:54" customFormat="1" x14ac:dyDescent="0.25">
      <c r="B193" s="100">
        <v>82875</v>
      </c>
      <c r="C193" s="4" t="s">
        <v>450</v>
      </c>
      <c r="D193" s="5">
        <v>162255.21959211802</v>
      </c>
      <c r="E193" s="5">
        <v>0</v>
      </c>
      <c r="F193" s="5">
        <v>0</v>
      </c>
      <c r="G193" s="5">
        <v>162255.21650000001</v>
      </c>
      <c r="H193" s="5">
        <v>0</v>
      </c>
      <c r="I193" s="5">
        <f t="shared" si="55"/>
        <v>162255.21959211802</v>
      </c>
      <c r="J193" s="5"/>
      <c r="K193" s="5">
        <f t="shared" si="56"/>
        <v>162255.21959211802</v>
      </c>
      <c r="L193" s="5">
        <f t="shared" si="57"/>
        <v>162255.21959211802</v>
      </c>
      <c r="M193" s="5"/>
      <c r="N193" s="5">
        <f t="shared" si="58"/>
        <v>162255.21959211802</v>
      </c>
      <c r="O193" s="21"/>
      <c r="P193" s="21"/>
      <c r="Q193" s="21"/>
      <c r="R193" s="21">
        <f t="shared" si="65"/>
        <v>0</v>
      </c>
      <c r="S193" s="21">
        <v>162255.21959211802</v>
      </c>
      <c r="T193" s="21">
        <f t="shared" si="68"/>
        <v>0</v>
      </c>
      <c r="U193" s="21">
        <f t="shared" si="69"/>
        <v>0</v>
      </c>
      <c r="V193" s="21">
        <f t="shared" si="59"/>
        <v>162255.21959211802</v>
      </c>
      <c r="W193" s="21"/>
      <c r="X193" s="5"/>
      <c r="Y193" s="5"/>
      <c r="Z193" s="5">
        <f t="shared" si="60"/>
        <v>0</v>
      </c>
      <c r="AA193" s="5">
        <v>1110110.6399999999</v>
      </c>
      <c r="AB193" s="5" t="s">
        <v>258</v>
      </c>
      <c r="AC193" s="5">
        <f t="shared" si="61"/>
        <v>162255.21959211802</v>
      </c>
      <c r="AD193" s="5">
        <f t="shared" si="62"/>
        <v>162255.21959211802</v>
      </c>
      <c r="AE193" s="5">
        <f t="shared" si="63"/>
        <v>-3.0921180150471628E-3</v>
      </c>
      <c r="AF193" s="5"/>
      <c r="AG193" s="5" t="s">
        <v>73</v>
      </c>
      <c r="AH193" s="5">
        <v>4</v>
      </c>
      <c r="AI193" s="5">
        <v>0</v>
      </c>
      <c r="AJ193" s="5">
        <v>0</v>
      </c>
      <c r="AK193" s="5" t="s">
        <v>256</v>
      </c>
      <c r="AL193" s="4" t="s">
        <v>90</v>
      </c>
      <c r="AM193" s="4" t="s">
        <v>112</v>
      </c>
      <c r="AN193" s="21"/>
      <c r="AO193" s="4"/>
      <c r="AP193" s="58"/>
      <c r="AQ193" s="58"/>
      <c r="AR193" s="23"/>
      <c r="AS193" s="23"/>
      <c r="AT193" s="4"/>
      <c r="AU193" s="4"/>
      <c r="AV193" s="4"/>
      <c r="AW193" s="4"/>
      <c r="AX193" s="9"/>
      <c r="AY193" s="9"/>
      <c r="AZ193" s="4"/>
      <c r="BB193" t="e">
        <f>VLOOKUP(B193,contactos!$A$1:$D$484,4,FALSE)</f>
        <v>#N/A</v>
      </c>
    </row>
    <row r="194" spans="2:54" customFormat="1" x14ac:dyDescent="0.25">
      <c r="B194" s="100">
        <v>16433</v>
      </c>
      <c r="C194" s="4" t="s">
        <v>451</v>
      </c>
      <c r="D194" s="5">
        <v>137443.82999999999</v>
      </c>
      <c r="E194" s="5">
        <v>0</v>
      </c>
      <c r="F194" s="5">
        <v>21991.029800000004</v>
      </c>
      <c r="G194" s="5">
        <v>159434.88</v>
      </c>
      <c r="H194" s="5">
        <v>159434.51999999999</v>
      </c>
      <c r="I194" s="5">
        <f t="shared" si="55"/>
        <v>137443.82999999999</v>
      </c>
      <c r="J194" s="5"/>
      <c r="K194" s="5">
        <f t="shared" si="56"/>
        <v>137443.82999999999</v>
      </c>
      <c r="L194" s="5">
        <f t="shared" si="57"/>
        <v>159434.85979999998</v>
      </c>
      <c r="M194" s="5"/>
      <c r="N194" s="5">
        <f t="shared" si="58"/>
        <v>159434.85979999998</v>
      </c>
      <c r="O194" s="21"/>
      <c r="P194" s="21"/>
      <c r="Q194" s="21"/>
      <c r="R194" s="21">
        <f t="shared" si="65"/>
        <v>0</v>
      </c>
      <c r="S194" s="21">
        <v>137443.82999999999</v>
      </c>
      <c r="T194" s="21">
        <f t="shared" si="68"/>
        <v>0</v>
      </c>
      <c r="U194" s="21">
        <f t="shared" si="69"/>
        <v>21991.029800000004</v>
      </c>
      <c r="V194" s="21">
        <f t="shared" si="59"/>
        <v>159434.85979999998</v>
      </c>
      <c r="W194" s="21"/>
      <c r="X194" s="5"/>
      <c r="Y194" s="5"/>
      <c r="Z194" s="5">
        <f t="shared" si="60"/>
        <v>0</v>
      </c>
      <c r="AA194" s="5">
        <v>375750.38</v>
      </c>
      <c r="AB194" s="5" t="s">
        <v>258</v>
      </c>
      <c r="AC194" s="5">
        <f t="shared" si="61"/>
        <v>137443.82999999999</v>
      </c>
      <c r="AD194" s="5">
        <f t="shared" si="62"/>
        <v>159434.85979999998</v>
      </c>
      <c r="AE194" s="5">
        <f t="shared" si="63"/>
        <v>2.0200000028125942E-2</v>
      </c>
      <c r="AF194" s="5"/>
      <c r="AG194" s="5" t="s">
        <v>73</v>
      </c>
      <c r="AH194" s="5">
        <v>4</v>
      </c>
      <c r="AI194" s="5">
        <v>0</v>
      </c>
      <c r="AJ194" s="120" t="s">
        <v>296</v>
      </c>
      <c r="AK194" s="5" t="s">
        <v>256</v>
      </c>
      <c r="AL194" s="4" t="s">
        <v>90</v>
      </c>
      <c r="AM194" s="4" t="s">
        <v>216</v>
      </c>
      <c r="AN194" s="21"/>
      <c r="AO194" s="4"/>
      <c r="AP194" s="58"/>
      <c r="AQ194" s="58"/>
      <c r="AR194" s="23"/>
      <c r="AS194" s="23"/>
      <c r="AT194" s="4"/>
      <c r="AU194" s="4"/>
      <c r="AV194" s="4"/>
      <c r="AW194" s="4"/>
      <c r="AX194" s="9"/>
      <c r="AY194" s="9"/>
      <c r="AZ194" s="4"/>
      <c r="BB194" t="e">
        <f>VLOOKUP(B194,contactos!$A$1:$D$484,4,FALSE)</f>
        <v>#N/A</v>
      </c>
    </row>
    <row r="195" spans="2:54" customFormat="1" x14ac:dyDescent="0.25">
      <c r="B195" s="100">
        <v>8939</v>
      </c>
      <c r="C195" s="4" t="s">
        <v>452</v>
      </c>
      <c r="D195" s="5">
        <v>155960.33757873203</v>
      </c>
      <c r="E195" s="5">
        <v>0</v>
      </c>
      <c r="F195" s="5">
        <v>0</v>
      </c>
      <c r="G195" s="5">
        <v>155960.34000000003</v>
      </c>
      <c r="H195" s="5">
        <v>130896.48</v>
      </c>
      <c r="I195" s="5">
        <f t="shared" si="55"/>
        <v>19272.697578732012</v>
      </c>
      <c r="J195" s="5">
        <v>0</v>
      </c>
      <c r="K195" s="5">
        <f t="shared" si="56"/>
        <v>19272.697578732012</v>
      </c>
      <c r="L195" s="5">
        <f t="shared" si="57"/>
        <v>19272.697578732012</v>
      </c>
      <c r="M195" s="5">
        <v>0</v>
      </c>
      <c r="N195" s="5">
        <f t="shared" si="58"/>
        <v>19272.697578732012</v>
      </c>
      <c r="O195" s="21"/>
      <c r="P195" s="21"/>
      <c r="Q195" s="21"/>
      <c r="R195" s="21">
        <f t="shared" si="65"/>
        <v>0</v>
      </c>
      <c r="S195" s="21">
        <f>D195-W195</f>
        <v>19272.697578732012</v>
      </c>
      <c r="T195" s="21">
        <f t="shared" si="68"/>
        <v>0</v>
      </c>
      <c r="U195" s="21">
        <f t="shared" si="69"/>
        <v>0</v>
      </c>
      <c r="V195" s="21">
        <f>SUM(S195:U195)</f>
        <v>19272.697578732012</v>
      </c>
      <c r="W195" s="21">
        <v>136687.64000000001</v>
      </c>
      <c r="X195" s="5">
        <v>0</v>
      </c>
      <c r="Y195" s="5">
        <v>0</v>
      </c>
      <c r="Z195" s="5">
        <f>SUM(W195:Y195)</f>
        <v>136687.64000000001</v>
      </c>
      <c r="AA195" s="5">
        <v>25063.86</v>
      </c>
      <c r="AB195" s="5" t="s">
        <v>258</v>
      </c>
      <c r="AC195" s="5">
        <f>O195+S195+W195</f>
        <v>155960.33757873203</v>
      </c>
      <c r="AD195" s="5">
        <f>R195+V195+Z195</f>
        <v>155960.33757873203</v>
      </c>
      <c r="AE195" s="5">
        <f>G195-AD195</f>
        <v>2.4212680000346154E-3</v>
      </c>
      <c r="AF195" s="5"/>
      <c r="AG195" s="5" t="s">
        <v>57</v>
      </c>
      <c r="AH195" s="5">
        <v>4</v>
      </c>
      <c r="AI195" s="5">
        <v>7</v>
      </c>
      <c r="AJ195" s="6" t="s">
        <v>453</v>
      </c>
      <c r="AK195" s="5" t="s">
        <v>59</v>
      </c>
      <c r="AL195" s="4" t="s">
        <v>75</v>
      </c>
      <c r="AM195" s="6" t="s">
        <v>76</v>
      </c>
      <c r="AN195" s="21">
        <v>155960.34000000003</v>
      </c>
      <c r="AO195" s="13" t="s">
        <v>68</v>
      </c>
      <c r="AP195" s="59">
        <v>1</v>
      </c>
      <c r="AQ195" s="59"/>
      <c r="AR195" s="23">
        <v>46041</v>
      </c>
      <c r="AS195" s="23">
        <v>46041</v>
      </c>
      <c r="AT195" s="4"/>
      <c r="AU195" s="4"/>
      <c r="AV195" s="13" t="s">
        <v>454</v>
      </c>
      <c r="AW195" s="4"/>
      <c r="AX195" s="9" t="s">
        <v>71</v>
      </c>
      <c r="AY195" s="9"/>
      <c r="AZ195" s="9"/>
      <c r="BA195" t="s">
        <v>455</v>
      </c>
      <c r="BB195" t="str">
        <f>VLOOKUP(B195,contactos!$A$1:$D$484,4,FALSE)</f>
        <v>garratia@productosdass.com</v>
      </c>
    </row>
    <row r="196" spans="2:54" customFormat="1" x14ac:dyDescent="0.25">
      <c r="B196" s="100">
        <v>53306</v>
      </c>
      <c r="C196" s="4" t="s">
        <v>456</v>
      </c>
      <c r="D196" s="5">
        <v>153239.51095569599</v>
      </c>
      <c r="E196" s="5">
        <v>0</v>
      </c>
      <c r="F196" s="5">
        <v>0</v>
      </c>
      <c r="G196" s="5">
        <v>153239.50999999998</v>
      </c>
      <c r="H196" s="5">
        <v>153239.51</v>
      </c>
      <c r="I196" s="5">
        <f t="shared" si="55"/>
        <v>153239.51095569599</v>
      </c>
      <c r="J196" s="5"/>
      <c r="K196" s="5">
        <f t="shared" si="56"/>
        <v>153239.51095569599</v>
      </c>
      <c r="L196" s="5">
        <f t="shared" si="57"/>
        <v>153239.51095569599</v>
      </c>
      <c r="M196" s="5"/>
      <c r="N196" s="5">
        <f t="shared" si="58"/>
        <v>153239.51095569599</v>
      </c>
      <c r="O196" s="21"/>
      <c r="P196" s="21"/>
      <c r="Q196" s="21"/>
      <c r="R196" s="21">
        <f t="shared" si="65"/>
        <v>0</v>
      </c>
      <c r="S196" s="21">
        <v>153239.51095569599</v>
      </c>
      <c r="T196" s="21">
        <f t="shared" si="68"/>
        <v>0</v>
      </c>
      <c r="U196" s="21">
        <f t="shared" si="69"/>
        <v>0</v>
      </c>
      <c r="V196" s="21">
        <f t="shared" si="59"/>
        <v>153239.51095569599</v>
      </c>
      <c r="W196" s="21"/>
      <c r="X196" s="5"/>
      <c r="Y196" s="5"/>
      <c r="Z196" s="5">
        <f t="shared" si="60"/>
        <v>0</v>
      </c>
      <c r="AA196" s="5"/>
      <c r="AB196" s="5" t="s">
        <v>258</v>
      </c>
      <c r="AC196" s="5">
        <f t="shared" si="61"/>
        <v>153239.51095569599</v>
      </c>
      <c r="AD196" s="5">
        <f t="shared" si="62"/>
        <v>153239.51095569599</v>
      </c>
      <c r="AE196" s="5">
        <f t="shared" si="63"/>
        <v>-9.5569601398892701E-4</v>
      </c>
      <c r="AF196" s="5"/>
      <c r="AG196" s="5" t="s">
        <v>238</v>
      </c>
      <c r="AH196" s="5">
        <v>4</v>
      </c>
      <c r="AI196" s="5">
        <v>0</v>
      </c>
      <c r="AJ196" s="5">
        <v>0</v>
      </c>
      <c r="AK196" s="5" t="s">
        <v>256</v>
      </c>
      <c r="AL196" s="4" t="s">
        <v>90</v>
      </c>
      <c r="AM196" s="4" t="s">
        <v>137</v>
      </c>
      <c r="AN196" s="21"/>
      <c r="AO196" s="4"/>
      <c r="AP196" s="58"/>
      <c r="AQ196" s="58"/>
      <c r="AR196" s="23"/>
      <c r="AS196" s="23"/>
      <c r="AT196" s="4"/>
      <c r="AU196" s="4"/>
      <c r="AV196" s="4"/>
      <c r="AW196" s="4"/>
      <c r="AX196" s="9"/>
      <c r="AY196" s="9"/>
      <c r="AZ196" s="4"/>
      <c r="BB196" t="str">
        <f>VLOOKUP(B196,contactos!$A$1:$D$484,4,FALSE)</f>
        <v>g.angeles@lastur.com.mx</v>
      </c>
    </row>
    <row r="197" spans="2:54" customFormat="1" x14ac:dyDescent="0.25">
      <c r="B197" s="100">
        <v>97741</v>
      </c>
      <c r="C197" s="4" t="s">
        <v>457</v>
      </c>
      <c r="D197" s="5">
        <v>150218.13190374503</v>
      </c>
      <c r="E197" s="5">
        <v>0</v>
      </c>
      <c r="F197" s="5">
        <v>0</v>
      </c>
      <c r="G197" s="5">
        <v>150218.13000000003</v>
      </c>
      <c r="H197" s="5">
        <v>150218.12</v>
      </c>
      <c r="I197" s="5">
        <f t="shared" si="55"/>
        <v>150218.13190374503</v>
      </c>
      <c r="J197" s="5"/>
      <c r="K197" s="5">
        <f t="shared" si="56"/>
        <v>150218.13190374503</v>
      </c>
      <c r="L197" s="5">
        <f t="shared" si="57"/>
        <v>150218.13190374503</v>
      </c>
      <c r="M197" s="5"/>
      <c r="N197" s="5">
        <f t="shared" si="58"/>
        <v>150218.13190374503</v>
      </c>
      <c r="O197" s="21"/>
      <c r="P197" s="21"/>
      <c r="Q197" s="21"/>
      <c r="R197" s="21">
        <f t="shared" si="65"/>
        <v>0</v>
      </c>
      <c r="S197" s="21">
        <v>150218.13190374503</v>
      </c>
      <c r="T197" s="21">
        <f t="shared" si="68"/>
        <v>0</v>
      </c>
      <c r="U197" s="21">
        <f t="shared" si="69"/>
        <v>0</v>
      </c>
      <c r="V197" s="21">
        <f t="shared" si="59"/>
        <v>150218.13190374503</v>
      </c>
      <c r="W197" s="21"/>
      <c r="X197" s="5"/>
      <c r="Y197" s="5"/>
      <c r="Z197" s="5">
        <f t="shared" si="60"/>
        <v>0</v>
      </c>
      <c r="AA197" s="5">
        <v>617142.30000000005</v>
      </c>
      <c r="AB197" s="5" t="s">
        <v>258</v>
      </c>
      <c r="AC197" s="5">
        <f t="shared" si="61"/>
        <v>150218.13190374503</v>
      </c>
      <c r="AD197" s="5">
        <f t="shared" si="62"/>
        <v>150218.13190374503</v>
      </c>
      <c r="AE197" s="5">
        <f t="shared" si="63"/>
        <v>-1.9037449965253472E-3</v>
      </c>
      <c r="AF197" s="5"/>
      <c r="AG197" s="5" t="s">
        <v>73</v>
      </c>
      <c r="AH197" s="5">
        <v>4</v>
      </c>
      <c r="AI197" s="5">
        <v>0</v>
      </c>
      <c r="AJ197" s="5" t="s">
        <v>212</v>
      </c>
      <c r="AK197" s="5" t="s">
        <v>256</v>
      </c>
      <c r="AL197" s="4" t="s">
        <v>90</v>
      </c>
      <c r="AM197" s="4" t="s">
        <v>148</v>
      </c>
      <c r="AN197" s="21"/>
      <c r="AO197" s="4"/>
      <c r="AP197" s="58"/>
      <c r="AQ197" s="58"/>
      <c r="AR197" s="23"/>
      <c r="AS197" s="23"/>
      <c r="AT197" s="4"/>
      <c r="AU197" s="4"/>
      <c r="AV197" s="4"/>
      <c r="AW197" s="4"/>
      <c r="AX197" s="9"/>
      <c r="AY197" s="9"/>
      <c r="AZ197" s="4"/>
      <c r="BB197" t="e">
        <f>VLOOKUP(B197,contactos!$A$1:$D$484,4,FALSE)</f>
        <v>#N/A</v>
      </c>
    </row>
    <row r="198" spans="2:54" customFormat="1" x14ac:dyDescent="0.25">
      <c r="B198" s="100">
        <v>392092</v>
      </c>
      <c r="C198" s="4" t="s">
        <v>458</v>
      </c>
      <c r="D198" s="5">
        <v>149810.21000000002</v>
      </c>
      <c r="E198" s="5">
        <v>0</v>
      </c>
      <c r="F198" s="5">
        <v>0</v>
      </c>
      <c r="G198" s="5">
        <v>149810.21000000002</v>
      </c>
      <c r="H198" s="5">
        <v>149810.21</v>
      </c>
      <c r="I198" s="5">
        <f>O198+S198</f>
        <v>58894.960000000021</v>
      </c>
      <c r="J198" s="5">
        <v>0</v>
      </c>
      <c r="K198" s="5">
        <f>I198-J198</f>
        <v>58894.960000000021</v>
      </c>
      <c r="L198" s="5">
        <f t="shared" si="57"/>
        <v>58894.960000000021</v>
      </c>
      <c r="M198" s="5">
        <v>0</v>
      </c>
      <c r="N198" s="5">
        <f t="shared" si="58"/>
        <v>58894.960000000021</v>
      </c>
      <c r="O198" s="21"/>
      <c r="P198" s="21"/>
      <c r="Q198" s="21"/>
      <c r="R198" s="21">
        <f t="shared" si="65"/>
        <v>0</v>
      </c>
      <c r="S198" s="21">
        <f>G198-W198</f>
        <v>58894.960000000021</v>
      </c>
      <c r="T198" s="21">
        <f t="shared" si="68"/>
        <v>0</v>
      </c>
      <c r="U198" s="21">
        <f t="shared" si="69"/>
        <v>0</v>
      </c>
      <c r="V198" s="21">
        <f t="shared" si="59"/>
        <v>58894.960000000021</v>
      </c>
      <c r="W198" s="21">
        <v>90915.25</v>
      </c>
      <c r="X198" s="5"/>
      <c r="Y198" s="5"/>
      <c r="Z198" s="5">
        <f t="shared" si="60"/>
        <v>90915.25</v>
      </c>
      <c r="AA198" s="5">
        <v>1003100.45</v>
      </c>
      <c r="AB198" s="5" t="s">
        <v>258</v>
      </c>
      <c r="AC198" s="5">
        <f t="shared" si="61"/>
        <v>149810.21000000002</v>
      </c>
      <c r="AD198" s="5">
        <f t="shared" si="62"/>
        <v>149810.21000000002</v>
      </c>
      <c r="AE198" s="5">
        <f t="shared" si="63"/>
        <v>0</v>
      </c>
      <c r="AF198" s="5"/>
      <c r="AG198" s="5" t="s">
        <v>238</v>
      </c>
      <c r="AH198" s="5">
        <v>4</v>
      </c>
      <c r="AI198" s="5">
        <v>0</v>
      </c>
      <c r="AJ198" s="5">
        <v>0</v>
      </c>
      <c r="AK198" s="5" t="s">
        <v>256</v>
      </c>
      <c r="AL198" s="4" t="s">
        <v>90</v>
      </c>
      <c r="AM198" s="4" t="s">
        <v>107</v>
      </c>
      <c r="AN198" s="21"/>
      <c r="AO198" s="4"/>
      <c r="AP198" s="58"/>
      <c r="AQ198" s="58"/>
      <c r="AR198" s="23"/>
      <c r="AS198" s="23"/>
      <c r="AT198" s="4"/>
      <c r="AU198" s="4"/>
      <c r="AV198" s="4"/>
      <c r="AW198" s="4"/>
      <c r="AX198" s="9"/>
      <c r="AY198" s="9"/>
      <c r="AZ198" s="4"/>
      <c r="BB198" t="e">
        <f>VLOOKUP(B198,contactos!$A$1:$D$484,4,FALSE)</f>
        <v>#N/A</v>
      </c>
    </row>
    <row r="199" spans="2:54" customFormat="1" x14ac:dyDescent="0.25">
      <c r="B199" s="100">
        <v>8859</v>
      </c>
      <c r="C199" s="4" t="s">
        <v>459</v>
      </c>
      <c r="D199" s="5">
        <v>128845.09000000001</v>
      </c>
      <c r="E199" s="5">
        <v>0</v>
      </c>
      <c r="F199" s="5">
        <v>20615.214399999997</v>
      </c>
      <c r="G199" s="5">
        <v>149460.27000000002</v>
      </c>
      <c r="H199" s="5">
        <v>149460.29999999999</v>
      </c>
      <c r="I199" s="5">
        <f t="shared" si="55"/>
        <v>128845.09000000001</v>
      </c>
      <c r="J199" s="5"/>
      <c r="K199" s="5">
        <f t="shared" si="56"/>
        <v>128845.09000000001</v>
      </c>
      <c r="L199" s="5">
        <f t="shared" si="57"/>
        <v>149460.30440000002</v>
      </c>
      <c r="M199" s="5"/>
      <c r="N199" s="5">
        <f t="shared" si="58"/>
        <v>149460.30440000002</v>
      </c>
      <c r="O199" s="21"/>
      <c r="P199" s="21"/>
      <c r="Q199" s="21"/>
      <c r="R199" s="21">
        <f t="shared" si="65"/>
        <v>0</v>
      </c>
      <c r="S199" s="21">
        <v>128845.09000000001</v>
      </c>
      <c r="T199" s="21">
        <f t="shared" si="68"/>
        <v>0</v>
      </c>
      <c r="U199" s="21">
        <f t="shared" si="69"/>
        <v>20615.214399999997</v>
      </c>
      <c r="V199" s="21">
        <f t="shared" si="59"/>
        <v>149460.30440000002</v>
      </c>
      <c r="W199" s="21"/>
      <c r="X199" s="5"/>
      <c r="Y199" s="5"/>
      <c r="Z199" s="5">
        <f t="shared" si="60"/>
        <v>0</v>
      </c>
      <c r="AA199" s="5">
        <v>198331.54</v>
      </c>
      <c r="AB199" s="5" t="s">
        <v>258</v>
      </c>
      <c r="AC199" s="5">
        <f t="shared" si="61"/>
        <v>128845.09000000001</v>
      </c>
      <c r="AD199" s="5">
        <f t="shared" si="62"/>
        <v>149460.30440000002</v>
      </c>
      <c r="AE199" s="5">
        <f t="shared" si="63"/>
        <v>-3.4400000004097819E-2</v>
      </c>
      <c r="AF199" s="5"/>
      <c r="AG199" s="5" t="s">
        <v>73</v>
      </c>
      <c r="AH199" s="5">
        <v>4</v>
      </c>
      <c r="AI199" s="5">
        <v>0</v>
      </c>
      <c r="AJ199" s="5" t="s">
        <v>333</v>
      </c>
      <c r="AK199" s="5" t="s">
        <v>256</v>
      </c>
      <c r="AL199" s="4" t="s">
        <v>90</v>
      </c>
      <c r="AM199" s="4" t="s">
        <v>76</v>
      </c>
      <c r="AN199" s="21"/>
      <c r="AO199" s="4"/>
      <c r="AP199" s="58"/>
      <c r="AQ199" s="58"/>
      <c r="AR199" s="23"/>
      <c r="AS199" s="23"/>
      <c r="AT199" s="4"/>
      <c r="AU199" s="4"/>
      <c r="AV199" s="4"/>
      <c r="AW199" s="4"/>
      <c r="AX199" s="9"/>
      <c r="AY199" s="9"/>
      <c r="AZ199" s="4"/>
      <c r="BB199" t="e">
        <f>VLOOKUP(B199,contactos!$A$1:$D$484,4,FALSE)</f>
        <v>#N/A</v>
      </c>
    </row>
    <row r="200" spans="2:54" customFormat="1" x14ac:dyDescent="0.25">
      <c r="B200" s="100">
        <v>96610</v>
      </c>
      <c r="C200" s="4" t="s">
        <v>460</v>
      </c>
      <c r="D200" s="5">
        <v>144960.196116915</v>
      </c>
      <c r="E200" s="5">
        <v>0</v>
      </c>
      <c r="F200" s="5">
        <v>3678.7744000000002</v>
      </c>
      <c r="G200" s="5">
        <v>148638.96</v>
      </c>
      <c r="H200" s="5">
        <v>148638.96</v>
      </c>
      <c r="I200" s="5">
        <f t="shared" ref="I200:I263" si="70">O200+S200</f>
        <v>144960.196116915</v>
      </c>
      <c r="J200" s="5"/>
      <c r="K200" s="5">
        <f t="shared" ref="K200:K263" si="71">I200-J200</f>
        <v>144960.196116915</v>
      </c>
      <c r="L200" s="5">
        <f t="shared" ref="L200:L263" si="72">R200+V200</f>
        <v>148638.970516915</v>
      </c>
      <c r="M200" s="5"/>
      <c r="N200" s="5">
        <f t="shared" ref="N200:N263" si="73">L200-M200</f>
        <v>148638.970516915</v>
      </c>
      <c r="O200" s="21"/>
      <c r="P200" s="21"/>
      <c r="Q200" s="21"/>
      <c r="R200" s="21">
        <f t="shared" si="65"/>
        <v>0</v>
      </c>
      <c r="S200" s="21">
        <v>144960.196116915</v>
      </c>
      <c r="T200" s="21">
        <f t="shared" si="68"/>
        <v>0</v>
      </c>
      <c r="U200" s="21">
        <f t="shared" si="69"/>
        <v>3678.7744000000002</v>
      </c>
      <c r="V200" s="21">
        <f t="shared" si="59"/>
        <v>148638.970516915</v>
      </c>
      <c r="W200" s="21"/>
      <c r="X200" s="5"/>
      <c r="Y200" s="5"/>
      <c r="Z200" s="5">
        <f t="shared" si="60"/>
        <v>0</v>
      </c>
      <c r="AA200" s="5">
        <v>934232.13</v>
      </c>
      <c r="AB200" s="5" t="s">
        <v>258</v>
      </c>
      <c r="AC200" s="5">
        <f t="shared" si="61"/>
        <v>144960.196116915</v>
      </c>
      <c r="AD200" s="5">
        <f t="shared" si="62"/>
        <v>148638.970516915</v>
      </c>
      <c r="AE200" s="5">
        <f t="shared" si="63"/>
        <v>-1.0516915004700422E-2</v>
      </c>
      <c r="AF200" s="5"/>
      <c r="AG200" s="5" t="s">
        <v>238</v>
      </c>
      <c r="AH200" s="5">
        <v>4</v>
      </c>
      <c r="AI200" s="5">
        <v>0</v>
      </c>
      <c r="AJ200" s="5">
        <v>0</v>
      </c>
      <c r="AK200" s="5" t="s">
        <v>256</v>
      </c>
      <c r="AL200" s="4" t="s">
        <v>90</v>
      </c>
      <c r="AM200" s="4" t="s">
        <v>137</v>
      </c>
      <c r="AN200" s="21"/>
      <c r="AO200" s="4"/>
      <c r="AP200" s="58"/>
      <c r="AQ200" s="58"/>
      <c r="AR200" s="23"/>
      <c r="AS200" s="23"/>
      <c r="AT200" s="4"/>
      <c r="AU200" s="4"/>
      <c r="AV200" s="4"/>
      <c r="AW200" s="4"/>
      <c r="AX200" s="9"/>
      <c r="AY200" s="9"/>
      <c r="AZ200" s="4"/>
      <c r="BB200" t="e">
        <f>VLOOKUP(B200,contactos!$A$1:$D$484,4,FALSE)</f>
        <v>#N/A</v>
      </c>
    </row>
    <row r="201" spans="2:54" customFormat="1" x14ac:dyDescent="0.25">
      <c r="B201" s="100">
        <v>210369</v>
      </c>
      <c r="C201" s="4" t="s">
        <v>461</v>
      </c>
      <c r="D201" s="5">
        <v>147408.97</v>
      </c>
      <c r="E201" s="5">
        <v>0</v>
      </c>
      <c r="F201" s="5">
        <v>0</v>
      </c>
      <c r="G201" s="5">
        <v>147408.97</v>
      </c>
      <c r="H201" s="5">
        <v>41112</v>
      </c>
      <c r="I201" s="5">
        <f t="shared" si="70"/>
        <v>41111.97</v>
      </c>
      <c r="J201" s="5"/>
      <c r="K201" s="5">
        <f t="shared" si="71"/>
        <v>41111.97</v>
      </c>
      <c r="L201" s="5">
        <f t="shared" si="72"/>
        <v>41111.97</v>
      </c>
      <c r="M201" s="5"/>
      <c r="N201" s="5">
        <f t="shared" si="73"/>
        <v>41111.97</v>
      </c>
      <c r="O201" s="21">
        <f>D201-W201</f>
        <v>41111.97</v>
      </c>
      <c r="P201" s="21"/>
      <c r="Q201" s="21"/>
      <c r="R201" s="21">
        <f t="shared" si="65"/>
        <v>41111.97</v>
      </c>
      <c r="S201" s="74"/>
      <c r="T201" s="21">
        <f t="shared" si="68"/>
        <v>0</v>
      </c>
      <c r="U201" s="21">
        <f t="shared" si="69"/>
        <v>0</v>
      </c>
      <c r="V201" s="21">
        <f t="shared" ref="V201:V264" si="74">SUM(S201:U201)</f>
        <v>0</v>
      </c>
      <c r="W201" s="21">
        <v>106297</v>
      </c>
      <c r="X201" s="5"/>
      <c r="Y201" s="5"/>
      <c r="Z201" s="5">
        <f t="shared" ref="Z201:Z264" si="75">SUM(W201:Y201)</f>
        <v>106297</v>
      </c>
      <c r="AA201" s="5">
        <v>340224.41</v>
      </c>
      <c r="AB201" s="5" t="s">
        <v>258</v>
      </c>
      <c r="AC201" s="5">
        <f t="shared" ref="AC201:AC264" si="76">O201+S201+W201</f>
        <v>147408.97</v>
      </c>
      <c r="AD201" s="5">
        <f t="shared" ref="AD201:AD264" si="77">R201+V201+Z201</f>
        <v>147408.97</v>
      </c>
      <c r="AE201" s="5">
        <f t="shared" ref="AE201:AE264" si="78">G201-AD201</f>
        <v>0</v>
      </c>
      <c r="AF201" s="5"/>
      <c r="AG201" s="5" t="s">
        <v>81</v>
      </c>
      <c r="AH201" s="5">
        <v>4</v>
      </c>
      <c r="AI201" s="5">
        <v>0</v>
      </c>
      <c r="AJ201" s="5">
        <v>0</v>
      </c>
      <c r="AK201" s="5" t="s">
        <v>59</v>
      </c>
      <c r="AL201" s="4" t="s">
        <v>82</v>
      </c>
      <c r="AM201" s="4" t="s">
        <v>216</v>
      </c>
      <c r="AN201" s="21"/>
      <c r="AO201" s="4"/>
      <c r="AP201" s="58"/>
      <c r="AQ201" s="58"/>
      <c r="AR201" s="23">
        <v>46051</v>
      </c>
      <c r="AS201" s="23">
        <v>46051</v>
      </c>
      <c r="AT201" s="57">
        <v>46051</v>
      </c>
      <c r="AU201" s="4"/>
      <c r="AV201" s="13" t="s">
        <v>462</v>
      </c>
      <c r="AW201" s="4" t="s">
        <v>70</v>
      </c>
      <c r="AX201" s="9"/>
      <c r="AY201" s="9" t="s">
        <v>71</v>
      </c>
      <c r="AZ201" s="4"/>
      <c r="BA201" t="s">
        <v>179</v>
      </c>
      <c r="BB201" t="e">
        <f>VLOOKUP(B201,contactos!$A$1:$D$484,4,FALSE)</f>
        <v>#N/A</v>
      </c>
    </row>
    <row r="202" spans="2:54" customFormat="1" x14ac:dyDescent="0.25">
      <c r="B202" s="131">
        <v>11619</v>
      </c>
      <c r="C202" s="4" t="s">
        <v>463</v>
      </c>
      <c r="D202" s="5">
        <v>99462.845571719517</v>
      </c>
      <c r="E202" s="5">
        <v>26357.667126505668</v>
      </c>
      <c r="F202" s="5">
        <v>20131.281979716026</v>
      </c>
      <c r="G202" s="5">
        <v>145951.79999999999</v>
      </c>
      <c r="H202" s="5">
        <v>145951.79999999999</v>
      </c>
      <c r="I202" s="5">
        <f t="shared" si="70"/>
        <v>99462.845571719517</v>
      </c>
      <c r="J202" s="5"/>
      <c r="K202" s="5">
        <f t="shared" si="71"/>
        <v>99462.845571719517</v>
      </c>
      <c r="L202" s="5">
        <f t="shared" si="72"/>
        <v>145951.79467794122</v>
      </c>
      <c r="M202" s="5"/>
      <c r="N202" s="5">
        <f t="shared" si="73"/>
        <v>145951.79467794122</v>
      </c>
      <c r="O202" s="21"/>
      <c r="P202" s="21"/>
      <c r="Q202" s="21"/>
      <c r="R202" s="21">
        <f t="shared" si="65"/>
        <v>0</v>
      </c>
      <c r="S202" s="21">
        <v>99462.845571719517</v>
      </c>
      <c r="T202" s="21">
        <f t="shared" si="68"/>
        <v>26357.667126505668</v>
      </c>
      <c r="U202" s="21">
        <f t="shared" si="69"/>
        <v>20131.281979716026</v>
      </c>
      <c r="V202" s="21">
        <f t="shared" si="74"/>
        <v>145951.79467794122</v>
      </c>
      <c r="W202" s="21"/>
      <c r="X202" s="5"/>
      <c r="Y202" s="5"/>
      <c r="Z202" s="5">
        <f t="shared" si="75"/>
        <v>0</v>
      </c>
      <c r="AA202" s="5">
        <v>743381.88</v>
      </c>
      <c r="AB202" s="5" t="s">
        <v>258</v>
      </c>
      <c r="AC202" s="5">
        <f t="shared" si="76"/>
        <v>99462.845571719517</v>
      </c>
      <c r="AD202" s="5">
        <f t="shared" si="77"/>
        <v>145951.79467794122</v>
      </c>
      <c r="AE202" s="5">
        <f t="shared" si="78"/>
        <v>5.3220587724354118E-3</v>
      </c>
      <c r="AF202" s="5"/>
      <c r="AG202" s="5" t="s">
        <v>238</v>
      </c>
      <c r="AH202" s="5">
        <v>4</v>
      </c>
      <c r="AI202" s="5">
        <v>0</v>
      </c>
      <c r="AJ202" s="5">
        <v>0</v>
      </c>
      <c r="AK202" s="5" t="s">
        <v>256</v>
      </c>
      <c r="AL202" s="4" t="s">
        <v>90</v>
      </c>
      <c r="AM202" s="6" t="s">
        <v>103</v>
      </c>
      <c r="AN202" s="21"/>
      <c r="AO202" s="4"/>
      <c r="AP202" s="58"/>
      <c r="AQ202" s="58"/>
      <c r="AR202" s="23"/>
      <c r="AS202" s="23"/>
      <c r="AT202" s="4"/>
      <c r="AU202" s="4"/>
      <c r="AV202" s="52"/>
      <c r="AW202" s="52"/>
      <c r="AX202" s="9"/>
      <c r="AY202" s="9"/>
      <c r="AZ202" s="4"/>
      <c r="BB202" t="e">
        <f>VLOOKUP(B202,contactos!$A$1:$D$484,4,FALSE)</f>
        <v>#N/A</v>
      </c>
    </row>
    <row r="203" spans="2:54" customFormat="1" x14ac:dyDescent="0.25">
      <c r="B203" s="100">
        <v>5614</v>
      </c>
      <c r="C203" s="4" t="s">
        <v>464</v>
      </c>
      <c r="D203" s="5">
        <v>123518.3</v>
      </c>
      <c r="E203" s="5">
        <v>0</v>
      </c>
      <c r="F203" s="5">
        <v>19762.928</v>
      </c>
      <c r="G203" s="5">
        <v>143281.24</v>
      </c>
      <c r="H203" s="5">
        <v>0</v>
      </c>
      <c r="I203" s="5">
        <f t="shared" si="70"/>
        <v>123518.3</v>
      </c>
      <c r="J203" s="5"/>
      <c r="K203" s="5">
        <f t="shared" si="71"/>
        <v>123518.3</v>
      </c>
      <c r="L203" s="5">
        <f t="shared" si="72"/>
        <v>143281.228</v>
      </c>
      <c r="M203" s="5"/>
      <c r="N203" s="5">
        <f t="shared" si="73"/>
        <v>143281.228</v>
      </c>
      <c r="O203" s="21"/>
      <c r="P203" s="21"/>
      <c r="Q203" s="21"/>
      <c r="R203" s="21">
        <f t="shared" si="65"/>
        <v>0</v>
      </c>
      <c r="S203" s="21">
        <v>123518.3</v>
      </c>
      <c r="T203" s="21">
        <f t="shared" si="68"/>
        <v>0</v>
      </c>
      <c r="U203" s="21">
        <f t="shared" si="69"/>
        <v>19762.928</v>
      </c>
      <c r="V203" s="21">
        <f t="shared" si="74"/>
        <v>143281.228</v>
      </c>
      <c r="W203" s="21"/>
      <c r="X203" s="5"/>
      <c r="Y203" s="5"/>
      <c r="Z203" s="5">
        <f t="shared" si="75"/>
        <v>0</v>
      </c>
      <c r="AA203" s="5">
        <v>258237.28</v>
      </c>
      <c r="AB203" s="5" t="s">
        <v>258</v>
      </c>
      <c r="AC203" s="5">
        <f t="shared" si="76"/>
        <v>123518.3</v>
      </c>
      <c r="AD203" s="5">
        <f t="shared" si="77"/>
        <v>143281.228</v>
      </c>
      <c r="AE203" s="5">
        <f t="shared" si="78"/>
        <v>1.1999999987892807E-2</v>
      </c>
      <c r="AF203" s="5"/>
      <c r="AG203" s="5" t="s">
        <v>73</v>
      </c>
      <c r="AH203" s="5">
        <v>4</v>
      </c>
      <c r="AI203" s="5">
        <v>0</v>
      </c>
      <c r="AJ203" s="5" t="s">
        <v>212</v>
      </c>
      <c r="AK203" s="5" t="s">
        <v>256</v>
      </c>
      <c r="AL203" s="4" t="s">
        <v>90</v>
      </c>
      <c r="AM203" s="4" t="s">
        <v>148</v>
      </c>
      <c r="AN203" s="21"/>
      <c r="AO203" s="4"/>
      <c r="AP203" s="58"/>
      <c r="AQ203" s="58"/>
      <c r="AR203" s="23"/>
      <c r="AS203" s="23"/>
      <c r="AT203" s="4"/>
      <c r="AU203" s="4"/>
      <c r="AV203" s="4"/>
      <c r="AW203" s="4"/>
      <c r="AX203" s="9"/>
      <c r="AY203" s="9"/>
      <c r="AZ203" s="4"/>
      <c r="BB203" t="e">
        <f>VLOOKUP(B203,contactos!$A$1:$D$484,4,FALSE)</f>
        <v>#N/A</v>
      </c>
    </row>
    <row r="204" spans="2:54" customFormat="1" x14ac:dyDescent="0.25">
      <c r="B204" s="100">
        <v>21356</v>
      </c>
      <c r="C204" s="4" t="s">
        <v>249</v>
      </c>
      <c r="D204" s="5">
        <v>141485.33000000002</v>
      </c>
      <c r="E204" s="5">
        <v>0</v>
      </c>
      <c r="F204" s="5">
        <v>0</v>
      </c>
      <c r="G204" s="5">
        <v>141485.33000000002</v>
      </c>
      <c r="H204" s="5">
        <v>141485.32999999999</v>
      </c>
      <c r="I204" s="5">
        <f t="shared" si="70"/>
        <v>141485.33000000002</v>
      </c>
      <c r="J204" s="5"/>
      <c r="K204" s="5">
        <f t="shared" si="71"/>
        <v>141485.33000000002</v>
      </c>
      <c r="L204" s="5">
        <f t="shared" si="72"/>
        <v>141485.33000000002</v>
      </c>
      <c r="M204" s="5"/>
      <c r="N204" s="5">
        <f t="shared" si="73"/>
        <v>141485.33000000002</v>
      </c>
      <c r="O204" s="21"/>
      <c r="P204" s="21"/>
      <c r="Q204" s="21"/>
      <c r="R204" s="21">
        <f t="shared" si="65"/>
        <v>0</v>
      </c>
      <c r="S204" s="21">
        <v>141485.33000000002</v>
      </c>
      <c r="T204" s="21">
        <f t="shared" si="68"/>
        <v>0</v>
      </c>
      <c r="U204" s="21">
        <f t="shared" si="69"/>
        <v>0</v>
      </c>
      <c r="V204" s="21">
        <f t="shared" si="74"/>
        <v>141485.33000000002</v>
      </c>
      <c r="W204" s="21"/>
      <c r="X204" s="5"/>
      <c r="Y204" s="5"/>
      <c r="Z204" s="5">
        <f t="shared" si="75"/>
        <v>0</v>
      </c>
      <c r="AA204" s="5">
        <v>956210.21</v>
      </c>
      <c r="AB204" s="5" t="s">
        <v>258</v>
      </c>
      <c r="AC204" s="5">
        <f t="shared" si="76"/>
        <v>141485.33000000002</v>
      </c>
      <c r="AD204" s="5">
        <f t="shared" si="77"/>
        <v>141485.33000000002</v>
      </c>
      <c r="AE204" s="5">
        <f t="shared" si="78"/>
        <v>0</v>
      </c>
      <c r="AF204" s="5"/>
      <c r="AG204" s="5" t="s">
        <v>73</v>
      </c>
      <c r="AH204" s="5">
        <v>4</v>
      </c>
      <c r="AI204" s="5">
        <v>0</v>
      </c>
      <c r="AJ204" s="5">
        <v>0</v>
      </c>
      <c r="AK204" s="5" t="s">
        <v>256</v>
      </c>
      <c r="AL204" s="4" t="s">
        <v>90</v>
      </c>
      <c r="AM204" s="4" t="s">
        <v>162</v>
      </c>
      <c r="AN204" s="21"/>
      <c r="AO204" s="4"/>
      <c r="AP204" s="58"/>
      <c r="AQ204" s="58"/>
      <c r="AR204" s="23"/>
      <c r="AS204" s="23"/>
      <c r="AT204" s="4"/>
      <c r="AU204" s="4"/>
      <c r="AV204" s="4"/>
      <c r="AW204" s="4"/>
      <c r="AX204" s="9"/>
      <c r="AY204" s="9"/>
      <c r="AZ204" s="4"/>
      <c r="BB204" t="str">
        <f>VLOOKUP(B204,contactos!$A$1:$D$484,4,FALSE)</f>
        <v>MAYTEVARGAS051099@HOTMAIL.COM</v>
      </c>
    </row>
    <row r="205" spans="2:54" customFormat="1" x14ac:dyDescent="0.25">
      <c r="B205" s="100">
        <v>23597</v>
      </c>
      <c r="C205" s="4" t="s">
        <v>465</v>
      </c>
      <c r="D205" s="5">
        <v>120674.90648057978</v>
      </c>
      <c r="E205" s="5">
        <v>0</v>
      </c>
      <c r="F205" s="5">
        <v>19307.985036892765</v>
      </c>
      <c r="G205" s="5">
        <v>139982.88999999998</v>
      </c>
      <c r="H205" s="5">
        <v>139982.89000000001</v>
      </c>
      <c r="I205" s="5">
        <f t="shared" si="70"/>
        <v>120674.90648057978</v>
      </c>
      <c r="J205" s="5"/>
      <c r="K205" s="5">
        <f t="shared" si="71"/>
        <v>120674.90648057978</v>
      </c>
      <c r="L205" s="5">
        <f t="shared" si="72"/>
        <v>139982.89151747254</v>
      </c>
      <c r="M205" s="5"/>
      <c r="N205" s="5">
        <f t="shared" si="73"/>
        <v>139982.89151747254</v>
      </c>
      <c r="O205" s="21"/>
      <c r="P205" s="21"/>
      <c r="Q205" s="21"/>
      <c r="R205" s="21">
        <f t="shared" si="65"/>
        <v>0</v>
      </c>
      <c r="S205" s="21">
        <v>120674.90648057978</v>
      </c>
      <c r="T205" s="21">
        <f t="shared" si="68"/>
        <v>0</v>
      </c>
      <c r="U205" s="21">
        <f t="shared" si="69"/>
        <v>19307.985036892765</v>
      </c>
      <c r="V205" s="21">
        <f t="shared" si="74"/>
        <v>139982.89151747254</v>
      </c>
      <c r="W205" s="21"/>
      <c r="X205" s="5"/>
      <c r="Y205" s="5"/>
      <c r="Z205" s="5">
        <f t="shared" si="75"/>
        <v>0</v>
      </c>
      <c r="AA205" s="5"/>
      <c r="AB205" s="5" t="s">
        <v>258</v>
      </c>
      <c r="AC205" s="5">
        <f t="shared" si="76"/>
        <v>120674.90648057978</v>
      </c>
      <c r="AD205" s="5">
        <f t="shared" si="77"/>
        <v>139982.89151747254</v>
      </c>
      <c r="AE205" s="5">
        <f t="shared" si="78"/>
        <v>-1.517472555860877E-3</v>
      </c>
      <c r="AF205" s="5"/>
      <c r="AG205" s="5" t="s">
        <v>73</v>
      </c>
      <c r="AH205" s="5">
        <v>4</v>
      </c>
      <c r="AI205" s="5">
        <v>4</v>
      </c>
      <c r="AJ205" s="120" t="s">
        <v>466</v>
      </c>
      <c r="AK205" s="5" t="s">
        <v>59</v>
      </c>
      <c r="AL205" s="4" t="s">
        <v>75</v>
      </c>
      <c r="AM205" s="6" t="s">
        <v>112</v>
      </c>
      <c r="AN205" s="27"/>
      <c r="AO205" s="4"/>
      <c r="AP205" s="58"/>
      <c r="AQ205" s="58"/>
      <c r="AR205" s="23">
        <v>46044</v>
      </c>
      <c r="AS205" s="23">
        <v>46045</v>
      </c>
      <c r="AT205" s="4"/>
      <c r="AU205" s="7">
        <v>46044</v>
      </c>
      <c r="AV205" s="13" t="s">
        <v>467</v>
      </c>
      <c r="AW205" s="4"/>
      <c r="AX205" s="9"/>
      <c r="AY205" s="9" t="s">
        <v>71</v>
      </c>
      <c r="AZ205" s="4"/>
      <c r="BA205" t="s">
        <v>468</v>
      </c>
      <c r="BB205" t="str">
        <f>VLOOKUP(B205,contactos!$A$1:$D$484,4,FALSE)</f>
        <v>joaquin.velazquez@mabe.com.mx</v>
      </c>
    </row>
    <row r="206" spans="2:54" customFormat="1" x14ac:dyDescent="0.25">
      <c r="B206" s="100">
        <v>321786</v>
      </c>
      <c r="C206" s="4" t="s">
        <v>469</v>
      </c>
      <c r="D206" s="5">
        <v>119250.732622896</v>
      </c>
      <c r="E206" s="5">
        <v>0</v>
      </c>
      <c r="F206" s="5">
        <v>19080.11791966336</v>
      </c>
      <c r="G206" s="5">
        <v>138330.9</v>
      </c>
      <c r="H206" s="5">
        <v>138330.85</v>
      </c>
      <c r="I206" s="5">
        <f t="shared" si="70"/>
        <v>119250.732622896</v>
      </c>
      <c r="J206" s="5"/>
      <c r="K206" s="5">
        <f t="shared" si="71"/>
        <v>119250.732622896</v>
      </c>
      <c r="L206" s="5">
        <f t="shared" si="72"/>
        <v>138330.85054255935</v>
      </c>
      <c r="M206" s="5"/>
      <c r="N206" s="5">
        <f t="shared" si="73"/>
        <v>138330.85054255935</v>
      </c>
      <c r="O206" s="21"/>
      <c r="P206" s="21"/>
      <c r="Q206" s="21"/>
      <c r="R206" s="21">
        <f t="shared" si="65"/>
        <v>0</v>
      </c>
      <c r="S206" s="21">
        <v>119250.732622896</v>
      </c>
      <c r="T206" s="21">
        <f t="shared" si="68"/>
        <v>0</v>
      </c>
      <c r="U206" s="21">
        <f t="shared" si="69"/>
        <v>19080.11791966336</v>
      </c>
      <c r="V206" s="21">
        <f t="shared" si="74"/>
        <v>138330.85054255935</v>
      </c>
      <c r="W206" s="21"/>
      <c r="X206" s="5"/>
      <c r="Y206" s="5"/>
      <c r="Z206" s="5">
        <f t="shared" si="75"/>
        <v>0</v>
      </c>
      <c r="AA206" s="5">
        <v>159187.14000000001</v>
      </c>
      <c r="AB206" s="5" t="s">
        <v>258</v>
      </c>
      <c r="AC206" s="5">
        <f t="shared" si="76"/>
        <v>119250.732622896</v>
      </c>
      <c r="AD206" s="5">
        <f t="shared" si="77"/>
        <v>138330.85054255935</v>
      </c>
      <c r="AE206" s="5">
        <f t="shared" si="78"/>
        <v>4.9457440647529438E-2</v>
      </c>
      <c r="AF206" s="5"/>
      <c r="AG206" s="5" t="s">
        <v>73</v>
      </c>
      <c r="AH206" s="5">
        <v>4</v>
      </c>
      <c r="AI206" s="5">
        <v>0</v>
      </c>
      <c r="AJ206" s="120" t="s">
        <v>296</v>
      </c>
      <c r="AK206" s="5" t="s">
        <v>256</v>
      </c>
      <c r="AL206" s="4" t="s">
        <v>90</v>
      </c>
      <c r="AM206" s="4" t="s">
        <v>216</v>
      </c>
      <c r="AN206" s="21"/>
      <c r="AO206" s="4"/>
      <c r="AP206" s="58"/>
      <c r="AQ206" s="58"/>
      <c r="AR206" s="23"/>
      <c r="AS206" s="23"/>
      <c r="AT206" s="4"/>
      <c r="AU206" s="4"/>
      <c r="AV206" s="4"/>
      <c r="AW206" s="4"/>
      <c r="AX206" s="9"/>
      <c r="AY206" s="9"/>
      <c r="AZ206" s="4"/>
      <c r="BB206" t="e">
        <f>VLOOKUP(B206,contactos!$A$1:$D$484,4,FALSE)</f>
        <v>#N/A</v>
      </c>
    </row>
    <row r="207" spans="2:54" customFormat="1" x14ac:dyDescent="0.25">
      <c r="B207" s="100">
        <v>321729</v>
      </c>
      <c r="C207" s="4" t="s">
        <v>470</v>
      </c>
      <c r="D207" s="5">
        <v>119022.20733068819</v>
      </c>
      <c r="E207" s="5">
        <v>0</v>
      </c>
      <c r="F207" s="5">
        <v>19043.553172910099</v>
      </c>
      <c r="G207" s="5">
        <v>138065.76</v>
      </c>
      <c r="H207" s="5">
        <v>138065.76</v>
      </c>
      <c r="I207" s="5">
        <f t="shared" si="70"/>
        <v>119022.20733068819</v>
      </c>
      <c r="J207" s="5"/>
      <c r="K207" s="5">
        <f t="shared" si="71"/>
        <v>119022.20733068819</v>
      </c>
      <c r="L207" s="5">
        <f t="shared" si="72"/>
        <v>138065.76050359829</v>
      </c>
      <c r="M207" s="5"/>
      <c r="N207" s="5">
        <f t="shared" si="73"/>
        <v>138065.76050359829</v>
      </c>
      <c r="O207" s="21"/>
      <c r="P207" s="21"/>
      <c r="Q207" s="21"/>
      <c r="R207" s="21">
        <f t="shared" si="65"/>
        <v>0</v>
      </c>
      <c r="S207" s="21">
        <v>119022.20733068819</v>
      </c>
      <c r="T207" s="21">
        <f t="shared" si="68"/>
        <v>0</v>
      </c>
      <c r="U207" s="21">
        <f t="shared" si="69"/>
        <v>19043.553172910099</v>
      </c>
      <c r="V207" s="21">
        <f t="shared" si="74"/>
        <v>138065.76050359829</v>
      </c>
      <c r="W207" s="21"/>
      <c r="X207" s="5"/>
      <c r="Y207" s="5"/>
      <c r="Z207" s="5">
        <f t="shared" si="75"/>
        <v>0</v>
      </c>
      <c r="AA207" s="5"/>
      <c r="AB207" s="5" t="s">
        <v>258</v>
      </c>
      <c r="AC207" s="5">
        <f t="shared" si="76"/>
        <v>119022.20733068819</v>
      </c>
      <c r="AD207" s="5">
        <f t="shared" si="77"/>
        <v>138065.76050359829</v>
      </c>
      <c r="AE207" s="5">
        <f t="shared" si="78"/>
        <v>-5.0359827582724392E-4</v>
      </c>
      <c r="AF207" s="5"/>
      <c r="AG207" s="5" t="s">
        <v>238</v>
      </c>
      <c r="AH207" s="5">
        <v>4</v>
      </c>
      <c r="AI207" s="5">
        <v>0</v>
      </c>
      <c r="AJ207" s="5">
        <v>0</v>
      </c>
      <c r="AK207" s="5" t="s">
        <v>256</v>
      </c>
      <c r="AL207" s="4" t="s">
        <v>90</v>
      </c>
      <c r="AM207" s="4" t="s">
        <v>141</v>
      </c>
      <c r="AN207" s="21"/>
      <c r="AO207" s="4"/>
      <c r="AP207" s="58"/>
      <c r="AQ207" s="58"/>
      <c r="AR207" s="23"/>
      <c r="AS207" s="23"/>
      <c r="AT207" s="4"/>
      <c r="AU207" s="4"/>
      <c r="AV207" s="4"/>
      <c r="AW207" s="4"/>
      <c r="AX207" s="9"/>
      <c r="AY207" s="9"/>
      <c r="AZ207" s="4"/>
      <c r="BB207" t="e">
        <f>VLOOKUP(B207,contactos!$A$1:$D$484,4,FALSE)</f>
        <v>#N/A</v>
      </c>
    </row>
    <row r="208" spans="2:54" customFormat="1" x14ac:dyDescent="0.25">
      <c r="B208" s="100">
        <v>21889</v>
      </c>
      <c r="C208" s="4" t="s">
        <v>471</v>
      </c>
      <c r="D208" s="5">
        <v>137171.98441723801</v>
      </c>
      <c r="E208" s="5">
        <v>0</v>
      </c>
      <c r="F208" s="5">
        <v>0</v>
      </c>
      <c r="G208" s="5">
        <v>137171.99</v>
      </c>
      <c r="H208" s="5">
        <v>0</v>
      </c>
      <c r="I208" s="5">
        <f t="shared" si="70"/>
        <v>137171.98441723801</v>
      </c>
      <c r="J208" s="5"/>
      <c r="K208" s="5">
        <f t="shared" si="71"/>
        <v>137171.98441723801</v>
      </c>
      <c r="L208" s="5">
        <f t="shared" si="72"/>
        <v>137171.98441723801</v>
      </c>
      <c r="M208" s="5"/>
      <c r="N208" s="5">
        <f t="shared" si="73"/>
        <v>137171.98441723801</v>
      </c>
      <c r="O208" s="21"/>
      <c r="P208" s="21"/>
      <c r="Q208" s="21"/>
      <c r="R208" s="21">
        <f t="shared" si="65"/>
        <v>0</v>
      </c>
      <c r="S208" s="21">
        <v>137171.98441723801</v>
      </c>
      <c r="T208" s="21">
        <f t="shared" si="68"/>
        <v>0</v>
      </c>
      <c r="U208" s="21">
        <f t="shared" si="69"/>
        <v>0</v>
      </c>
      <c r="V208" s="21">
        <f t="shared" si="74"/>
        <v>137171.98441723801</v>
      </c>
      <c r="W208" s="21"/>
      <c r="X208" s="5"/>
      <c r="Y208" s="5"/>
      <c r="Z208" s="5">
        <f t="shared" si="75"/>
        <v>0</v>
      </c>
      <c r="AA208" s="5">
        <v>321670.25</v>
      </c>
      <c r="AB208" s="5" t="s">
        <v>258</v>
      </c>
      <c r="AC208" s="5">
        <f t="shared" si="76"/>
        <v>137171.98441723801</v>
      </c>
      <c r="AD208" s="5">
        <f t="shared" si="77"/>
        <v>137171.98441723801</v>
      </c>
      <c r="AE208" s="5">
        <f t="shared" si="78"/>
        <v>5.5827619798947126E-3</v>
      </c>
      <c r="AF208" s="5"/>
      <c r="AG208" s="5" t="s">
        <v>73</v>
      </c>
      <c r="AH208" s="5">
        <v>4</v>
      </c>
      <c r="AI208" s="5">
        <v>0</v>
      </c>
      <c r="AJ208" s="5">
        <v>0</v>
      </c>
      <c r="AK208" s="5" t="s">
        <v>256</v>
      </c>
      <c r="AL208" s="4" t="s">
        <v>90</v>
      </c>
      <c r="AM208" s="4" t="s">
        <v>141</v>
      </c>
      <c r="AN208" s="21"/>
      <c r="AO208" s="4"/>
      <c r="AP208" s="58"/>
      <c r="AQ208" s="58"/>
      <c r="AR208" s="23"/>
      <c r="AS208" s="23"/>
      <c r="AT208" s="4"/>
      <c r="AU208" s="4"/>
      <c r="AV208" s="4"/>
      <c r="AW208" s="4"/>
      <c r="AX208" s="9"/>
      <c r="AY208" s="9"/>
      <c r="AZ208" s="4"/>
      <c r="BB208" t="e">
        <f>VLOOKUP(B208,contactos!$A$1:$D$484,4,FALSE)</f>
        <v>#N/A</v>
      </c>
    </row>
    <row r="209" spans="2:54" customFormat="1" x14ac:dyDescent="0.25">
      <c r="B209" s="100">
        <v>22065</v>
      </c>
      <c r="C209" s="4" t="s">
        <v>472</v>
      </c>
      <c r="D209" s="5">
        <v>117177</v>
      </c>
      <c r="E209" s="5">
        <v>0</v>
      </c>
      <c r="F209" s="5">
        <v>18748.32</v>
      </c>
      <c r="G209" s="5">
        <v>135925.34999999998</v>
      </c>
      <c r="H209" s="5">
        <v>135925.32</v>
      </c>
      <c r="I209" s="5">
        <f t="shared" si="70"/>
        <v>117177</v>
      </c>
      <c r="J209" s="5"/>
      <c r="K209" s="5">
        <f t="shared" si="71"/>
        <v>117177</v>
      </c>
      <c r="L209" s="5">
        <f t="shared" si="72"/>
        <v>135925.32</v>
      </c>
      <c r="M209" s="5"/>
      <c r="N209" s="5">
        <f t="shared" si="73"/>
        <v>135925.32</v>
      </c>
      <c r="O209" s="21"/>
      <c r="P209" s="21"/>
      <c r="Q209" s="21"/>
      <c r="R209" s="21">
        <f t="shared" si="65"/>
        <v>0</v>
      </c>
      <c r="S209" s="21">
        <v>117177</v>
      </c>
      <c r="T209" s="21">
        <f t="shared" si="68"/>
        <v>0</v>
      </c>
      <c r="U209" s="21">
        <f t="shared" si="69"/>
        <v>18748.32</v>
      </c>
      <c r="V209" s="21">
        <f t="shared" si="74"/>
        <v>135925.32</v>
      </c>
      <c r="W209" s="21"/>
      <c r="X209" s="5"/>
      <c r="Y209" s="5"/>
      <c r="Z209" s="5">
        <f t="shared" si="75"/>
        <v>0</v>
      </c>
      <c r="AA209" s="5">
        <v>1346057.3</v>
      </c>
      <c r="AB209" s="5" t="s">
        <v>258</v>
      </c>
      <c r="AC209" s="5">
        <f t="shared" si="76"/>
        <v>117177</v>
      </c>
      <c r="AD209" s="5">
        <f t="shared" si="77"/>
        <v>135925.32</v>
      </c>
      <c r="AE209" s="5">
        <f t="shared" si="78"/>
        <v>2.9999999969732016E-2</v>
      </c>
      <c r="AF209" s="5"/>
      <c r="AG209" s="5" t="s">
        <v>73</v>
      </c>
      <c r="AH209" s="5">
        <v>4</v>
      </c>
      <c r="AI209" s="5">
        <v>0</v>
      </c>
      <c r="AJ209" s="5" t="s">
        <v>279</v>
      </c>
      <c r="AK209" s="5" t="s">
        <v>256</v>
      </c>
      <c r="AL209" s="4" t="s">
        <v>90</v>
      </c>
      <c r="AM209" s="4" t="s">
        <v>119</v>
      </c>
      <c r="AN209" s="21"/>
      <c r="AO209" s="4"/>
      <c r="AP209" s="58"/>
      <c r="AQ209" s="58"/>
      <c r="AR209" s="23"/>
      <c r="AS209" s="23"/>
      <c r="AT209" s="4"/>
      <c r="AU209" s="4"/>
      <c r="AV209" s="4"/>
      <c r="AW209" s="4"/>
      <c r="AX209" s="9"/>
      <c r="AY209" s="9"/>
      <c r="AZ209" s="4"/>
      <c r="BB209" t="e">
        <f>VLOOKUP(B209,contactos!$A$1:$D$484,4,FALSE)</f>
        <v>#N/A</v>
      </c>
    </row>
    <row r="210" spans="2:54" customFormat="1" x14ac:dyDescent="0.25">
      <c r="B210" s="100">
        <v>52035</v>
      </c>
      <c r="C210" s="4" t="s">
        <v>473</v>
      </c>
      <c r="D210" s="5">
        <v>117107.443120376</v>
      </c>
      <c r="E210" s="5">
        <v>0</v>
      </c>
      <c r="F210" s="5">
        <v>18737.19089926016</v>
      </c>
      <c r="G210" s="5">
        <v>135844.63</v>
      </c>
      <c r="H210" s="5">
        <v>135844.63</v>
      </c>
      <c r="I210" s="5">
        <f t="shared" si="70"/>
        <v>117107.443120376</v>
      </c>
      <c r="J210" s="5"/>
      <c r="K210" s="5">
        <f t="shared" si="71"/>
        <v>117107.443120376</v>
      </c>
      <c r="L210" s="5">
        <f t="shared" si="72"/>
        <v>135844.63401963617</v>
      </c>
      <c r="M210" s="5"/>
      <c r="N210" s="5">
        <f t="shared" si="73"/>
        <v>135844.63401963617</v>
      </c>
      <c r="O210" s="21"/>
      <c r="P210" s="21"/>
      <c r="Q210" s="21"/>
      <c r="R210" s="21">
        <f t="shared" si="65"/>
        <v>0</v>
      </c>
      <c r="S210" s="21">
        <v>117107.443120376</v>
      </c>
      <c r="T210" s="21">
        <f t="shared" si="68"/>
        <v>0</v>
      </c>
      <c r="U210" s="21">
        <f t="shared" si="69"/>
        <v>18737.19089926016</v>
      </c>
      <c r="V210" s="21">
        <f t="shared" si="74"/>
        <v>135844.63401963617</v>
      </c>
      <c r="W210" s="21"/>
      <c r="X210" s="5"/>
      <c r="Y210" s="5"/>
      <c r="Z210" s="5">
        <f t="shared" si="75"/>
        <v>0</v>
      </c>
      <c r="AA210" s="5">
        <v>233224.6</v>
      </c>
      <c r="AB210" s="5" t="s">
        <v>258</v>
      </c>
      <c r="AC210" s="5">
        <f t="shared" si="76"/>
        <v>117107.443120376</v>
      </c>
      <c r="AD210" s="5">
        <f t="shared" si="77"/>
        <v>135844.63401963617</v>
      </c>
      <c r="AE210" s="5">
        <f t="shared" si="78"/>
        <v>-4.0196361660491675E-3</v>
      </c>
      <c r="AF210" s="5"/>
      <c r="AG210" s="5" t="s">
        <v>73</v>
      </c>
      <c r="AH210" s="5">
        <v>4</v>
      </c>
      <c r="AI210" s="5">
        <v>1</v>
      </c>
      <c r="AJ210" s="5" t="s">
        <v>474</v>
      </c>
      <c r="AK210" s="5" t="s">
        <v>59</v>
      </c>
      <c r="AL210" s="4" t="s">
        <v>75</v>
      </c>
      <c r="AM210" s="6" t="s">
        <v>61</v>
      </c>
      <c r="AN210" s="21">
        <v>135844.63</v>
      </c>
      <c r="AO210" s="13" t="s">
        <v>68</v>
      </c>
      <c r="AP210" s="59"/>
      <c r="AQ210" s="59"/>
      <c r="AR210" s="23">
        <v>46041</v>
      </c>
      <c r="AS210" s="23">
        <v>46041</v>
      </c>
      <c r="AT210" s="4"/>
      <c r="AU210" s="4"/>
      <c r="AV210" s="4"/>
      <c r="AW210" s="4"/>
      <c r="AX210" s="9" t="s">
        <v>71</v>
      </c>
      <c r="AY210" s="9"/>
      <c r="AZ210" s="9"/>
      <c r="BB210" t="str">
        <f>VLOOKUP(B210,contactos!$A$1:$D$484,4,FALSE)</f>
        <v>juanignacio@bonmoro.com</v>
      </c>
    </row>
    <row r="211" spans="2:54" customFormat="1" x14ac:dyDescent="0.25">
      <c r="B211" s="100">
        <v>3773</v>
      </c>
      <c r="C211" s="4" t="s">
        <v>475</v>
      </c>
      <c r="D211" s="5">
        <v>135366.128537824</v>
      </c>
      <c r="E211" s="5">
        <v>0</v>
      </c>
      <c r="F211" s="5">
        <v>0</v>
      </c>
      <c r="G211" s="5">
        <v>135366.13</v>
      </c>
      <c r="H211" s="5">
        <v>135366.13</v>
      </c>
      <c r="I211" s="5">
        <f t="shared" si="70"/>
        <v>135366.128537824</v>
      </c>
      <c r="J211" s="5"/>
      <c r="K211" s="5">
        <f t="shared" si="71"/>
        <v>135366.128537824</v>
      </c>
      <c r="L211" s="5">
        <f t="shared" si="72"/>
        <v>135366.128537824</v>
      </c>
      <c r="M211" s="5"/>
      <c r="N211" s="5">
        <f t="shared" si="73"/>
        <v>135366.128537824</v>
      </c>
      <c r="O211" s="21"/>
      <c r="P211" s="21"/>
      <c r="Q211" s="21"/>
      <c r="R211" s="21">
        <f t="shared" si="65"/>
        <v>0</v>
      </c>
      <c r="S211" s="21">
        <v>135366.128537824</v>
      </c>
      <c r="T211" s="21">
        <f t="shared" si="68"/>
        <v>0</v>
      </c>
      <c r="U211" s="21">
        <f t="shared" si="69"/>
        <v>0</v>
      </c>
      <c r="V211" s="21">
        <f t="shared" si="74"/>
        <v>135366.128537824</v>
      </c>
      <c r="W211" s="21"/>
      <c r="X211" s="5"/>
      <c r="Y211" s="5"/>
      <c r="Z211" s="5">
        <f t="shared" si="75"/>
        <v>0</v>
      </c>
      <c r="AA211" s="5">
        <v>783936.82</v>
      </c>
      <c r="AB211" s="5" t="s">
        <v>258</v>
      </c>
      <c r="AC211" s="5">
        <f t="shared" si="76"/>
        <v>135366.128537824</v>
      </c>
      <c r="AD211" s="5">
        <f t="shared" si="77"/>
        <v>135366.128537824</v>
      </c>
      <c r="AE211" s="5">
        <f t="shared" si="78"/>
        <v>1.4621760055888444E-3</v>
      </c>
      <c r="AF211" s="5"/>
      <c r="AG211" s="5" t="s">
        <v>238</v>
      </c>
      <c r="AH211" s="5">
        <v>4</v>
      </c>
      <c r="AI211" s="5">
        <v>0</v>
      </c>
      <c r="AJ211" s="5">
        <v>0</v>
      </c>
      <c r="AK211" s="5" t="s">
        <v>256</v>
      </c>
      <c r="AL211" s="4" t="s">
        <v>90</v>
      </c>
      <c r="AM211" s="4" t="s">
        <v>91</v>
      </c>
      <c r="AN211" s="21"/>
      <c r="AO211" s="4"/>
      <c r="AP211" s="58"/>
      <c r="AQ211" s="58"/>
      <c r="AR211" s="23"/>
      <c r="AS211" s="23"/>
      <c r="AT211" s="4"/>
      <c r="AU211" s="4"/>
      <c r="AV211" s="4"/>
      <c r="AW211" s="4"/>
      <c r="AX211" s="9"/>
      <c r="AY211" s="9"/>
      <c r="AZ211" s="4"/>
      <c r="BB211" t="str">
        <f>VLOOKUP(B211,contactos!$A$1:$D$484,4,FALSE)</f>
        <v>alex.ramirez@oleico.com</v>
      </c>
    </row>
    <row r="212" spans="2:54" customFormat="1" x14ac:dyDescent="0.25">
      <c r="B212" s="100">
        <v>20016</v>
      </c>
      <c r="C212" s="4" t="s">
        <v>476</v>
      </c>
      <c r="D212" s="5">
        <v>110799.71999999999</v>
      </c>
      <c r="E212" s="5">
        <v>0</v>
      </c>
      <c r="F212" s="5">
        <v>17727.9552</v>
      </c>
      <c r="G212" s="5">
        <v>128527.67</v>
      </c>
      <c r="H212" s="5">
        <v>128527.67</v>
      </c>
      <c r="I212" s="5">
        <f t="shared" si="70"/>
        <v>110799.71999999999</v>
      </c>
      <c r="J212" s="5"/>
      <c r="K212" s="5">
        <f t="shared" si="71"/>
        <v>110799.71999999999</v>
      </c>
      <c r="L212" s="5">
        <f t="shared" si="72"/>
        <v>128527.67519999998</v>
      </c>
      <c r="M212" s="5"/>
      <c r="N212" s="5">
        <f t="shared" si="73"/>
        <v>128527.67519999998</v>
      </c>
      <c r="O212" s="21"/>
      <c r="P212" s="21"/>
      <c r="Q212" s="21"/>
      <c r="R212" s="21">
        <f t="shared" si="65"/>
        <v>0</v>
      </c>
      <c r="S212" s="21">
        <v>110799.71999999999</v>
      </c>
      <c r="T212" s="21">
        <f t="shared" si="68"/>
        <v>0</v>
      </c>
      <c r="U212" s="21">
        <f t="shared" si="69"/>
        <v>17727.9552</v>
      </c>
      <c r="V212" s="21">
        <f t="shared" si="74"/>
        <v>128527.67519999998</v>
      </c>
      <c r="W212" s="21"/>
      <c r="X212" s="5"/>
      <c r="Y212" s="5"/>
      <c r="Z212" s="5">
        <f t="shared" si="75"/>
        <v>0</v>
      </c>
      <c r="AA212" s="5">
        <v>1024392.6</v>
      </c>
      <c r="AB212" s="5" t="s">
        <v>258</v>
      </c>
      <c r="AC212" s="5">
        <f t="shared" si="76"/>
        <v>110799.71999999999</v>
      </c>
      <c r="AD212" s="5">
        <f t="shared" si="77"/>
        <v>128527.67519999998</v>
      </c>
      <c r="AE212" s="5">
        <f t="shared" si="78"/>
        <v>-5.1999999850522727E-3</v>
      </c>
      <c r="AF212" s="5"/>
      <c r="AG212" s="5" t="s">
        <v>73</v>
      </c>
      <c r="AH212" s="5">
        <v>4</v>
      </c>
      <c r="AI212" s="5">
        <v>0</v>
      </c>
      <c r="AJ212" s="5">
        <v>0</v>
      </c>
      <c r="AK212" s="5" t="s">
        <v>256</v>
      </c>
      <c r="AL212" s="4" t="s">
        <v>90</v>
      </c>
      <c r="AM212" s="4" t="s">
        <v>141</v>
      </c>
      <c r="AN212" s="21"/>
      <c r="AO212" s="4"/>
      <c r="AP212" s="58"/>
      <c r="AQ212" s="58"/>
      <c r="AR212" s="23"/>
      <c r="AS212" s="23"/>
      <c r="AT212" s="4"/>
      <c r="AU212" s="4"/>
      <c r="AV212" s="4"/>
      <c r="AW212" s="4"/>
      <c r="AX212" s="9"/>
      <c r="AY212" s="9"/>
      <c r="AZ212" s="4"/>
      <c r="BB212" t="str">
        <f>VLOOKUP(B212,contactos!$A$1:$D$484,4,FALSE)</f>
        <v>lvillamil@fotorama.com.mx</v>
      </c>
    </row>
    <row r="213" spans="2:54" customFormat="1" x14ac:dyDescent="0.25">
      <c r="B213" s="131">
        <v>191</v>
      </c>
      <c r="C213" s="4" t="s">
        <v>477</v>
      </c>
      <c r="D213" s="5">
        <v>117991.04704336701</v>
      </c>
      <c r="E213" s="5">
        <v>9439.2837927453602</v>
      </c>
      <c r="F213" s="5">
        <v>0</v>
      </c>
      <c r="G213" s="5">
        <v>127430.3043</v>
      </c>
      <c r="H213" s="5">
        <v>127430.3</v>
      </c>
      <c r="I213" s="5">
        <f t="shared" si="70"/>
        <v>117991.04704336701</v>
      </c>
      <c r="J213" s="5"/>
      <c r="K213" s="5">
        <f t="shared" si="71"/>
        <v>117991.04704336701</v>
      </c>
      <c r="L213" s="5">
        <f t="shared" si="72"/>
        <v>127430.33083611238</v>
      </c>
      <c r="M213" s="5"/>
      <c r="N213" s="5">
        <f t="shared" si="73"/>
        <v>127430.33083611238</v>
      </c>
      <c r="O213" s="21"/>
      <c r="P213" s="21"/>
      <c r="Q213" s="21"/>
      <c r="R213" s="21">
        <f t="shared" si="65"/>
        <v>0</v>
      </c>
      <c r="S213" s="21">
        <v>117991.04704336701</v>
      </c>
      <c r="T213" s="21">
        <f t="shared" si="68"/>
        <v>9439.2837927453602</v>
      </c>
      <c r="U213" s="21">
        <f t="shared" si="69"/>
        <v>0</v>
      </c>
      <c r="V213" s="21">
        <f t="shared" si="74"/>
        <v>127430.33083611238</v>
      </c>
      <c r="W213" s="21"/>
      <c r="X213" s="5"/>
      <c r="Y213" s="5"/>
      <c r="Z213" s="5">
        <f t="shared" si="75"/>
        <v>0</v>
      </c>
      <c r="AA213" s="5">
        <v>605042.23</v>
      </c>
      <c r="AB213" s="5" t="s">
        <v>258</v>
      </c>
      <c r="AC213" s="5">
        <f t="shared" si="76"/>
        <v>117991.04704336701</v>
      </c>
      <c r="AD213" s="5">
        <f t="shared" si="77"/>
        <v>127430.33083611238</v>
      </c>
      <c r="AE213" s="5">
        <f t="shared" si="78"/>
        <v>-2.6536112374742515E-2</v>
      </c>
      <c r="AF213" s="5"/>
      <c r="AG213" s="5" t="s">
        <v>238</v>
      </c>
      <c r="AH213" s="5">
        <v>4</v>
      </c>
      <c r="AI213" s="5">
        <v>0</v>
      </c>
      <c r="AJ213" s="5">
        <v>0</v>
      </c>
      <c r="AK213" s="5" t="s">
        <v>256</v>
      </c>
      <c r="AL213" s="4" t="s">
        <v>90</v>
      </c>
      <c r="AM213" s="6" t="s">
        <v>103</v>
      </c>
      <c r="AN213" s="21"/>
      <c r="AO213" s="4"/>
      <c r="AP213" s="58"/>
      <c r="AQ213" s="58"/>
      <c r="AR213" s="23"/>
      <c r="AS213" s="23"/>
      <c r="AT213" s="4"/>
      <c r="AU213" s="4"/>
      <c r="AV213" s="52"/>
      <c r="AW213" s="52"/>
      <c r="AX213" s="9"/>
      <c r="AY213" s="9"/>
      <c r="AZ213" s="4"/>
      <c r="BB213" t="e">
        <f>VLOOKUP(B213,contactos!$A$1:$D$484,4,FALSE)</f>
        <v>#N/A</v>
      </c>
    </row>
    <row r="214" spans="2:54" customFormat="1" x14ac:dyDescent="0.25">
      <c r="B214" s="100">
        <v>64345</v>
      </c>
      <c r="C214" s="4" t="s">
        <v>478</v>
      </c>
      <c r="D214" s="5">
        <v>107984.72000000002</v>
      </c>
      <c r="E214" s="5">
        <v>0</v>
      </c>
      <c r="F214" s="5">
        <v>17277.533599999999</v>
      </c>
      <c r="G214" s="5">
        <v>125262.25</v>
      </c>
      <c r="H214" s="5">
        <v>125262.25</v>
      </c>
      <c r="I214" s="5">
        <f t="shared" si="70"/>
        <v>107984.72000000002</v>
      </c>
      <c r="J214" s="5"/>
      <c r="K214" s="5">
        <f t="shared" si="71"/>
        <v>107984.72000000002</v>
      </c>
      <c r="L214" s="5">
        <f t="shared" si="72"/>
        <v>125262.25360000001</v>
      </c>
      <c r="M214" s="5"/>
      <c r="N214" s="5">
        <f t="shared" si="73"/>
        <v>125262.25360000001</v>
      </c>
      <c r="O214" s="21"/>
      <c r="P214" s="21"/>
      <c r="Q214" s="21"/>
      <c r="R214" s="21">
        <f t="shared" si="65"/>
        <v>0</v>
      </c>
      <c r="S214" s="21">
        <v>107984.72000000002</v>
      </c>
      <c r="T214" s="21">
        <f t="shared" si="68"/>
        <v>0</v>
      </c>
      <c r="U214" s="21">
        <f t="shared" si="69"/>
        <v>17277.533599999999</v>
      </c>
      <c r="V214" s="21">
        <f t="shared" si="74"/>
        <v>125262.25360000001</v>
      </c>
      <c r="W214" s="21"/>
      <c r="X214" s="5"/>
      <c r="Y214" s="5"/>
      <c r="Z214" s="5">
        <f t="shared" si="75"/>
        <v>0</v>
      </c>
      <c r="AA214" s="5">
        <v>202615.14</v>
      </c>
      <c r="AB214" s="5" t="s">
        <v>258</v>
      </c>
      <c r="AC214" s="5">
        <f t="shared" si="76"/>
        <v>107984.72000000002</v>
      </c>
      <c r="AD214" s="5">
        <f t="shared" si="77"/>
        <v>125262.25360000001</v>
      </c>
      <c r="AE214" s="5">
        <f t="shared" si="78"/>
        <v>-3.6000000109197572E-3</v>
      </c>
      <c r="AF214" s="5"/>
      <c r="AG214" s="5" t="s">
        <v>238</v>
      </c>
      <c r="AH214" s="5">
        <v>4</v>
      </c>
      <c r="AI214" s="5">
        <v>0</v>
      </c>
      <c r="AJ214" s="5">
        <v>0</v>
      </c>
      <c r="AK214" s="5" t="s">
        <v>256</v>
      </c>
      <c r="AL214" s="4" t="s">
        <v>90</v>
      </c>
      <c r="AM214" s="4" t="s">
        <v>141</v>
      </c>
      <c r="AN214" s="21"/>
      <c r="AO214" s="4"/>
      <c r="AP214" s="58"/>
      <c r="AQ214" s="58"/>
      <c r="AR214" s="23"/>
      <c r="AS214" s="23"/>
      <c r="AT214" s="4"/>
      <c r="AU214" s="4"/>
      <c r="AV214" s="4"/>
      <c r="AW214" s="4"/>
      <c r="AX214" s="9"/>
      <c r="AY214" s="9"/>
      <c r="AZ214" s="4"/>
      <c r="BB214" t="e">
        <f>VLOOKUP(B214,contactos!$A$1:$D$484,4,FALSE)</f>
        <v>#N/A</v>
      </c>
    </row>
    <row r="215" spans="2:54" customFormat="1" x14ac:dyDescent="0.25">
      <c r="B215" s="100">
        <v>89540</v>
      </c>
      <c r="C215" s="4" t="s">
        <v>479</v>
      </c>
      <c r="D215" s="5">
        <v>123613.79</v>
      </c>
      <c r="E215" s="5">
        <v>0</v>
      </c>
      <c r="F215" s="5">
        <v>0</v>
      </c>
      <c r="G215" s="5">
        <v>123613.79</v>
      </c>
      <c r="H215" s="5">
        <v>0</v>
      </c>
      <c r="I215" s="5">
        <f t="shared" si="70"/>
        <v>123613.79</v>
      </c>
      <c r="J215" s="5"/>
      <c r="K215" s="5">
        <f t="shared" si="71"/>
        <v>123613.79</v>
      </c>
      <c r="L215" s="5">
        <f t="shared" si="72"/>
        <v>123613.79</v>
      </c>
      <c r="M215" s="5"/>
      <c r="N215" s="5">
        <f t="shared" si="73"/>
        <v>123613.79</v>
      </c>
      <c r="O215" s="21"/>
      <c r="P215" s="21"/>
      <c r="Q215" s="21"/>
      <c r="R215" s="21">
        <f t="shared" si="65"/>
        <v>0</v>
      </c>
      <c r="S215" s="21">
        <v>123613.79</v>
      </c>
      <c r="T215" s="21">
        <f t="shared" si="68"/>
        <v>0</v>
      </c>
      <c r="U215" s="21">
        <f t="shared" si="69"/>
        <v>0</v>
      </c>
      <c r="V215" s="21">
        <f t="shared" si="74"/>
        <v>123613.79</v>
      </c>
      <c r="W215" s="21"/>
      <c r="X215" s="5"/>
      <c r="Y215" s="5"/>
      <c r="Z215" s="5">
        <f t="shared" si="75"/>
        <v>0</v>
      </c>
      <c r="AA215" s="5">
        <v>164891.17000000001</v>
      </c>
      <c r="AB215" s="5" t="s">
        <v>258</v>
      </c>
      <c r="AC215" s="5">
        <f t="shared" si="76"/>
        <v>123613.79</v>
      </c>
      <c r="AD215" s="5">
        <f t="shared" si="77"/>
        <v>123613.79</v>
      </c>
      <c r="AE215" s="5">
        <f t="shared" si="78"/>
        <v>0</v>
      </c>
      <c r="AF215" s="5"/>
      <c r="AG215" s="5" t="s">
        <v>73</v>
      </c>
      <c r="AH215" s="5">
        <v>4</v>
      </c>
      <c r="AI215" s="5">
        <v>0</v>
      </c>
      <c r="AJ215" s="5">
        <v>0</v>
      </c>
      <c r="AK215" s="5" t="s">
        <v>256</v>
      </c>
      <c r="AL215" s="4" t="s">
        <v>90</v>
      </c>
      <c r="AM215" s="4" t="s">
        <v>162</v>
      </c>
      <c r="AN215" s="21"/>
      <c r="AO215" s="4"/>
      <c r="AP215" s="58"/>
      <c r="AQ215" s="58"/>
      <c r="AR215" s="23"/>
      <c r="AS215" s="23"/>
      <c r="AT215" s="4"/>
      <c r="AU215" s="4"/>
      <c r="AV215" s="4"/>
      <c r="AW215" s="4"/>
      <c r="AX215" s="9"/>
      <c r="AY215" s="9"/>
      <c r="AZ215" s="4"/>
      <c r="BB215" t="e">
        <f>VLOOKUP(B215,contactos!$A$1:$D$484,4,FALSE)</f>
        <v>#N/A</v>
      </c>
    </row>
    <row r="216" spans="2:54" customFormat="1" x14ac:dyDescent="0.25">
      <c r="B216" s="100">
        <v>309468</v>
      </c>
      <c r="C216" s="4" t="s">
        <v>480</v>
      </c>
      <c r="D216" s="5">
        <v>103050.21</v>
      </c>
      <c r="E216" s="5">
        <v>0</v>
      </c>
      <c r="F216" s="5">
        <v>16488.018100000001</v>
      </c>
      <c r="G216" s="5">
        <v>119538.18</v>
      </c>
      <c r="H216" s="5">
        <v>119538.18</v>
      </c>
      <c r="I216" s="5">
        <f t="shared" si="70"/>
        <v>103050.21</v>
      </c>
      <c r="J216" s="5"/>
      <c r="K216" s="5">
        <f t="shared" si="71"/>
        <v>103050.21</v>
      </c>
      <c r="L216" s="5">
        <f t="shared" si="72"/>
        <v>119538.22810000001</v>
      </c>
      <c r="M216" s="5"/>
      <c r="N216" s="5">
        <f t="shared" si="73"/>
        <v>119538.22810000001</v>
      </c>
      <c r="O216" s="21"/>
      <c r="P216" s="21"/>
      <c r="Q216" s="21"/>
      <c r="R216" s="21">
        <f t="shared" si="65"/>
        <v>0</v>
      </c>
      <c r="S216" s="21">
        <v>103050.21</v>
      </c>
      <c r="T216" s="21">
        <f t="shared" si="68"/>
        <v>0</v>
      </c>
      <c r="U216" s="21">
        <f t="shared" si="69"/>
        <v>16488.018100000001</v>
      </c>
      <c r="V216" s="21">
        <f t="shared" si="74"/>
        <v>119538.22810000001</v>
      </c>
      <c r="W216" s="21"/>
      <c r="X216" s="5"/>
      <c r="Y216" s="5"/>
      <c r="Z216" s="5">
        <f t="shared" si="75"/>
        <v>0</v>
      </c>
      <c r="AA216" s="5">
        <v>251269.11</v>
      </c>
      <c r="AB216" s="5" t="s">
        <v>258</v>
      </c>
      <c r="AC216" s="5">
        <f t="shared" si="76"/>
        <v>103050.21</v>
      </c>
      <c r="AD216" s="5">
        <f t="shared" si="77"/>
        <v>119538.22810000001</v>
      </c>
      <c r="AE216" s="5">
        <f t="shared" si="78"/>
        <v>-4.8100000014528632E-2</v>
      </c>
      <c r="AF216" s="5"/>
      <c r="AG216" s="5" t="s">
        <v>238</v>
      </c>
      <c r="AH216" s="5">
        <v>4</v>
      </c>
      <c r="AI216" s="5">
        <v>0</v>
      </c>
      <c r="AJ216" s="5" t="s">
        <v>279</v>
      </c>
      <c r="AK216" s="5" t="s">
        <v>256</v>
      </c>
      <c r="AL216" s="4" t="s">
        <v>90</v>
      </c>
      <c r="AM216" s="4" t="s">
        <v>119</v>
      </c>
      <c r="AN216" s="21"/>
      <c r="AO216" s="4"/>
      <c r="AP216" s="58"/>
      <c r="AQ216" s="58"/>
      <c r="AR216" s="23"/>
      <c r="AS216" s="23"/>
      <c r="AT216" s="4"/>
      <c r="AU216" s="4"/>
      <c r="AV216" s="4"/>
      <c r="AW216" s="4"/>
      <c r="AX216" s="9"/>
      <c r="AY216" s="9"/>
      <c r="AZ216" s="4"/>
      <c r="BB216" t="e">
        <f>VLOOKUP(B216,contactos!$A$1:$D$484,4,FALSE)</f>
        <v>#N/A</v>
      </c>
    </row>
    <row r="217" spans="2:54" customFormat="1" x14ac:dyDescent="0.25">
      <c r="B217" s="100">
        <v>22053</v>
      </c>
      <c r="C217" s="4" t="s">
        <v>481</v>
      </c>
      <c r="D217" s="5">
        <v>117337.47</v>
      </c>
      <c r="E217" s="5">
        <v>0</v>
      </c>
      <c r="F217" s="5">
        <v>253.2704</v>
      </c>
      <c r="G217" s="5">
        <v>117590.74000000002</v>
      </c>
      <c r="H217" s="5">
        <v>117590.74</v>
      </c>
      <c r="I217" s="5">
        <f t="shared" si="70"/>
        <v>117337.47</v>
      </c>
      <c r="J217" s="5"/>
      <c r="K217" s="5">
        <f t="shared" si="71"/>
        <v>117337.47</v>
      </c>
      <c r="L217" s="5">
        <f t="shared" si="72"/>
        <v>117590.7404</v>
      </c>
      <c r="M217" s="5"/>
      <c r="N217" s="5">
        <f t="shared" si="73"/>
        <v>117590.7404</v>
      </c>
      <c r="O217" s="21"/>
      <c r="P217" s="21"/>
      <c r="Q217" s="21"/>
      <c r="R217" s="21">
        <f t="shared" si="65"/>
        <v>0</v>
      </c>
      <c r="S217" s="21">
        <v>117337.47</v>
      </c>
      <c r="T217" s="21">
        <f t="shared" si="68"/>
        <v>0</v>
      </c>
      <c r="U217" s="21">
        <f t="shared" si="69"/>
        <v>253.2704</v>
      </c>
      <c r="V217" s="21">
        <f t="shared" si="74"/>
        <v>117590.7404</v>
      </c>
      <c r="W217" s="21"/>
      <c r="X217" s="5"/>
      <c r="Y217" s="5"/>
      <c r="Z217" s="5">
        <f t="shared" si="75"/>
        <v>0</v>
      </c>
      <c r="AA217" s="5">
        <v>3322.53</v>
      </c>
      <c r="AB217" s="5" t="s">
        <v>258</v>
      </c>
      <c r="AC217" s="5">
        <f t="shared" si="76"/>
        <v>117337.47</v>
      </c>
      <c r="AD217" s="5">
        <f t="shared" si="77"/>
        <v>117590.7404</v>
      </c>
      <c r="AE217" s="5">
        <f t="shared" si="78"/>
        <v>-3.9999997534323484E-4</v>
      </c>
      <c r="AF217" s="5"/>
      <c r="AG217" s="5" t="s">
        <v>73</v>
      </c>
      <c r="AH217" s="5">
        <v>4</v>
      </c>
      <c r="AI217" s="5">
        <v>0</v>
      </c>
      <c r="AJ217" s="5" t="s">
        <v>279</v>
      </c>
      <c r="AK217" s="5" t="s">
        <v>256</v>
      </c>
      <c r="AL217" s="4" t="s">
        <v>90</v>
      </c>
      <c r="AM217" s="4" t="s">
        <v>119</v>
      </c>
      <c r="AN217" s="21"/>
      <c r="AO217" s="4"/>
      <c r="AP217" s="58"/>
      <c r="AQ217" s="58"/>
      <c r="AR217" s="23"/>
      <c r="AS217" s="23"/>
      <c r="AT217" s="4"/>
      <c r="AU217" s="4"/>
      <c r="AV217" s="4"/>
      <c r="AW217" s="4"/>
      <c r="AX217" s="9"/>
      <c r="AY217" s="9"/>
      <c r="AZ217" s="4"/>
      <c r="BB217" t="e">
        <f>VLOOKUP(B217,contactos!$A$1:$D$484,4,FALSE)</f>
        <v>#N/A</v>
      </c>
    </row>
    <row r="218" spans="2:54" customFormat="1" x14ac:dyDescent="0.25">
      <c r="B218" s="100">
        <v>303895</v>
      </c>
      <c r="C218" s="4" t="s">
        <v>301</v>
      </c>
      <c r="D218" s="5">
        <v>115380.78</v>
      </c>
      <c r="E218" s="5">
        <v>0</v>
      </c>
      <c r="F218" s="5">
        <v>0</v>
      </c>
      <c r="G218" s="5">
        <v>115380.78</v>
      </c>
      <c r="H218" s="5">
        <v>115380.78</v>
      </c>
      <c r="I218" s="5">
        <f t="shared" si="70"/>
        <v>115380.78</v>
      </c>
      <c r="J218" s="5"/>
      <c r="K218" s="5">
        <f t="shared" si="71"/>
        <v>115380.78</v>
      </c>
      <c r="L218" s="5">
        <f t="shared" si="72"/>
        <v>115380.78</v>
      </c>
      <c r="M218" s="5"/>
      <c r="N218" s="5">
        <f t="shared" si="73"/>
        <v>115380.78</v>
      </c>
      <c r="O218" s="21"/>
      <c r="P218" s="21"/>
      <c r="Q218" s="21"/>
      <c r="R218" s="21">
        <f t="shared" ref="R218:R281" si="79">SUM(O218:Q218)</f>
        <v>0</v>
      </c>
      <c r="S218" s="21">
        <v>115380.78</v>
      </c>
      <c r="T218" s="21">
        <f t="shared" si="68"/>
        <v>0</v>
      </c>
      <c r="U218" s="21">
        <f t="shared" si="69"/>
        <v>0</v>
      </c>
      <c r="V218" s="21">
        <f t="shared" si="74"/>
        <v>115380.78</v>
      </c>
      <c r="W218" s="21"/>
      <c r="X218" s="5"/>
      <c r="Y218" s="5"/>
      <c r="Z218" s="5">
        <f t="shared" si="75"/>
        <v>0</v>
      </c>
      <c r="AA218" s="5"/>
      <c r="AB218" s="5" t="s">
        <v>258</v>
      </c>
      <c r="AC218" s="5">
        <f t="shared" si="76"/>
        <v>115380.78</v>
      </c>
      <c r="AD218" s="5">
        <f t="shared" si="77"/>
        <v>115380.78</v>
      </c>
      <c r="AE218" s="5">
        <f t="shared" si="78"/>
        <v>0</v>
      </c>
      <c r="AF218" s="5"/>
      <c r="AG218" s="5" t="s">
        <v>238</v>
      </c>
      <c r="AH218" s="5">
        <v>4</v>
      </c>
      <c r="AI218" s="5">
        <v>0</v>
      </c>
      <c r="AJ218" s="5" t="s">
        <v>274</v>
      </c>
      <c r="AK218" s="5" t="s">
        <v>256</v>
      </c>
      <c r="AL218" s="4" t="s">
        <v>90</v>
      </c>
      <c r="AM218" s="4" t="s">
        <v>148</v>
      </c>
      <c r="AN218" s="21"/>
      <c r="AO218" s="4"/>
      <c r="AP218" s="58"/>
      <c r="AQ218" s="58"/>
      <c r="AR218" s="23"/>
      <c r="AS218" s="23"/>
      <c r="AT218" s="4"/>
      <c r="AU218" s="4"/>
      <c r="AV218" s="4"/>
      <c r="AW218" s="4"/>
      <c r="AX218" s="9"/>
      <c r="AY218" s="9"/>
      <c r="AZ218" s="4"/>
      <c r="BB218" t="str">
        <f>VLOOKUP(B218,contactos!$A$1:$D$484,4,FALSE)</f>
        <v xml:space="preserve">jesus@dcoloso.com.mx                           </v>
      </c>
    </row>
    <row r="219" spans="2:54" customFormat="1" x14ac:dyDescent="0.25">
      <c r="B219" s="131">
        <v>6470</v>
      </c>
      <c r="C219" s="4" t="s">
        <v>482</v>
      </c>
      <c r="D219" s="5">
        <v>115000.26</v>
      </c>
      <c r="E219" s="5">
        <v>0</v>
      </c>
      <c r="F219" s="5">
        <v>0</v>
      </c>
      <c r="G219" s="5">
        <v>115000.26</v>
      </c>
      <c r="H219" s="5">
        <v>115000.26</v>
      </c>
      <c r="I219" s="5">
        <f t="shared" si="70"/>
        <v>115000.26</v>
      </c>
      <c r="J219" s="5"/>
      <c r="K219" s="5">
        <f t="shared" si="71"/>
        <v>115000.26</v>
      </c>
      <c r="L219" s="5">
        <f t="shared" si="72"/>
        <v>115000.26</v>
      </c>
      <c r="M219" s="5"/>
      <c r="N219" s="5">
        <f t="shared" si="73"/>
        <v>115000.26</v>
      </c>
      <c r="O219" s="21"/>
      <c r="P219" s="21"/>
      <c r="Q219" s="21"/>
      <c r="R219" s="21">
        <f t="shared" si="79"/>
        <v>0</v>
      </c>
      <c r="S219" s="21">
        <v>115000.26</v>
      </c>
      <c r="T219" s="21">
        <f t="shared" si="68"/>
        <v>0</v>
      </c>
      <c r="U219" s="21">
        <f t="shared" si="69"/>
        <v>0</v>
      </c>
      <c r="V219" s="21">
        <f t="shared" si="74"/>
        <v>115000.26</v>
      </c>
      <c r="W219" s="21"/>
      <c r="X219" s="5"/>
      <c r="Y219" s="5"/>
      <c r="Z219" s="5">
        <f t="shared" si="75"/>
        <v>0</v>
      </c>
      <c r="AA219" s="5">
        <v>432422.52</v>
      </c>
      <c r="AB219" s="5" t="s">
        <v>258</v>
      </c>
      <c r="AC219" s="5">
        <f t="shared" si="76"/>
        <v>115000.26</v>
      </c>
      <c r="AD219" s="5">
        <f t="shared" si="77"/>
        <v>115000.26</v>
      </c>
      <c r="AE219" s="5">
        <f t="shared" si="78"/>
        <v>0</v>
      </c>
      <c r="AF219" s="5"/>
      <c r="AG219" s="5" t="s">
        <v>238</v>
      </c>
      <c r="AH219" s="5">
        <v>4</v>
      </c>
      <c r="AI219" s="5">
        <v>0</v>
      </c>
      <c r="AJ219" s="5">
        <v>0</v>
      </c>
      <c r="AK219" s="5" t="s">
        <v>256</v>
      </c>
      <c r="AL219" s="4" t="s">
        <v>90</v>
      </c>
      <c r="AM219" s="6" t="s">
        <v>103</v>
      </c>
      <c r="AN219" s="21"/>
      <c r="AO219" s="4"/>
      <c r="AP219" s="58"/>
      <c r="AQ219" s="58"/>
      <c r="AR219" s="23"/>
      <c r="AS219" s="23"/>
      <c r="AT219" s="4"/>
      <c r="AU219" s="4"/>
      <c r="AV219" s="52"/>
      <c r="AW219" s="52"/>
      <c r="AX219" s="9"/>
      <c r="AY219" s="9"/>
      <c r="AZ219" s="4"/>
      <c r="BB219" t="e">
        <f>VLOOKUP(B219,contactos!$A$1:$D$484,4,FALSE)</f>
        <v>#N/A</v>
      </c>
    </row>
    <row r="220" spans="2:54" customFormat="1" x14ac:dyDescent="0.25">
      <c r="B220" s="100">
        <v>61846</v>
      </c>
      <c r="C220" s="4" t="s">
        <v>483</v>
      </c>
      <c r="D220" s="5">
        <v>114220.96207406801</v>
      </c>
      <c r="E220" s="5">
        <v>0</v>
      </c>
      <c r="F220" s="5">
        <v>0</v>
      </c>
      <c r="G220" s="5">
        <v>114220.96580000001</v>
      </c>
      <c r="H220" s="5">
        <v>114220.97</v>
      </c>
      <c r="I220" s="5">
        <f t="shared" si="70"/>
        <v>114220.96207406801</v>
      </c>
      <c r="J220" s="5"/>
      <c r="K220" s="5">
        <f t="shared" si="71"/>
        <v>114220.96207406801</v>
      </c>
      <c r="L220" s="5">
        <f t="shared" si="72"/>
        <v>114220.96207406801</v>
      </c>
      <c r="M220" s="5"/>
      <c r="N220" s="5">
        <f t="shared" si="73"/>
        <v>114220.96207406801</v>
      </c>
      <c r="O220" s="27"/>
      <c r="P220" s="27"/>
      <c r="Q220" s="27"/>
      <c r="R220" s="21">
        <f t="shared" si="79"/>
        <v>0</v>
      </c>
      <c r="S220" s="27">
        <v>114220.96207406801</v>
      </c>
      <c r="T220" s="21">
        <f t="shared" si="68"/>
        <v>0</v>
      </c>
      <c r="U220" s="21">
        <f t="shared" si="69"/>
        <v>0</v>
      </c>
      <c r="V220" s="21">
        <f t="shared" si="74"/>
        <v>114220.96207406801</v>
      </c>
      <c r="W220" s="27"/>
      <c r="X220" s="5"/>
      <c r="Y220" s="5"/>
      <c r="Z220" s="5">
        <f t="shared" si="75"/>
        <v>0</v>
      </c>
      <c r="AA220" s="5">
        <v>727843.87</v>
      </c>
      <c r="AB220" s="5" t="s">
        <v>258</v>
      </c>
      <c r="AC220" s="5">
        <f t="shared" si="76"/>
        <v>114220.96207406801</v>
      </c>
      <c r="AD220" s="5">
        <f t="shared" si="77"/>
        <v>114220.96207406801</v>
      </c>
      <c r="AE220" s="5">
        <f t="shared" si="78"/>
        <v>3.7259319942677394E-3</v>
      </c>
      <c r="AF220" s="5"/>
      <c r="AG220" s="5" t="s">
        <v>484</v>
      </c>
      <c r="AH220" s="5">
        <v>4</v>
      </c>
      <c r="AI220" s="5">
        <v>4</v>
      </c>
      <c r="AJ220" s="5" t="s">
        <v>485</v>
      </c>
      <c r="AK220" s="5" t="s">
        <v>59</v>
      </c>
      <c r="AL220" s="4" t="s">
        <v>133</v>
      </c>
      <c r="AM220" s="6" t="s">
        <v>83</v>
      </c>
      <c r="AN220" s="27">
        <v>7361.49</v>
      </c>
      <c r="AO220" s="4" t="s">
        <v>98</v>
      </c>
      <c r="AP220" s="58">
        <v>1</v>
      </c>
      <c r="AQ220" s="58" t="s">
        <v>125</v>
      </c>
      <c r="AR220" s="23">
        <v>46043</v>
      </c>
      <c r="AS220" s="23">
        <v>46043</v>
      </c>
      <c r="AT220" s="4"/>
      <c r="AU220" s="4"/>
      <c r="AV220" s="4" t="s">
        <v>486</v>
      </c>
      <c r="AW220" s="4"/>
      <c r="AX220" s="12" t="s">
        <v>71</v>
      </c>
      <c r="AY220" s="12"/>
      <c r="AZ220" s="12"/>
      <c r="BA220" t="s">
        <v>86</v>
      </c>
      <c r="BB220" t="e">
        <f>VLOOKUP(B220,contactos!$A$1:$D$484,4,FALSE)</f>
        <v>#N/A</v>
      </c>
    </row>
    <row r="221" spans="2:54" customFormat="1" x14ac:dyDescent="0.25">
      <c r="B221" s="100">
        <v>30494</v>
      </c>
      <c r="C221" s="4" t="s">
        <v>487</v>
      </c>
      <c r="D221" s="5">
        <v>92494.939999999988</v>
      </c>
      <c r="E221" s="5">
        <v>0</v>
      </c>
      <c r="F221" s="5">
        <v>14799.190400000001</v>
      </c>
      <c r="G221" s="5">
        <v>107294.16</v>
      </c>
      <c r="H221" s="5">
        <v>107294.16</v>
      </c>
      <c r="I221" s="5">
        <f t="shared" si="70"/>
        <v>92494.94</v>
      </c>
      <c r="J221" s="5"/>
      <c r="K221" s="5">
        <f t="shared" si="71"/>
        <v>92494.94</v>
      </c>
      <c r="L221" s="5">
        <f t="shared" si="72"/>
        <v>107294.13</v>
      </c>
      <c r="M221" s="5"/>
      <c r="N221" s="5">
        <f t="shared" si="73"/>
        <v>107294.13</v>
      </c>
      <c r="O221" s="21">
        <v>92494.94</v>
      </c>
      <c r="P221" s="21"/>
      <c r="Q221" s="21">
        <v>14799.19</v>
      </c>
      <c r="R221" s="21">
        <f t="shared" si="79"/>
        <v>107294.13</v>
      </c>
      <c r="S221" s="21">
        <v>0</v>
      </c>
      <c r="T221" s="21">
        <f t="shared" si="68"/>
        <v>0</v>
      </c>
      <c r="U221" s="21">
        <v>0</v>
      </c>
      <c r="V221" s="21">
        <f t="shared" si="74"/>
        <v>0</v>
      </c>
      <c r="W221" s="21"/>
      <c r="X221" s="5"/>
      <c r="Y221" s="5"/>
      <c r="Z221" s="5">
        <f t="shared" si="75"/>
        <v>0</v>
      </c>
      <c r="AA221" s="5">
        <v>117303.5</v>
      </c>
      <c r="AB221" s="5" t="s">
        <v>258</v>
      </c>
      <c r="AC221" s="5">
        <f t="shared" si="76"/>
        <v>92494.94</v>
      </c>
      <c r="AD221" s="5">
        <f t="shared" si="77"/>
        <v>107294.13</v>
      </c>
      <c r="AE221" s="5">
        <f t="shared" si="78"/>
        <v>2.9999999998835847E-2</v>
      </c>
      <c r="AF221" s="5"/>
      <c r="AG221" s="5" t="s">
        <v>73</v>
      </c>
      <c r="AH221" s="5">
        <v>4</v>
      </c>
      <c r="AI221" s="5">
        <v>3</v>
      </c>
      <c r="AJ221" s="5" t="s">
        <v>488</v>
      </c>
      <c r="AK221" s="5" t="s">
        <v>59</v>
      </c>
      <c r="AL221" s="4" t="s">
        <v>75</v>
      </c>
      <c r="AM221" s="6" t="s">
        <v>119</v>
      </c>
      <c r="AN221" s="21"/>
      <c r="AO221" s="4"/>
      <c r="AP221" s="58"/>
      <c r="AQ221" s="58"/>
      <c r="AR221" s="23">
        <v>46042</v>
      </c>
      <c r="AS221" s="23">
        <v>46045</v>
      </c>
      <c r="AT221" s="4"/>
      <c r="AU221" s="4"/>
      <c r="AV221" s="4" t="s">
        <v>321</v>
      </c>
      <c r="AW221" s="4"/>
      <c r="AX221" s="9"/>
      <c r="AY221" s="9" t="s">
        <v>71</v>
      </c>
      <c r="AZ221" s="4"/>
      <c r="BB221" t="e">
        <f>VLOOKUP(B221,contactos!$A$1:$D$484,4,FALSE)</f>
        <v>#N/A</v>
      </c>
    </row>
    <row r="222" spans="2:54" customFormat="1" x14ac:dyDescent="0.25">
      <c r="B222" s="100">
        <v>92767</v>
      </c>
      <c r="C222" s="4" t="s">
        <v>489</v>
      </c>
      <c r="D222" s="5">
        <v>94270.415962450003</v>
      </c>
      <c r="E222" s="5">
        <v>0</v>
      </c>
      <c r="F222" s="5">
        <v>12221.508400000001</v>
      </c>
      <c r="G222" s="5">
        <v>106491.74669999999</v>
      </c>
      <c r="H222" s="5">
        <v>106491.86</v>
      </c>
      <c r="I222" s="5">
        <f t="shared" si="70"/>
        <v>94270.42</v>
      </c>
      <c r="J222" s="5"/>
      <c r="K222" s="5">
        <f t="shared" si="71"/>
        <v>94270.42</v>
      </c>
      <c r="L222" s="5">
        <f t="shared" si="72"/>
        <v>106491.9284</v>
      </c>
      <c r="M222" s="5"/>
      <c r="N222" s="5">
        <f t="shared" si="73"/>
        <v>106491.9284</v>
      </c>
      <c r="O222" s="27">
        <v>76544.37</v>
      </c>
      <c r="P222" s="27">
        <v>0</v>
      </c>
      <c r="Q222" s="27">
        <v>10082.11</v>
      </c>
      <c r="R222" s="21">
        <f t="shared" si="79"/>
        <v>86626.48</v>
      </c>
      <c r="S222" s="132">
        <v>17726.05</v>
      </c>
      <c r="T222" s="21">
        <f t="shared" ref="T222:T229" si="80">E222-X222</f>
        <v>0</v>
      </c>
      <c r="U222" s="21">
        <f>F222-Q222-Y222</f>
        <v>2139.3984</v>
      </c>
      <c r="V222" s="21">
        <f t="shared" si="74"/>
        <v>19865.448400000001</v>
      </c>
      <c r="W222" s="27"/>
      <c r="X222" s="5"/>
      <c r="Y222" s="5"/>
      <c r="Z222" s="5">
        <f t="shared" si="75"/>
        <v>0</v>
      </c>
      <c r="AA222" s="5">
        <v>164683.79999999999</v>
      </c>
      <c r="AB222" s="5" t="s">
        <v>258</v>
      </c>
      <c r="AC222" s="5">
        <f t="shared" si="76"/>
        <v>94270.42</v>
      </c>
      <c r="AD222" s="5">
        <f t="shared" si="77"/>
        <v>106491.9284</v>
      </c>
      <c r="AE222" s="5">
        <f t="shared" si="78"/>
        <v>-0.18170000001555309</v>
      </c>
      <c r="AF222" s="5"/>
      <c r="AG222" s="5" t="s">
        <v>73</v>
      </c>
      <c r="AH222" s="5">
        <v>4</v>
      </c>
      <c r="AI222" s="5">
        <v>4</v>
      </c>
      <c r="AJ222" s="5" t="s">
        <v>490</v>
      </c>
      <c r="AK222" s="5" t="s">
        <v>59</v>
      </c>
      <c r="AL222" s="4" t="s">
        <v>75</v>
      </c>
      <c r="AM222" s="6" t="s">
        <v>83</v>
      </c>
      <c r="AN222" s="27"/>
      <c r="AO222" s="4"/>
      <c r="AP222" s="58"/>
      <c r="AQ222" s="58"/>
      <c r="AR222" s="23">
        <v>46042</v>
      </c>
      <c r="AS222" s="23">
        <v>46042</v>
      </c>
      <c r="AT222" s="4"/>
      <c r="AU222" s="4"/>
      <c r="AV222" s="4" t="s">
        <v>491</v>
      </c>
      <c r="AW222" s="4"/>
      <c r="AX222" s="12"/>
      <c r="AY222" s="12" t="s">
        <v>71</v>
      </c>
      <c r="AZ222" s="12"/>
      <c r="BA222" s="15" t="s">
        <v>492</v>
      </c>
      <c r="BB222" t="e">
        <f>VLOOKUP(B222,contactos!$A$1:$D$484,4,FALSE)</f>
        <v>#N/A</v>
      </c>
    </row>
    <row r="223" spans="2:54" customFormat="1" x14ac:dyDescent="0.25">
      <c r="B223" s="100">
        <v>77974</v>
      </c>
      <c r="C223" s="4" t="s">
        <v>493</v>
      </c>
      <c r="D223" s="5">
        <v>91224.528335501993</v>
      </c>
      <c r="E223" s="5">
        <v>0</v>
      </c>
      <c r="F223" s="5">
        <v>14595.903333680322</v>
      </c>
      <c r="G223" s="5">
        <v>105820.43000000001</v>
      </c>
      <c r="H223" s="5">
        <v>102237.29</v>
      </c>
      <c r="I223" s="5">
        <f t="shared" si="70"/>
        <v>43284.678335501994</v>
      </c>
      <c r="J223" s="5">
        <v>0</v>
      </c>
      <c r="K223" s="5">
        <f t="shared" si="71"/>
        <v>43284.678335501994</v>
      </c>
      <c r="L223" s="5">
        <f>R223+V223</f>
        <v>50210.204000000012</v>
      </c>
      <c r="M223" s="5">
        <v>0</v>
      </c>
      <c r="N223" s="5">
        <f>L223-M223</f>
        <v>50210.204000000012</v>
      </c>
      <c r="O223" s="27">
        <v>3088.92</v>
      </c>
      <c r="P223" s="27">
        <v>0</v>
      </c>
      <c r="Q223" s="27">
        <v>494.21</v>
      </c>
      <c r="R223" s="21">
        <f t="shared" si="79"/>
        <v>3583.13</v>
      </c>
      <c r="S223" s="27">
        <f>D223-(O223+W223)</f>
        <v>40195.758335501996</v>
      </c>
      <c r="T223" s="21">
        <f>E223-(P223+X223)</f>
        <v>0</v>
      </c>
      <c r="U223" s="21">
        <f>F223-(Q223+Y223)</f>
        <v>6431.317333680322</v>
      </c>
      <c r="V223" s="21">
        <f>G223-(R223+Z223)</f>
        <v>46627.074000000015</v>
      </c>
      <c r="W223" s="27">
        <v>47939.85</v>
      </c>
      <c r="X223" s="5">
        <v>0</v>
      </c>
      <c r="Y223" s="5">
        <v>7670.3760000000002</v>
      </c>
      <c r="Z223" s="5">
        <f t="shared" si="75"/>
        <v>55610.225999999995</v>
      </c>
      <c r="AA223" s="5">
        <v>224066.42</v>
      </c>
      <c r="AB223" s="5" t="s">
        <v>258</v>
      </c>
      <c r="AC223" s="5">
        <f t="shared" si="76"/>
        <v>91224.528335501993</v>
      </c>
      <c r="AD223" s="5">
        <f t="shared" si="77"/>
        <v>105820.43000000001</v>
      </c>
      <c r="AE223" s="5">
        <f t="shared" si="78"/>
        <v>0</v>
      </c>
      <c r="AF223" s="5"/>
      <c r="AG223" s="5" t="s">
        <v>73</v>
      </c>
      <c r="AH223" s="5">
        <v>4</v>
      </c>
      <c r="AI223" s="5">
        <v>6</v>
      </c>
      <c r="AJ223" s="5" t="s">
        <v>494</v>
      </c>
      <c r="AK223" s="5" t="s">
        <v>59</v>
      </c>
      <c r="AL223" s="4" t="s">
        <v>75</v>
      </c>
      <c r="AM223" s="6" t="s">
        <v>83</v>
      </c>
      <c r="AN223" s="27"/>
      <c r="AO223" s="4"/>
      <c r="AP223" s="58"/>
      <c r="AQ223" s="58"/>
      <c r="AR223" s="23">
        <v>46042</v>
      </c>
      <c r="AS223" s="23">
        <v>46042</v>
      </c>
      <c r="AT223" s="4"/>
      <c r="AU223" s="4"/>
      <c r="AV223" s="13" t="s">
        <v>495</v>
      </c>
      <c r="AW223" s="4"/>
      <c r="AX223" s="12"/>
      <c r="AY223" s="12" t="s">
        <v>71</v>
      </c>
      <c r="AZ223" s="12"/>
      <c r="BA223" t="s">
        <v>496</v>
      </c>
      <c r="BB223" t="str">
        <f>VLOOKUP(B223,contactos!$A$1:$D$484,4,FALSE)</f>
        <v>isaac@unionkids.com.mx</v>
      </c>
    </row>
    <row r="224" spans="2:54" customFormat="1" x14ac:dyDescent="0.25">
      <c r="B224" s="100">
        <v>9275</v>
      </c>
      <c r="C224" s="4" t="s">
        <v>497</v>
      </c>
      <c r="D224" s="5">
        <v>87926.100692049993</v>
      </c>
      <c r="E224" s="5">
        <v>0</v>
      </c>
      <c r="F224" s="5">
        <v>14068.201710728003</v>
      </c>
      <c r="G224" s="5">
        <v>101994.25000000003</v>
      </c>
      <c r="H224" s="5">
        <v>0</v>
      </c>
      <c r="I224" s="5">
        <f t="shared" si="70"/>
        <v>87926.100692049993</v>
      </c>
      <c r="J224" s="5"/>
      <c r="K224" s="5">
        <f t="shared" si="71"/>
        <v>87926.100692049993</v>
      </c>
      <c r="L224" s="5">
        <f t="shared" si="72"/>
        <v>101994.30240277799</v>
      </c>
      <c r="M224" s="5"/>
      <c r="N224" s="5">
        <f t="shared" si="73"/>
        <v>101994.30240277799</v>
      </c>
      <c r="O224" s="21"/>
      <c r="P224" s="21"/>
      <c r="Q224" s="21"/>
      <c r="R224" s="21">
        <f t="shared" si="79"/>
        <v>0</v>
      </c>
      <c r="S224" s="21">
        <v>87926.100692049993</v>
      </c>
      <c r="T224" s="21">
        <f t="shared" si="80"/>
        <v>0</v>
      </c>
      <c r="U224" s="21">
        <f t="shared" ref="U224:U229" si="81">F224-Y224</f>
        <v>14068.201710728003</v>
      </c>
      <c r="V224" s="21">
        <f t="shared" si="74"/>
        <v>101994.30240277799</v>
      </c>
      <c r="W224" s="21"/>
      <c r="X224" s="5"/>
      <c r="Y224" s="5"/>
      <c r="Z224" s="5">
        <f t="shared" si="75"/>
        <v>0</v>
      </c>
      <c r="AA224" s="5">
        <v>83762.710000000006</v>
      </c>
      <c r="AB224" s="5" t="s">
        <v>258</v>
      </c>
      <c r="AC224" s="5">
        <f t="shared" si="76"/>
        <v>87926.100692049993</v>
      </c>
      <c r="AD224" s="5">
        <f t="shared" si="77"/>
        <v>101994.30240277799</v>
      </c>
      <c r="AE224" s="5">
        <f t="shared" si="78"/>
        <v>-5.240277796110604E-2</v>
      </c>
      <c r="AF224" s="5"/>
      <c r="AG224" s="5" t="s">
        <v>73</v>
      </c>
      <c r="AH224" s="5">
        <v>4</v>
      </c>
      <c r="AI224" s="5">
        <v>0</v>
      </c>
      <c r="AJ224" s="5">
        <v>0</v>
      </c>
      <c r="AK224" s="5" t="s">
        <v>256</v>
      </c>
      <c r="AL224" s="4" t="s">
        <v>90</v>
      </c>
      <c r="AM224" s="4" t="s">
        <v>107</v>
      </c>
      <c r="AN224" s="21"/>
      <c r="AO224" s="4"/>
      <c r="AP224" s="58"/>
      <c r="AQ224" s="58"/>
      <c r="AR224" s="23"/>
      <c r="AS224" s="23"/>
      <c r="AT224" s="4"/>
      <c r="AU224" s="4"/>
      <c r="AV224" s="4"/>
      <c r="AW224" s="4"/>
      <c r="AX224" s="9"/>
      <c r="AY224" s="9"/>
      <c r="AZ224" s="4"/>
      <c r="BB224" t="str">
        <f>VLOOKUP(B224,contactos!$A$1:$D$484,4,FALSE)</f>
        <v>ANALISTA@PLASTICOSLAARDILLA.COM</v>
      </c>
    </row>
    <row r="225" spans="2:54" customFormat="1" x14ac:dyDescent="0.25">
      <c r="B225" s="100">
        <v>453</v>
      </c>
      <c r="C225" s="4" t="s">
        <v>498</v>
      </c>
      <c r="D225" s="5">
        <v>69219.684597632004</v>
      </c>
      <c r="E225" s="5">
        <v>18343.216568372478</v>
      </c>
      <c r="F225" s="5">
        <v>14010.064050560719</v>
      </c>
      <c r="G225" s="5">
        <v>101572.96</v>
      </c>
      <c r="H225" s="5">
        <v>101572.96</v>
      </c>
      <c r="I225" s="5">
        <f t="shared" si="70"/>
        <v>69219.684597632004</v>
      </c>
      <c r="J225" s="5"/>
      <c r="K225" s="5">
        <f t="shared" si="71"/>
        <v>69219.684597632004</v>
      </c>
      <c r="L225" s="5">
        <f t="shared" si="72"/>
        <v>101572.96521656519</v>
      </c>
      <c r="M225" s="5"/>
      <c r="N225" s="5">
        <f t="shared" si="73"/>
        <v>101572.96521656519</v>
      </c>
      <c r="O225" s="21"/>
      <c r="P225" s="21"/>
      <c r="Q225" s="21"/>
      <c r="R225" s="21">
        <f t="shared" si="79"/>
        <v>0</v>
      </c>
      <c r="S225" s="21">
        <v>69219.684597632004</v>
      </c>
      <c r="T225" s="21">
        <f t="shared" si="80"/>
        <v>18343.216568372478</v>
      </c>
      <c r="U225" s="21">
        <f t="shared" si="81"/>
        <v>14010.064050560719</v>
      </c>
      <c r="V225" s="21">
        <f t="shared" si="74"/>
        <v>101572.96521656519</v>
      </c>
      <c r="W225" s="21"/>
      <c r="X225" s="5"/>
      <c r="Y225" s="5"/>
      <c r="Z225" s="5">
        <f t="shared" si="75"/>
        <v>0</v>
      </c>
      <c r="AA225" s="5">
        <v>10939.47</v>
      </c>
      <c r="AB225" s="5" t="s">
        <v>258</v>
      </c>
      <c r="AC225" s="5">
        <f t="shared" si="76"/>
        <v>69219.684597632004</v>
      </c>
      <c r="AD225" s="5">
        <f t="shared" si="77"/>
        <v>101572.96521656519</v>
      </c>
      <c r="AE225" s="5">
        <f t="shared" si="78"/>
        <v>-5.2165651868563145E-3</v>
      </c>
      <c r="AF225" s="5"/>
      <c r="AG225" s="5" t="s">
        <v>73</v>
      </c>
      <c r="AH225" s="5">
        <v>4</v>
      </c>
      <c r="AI225" s="5">
        <v>0</v>
      </c>
      <c r="AJ225" s="5" t="s">
        <v>212</v>
      </c>
      <c r="AK225" s="5" t="s">
        <v>256</v>
      </c>
      <c r="AL225" s="4" t="s">
        <v>90</v>
      </c>
      <c r="AM225" s="4" t="s">
        <v>94</v>
      </c>
      <c r="AN225" s="21"/>
      <c r="AO225" s="4"/>
      <c r="AP225" s="58"/>
      <c r="AQ225" s="58"/>
      <c r="AR225" s="23"/>
      <c r="AS225" s="23"/>
      <c r="AT225" s="4"/>
      <c r="AU225" s="4"/>
      <c r="AV225" s="4"/>
      <c r="AW225" s="4"/>
      <c r="AX225" s="9"/>
      <c r="AY225" s="9"/>
      <c r="AZ225" s="4"/>
      <c r="BB225" t="str">
        <f>VLOOKUP(B225,contactos!$A$1:$D$484,4,FALSE)</f>
        <v>dnunez@vctdgm.com</v>
      </c>
    </row>
    <row r="226" spans="2:54" customFormat="1" x14ac:dyDescent="0.25">
      <c r="B226" s="100">
        <v>21986</v>
      </c>
      <c r="C226" s="4" t="s">
        <v>499</v>
      </c>
      <c r="D226" s="5">
        <v>87351.74</v>
      </c>
      <c r="E226" s="5">
        <v>0</v>
      </c>
      <c r="F226" s="5">
        <v>13976.278399999999</v>
      </c>
      <c r="G226" s="5">
        <v>101328.02</v>
      </c>
      <c r="H226" s="5">
        <v>101328.02</v>
      </c>
      <c r="I226" s="5">
        <f t="shared" si="70"/>
        <v>87351.74</v>
      </c>
      <c r="J226" s="5"/>
      <c r="K226" s="5">
        <f t="shared" si="71"/>
        <v>87351.74</v>
      </c>
      <c r="L226" s="5">
        <f t="shared" si="72"/>
        <v>101328.0184</v>
      </c>
      <c r="M226" s="5"/>
      <c r="N226" s="5">
        <f t="shared" si="73"/>
        <v>101328.0184</v>
      </c>
      <c r="O226" s="21"/>
      <c r="P226" s="21"/>
      <c r="Q226" s="21"/>
      <c r="R226" s="21">
        <f t="shared" si="79"/>
        <v>0</v>
      </c>
      <c r="S226" s="21">
        <v>87351.74</v>
      </c>
      <c r="T226" s="21">
        <f t="shared" si="80"/>
        <v>0</v>
      </c>
      <c r="U226" s="21">
        <f t="shared" si="81"/>
        <v>13976.278399999999</v>
      </c>
      <c r="V226" s="21">
        <f t="shared" si="74"/>
        <v>101328.0184</v>
      </c>
      <c r="W226" s="21"/>
      <c r="X226" s="5"/>
      <c r="Y226" s="5"/>
      <c r="Z226" s="5">
        <f t="shared" si="75"/>
        <v>0</v>
      </c>
      <c r="AA226" s="5">
        <v>395019.81</v>
      </c>
      <c r="AB226" s="5" t="s">
        <v>258</v>
      </c>
      <c r="AC226" s="5">
        <f t="shared" si="76"/>
        <v>87351.74</v>
      </c>
      <c r="AD226" s="5">
        <f t="shared" si="77"/>
        <v>101328.0184</v>
      </c>
      <c r="AE226" s="5">
        <f t="shared" si="78"/>
        <v>1.6000000032363459E-3</v>
      </c>
      <c r="AF226" s="5"/>
      <c r="AG226" s="5" t="s">
        <v>238</v>
      </c>
      <c r="AH226" s="5">
        <v>4</v>
      </c>
      <c r="AI226" s="5">
        <v>0</v>
      </c>
      <c r="AJ226" s="5">
        <v>0</v>
      </c>
      <c r="AK226" s="5" t="s">
        <v>256</v>
      </c>
      <c r="AL226" s="4" t="s">
        <v>90</v>
      </c>
      <c r="AM226" s="4" t="s">
        <v>107</v>
      </c>
      <c r="AN226" s="21"/>
      <c r="AO226" s="4"/>
      <c r="AP226" s="58"/>
      <c r="AQ226" s="58"/>
      <c r="AR226" s="23"/>
      <c r="AS226" s="23"/>
      <c r="AT226" s="4"/>
      <c r="AU226" s="4"/>
      <c r="AV226" s="4"/>
      <c r="AW226" s="4"/>
      <c r="AX226" s="9"/>
      <c r="AY226" s="9"/>
      <c r="AZ226" s="4"/>
      <c r="BB226" t="e">
        <f>VLOOKUP(B226,contactos!$A$1:$D$484,4,FALSE)</f>
        <v>#N/A</v>
      </c>
    </row>
    <row r="227" spans="2:54" customFormat="1" x14ac:dyDescent="0.25">
      <c r="B227" s="100">
        <v>21778</v>
      </c>
      <c r="C227" s="4" t="s">
        <v>500</v>
      </c>
      <c r="D227" s="5">
        <v>86649.970990525006</v>
      </c>
      <c r="E227" s="5">
        <v>0</v>
      </c>
      <c r="F227" s="5">
        <v>13864.021358483998</v>
      </c>
      <c r="G227" s="5">
        <v>100513.99999999999</v>
      </c>
      <c r="H227" s="5">
        <v>100513.99</v>
      </c>
      <c r="I227" s="5">
        <f t="shared" si="70"/>
        <v>86649.970990525006</v>
      </c>
      <c r="J227" s="5"/>
      <c r="K227" s="5">
        <f t="shared" si="71"/>
        <v>86649.970990525006</v>
      </c>
      <c r="L227" s="5">
        <f t="shared" si="72"/>
        <v>100513.992349009</v>
      </c>
      <c r="M227" s="5"/>
      <c r="N227" s="5">
        <f t="shared" si="73"/>
        <v>100513.992349009</v>
      </c>
      <c r="O227" s="21"/>
      <c r="P227" s="21"/>
      <c r="Q227" s="21"/>
      <c r="R227" s="21">
        <f t="shared" si="79"/>
        <v>0</v>
      </c>
      <c r="S227" s="21">
        <v>86649.970990525006</v>
      </c>
      <c r="T227" s="21">
        <f t="shared" si="80"/>
        <v>0</v>
      </c>
      <c r="U227" s="21">
        <f t="shared" si="81"/>
        <v>13864.021358483998</v>
      </c>
      <c r="V227" s="21">
        <f t="shared" si="74"/>
        <v>100513.992349009</v>
      </c>
      <c r="W227" s="21"/>
      <c r="X227" s="5"/>
      <c r="Y227" s="5"/>
      <c r="Z227" s="5">
        <f t="shared" si="75"/>
        <v>0</v>
      </c>
      <c r="AA227" s="5">
        <v>11676.13</v>
      </c>
      <c r="AB227" s="5" t="s">
        <v>258</v>
      </c>
      <c r="AC227" s="5">
        <f t="shared" si="76"/>
        <v>86649.970990525006</v>
      </c>
      <c r="AD227" s="5">
        <f t="shared" si="77"/>
        <v>100513.992349009</v>
      </c>
      <c r="AE227" s="5">
        <f t="shared" si="78"/>
        <v>7.6509909849846736E-3</v>
      </c>
      <c r="AF227" s="5"/>
      <c r="AG227" s="5" t="s">
        <v>73</v>
      </c>
      <c r="AH227" s="5">
        <v>4</v>
      </c>
      <c r="AI227" s="5">
        <v>0</v>
      </c>
      <c r="AJ227" s="5">
        <v>0</v>
      </c>
      <c r="AK227" s="5" t="s">
        <v>256</v>
      </c>
      <c r="AL227" s="4" t="s">
        <v>90</v>
      </c>
      <c r="AM227" s="4" t="s">
        <v>162</v>
      </c>
      <c r="AN227" s="21"/>
      <c r="AO227" s="4"/>
      <c r="AP227" s="58"/>
      <c r="AQ227" s="58"/>
      <c r="AR227" s="23"/>
      <c r="AS227" s="23"/>
      <c r="AT227" s="4"/>
      <c r="AU227" s="4"/>
      <c r="AV227" s="4"/>
      <c r="AW227" s="4"/>
      <c r="AX227" s="9"/>
      <c r="AY227" s="9"/>
      <c r="AZ227" s="4"/>
      <c r="BB227" t="e">
        <f>VLOOKUP(B227,contactos!$A$1:$D$484,4,FALSE)</f>
        <v>#N/A</v>
      </c>
    </row>
    <row r="228" spans="2:54" customFormat="1" x14ac:dyDescent="0.25">
      <c r="B228" s="100">
        <v>9957</v>
      </c>
      <c r="C228" s="4" t="s">
        <v>501</v>
      </c>
      <c r="D228" s="5">
        <v>86059.709999999977</v>
      </c>
      <c r="E228" s="5">
        <v>0</v>
      </c>
      <c r="F228" s="5">
        <v>13769.54</v>
      </c>
      <c r="G228" s="5">
        <v>99829.219999999987</v>
      </c>
      <c r="H228" s="5">
        <v>99829.22</v>
      </c>
      <c r="I228" s="5">
        <f t="shared" si="70"/>
        <v>86059.709999999977</v>
      </c>
      <c r="J228" s="5"/>
      <c r="K228" s="5">
        <f t="shared" si="71"/>
        <v>86059.709999999977</v>
      </c>
      <c r="L228" s="5">
        <f t="shared" si="72"/>
        <v>99829.249999999971</v>
      </c>
      <c r="M228" s="5"/>
      <c r="N228" s="5">
        <f t="shared" si="73"/>
        <v>99829.249999999971</v>
      </c>
      <c r="O228" s="21"/>
      <c r="P228" s="21"/>
      <c r="Q228" s="21"/>
      <c r="R228" s="21">
        <f t="shared" si="79"/>
        <v>0</v>
      </c>
      <c r="S228" s="21">
        <v>86059.709999999977</v>
      </c>
      <c r="T228" s="21">
        <f t="shared" si="80"/>
        <v>0</v>
      </c>
      <c r="U228" s="21">
        <f t="shared" si="81"/>
        <v>13769.54</v>
      </c>
      <c r="V228" s="21">
        <f t="shared" si="74"/>
        <v>99829.249999999971</v>
      </c>
      <c r="W228" s="21"/>
      <c r="X228" s="5"/>
      <c r="Y228" s="5"/>
      <c r="Z228" s="5">
        <f t="shared" si="75"/>
        <v>0</v>
      </c>
      <c r="AA228" s="5">
        <v>793735.48</v>
      </c>
      <c r="AB228" s="5" t="s">
        <v>258</v>
      </c>
      <c r="AC228" s="5">
        <f t="shared" si="76"/>
        <v>86059.709999999977</v>
      </c>
      <c r="AD228" s="5">
        <f t="shared" si="77"/>
        <v>99829.249999999971</v>
      </c>
      <c r="AE228" s="5">
        <f t="shared" si="78"/>
        <v>-2.9999999984283932E-2</v>
      </c>
      <c r="AF228" s="5"/>
      <c r="AG228" s="5" t="s">
        <v>238</v>
      </c>
      <c r="AH228" s="5">
        <v>4</v>
      </c>
      <c r="AI228" s="5">
        <v>0</v>
      </c>
      <c r="AJ228" s="5">
        <v>0</v>
      </c>
      <c r="AK228" s="5" t="s">
        <v>256</v>
      </c>
      <c r="AL228" s="4" t="s">
        <v>90</v>
      </c>
      <c r="AM228" s="4" t="s">
        <v>61</v>
      </c>
      <c r="AN228" s="21"/>
      <c r="AO228" s="4"/>
      <c r="AP228" s="58"/>
      <c r="AQ228" s="58"/>
      <c r="AR228" s="23"/>
      <c r="AS228" s="23"/>
      <c r="AT228" s="4"/>
      <c r="AU228" s="4"/>
      <c r="AV228" s="4"/>
      <c r="AW228" s="4"/>
      <c r="AX228" s="9"/>
      <c r="AY228" s="9"/>
      <c r="AZ228" s="4"/>
      <c r="BB228" t="e">
        <f>VLOOKUP(B228,contactos!$A$1:$D$484,4,FALSE)</f>
        <v>#N/A</v>
      </c>
    </row>
    <row r="229" spans="2:54" customFormat="1" x14ac:dyDescent="0.25">
      <c r="B229" s="100">
        <v>90159</v>
      </c>
      <c r="C229" s="4" t="s">
        <v>502</v>
      </c>
      <c r="D229" s="5">
        <v>85608.874821152</v>
      </c>
      <c r="E229" s="5">
        <v>0</v>
      </c>
      <c r="F229" s="5">
        <v>13697.422971384321</v>
      </c>
      <c r="G229" s="5">
        <v>99306.33</v>
      </c>
      <c r="H229" s="5">
        <v>99306.33</v>
      </c>
      <c r="I229" s="5">
        <f t="shared" si="70"/>
        <v>85608.874821152</v>
      </c>
      <c r="J229" s="5"/>
      <c r="K229" s="5">
        <f t="shared" si="71"/>
        <v>85608.874821152</v>
      </c>
      <c r="L229" s="5">
        <f t="shared" si="72"/>
        <v>99306.297792536323</v>
      </c>
      <c r="M229" s="5"/>
      <c r="N229" s="5">
        <f t="shared" si="73"/>
        <v>99306.297792536323</v>
      </c>
      <c r="O229" s="21"/>
      <c r="P229" s="21"/>
      <c r="Q229" s="21"/>
      <c r="R229" s="21">
        <f t="shared" si="79"/>
        <v>0</v>
      </c>
      <c r="S229" s="21">
        <v>85608.874821152</v>
      </c>
      <c r="T229" s="21">
        <f t="shared" si="80"/>
        <v>0</v>
      </c>
      <c r="U229" s="21">
        <f t="shared" si="81"/>
        <v>13697.422971384321</v>
      </c>
      <c r="V229" s="21">
        <f t="shared" si="74"/>
        <v>99306.297792536323</v>
      </c>
      <c r="W229" s="21"/>
      <c r="X229" s="5"/>
      <c r="Y229" s="5"/>
      <c r="Z229" s="5">
        <f t="shared" si="75"/>
        <v>0</v>
      </c>
      <c r="AA229" s="5"/>
      <c r="AB229" s="5" t="s">
        <v>258</v>
      </c>
      <c r="AC229" s="5">
        <f t="shared" si="76"/>
        <v>85608.874821152</v>
      </c>
      <c r="AD229" s="5">
        <f t="shared" si="77"/>
        <v>99306.297792536323</v>
      </c>
      <c r="AE229" s="5">
        <f t="shared" si="78"/>
        <v>3.2207463678787462E-2</v>
      </c>
      <c r="AF229" s="5"/>
      <c r="AG229" s="5" t="s">
        <v>238</v>
      </c>
      <c r="AH229" s="5">
        <v>4</v>
      </c>
      <c r="AI229" s="5">
        <v>0</v>
      </c>
      <c r="AJ229" s="5" t="s">
        <v>279</v>
      </c>
      <c r="AK229" s="5" t="s">
        <v>256</v>
      </c>
      <c r="AL229" s="4" t="s">
        <v>90</v>
      </c>
      <c r="AM229" s="4" t="s">
        <v>119</v>
      </c>
      <c r="AN229" s="21"/>
      <c r="AO229" s="4"/>
      <c r="AP229" s="58"/>
      <c r="AQ229" s="58"/>
      <c r="AR229" s="23"/>
      <c r="AS229" s="23"/>
      <c r="AT229" s="4"/>
      <c r="AU229" s="4"/>
      <c r="AV229" s="4"/>
      <c r="AW229" s="4"/>
      <c r="AX229" s="9"/>
      <c r="AY229" s="9"/>
      <c r="AZ229" s="4"/>
      <c r="BB229" t="str">
        <f>VLOOKUP(B229,contactos!$A$1:$D$484,4,FALSE)</f>
        <v>MCASTILLOF@REALCLEAN.COM.MX</v>
      </c>
    </row>
    <row r="230" spans="2:54" customFormat="1" x14ac:dyDescent="0.25">
      <c r="B230" s="100">
        <v>90258</v>
      </c>
      <c r="C230" s="4" t="s">
        <v>106</v>
      </c>
      <c r="D230" s="5">
        <v>89677.439375000002</v>
      </c>
      <c r="E230" s="5">
        <v>7018.5879499999992</v>
      </c>
      <c r="F230" s="5">
        <v>0</v>
      </c>
      <c r="G230" s="5">
        <v>96696.02</v>
      </c>
      <c r="H230" s="5">
        <v>83880.44</v>
      </c>
      <c r="I230" s="5">
        <f t="shared" si="70"/>
        <v>77811.44</v>
      </c>
      <c r="J230" s="5"/>
      <c r="K230" s="5">
        <f t="shared" si="71"/>
        <v>77811.44</v>
      </c>
      <c r="L230" s="5">
        <f t="shared" si="72"/>
        <v>83880.44</v>
      </c>
      <c r="M230" s="5"/>
      <c r="N230" s="5">
        <f t="shared" si="73"/>
        <v>83880.44</v>
      </c>
      <c r="O230" s="21">
        <v>77811.44</v>
      </c>
      <c r="P230" s="21">
        <v>6069</v>
      </c>
      <c r="Q230" s="21"/>
      <c r="R230" s="21">
        <f t="shared" si="79"/>
        <v>83880.44</v>
      </c>
      <c r="S230" s="21"/>
      <c r="T230" s="21">
        <v>0</v>
      </c>
      <c r="U230" s="21">
        <v>0</v>
      </c>
      <c r="V230" s="21">
        <f t="shared" si="74"/>
        <v>0</v>
      </c>
      <c r="W230" s="21">
        <v>11866</v>
      </c>
      <c r="X230" s="90">
        <v>949</v>
      </c>
      <c r="Y230" s="5"/>
      <c r="Z230" s="5">
        <f t="shared" si="75"/>
        <v>12815</v>
      </c>
      <c r="AA230" s="5"/>
      <c r="AB230" s="5" t="s">
        <v>258</v>
      </c>
      <c r="AC230" s="5">
        <f t="shared" si="76"/>
        <v>89677.440000000002</v>
      </c>
      <c r="AD230" s="5">
        <f t="shared" si="77"/>
        <v>96695.44</v>
      </c>
      <c r="AE230" s="5">
        <f t="shared" si="78"/>
        <v>0.58000000000174623</v>
      </c>
      <c r="AF230" s="5"/>
      <c r="AG230" s="5" t="s">
        <v>81</v>
      </c>
      <c r="AH230" s="5">
        <v>4</v>
      </c>
      <c r="AI230" s="5">
        <v>0</v>
      </c>
      <c r="AJ230" s="5">
        <v>0</v>
      </c>
      <c r="AK230" s="5" t="s">
        <v>59</v>
      </c>
      <c r="AL230" s="4" t="s">
        <v>82</v>
      </c>
      <c r="AM230" s="4" t="s">
        <v>216</v>
      </c>
      <c r="AN230" s="21">
        <v>96696.02</v>
      </c>
      <c r="AO230" s="4" t="s">
        <v>68</v>
      </c>
      <c r="AP230" s="58"/>
      <c r="AQ230" s="58"/>
      <c r="AR230" s="23">
        <v>46042</v>
      </c>
      <c r="AS230" s="23">
        <f ca="1">TODAY()</f>
        <v>46212</v>
      </c>
      <c r="AT230" s="4"/>
      <c r="AU230" s="4"/>
      <c r="AV230" s="7" t="s">
        <v>503</v>
      </c>
      <c r="AW230" s="4" t="s">
        <v>70</v>
      </c>
      <c r="AX230" s="9" t="s">
        <v>71</v>
      </c>
      <c r="AY230" s="9"/>
      <c r="AZ230" s="4"/>
      <c r="BA230" t="s">
        <v>109</v>
      </c>
      <c r="BB230" t="str">
        <f>VLOOKUP(B230,contactos!$A$1:$D$484,4,FALSE)</f>
        <v>pprimost@hersheys.com</v>
      </c>
    </row>
    <row r="231" spans="2:54" customFormat="1" x14ac:dyDescent="0.25">
      <c r="B231" s="100">
        <v>23431</v>
      </c>
      <c r="C231" s="4" t="s">
        <v>504</v>
      </c>
      <c r="D231" s="5">
        <v>83138.388342300779</v>
      </c>
      <c r="E231" s="5">
        <v>0</v>
      </c>
      <c r="F231" s="5">
        <v>13302.142134768124</v>
      </c>
      <c r="G231" s="5">
        <v>96440.54</v>
      </c>
      <c r="H231" s="5">
        <v>96440.54</v>
      </c>
      <c r="I231" s="5">
        <f t="shared" si="70"/>
        <v>83138.388342300779</v>
      </c>
      <c r="J231" s="5"/>
      <c r="K231" s="5">
        <f t="shared" si="71"/>
        <v>83138.388342300779</v>
      </c>
      <c r="L231" s="5">
        <f t="shared" si="72"/>
        <v>96440.530477068911</v>
      </c>
      <c r="M231" s="5"/>
      <c r="N231" s="5">
        <f t="shared" si="73"/>
        <v>96440.530477068911</v>
      </c>
      <c r="O231" s="21"/>
      <c r="P231" s="21"/>
      <c r="Q231" s="21"/>
      <c r="R231" s="21">
        <f t="shared" si="79"/>
        <v>0</v>
      </c>
      <c r="S231" s="21">
        <v>83138.388342300779</v>
      </c>
      <c r="T231" s="21">
        <f t="shared" ref="T231:T257" si="82">E231-X231</f>
        <v>0</v>
      </c>
      <c r="U231" s="21">
        <f t="shared" ref="U231:U257" si="83">F231-Y231</f>
        <v>13302.142134768124</v>
      </c>
      <c r="V231" s="21">
        <f t="shared" si="74"/>
        <v>96440.530477068911</v>
      </c>
      <c r="W231" s="21"/>
      <c r="X231" s="5"/>
      <c r="Y231" s="5"/>
      <c r="Z231" s="5">
        <f t="shared" si="75"/>
        <v>0</v>
      </c>
      <c r="AA231" s="5">
        <v>162870.82999999999</v>
      </c>
      <c r="AB231" s="5" t="s">
        <v>258</v>
      </c>
      <c r="AC231" s="5">
        <f t="shared" si="76"/>
        <v>83138.388342300779</v>
      </c>
      <c r="AD231" s="5">
        <f t="shared" si="77"/>
        <v>96440.530477068911</v>
      </c>
      <c r="AE231" s="5">
        <f t="shared" si="78"/>
        <v>9.5229310827562585E-3</v>
      </c>
      <c r="AF231" s="5"/>
      <c r="AG231" s="5" t="s">
        <v>73</v>
      </c>
      <c r="AH231" s="5">
        <v>4</v>
      </c>
      <c r="AI231" s="5">
        <v>0</v>
      </c>
      <c r="AJ231" s="5" t="s">
        <v>212</v>
      </c>
      <c r="AK231" s="5" t="s">
        <v>256</v>
      </c>
      <c r="AL231" s="4" t="s">
        <v>90</v>
      </c>
      <c r="AM231" s="4" t="s">
        <v>148</v>
      </c>
      <c r="AN231" s="21"/>
      <c r="AO231" s="4"/>
      <c r="AP231" s="58"/>
      <c r="AQ231" s="58"/>
      <c r="AR231" s="23"/>
      <c r="AS231" s="23"/>
      <c r="AT231" s="4"/>
      <c r="AU231" s="4"/>
      <c r="AV231" s="4"/>
      <c r="AW231" s="4"/>
      <c r="AX231" s="9"/>
      <c r="AY231" s="9"/>
      <c r="AZ231" s="4"/>
      <c r="BB231" t="e">
        <f>VLOOKUP(B231,contactos!$A$1:$D$484,4,FALSE)</f>
        <v>#N/A</v>
      </c>
    </row>
    <row r="232" spans="2:54" customFormat="1" x14ac:dyDescent="0.25">
      <c r="B232" s="131">
        <v>304329</v>
      </c>
      <c r="C232" s="4" t="s">
        <v>505</v>
      </c>
      <c r="D232" s="5">
        <v>80702.289999999994</v>
      </c>
      <c r="E232" s="5">
        <v>0</v>
      </c>
      <c r="F232" s="5">
        <v>12912.366400000001</v>
      </c>
      <c r="G232" s="5">
        <v>93614.719999999987</v>
      </c>
      <c r="H232" s="5">
        <v>93614.65</v>
      </c>
      <c r="I232" s="5">
        <f t="shared" si="70"/>
        <v>80702.289999999994</v>
      </c>
      <c r="J232" s="5"/>
      <c r="K232" s="5">
        <f t="shared" si="71"/>
        <v>80702.289999999994</v>
      </c>
      <c r="L232" s="5">
        <f t="shared" si="72"/>
        <v>93614.656399999993</v>
      </c>
      <c r="M232" s="5"/>
      <c r="N232" s="5">
        <f t="shared" si="73"/>
        <v>93614.656399999993</v>
      </c>
      <c r="O232" s="21"/>
      <c r="P232" s="21"/>
      <c r="Q232" s="21"/>
      <c r="R232" s="21">
        <f t="shared" si="79"/>
        <v>0</v>
      </c>
      <c r="S232" s="21">
        <v>80702.289999999994</v>
      </c>
      <c r="T232" s="21">
        <f t="shared" si="82"/>
        <v>0</v>
      </c>
      <c r="U232" s="21">
        <f t="shared" si="83"/>
        <v>12912.366400000001</v>
      </c>
      <c r="V232" s="21">
        <f t="shared" si="74"/>
        <v>93614.656399999993</v>
      </c>
      <c r="W232" s="21"/>
      <c r="X232" s="5"/>
      <c r="Y232" s="5"/>
      <c r="Z232" s="5">
        <f t="shared" si="75"/>
        <v>0</v>
      </c>
      <c r="AA232" s="5">
        <v>372232.02</v>
      </c>
      <c r="AB232" s="5" t="s">
        <v>258</v>
      </c>
      <c r="AC232" s="5">
        <f t="shared" si="76"/>
        <v>80702.289999999994</v>
      </c>
      <c r="AD232" s="5">
        <f t="shared" si="77"/>
        <v>93614.656399999993</v>
      </c>
      <c r="AE232" s="5">
        <f t="shared" si="78"/>
        <v>6.3599999994039536E-2</v>
      </c>
      <c r="AF232" s="5"/>
      <c r="AG232" s="5" t="s">
        <v>73</v>
      </c>
      <c r="AH232" s="5">
        <v>4</v>
      </c>
      <c r="AI232" s="5">
        <v>0</v>
      </c>
      <c r="AJ232" s="5">
        <v>0</v>
      </c>
      <c r="AK232" s="5" t="s">
        <v>256</v>
      </c>
      <c r="AL232" s="4" t="s">
        <v>90</v>
      </c>
      <c r="AM232" s="6" t="s">
        <v>103</v>
      </c>
      <c r="AN232" s="21"/>
      <c r="AO232" s="4"/>
      <c r="AP232" s="58"/>
      <c r="AQ232" s="58"/>
      <c r="AR232" s="23"/>
      <c r="AS232" s="23"/>
      <c r="AT232" s="4"/>
      <c r="AU232" s="4"/>
      <c r="AV232" s="52"/>
      <c r="AW232" s="52"/>
      <c r="AX232" s="9"/>
      <c r="AY232" s="9"/>
      <c r="AZ232" s="4"/>
      <c r="BB232" t="e">
        <f>VLOOKUP(B232,contactos!$A$1:$D$484,4,FALSE)</f>
        <v>#N/A</v>
      </c>
    </row>
    <row r="233" spans="2:54" customFormat="1" x14ac:dyDescent="0.25">
      <c r="B233" s="100">
        <v>25528</v>
      </c>
      <c r="C233" s="4" t="s">
        <v>506</v>
      </c>
      <c r="D233" s="5">
        <v>90711.043871980015</v>
      </c>
      <c r="E233" s="5">
        <v>0</v>
      </c>
      <c r="F233" s="5">
        <v>31.575959999999998</v>
      </c>
      <c r="G233" s="5">
        <v>90742.62000000001</v>
      </c>
      <c r="H233" s="5">
        <v>90742.61</v>
      </c>
      <c r="I233" s="5">
        <f t="shared" si="70"/>
        <v>90711.043871980015</v>
      </c>
      <c r="J233" s="5"/>
      <c r="K233" s="5">
        <f t="shared" si="71"/>
        <v>90711.043871980015</v>
      </c>
      <c r="L233" s="5">
        <f t="shared" si="72"/>
        <v>90742.619831980017</v>
      </c>
      <c r="M233" s="5"/>
      <c r="N233" s="5">
        <f t="shared" si="73"/>
        <v>90742.619831980017</v>
      </c>
      <c r="O233" s="21"/>
      <c r="P233" s="21"/>
      <c r="Q233" s="21"/>
      <c r="R233" s="21">
        <f t="shared" si="79"/>
        <v>0</v>
      </c>
      <c r="S233" s="21">
        <v>90711.043871980015</v>
      </c>
      <c r="T233" s="21">
        <f t="shared" si="82"/>
        <v>0</v>
      </c>
      <c r="U233" s="21">
        <f t="shared" si="83"/>
        <v>31.575959999999998</v>
      </c>
      <c r="V233" s="21">
        <f t="shared" si="74"/>
        <v>90742.619831980017</v>
      </c>
      <c r="W233" s="21"/>
      <c r="X233" s="5"/>
      <c r="Y233" s="5"/>
      <c r="Z233" s="5">
        <f t="shared" si="75"/>
        <v>0</v>
      </c>
      <c r="AA233" s="5"/>
      <c r="AB233" s="5" t="s">
        <v>258</v>
      </c>
      <c r="AC233" s="5">
        <f t="shared" si="76"/>
        <v>90711.043871980015</v>
      </c>
      <c r="AD233" s="5">
        <f t="shared" si="77"/>
        <v>90742.619831980017</v>
      </c>
      <c r="AE233" s="5">
        <f t="shared" si="78"/>
        <v>1.6801999299786985E-4</v>
      </c>
      <c r="AF233" s="5"/>
      <c r="AG233" s="5" t="s">
        <v>73</v>
      </c>
      <c r="AH233" s="5">
        <v>4</v>
      </c>
      <c r="AI233" s="5">
        <v>0</v>
      </c>
      <c r="AJ233" s="5" t="s">
        <v>279</v>
      </c>
      <c r="AK233" s="5" t="s">
        <v>256</v>
      </c>
      <c r="AL233" s="4" t="s">
        <v>90</v>
      </c>
      <c r="AM233" s="4" t="s">
        <v>119</v>
      </c>
      <c r="AN233" s="21"/>
      <c r="AO233" s="4"/>
      <c r="AP233" s="58"/>
      <c r="AQ233" s="58"/>
      <c r="AR233" s="23"/>
      <c r="AS233" s="23"/>
      <c r="AT233" s="4"/>
      <c r="AU233" s="4"/>
      <c r="AV233" s="4"/>
      <c r="AW233" s="4"/>
      <c r="AX233" s="9"/>
      <c r="AY233" s="9"/>
      <c r="AZ233" s="4"/>
      <c r="BB233" t="e">
        <f>VLOOKUP(B233,contactos!$A$1:$D$484,4,FALSE)</f>
        <v>#N/A</v>
      </c>
    </row>
    <row r="234" spans="2:54" customFormat="1" x14ac:dyDescent="0.25">
      <c r="B234" s="100">
        <v>24836</v>
      </c>
      <c r="C234" s="4" t="s">
        <v>507</v>
      </c>
      <c r="D234" s="5">
        <v>78494.070000000007</v>
      </c>
      <c r="E234" s="5">
        <v>5358.6376</v>
      </c>
      <c r="F234" s="5">
        <v>1841.7760000000001</v>
      </c>
      <c r="G234" s="5">
        <v>85694.48000000001</v>
      </c>
      <c r="H234" s="5">
        <v>85694.48</v>
      </c>
      <c r="I234" s="5">
        <f t="shared" si="70"/>
        <v>78494.070000000007</v>
      </c>
      <c r="J234" s="5"/>
      <c r="K234" s="5">
        <f t="shared" si="71"/>
        <v>78494.070000000007</v>
      </c>
      <c r="L234" s="5">
        <f t="shared" si="72"/>
        <v>85694.483600000007</v>
      </c>
      <c r="M234" s="5"/>
      <c r="N234" s="5">
        <f t="shared" si="73"/>
        <v>85694.483600000007</v>
      </c>
      <c r="O234" s="27"/>
      <c r="P234" s="27"/>
      <c r="Q234" s="27"/>
      <c r="R234" s="21">
        <f t="shared" si="79"/>
        <v>0</v>
      </c>
      <c r="S234" s="27">
        <v>78494.070000000007</v>
      </c>
      <c r="T234" s="21">
        <f t="shared" si="82"/>
        <v>5358.6376</v>
      </c>
      <c r="U234" s="21">
        <f t="shared" si="83"/>
        <v>1841.7760000000001</v>
      </c>
      <c r="V234" s="21">
        <f t="shared" si="74"/>
        <v>85694.483600000007</v>
      </c>
      <c r="W234" s="27"/>
      <c r="X234" s="5"/>
      <c r="Y234" s="5"/>
      <c r="Z234" s="5">
        <f t="shared" si="75"/>
        <v>0</v>
      </c>
      <c r="AA234" s="5">
        <v>119076.03</v>
      </c>
      <c r="AB234" s="5" t="s">
        <v>258</v>
      </c>
      <c r="AC234" s="5">
        <f t="shared" si="76"/>
        <v>78494.070000000007</v>
      </c>
      <c r="AD234" s="5">
        <f t="shared" si="77"/>
        <v>85694.483600000007</v>
      </c>
      <c r="AE234" s="5">
        <f t="shared" si="78"/>
        <v>-3.599999996367842E-3</v>
      </c>
      <c r="AF234" s="5"/>
      <c r="AG234" s="5" t="s">
        <v>73</v>
      </c>
      <c r="AH234" s="5">
        <v>4</v>
      </c>
      <c r="AI234" s="5">
        <v>0</v>
      </c>
      <c r="AJ234" s="5">
        <v>0</v>
      </c>
      <c r="AK234" s="5" t="s">
        <v>256</v>
      </c>
      <c r="AL234" s="4" t="s">
        <v>90</v>
      </c>
      <c r="AM234" s="4" t="s">
        <v>83</v>
      </c>
      <c r="AN234" s="27"/>
      <c r="AO234" s="4"/>
      <c r="AP234" s="58"/>
      <c r="AQ234" s="58"/>
      <c r="AR234" s="23"/>
      <c r="AS234" s="23"/>
      <c r="AT234" s="4"/>
      <c r="AU234" s="4"/>
      <c r="AV234" s="4"/>
      <c r="AW234" s="4"/>
      <c r="AX234" s="12"/>
      <c r="AY234" s="12"/>
      <c r="AZ234" s="12"/>
      <c r="BB234" t="e">
        <f>VLOOKUP(B234,contactos!$A$1:$D$484,4,FALSE)</f>
        <v>#N/A</v>
      </c>
    </row>
    <row r="235" spans="2:54" customFormat="1" x14ac:dyDescent="0.25">
      <c r="B235" s="100">
        <v>3160</v>
      </c>
      <c r="C235" s="4" t="s">
        <v>508</v>
      </c>
      <c r="D235" s="5">
        <v>83169.930000000008</v>
      </c>
      <c r="E235" s="5">
        <v>0</v>
      </c>
      <c r="F235" s="5">
        <v>0</v>
      </c>
      <c r="G235" s="5">
        <v>83169.930000000008</v>
      </c>
      <c r="H235" s="5">
        <v>59544.93</v>
      </c>
      <c r="I235" s="5">
        <f t="shared" si="70"/>
        <v>59544.93</v>
      </c>
      <c r="J235" s="5"/>
      <c r="K235" s="5">
        <f t="shared" si="71"/>
        <v>59544.93</v>
      </c>
      <c r="L235" s="5">
        <f t="shared" si="72"/>
        <v>59544.93</v>
      </c>
      <c r="M235" s="5"/>
      <c r="N235" s="5">
        <f t="shared" si="73"/>
        <v>59544.93</v>
      </c>
      <c r="O235" s="21">
        <v>59544.93</v>
      </c>
      <c r="P235" s="21"/>
      <c r="Q235" s="21"/>
      <c r="R235" s="21">
        <f t="shared" si="79"/>
        <v>59544.93</v>
      </c>
      <c r="S235" s="21">
        <v>0</v>
      </c>
      <c r="T235" s="21">
        <f t="shared" si="82"/>
        <v>0</v>
      </c>
      <c r="U235" s="21">
        <f t="shared" si="83"/>
        <v>0</v>
      </c>
      <c r="V235" s="21">
        <f t="shared" si="74"/>
        <v>0</v>
      </c>
      <c r="W235" s="21">
        <v>23625</v>
      </c>
      <c r="X235" s="5"/>
      <c r="Y235" s="5"/>
      <c r="Z235" s="5">
        <f t="shared" si="75"/>
        <v>23625</v>
      </c>
      <c r="AA235" s="5"/>
      <c r="AB235" s="5" t="s">
        <v>258</v>
      </c>
      <c r="AC235" s="5">
        <f t="shared" si="76"/>
        <v>83169.929999999993</v>
      </c>
      <c r="AD235" s="5">
        <f t="shared" si="77"/>
        <v>83169.929999999993</v>
      </c>
      <c r="AE235" s="5">
        <f t="shared" si="78"/>
        <v>0</v>
      </c>
      <c r="AF235" s="5"/>
      <c r="AG235" s="5" t="s">
        <v>57</v>
      </c>
      <c r="AH235" s="5">
        <v>4</v>
      </c>
      <c r="AI235" s="5">
        <v>3</v>
      </c>
      <c r="AJ235" s="5" t="s">
        <v>509</v>
      </c>
      <c r="AK235" s="5" t="s">
        <v>59</v>
      </c>
      <c r="AL235" s="4" t="s">
        <v>133</v>
      </c>
      <c r="AM235" s="6" t="s">
        <v>107</v>
      </c>
      <c r="AN235" s="21">
        <v>22331.360000000001</v>
      </c>
      <c r="AO235" s="4" t="s">
        <v>510</v>
      </c>
      <c r="AP235" s="58">
        <v>2</v>
      </c>
      <c r="AQ235" s="58"/>
      <c r="AR235" s="23">
        <v>46057</v>
      </c>
      <c r="AS235" s="23"/>
      <c r="AT235" s="4"/>
      <c r="AU235" s="4"/>
      <c r="AV235" s="4"/>
      <c r="AW235" s="4"/>
      <c r="AX235" s="9"/>
      <c r="AY235" s="9"/>
      <c r="AZ235" s="4"/>
      <c r="BB235" t="str">
        <f>VLOOKUP(B235,contactos!$A$1:$D$484,4,FALSE)</f>
        <v>luis.gonzalez@grupochantilly.com.mx</v>
      </c>
    </row>
    <row r="236" spans="2:54" customFormat="1" x14ac:dyDescent="0.25">
      <c r="B236" s="100">
        <v>20623</v>
      </c>
      <c r="C236" s="4" t="s">
        <v>511</v>
      </c>
      <c r="D236" s="5">
        <v>81605.092730149205</v>
      </c>
      <c r="E236" s="5">
        <v>0</v>
      </c>
      <c r="F236" s="5">
        <v>0</v>
      </c>
      <c r="G236" s="5">
        <v>81605.09</v>
      </c>
      <c r="H236" s="5">
        <v>81605.09</v>
      </c>
      <c r="I236" s="5">
        <f t="shared" si="70"/>
        <v>81605.092730149205</v>
      </c>
      <c r="J236" s="5"/>
      <c r="K236" s="5">
        <f t="shared" si="71"/>
        <v>81605.092730149205</v>
      </c>
      <c r="L236" s="5">
        <f t="shared" si="72"/>
        <v>81605.092730149205</v>
      </c>
      <c r="M236" s="5"/>
      <c r="N236" s="5">
        <f t="shared" si="73"/>
        <v>81605.092730149205</v>
      </c>
      <c r="O236" s="21"/>
      <c r="P236" s="21"/>
      <c r="Q236" s="21"/>
      <c r="R236" s="21">
        <f t="shared" si="79"/>
        <v>0</v>
      </c>
      <c r="S236" s="21">
        <v>81605.092730149205</v>
      </c>
      <c r="T236" s="21">
        <f t="shared" si="82"/>
        <v>0</v>
      </c>
      <c r="U236" s="21">
        <f t="shared" si="83"/>
        <v>0</v>
      </c>
      <c r="V236" s="21">
        <f t="shared" si="74"/>
        <v>81605.092730149205</v>
      </c>
      <c r="W236" s="21"/>
      <c r="X236" s="5"/>
      <c r="Y236" s="5"/>
      <c r="Z236" s="5">
        <f t="shared" si="75"/>
        <v>0</v>
      </c>
      <c r="AA236" s="5">
        <v>405024.98</v>
      </c>
      <c r="AB236" s="5" t="s">
        <v>258</v>
      </c>
      <c r="AC236" s="5">
        <f t="shared" si="76"/>
        <v>81605.092730149205</v>
      </c>
      <c r="AD236" s="5">
        <f t="shared" si="77"/>
        <v>81605.092730149205</v>
      </c>
      <c r="AE236" s="5">
        <f t="shared" si="78"/>
        <v>-2.7301492082187906E-3</v>
      </c>
      <c r="AF236" s="5"/>
      <c r="AG236" s="5" t="s">
        <v>238</v>
      </c>
      <c r="AH236" s="5">
        <v>4</v>
      </c>
      <c r="AI236" s="5">
        <v>0</v>
      </c>
      <c r="AJ236" s="5">
        <v>0</v>
      </c>
      <c r="AK236" s="5" t="s">
        <v>256</v>
      </c>
      <c r="AL236" s="4" t="s">
        <v>90</v>
      </c>
      <c r="AM236" s="4" t="s">
        <v>107</v>
      </c>
      <c r="AN236" s="21"/>
      <c r="AO236" s="4"/>
      <c r="AP236" s="58"/>
      <c r="AQ236" s="58"/>
      <c r="AR236" s="23"/>
      <c r="AS236" s="23"/>
      <c r="AT236" s="4"/>
      <c r="AU236" s="4"/>
      <c r="AV236" s="4"/>
      <c r="AW236" s="4"/>
      <c r="AX236" s="9"/>
      <c r="AY236" s="9"/>
      <c r="AZ236" s="4"/>
      <c r="BB236" t="e">
        <f>VLOOKUP(B236,contactos!$A$1:$D$484,4,FALSE)</f>
        <v>#N/A</v>
      </c>
    </row>
    <row r="237" spans="2:54" customFormat="1" x14ac:dyDescent="0.25">
      <c r="B237" s="100">
        <v>335307</v>
      </c>
      <c r="C237" s="4" t="s">
        <v>512</v>
      </c>
      <c r="D237" s="5">
        <v>79689.460000000006</v>
      </c>
      <c r="E237" s="5">
        <v>0</v>
      </c>
      <c r="F237" s="5">
        <v>0</v>
      </c>
      <c r="G237" s="5">
        <v>79689.460000000006</v>
      </c>
      <c r="H237" s="5">
        <v>0</v>
      </c>
      <c r="I237" s="5">
        <f t="shared" si="70"/>
        <v>79689.460000000006</v>
      </c>
      <c r="J237" s="5"/>
      <c r="K237" s="5">
        <f t="shared" si="71"/>
        <v>79689.460000000006</v>
      </c>
      <c r="L237" s="5">
        <f t="shared" si="72"/>
        <v>79689.460000000006</v>
      </c>
      <c r="M237" s="5"/>
      <c r="N237" s="5">
        <f t="shared" si="73"/>
        <v>79689.460000000006</v>
      </c>
      <c r="O237" s="21"/>
      <c r="P237" s="21"/>
      <c r="Q237" s="21"/>
      <c r="R237" s="21">
        <f t="shared" si="79"/>
        <v>0</v>
      </c>
      <c r="S237" s="21">
        <v>79689.460000000006</v>
      </c>
      <c r="T237" s="21">
        <f t="shared" si="82"/>
        <v>0</v>
      </c>
      <c r="U237" s="21">
        <f t="shared" si="83"/>
        <v>0</v>
      </c>
      <c r="V237" s="21">
        <f t="shared" si="74"/>
        <v>79689.460000000006</v>
      </c>
      <c r="W237" s="21"/>
      <c r="X237" s="5"/>
      <c r="Y237" s="5"/>
      <c r="Z237" s="5">
        <f t="shared" si="75"/>
        <v>0</v>
      </c>
      <c r="AA237" s="5">
        <v>522293.99</v>
      </c>
      <c r="AB237" s="5" t="s">
        <v>258</v>
      </c>
      <c r="AC237" s="5">
        <f t="shared" si="76"/>
        <v>79689.460000000006</v>
      </c>
      <c r="AD237" s="5">
        <f t="shared" si="77"/>
        <v>79689.460000000006</v>
      </c>
      <c r="AE237" s="5">
        <f t="shared" si="78"/>
        <v>0</v>
      </c>
      <c r="AF237" s="5"/>
      <c r="AG237" s="5" t="s">
        <v>238</v>
      </c>
      <c r="AH237" s="5">
        <v>4</v>
      </c>
      <c r="AI237" s="5">
        <v>0</v>
      </c>
      <c r="AJ237" s="5" t="s">
        <v>279</v>
      </c>
      <c r="AK237" s="5" t="s">
        <v>256</v>
      </c>
      <c r="AL237" s="4" t="s">
        <v>90</v>
      </c>
      <c r="AM237" s="4" t="s">
        <v>119</v>
      </c>
      <c r="AN237" s="21"/>
      <c r="AO237" s="4"/>
      <c r="AP237" s="58"/>
      <c r="AQ237" s="58"/>
      <c r="AR237" s="23"/>
      <c r="AS237" s="23"/>
      <c r="AT237" s="4"/>
      <c r="AU237" s="4"/>
      <c r="AV237" s="4"/>
      <c r="AW237" s="4"/>
      <c r="AX237" s="9"/>
      <c r="AY237" s="9"/>
      <c r="AZ237" s="4"/>
      <c r="BB237" t="e">
        <f>VLOOKUP(B237,contactos!$A$1:$D$484,4,FALSE)</f>
        <v>#N/A</v>
      </c>
    </row>
    <row r="238" spans="2:54" customFormat="1" x14ac:dyDescent="0.25">
      <c r="B238" s="100">
        <v>79582</v>
      </c>
      <c r="C238" s="4" t="s">
        <v>513</v>
      </c>
      <c r="D238" s="5">
        <v>68060.249999999985</v>
      </c>
      <c r="E238" s="5">
        <v>0</v>
      </c>
      <c r="F238" s="5">
        <v>10889.665400000002</v>
      </c>
      <c r="G238" s="5">
        <v>78949.900000000009</v>
      </c>
      <c r="H238" s="5">
        <v>78949.91</v>
      </c>
      <c r="I238" s="5">
        <f t="shared" si="70"/>
        <v>68060.249999999985</v>
      </c>
      <c r="J238" s="5"/>
      <c r="K238" s="5">
        <f t="shared" si="71"/>
        <v>68060.249999999985</v>
      </c>
      <c r="L238" s="5">
        <f t="shared" si="72"/>
        <v>78949.915399999983</v>
      </c>
      <c r="M238" s="5"/>
      <c r="N238" s="5">
        <f t="shared" si="73"/>
        <v>78949.915399999983</v>
      </c>
      <c r="O238" s="21"/>
      <c r="P238" s="21"/>
      <c r="Q238" s="21"/>
      <c r="R238" s="21">
        <f t="shared" si="79"/>
        <v>0</v>
      </c>
      <c r="S238" s="21">
        <v>68060.249999999985</v>
      </c>
      <c r="T238" s="21">
        <f t="shared" si="82"/>
        <v>0</v>
      </c>
      <c r="U238" s="21">
        <f t="shared" si="83"/>
        <v>10889.665400000002</v>
      </c>
      <c r="V238" s="21">
        <f t="shared" si="74"/>
        <v>78949.915399999983</v>
      </c>
      <c r="W238" s="21"/>
      <c r="X238" s="5"/>
      <c r="Y238" s="5"/>
      <c r="Z238" s="5">
        <f t="shared" si="75"/>
        <v>0</v>
      </c>
      <c r="AA238" s="5">
        <v>12917.81</v>
      </c>
      <c r="AB238" s="5" t="s">
        <v>258</v>
      </c>
      <c r="AC238" s="5">
        <f t="shared" si="76"/>
        <v>68060.249999999985</v>
      </c>
      <c r="AD238" s="5">
        <f t="shared" si="77"/>
        <v>78949.915399999983</v>
      </c>
      <c r="AE238" s="5">
        <f t="shared" si="78"/>
        <v>-1.5399999974761158E-2</v>
      </c>
      <c r="AF238" s="5"/>
      <c r="AG238" s="5" t="s">
        <v>73</v>
      </c>
      <c r="AH238" s="5">
        <v>4</v>
      </c>
      <c r="AI238" s="5">
        <v>0</v>
      </c>
      <c r="AJ238" s="5">
        <v>0</v>
      </c>
      <c r="AK238" s="5" t="s">
        <v>256</v>
      </c>
      <c r="AL238" s="4" t="s">
        <v>90</v>
      </c>
      <c r="AM238" s="4" t="s">
        <v>162</v>
      </c>
      <c r="AN238" s="21"/>
      <c r="AO238" s="4"/>
      <c r="AP238" s="58"/>
      <c r="AQ238" s="58"/>
      <c r="AR238" s="23"/>
      <c r="AS238" s="23"/>
      <c r="AT238" s="4"/>
      <c r="AU238" s="4"/>
      <c r="AV238" s="4"/>
      <c r="AW238" s="4"/>
      <c r="AX238" s="9"/>
      <c r="AY238" s="9"/>
      <c r="AZ238" s="4"/>
      <c r="BB238" t="e">
        <f>VLOOKUP(B238,contactos!$A$1:$D$484,4,FALSE)</f>
        <v>#N/A</v>
      </c>
    </row>
    <row r="239" spans="2:54" customFormat="1" x14ac:dyDescent="0.25">
      <c r="B239" s="100">
        <v>14296</v>
      </c>
      <c r="C239" s="4" t="s">
        <v>514</v>
      </c>
      <c r="D239" s="5">
        <v>77554.720000000001</v>
      </c>
      <c r="E239" s="5">
        <v>0</v>
      </c>
      <c r="F239" s="5">
        <v>0</v>
      </c>
      <c r="G239" s="5">
        <v>77554.720000000001</v>
      </c>
      <c r="H239" s="5">
        <v>77554.720000000001</v>
      </c>
      <c r="I239" s="5">
        <f t="shared" si="70"/>
        <v>77554.720000000001</v>
      </c>
      <c r="J239" s="5"/>
      <c r="K239" s="5">
        <f t="shared" si="71"/>
        <v>77554.720000000001</v>
      </c>
      <c r="L239" s="5">
        <f t="shared" si="72"/>
        <v>77554.720000000001</v>
      </c>
      <c r="M239" s="5"/>
      <c r="N239" s="5">
        <f t="shared" si="73"/>
        <v>77554.720000000001</v>
      </c>
      <c r="O239" s="21"/>
      <c r="P239" s="21"/>
      <c r="Q239" s="21"/>
      <c r="R239" s="21">
        <f t="shared" si="79"/>
        <v>0</v>
      </c>
      <c r="S239" s="21">
        <v>77554.720000000001</v>
      </c>
      <c r="T239" s="21">
        <f t="shared" si="82"/>
        <v>0</v>
      </c>
      <c r="U239" s="21">
        <f t="shared" si="83"/>
        <v>0</v>
      </c>
      <c r="V239" s="21">
        <f t="shared" si="74"/>
        <v>77554.720000000001</v>
      </c>
      <c r="W239" s="21"/>
      <c r="X239" s="5"/>
      <c r="Y239" s="5"/>
      <c r="Z239" s="5">
        <f t="shared" si="75"/>
        <v>0</v>
      </c>
      <c r="AA239" s="5">
        <v>298198.58</v>
      </c>
      <c r="AB239" s="5" t="s">
        <v>258</v>
      </c>
      <c r="AC239" s="5">
        <f t="shared" si="76"/>
        <v>77554.720000000001</v>
      </c>
      <c r="AD239" s="5">
        <f t="shared" si="77"/>
        <v>77554.720000000001</v>
      </c>
      <c r="AE239" s="5">
        <f t="shared" si="78"/>
        <v>0</v>
      </c>
      <c r="AF239" s="5"/>
      <c r="AG239" s="5" t="s">
        <v>238</v>
      </c>
      <c r="AH239" s="5">
        <v>4</v>
      </c>
      <c r="AI239" s="5">
        <v>0</v>
      </c>
      <c r="AJ239" s="5">
        <v>0</v>
      </c>
      <c r="AK239" s="5" t="s">
        <v>256</v>
      </c>
      <c r="AL239" s="4" t="s">
        <v>90</v>
      </c>
      <c r="AM239" s="4" t="s">
        <v>141</v>
      </c>
      <c r="AN239" s="21"/>
      <c r="AO239" s="4"/>
      <c r="AP239" s="58"/>
      <c r="AQ239" s="58"/>
      <c r="AR239" s="23"/>
      <c r="AS239" s="23"/>
      <c r="AT239" s="4"/>
      <c r="AU239" s="4"/>
      <c r="AV239" s="4"/>
      <c r="AW239" s="4"/>
      <c r="AX239" s="9"/>
      <c r="AY239" s="9"/>
      <c r="AZ239" s="4"/>
      <c r="BB239" t="e">
        <f>VLOOKUP(B239,contactos!$A$1:$D$484,4,FALSE)</f>
        <v>#N/A</v>
      </c>
    </row>
    <row r="240" spans="2:54" customFormat="1" x14ac:dyDescent="0.25">
      <c r="B240" s="100">
        <v>90647</v>
      </c>
      <c r="C240" s="4" t="s">
        <v>515</v>
      </c>
      <c r="D240" s="5">
        <v>66410.877228915197</v>
      </c>
      <c r="E240" s="5">
        <v>0</v>
      </c>
      <c r="F240" s="5">
        <v>10625.740356626429</v>
      </c>
      <c r="G240" s="5">
        <v>77036.62</v>
      </c>
      <c r="H240" s="5">
        <v>77036.62</v>
      </c>
      <c r="I240" s="5">
        <f t="shared" si="70"/>
        <v>66410.877228915197</v>
      </c>
      <c r="J240" s="5"/>
      <c r="K240" s="5">
        <f t="shared" si="71"/>
        <v>66410.877228915197</v>
      </c>
      <c r="L240" s="5">
        <f t="shared" si="72"/>
        <v>77036.617585541622</v>
      </c>
      <c r="M240" s="5"/>
      <c r="N240" s="5">
        <f t="shared" si="73"/>
        <v>77036.617585541622</v>
      </c>
      <c r="O240" s="21"/>
      <c r="P240" s="21"/>
      <c r="Q240" s="21"/>
      <c r="R240" s="21">
        <f t="shared" si="79"/>
        <v>0</v>
      </c>
      <c r="S240" s="21">
        <v>66410.877228915197</v>
      </c>
      <c r="T240" s="21">
        <f t="shared" si="82"/>
        <v>0</v>
      </c>
      <c r="U240" s="21">
        <f t="shared" si="83"/>
        <v>10625.740356626429</v>
      </c>
      <c r="V240" s="21">
        <f t="shared" si="74"/>
        <v>77036.617585541622</v>
      </c>
      <c r="W240" s="21"/>
      <c r="X240" s="5"/>
      <c r="Y240" s="5"/>
      <c r="Z240" s="5">
        <f t="shared" si="75"/>
        <v>0</v>
      </c>
      <c r="AA240" s="5">
        <v>714437.37</v>
      </c>
      <c r="AB240" s="5" t="s">
        <v>258</v>
      </c>
      <c r="AC240" s="5">
        <f t="shared" si="76"/>
        <v>66410.877228915197</v>
      </c>
      <c r="AD240" s="5">
        <f t="shared" si="77"/>
        <v>77036.617585541622</v>
      </c>
      <c r="AE240" s="5">
        <f t="shared" si="78"/>
        <v>2.4144583730958402E-3</v>
      </c>
      <c r="AF240" s="5"/>
      <c r="AG240" s="5" t="s">
        <v>238</v>
      </c>
      <c r="AH240" s="5">
        <v>4</v>
      </c>
      <c r="AI240" s="5">
        <v>0</v>
      </c>
      <c r="AJ240" s="5">
        <v>0</v>
      </c>
      <c r="AK240" s="5" t="s">
        <v>256</v>
      </c>
      <c r="AL240" s="4" t="s">
        <v>90</v>
      </c>
      <c r="AM240" s="4" t="s">
        <v>61</v>
      </c>
      <c r="AN240" s="21"/>
      <c r="AO240" s="4"/>
      <c r="AP240" s="58"/>
      <c r="AQ240" s="58"/>
      <c r="AR240" s="23"/>
      <c r="AS240" s="23"/>
      <c r="AT240" s="4"/>
      <c r="AU240" s="4"/>
      <c r="AV240" s="4"/>
      <c r="AW240" s="4"/>
      <c r="AX240" s="9"/>
      <c r="AY240" s="9"/>
      <c r="AZ240" s="4"/>
      <c r="BB240" t="e">
        <f>VLOOKUP(B240,contactos!$A$1:$D$484,4,FALSE)</f>
        <v>#N/A</v>
      </c>
    </row>
    <row r="241" spans="2:54" customFormat="1" x14ac:dyDescent="0.25">
      <c r="B241" s="100">
        <v>64881</v>
      </c>
      <c r="C241" s="4" t="s">
        <v>516</v>
      </c>
      <c r="D241" s="5">
        <v>74705.08</v>
      </c>
      <c r="E241" s="5">
        <v>933.89279999999997</v>
      </c>
      <c r="F241" s="5">
        <v>0</v>
      </c>
      <c r="G241" s="5">
        <v>75638.97</v>
      </c>
      <c r="H241" s="5">
        <v>75638.97</v>
      </c>
      <c r="I241" s="5">
        <f t="shared" si="70"/>
        <v>74705.08</v>
      </c>
      <c r="J241" s="5"/>
      <c r="K241" s="5">
        <f t="shared" si="71"/>
        <v>74705.08</v>
      </c>
      <c r="L241" s="5">
        <f t="shared" si="72"/>
        <v>75638.972800000003</v>
      </c>
      <c r="M241" s="5"/>
      <c r="N241" s="5">
        <f t="shared" si="73"/>
        <v>75638.972800000003</v>
      </c>
      <c r="O241" s="21"/>
      <c r="P241" s="21"/>
      <c r="Q241" s="21"/>
      <c r="R241" s="21">
        <f t="shared" si="79"/>
        <v>0</v>
      </c>
      <c r="S241" s="21">
        <v>74705.08</v>
      </c>
      <c r="T241" s="21">
        <f t="shared" si="82"/>
        <v>933.89279999999997</v>
      </c>
      <c r="U241" s="21">
        <f t="shared" si="83"/>
        <v>0</v>
      </c>
      <c r="V241" s="21">
        <f t="shared" si="74"/>
        <v>75638.972800000003</v>
      </c>
      <c r="W241" s="21"/>
      <c r="X241" s="5"/>
      <c r="Y241" s="5"/>
      <c r="Z241" s="5">
        <f t="shared" si="75"/>
        <v>0</v>
      </c>
      <c r="AA241" s="5">
        <v>46699.7</v>
      </c>
      <c r="AB241" s="5" t="s">
        <v>258</v>
      </c>
      <c r="AC241" s="5">
        <f t="shared" si="76"/>
        <v>74705.08</v>
      </c>
      <c r="AD241" s="5">
        <f t="shared" si="77"/>
        <v>75638.972800000003</v>
      </c>
      <c r="AE241" s="5">
        <f t="shared" si="78"/>
        <v>-2.8000000020256266E-3</v>
      </c>
      <c r="AF241" s="5"/>
      <c r="AG241" s="5" t="s">
        <v>73</v>
      </c>
      <c r="AH241" s="5">
        <v>4</v>
      </c>
      <c r="AI241" s="5">
        <v>0</v>
      </c>
      <c r="AJ241" s="5" t="s">
        <v>333</v>
      </c>
      <c r="AK241" s="5" t="s">
        <v>256</v>
      </c>
      <c r="AL241" s="4" t="s">
        <v>90</v>
      </c>
      <c r="AM241" s="4" t="s">
        <v>76</v>
      </c>
      <c r="AN241" s="21"/>
      <c r="AO241" s="4"/>
      <c r="AP241" s="58"/>
      <c r="AQ241" s="58"/>
      <c r="AR241" s="23"/>
      <c r="AS241" s="23"/>
      <c r="AT241" s="4"/>
      <c r="AU241" s="4"/>
      <c r="AV241" s="4"/>
      <c r="AW241" s="4"/>
      <c r="AX241" s="9"/>
      <c r="AY241" s="9"/>
      <c r="AZ241" s="4"/>
      <c r="BB241" t="e">
        <f>VLOOKUP(B241,contactos!$A$1:$D$484,4,FALSE)</f>
        <v>#N/A</v>
      </c>
    </row>
    <row r="242" spans="2:54" customFormat="1" x14ac:dyDescent="0.25">
      <c r="B242" s="100">
        <v>25957</v>
      </c>
      <c r="C242" s="4" t="s">
        <v>517</v>
      </c>
      <c r="D242" s="5">
        <v>64419.904999999984</v>
      </c>
      <c r="E242" s="5">
        <v>0</v>
      </c>
      <c r="F242" s="5">
        <v>10307.2464</v>
      </c>
      <c r="G242" s="5">
        <v>74727.14</v>
      </c>
      <c r="H242" s="5">
        <v>74727.14</v>
      </c>
      <c r="I242" s="5">
        <f t="shared" si="70"/>
        <v>64419.904999999984</v>
      </c>
      <c r="J242" s="5"/>
      <c r="K242" s="5">
        <f t="shared" si="71"/>
        <v>64419.904999999984</v>
      </c>
      <c r="L242" s="5">
        <f t="shared" si="72"/>
        <v>74727.151399999988</v>
      </c>
      <c r="M242" s="5"/>
      <c r="N242" s="5">
        <f t="shared" si="73"/>
        <v>74727.151399999988</v>
      </c>
      <c r="O242" s="21"/>
      <c r="P242" s="21"/>
      <c r="Q242" s="21"/>
      <c r="R242" s="21">
        <f t="shared" si="79"/>
        <v>0</v>
      </c>
      <c r="S242" s="21">
        <v>64419.904999999984</v>
      </c>
      <c r="T242" s="21">
        <f t="shared" si="82"/>
        <v>0</v>
      </c>
      <c r="U242" s="21">
        <f t="shared" si="83"/>
        <v>10307.2464</v>
      </c>
      <c r="V242" s="21">
        <f t="shared" si="74"/>
        <v>74727.151399999988</v>
      </c>
      <c r="W242" s="21"/>
      <c r="X242" s="5"/>
      <c r="Y242" s="5"/>
      <c r="Z242" s="5">
        <f t="shared" si="75"/>
        <v>0</v>
      </c>
      <c r="AA242" s="5"/>
      <c r="AB242" s="5" t="s">
        <v>258</v>
      </c>
      <c r="AC242" s="5">
        <f t="shared" si="76"/>
        <v>64419.904999999984</v>
      </c>
      <c r="AD242" s="5">
        <f t="shared" si="77"/>
        <v>74727.151399999988</v>
      </c>
      <c r="AE242" s="5">
        <f t="shared" si="78"/>
        <v>-1.1399999988498166E-2</v>
      </c>
      <c r="AF242" s="5"/>
      <c r="AG242" s="5" t="s">
        <v>73</v>
      </c>
      <c r="AH242" s="5">
        <v>4</v>
      </c>
      <c r="AI242" s="5">
        <v>0</v>
      </c>
      <c r="AJ242" s="120" t="s">
        <v>386</v>
      </c>
      <c r="AK242" s="5" t="s">
        <v>256</v>
      </c>
      <c r="AL242" s="4" t="s">
        <v>90</v>
      </c>
      <c r="AM242" s="4" t="s">
        <v>67</v>
      </c>
      <c r="AN242" s="21"/>
      <c r="AO242" s="4"/>
      <c r="AP242" s="58"/>
      <c r="AQ242" s="58"/>
      <c r="AR242" s="23"/>
      <c r="AS242" s="23"/>
      <c r="AT242" s="4"/>
      <c r="AU242" s="4"/>
      <c r="AV242" s="4"/>
      <c r="AW242" s="4"/>
      <c r="AX242" s="9"/>
      <c r="AY242" s="9"/>
      <c r="AZ242" s="4"/>
      <c r="BB242" t="str">
        <f>VLOOKUP(B242,contactos!$A$1:$D$484,4,FALSE)</f>
        <v>normag@granmark.com.mx</v>
      </c>
    </row>
    <row r="243" spans="2:54" customFormat="1" x14ac:dyDescent="0.25">
      <c r="B243" s="131">
        <v>394510</v>
      </c>
      <c r="C243" s="4" t="s">
        <v>518</v>
      </c>
      <c r="D243" s="5">
        <v>73725.56</v>
      </c>
      <c r="E243" s="5">
        <v>0</v>
      </c>
      <c r="F243" s="5">
        <v>0</v>
      </c>
      <c r="G243" s="5">
        <v>73725.56</v>
      </c>
      <c r="H243" s="5">
        <v>73725.56</v>
      </c>
      <c r="I243" s="5">
        <f t="shared" si="70"/>
        <v>73725.56</v>
      </c>
      <c r="J243" s="5"/>
      <c r="K243" s="5">
        <f t="shared" si="71"/>
        <v>73725.56</v>
      </c>
      <c r="L243" s="5">
        <f t="shared" si="72"/>
        <v>73725.56</v>
      </c>
      <c r="M243" s="5"/>
      <c r="N243" s="5">
        <f t="shared" si="73"/>
        <v>73725.56</v>
      </c>
      <c r="O243" s="21"/>
      <c r="P243" s="21"/>
      <c r="Q243" s="21"/>
      <c r="R243" s="21">
        <f t="shared" si="79"/>
        <v>0</v>
      </c>
      <c r="S243" s="21">
        <v>73725.56</v>
      </c>
      <c r="T243" s="21">
        <f t="shared" si="82"/>
        <v>0</v>
      </c>
      <c r="U243" s="21">
        <f t="shared" si="83"/>
        <v>0</v>
      </c>
      <c r="V243" s="21">
        <f t="shared" si="74"/>
        <v>73725.56</v>
      </c>
      <c r="W243" s="21"/>
      <c r="X243" s="5"/>
      <c r="Y243" s="5"/>
      <c r="Z243" s="5">
        <f t="shared" si="75"/>
        <v>0</v>
      </c>
      <c r="AA243" s="5">
        <v>6648.39</v>
      </c>
      <c r="AB243" s="5" t="s">
        <v>258</v>
      </c>
      <c r="AC243" s="5">
        <f t="shared" si="76"/>
        <v>73725.56</v>
      </c>
      <c r="AD243" s="5">
        <f t="shared" si="77"/>
        <v>73725.56</v>
      </c>
      <c r="AE243" s="5">
        <f t="shared" si="78"/>
        <v>0</v>
      </c>
      <c r="AF243" s="5"/>
      <c r="AG243" s="5" t="s">
        <v>238</v>
      </c>
      <c r="AH243" s="5">
        <v>4</v>
      </c>
      <c r="AI243" s="5">
        <v>0</v>
      </c>
      <c r="AJ243" s="5">
        <v>0</v>
      </c>
      <c r="AK243" s="5" t="s">
        <v>256</v>
      </c>
      <c r="AL243" s="4" t="s">
        <v>90</v>
      </c>
      <c r="AM243" s="6" t="s">
        <v>103</v>
      </c>
      <c r="AN243" s="21"/>
      <c r="AO243" s="4"/>
      <c r="AP243" s="58"/>
      <c r="AQ243" s="58"/>
      <c r="AR243" s="23"/>
      <c r="AS243" s="23"/>
      <c r="AT243" s="4"/>
      <c r="AU243" s="4"/>
      <c r="AV243" s="52"/>
      <c r="AW243" s="52"/>
      <c r="AX243" s="9"/>
      <c r="AY243" s="9"/>
      <c r="AZ243" s="4"/>
      <c r="BB243" t="e">
        <f>VLOOKUP(B243,contactos!$A$1:$D$484,4,FALSE)</f>
        <v>#N/A</v>
      </c>
    </row>
    <row r="244" spans="2:54" customFormat="1" x14ac:dyDescent="0.25">
      <c r="B244" s="100">
        <v>374645</v>
      </c>
      <c r="C244" s="4" t="s">
        <v>519</v>
      </c>
      <c r="D244" s="5">
        <v>42074.149125000004</v>
      </c>
      <c r="E244" s="5">
        <v>20053.194636250002</v>
      </c>
      <c r="F244" s="5">
        <v>9940.3749218000012</v>
      </c>
      <c r="G244" s="5">
        <v>72067.73</v>
      </c>
      <c r="H244" s="5">
        <v>0</v>
      </c>
      <c r="I244" s="5">
        <f t="shared" si="70"/>
        <v>42074.149125000004</v>
      </c>
      <c r="J244" s="5"/>
      <c r="K244" s="5">
        <f t="shared" si="71"/>
        <v>42074.149125000004</v>
      </c>
      <c r="L244" s="5">
        <f t="shared" si="72"/>
        <v>72067.718683050014</v>
      </c>
      <c r="M244" s="5"/>
      <c r="N244" s="5">
        <f t="shared" si="73"/>
        <v>72067.718683050014</v>
      </c>
      <c r="O244" s="21"/>
      <c r="P244" s="21"/>
      <c r="Q244" s="21"/>
      <c r="R244" s="21">
        <f t="shared" si="79"/>
        <v>0</v>
      </c>
      <c r="S244" s="21">
        <v>42074.149125000004</v>
      </c>
      <c r="T244" s="21">
        <f t="shared" si="82"/>
        <v>20053.194636250002</v>
      </c>
      <c r="U244" s="21">
        <f t="shared" si="83"/>
        <v>9940.3749218000012</v>
      </c>
      <c r="V244" s="21">
        <f t="shared" si="74"/>
        <v>72067.718683050014</v>
      </c>
      <c r="W244" s="21"/>
      <c r="X244" s="5"/>
      <c r="Y244" s="5"/>
      <c r="Z244" s="5">
        <f t="shared" si="75"/>
        <v>0</v>
      </c>
      <c r="AA244" s="5">
        <v>97278</v>
      </c>
      <c r="AB244" s="5" t="s">
        <v>258</v>
      </c>
      <c r="AC244" s="5">
        <f t="shared" si="76"/>
        <v>42074.149125000004</v>
      </c>
      <c r="AD244" s="5">
        <f t="shared" si="77"/>
        <v>72067.718683050014</v>
      </c>
      <c r="AE244" s="5">
        <f t="shared" si="78"/>
        <v>1.1316949981846847E-2</v>
      </c>
      <c r="AF244" s="5"/>
      <c r="AG244" s="5" t="s">
        <v>73</v>
      </c>
      <c r="AH244" s="5">
        <v>4</v>
      </c>
      <c r="AI244" s="5">
        <v>2</v>
      </c>
      <c r="AJ244" s="5" t="s">
        <v>279</v>
      </c>
      <c r="AK244" s="5" t="s">
        <v>59</v>
      </c>
      <c r="AL244" s="4" t="s">
        <v>75</v>
      </c>
      <c r="AM244" s="6" t="s">
        <v>119</v>
      </c>
      <c r="AN244" s="21"/>
      <c r="AO244" s="4" t="s">
        <v>520</v>
      </c>
      <c r="AP244" s="58"/>
      <c r="AQ244" s="58"/>
      <c r="AR244" s="23">
        <v>46044</v>
      </c>
      <c r="AS244" s="23">
        <v>46050</v>
      </c>
      <c r="AT244" s="4"/>
      <c r="AU244" s="4"/>
      <c r="AV244" s="4" t="s">
        <v>521</v>
      </c>
      <c r="AW244" s="4"/>
      <c r="AX244" s="9"/>
      <c r="AY244" s="9" t="s">
        <v>71</v>
      </c>
      <c r="AZ244" s="4"/>
      <c r="BB244" t="e">
        <f>VLOOKUP(B244,contactos!$A$1:$D$484,4,FALSE)</f>
        <v>#N/A</v>
      </c>
    </row>
    <row r="245" spans="2:54" customFormat="1" x14ac:dyDescent="0.25">
      <c r="B245" s="100">
        <v>40089</v>
      </c>
      <c r="C245" s="4" t="s">
        <v>522</v>
      </c>
      <c r="D245" s="5">
        <v>61997.84</v>
      </c>
      <c r="E245" s="5">
        <v>0</v>
      </c>
      <c r="F245" s="5">
        <v>9919.66</v>
      </c>
      <c r="G245" s="5">
        <v>71917.47</v>
      </c>
      <c r="H245" s="5">
        <v>71917.47</v>
      </c>
      <c r="I245" s="5">
        <f t="shared" si="70"/>
        <v>61997.84</v>
      </c>
      <c r="J245" s="5"/>
      <c r="K245" s="5">
        <f t="shared" si="71"/>
        <v>61997.84</v>
      </c>
      <c r="L245" s="5">
        <f t="shared" si="72"/>
        <v>71917.5</v>
      </c>
      <c r="M245" s="5"/>
      <c r="N245" s="5">
        <f t="shared" si="73"/>
        <v>71917.5</v>
      </c>
      <c r="O245" s="21"/>
      <c r="P245" s="21"/>
      <c r="Q245" s="21"/>
      <c r="R245" s="21">
        <f t="shared" si="79"/>
        <v>0</v>
      </c>
      <c r="S245" s="21">
        <v>61997.84</v>
      </c>
      <c r="T245" s="21">
        <f t="shared" si="82"/>
        <v>0</v>
      </c>
      <c r="U245" s="21">
        <f t="shared" si="83"/>
        <v>9919.66</v>
      </c>
      <c r="V245" s="21">
        <f t="shared" si="74"/>
        <v>71917.5</v>
      </c>
      <c r="W245" s="21"/>
      <c r="X245" s="5"/>
      <c r="Y245" s="5"/>
      <c r="Z245" s="5">
        <f t="shared" si="75"/>
        <v>0</v>
      </c>
      <c r="AA245" s="5">
        <v>574253.15</v>
      </c>
      <c r="AB245" s="5" t="s">
        <v>258</v>
      </c>
      <c r="AC245" s="5">
        <f t="shared" si="76"/>
        <v>61997.84</v>
      </c>
      <c r="AD245" s="5">
        <f t="shared" si="77"/>
        <v>71917.5</v>
      </c>
      <c r="AE245" s="5">
        <f t="shared" si="78"/>
        <v>-2.9999999998835847E-2</v>
      </c>
      <c r="AF245" s="5"/>
      <c r="AG245" s="5" t="s">
        <v>238</v>
      </c>
      <c r="AH245" s="5">
        <v>4</v>
      </c>
      <c r="AI245" s="5">
        <v>0</v>
      </c>
      <c r="AJ245" s="5">
        <v>0</v>
      </c>
      <c r="AK245" s="5" t="s">
        <v>256</v>
      </c>
      <c r="AL245" s="4" t="s">
        <v>90</v>
      </c>
      <c r="AM245" s="4" t="s">
        <v>162</v>
      </c>
      <c r="AN245" s="21"/>
      <c r="AO245" s="4"/>
      <c r="AP245" s="58"/>
      <c r="AQ245" s="58"/>
      <c r="AR245" s="23"/>
      <c r="AS245" s="23"/>
      <c r="AT245" s="4"/>
      <c r="AU245" s="4"/>
      <c r="AV245" s="4"/>
      <c r="AW245" s="4"/>
      <c r="AX245" s="9"/>
      <c r="AY245" s="9"/>
      <c r="AZ245" s="4"/>
      <c r="BB245" t="e">
        <f>VLOOKUP(B245,contactos!$A$1:$D$484,4,FALSE)</f>
        <v>#N/A</v>
      </c>
    </row>
    <row r="246" spans="2:54" customFormat="1" x14ac:dyDescent="0.25">
      <c r="B246" s="100">
        <v>20456</v>
      </c>
      <c r="C246" s="4" t="s">
        <v>523</v>
      </c>
      <c r="D246" s="5">
        <v>71609.136306073997</v>
      </c>
      <c r="E246" s="5">
        <v>0</v>
      </c>
      <c r="F246" s="5">
        <v>0</v>
      </c>
      <c r="G246" s="5">
        <v>71609.14</v>
      </c>
      <c r="H246" s="5">
        <v>71609.14</v>
      </c>
      <c r="I246" s="5">
        <f t="shared" si="70"/>
        <v>71609.136306073997</v>
      </c>
      <c r="J246" s="5"/>
      <c r="K246" s="5">
        <f t="shared" si="71"/>
        <v>71609.136306073997</v>
      </c>
      <c r="L246" s="5">
        <f t="shared" si="72"/>
        <v>71609.136306073997</v>
      </c>
      <c r="M246" s="5"/>
      <c r="N246" s="5">
        <f t="shared" si="73"/>
        <v>71609.136306073997</v>
      </c>
      <c r="O246" s="27"/>
      <c r="P246" s="27"/>
      <c r="Q246" s="27"/>
      <c r="R246" s="21">
        <f t="shared" si="79"/>
        <v>0</v>
      </c>
      <c r="S246" s="27">
        <v>71609.136306073997</v>
      </c>
      <c r="T246" s="21">
        <f t="shared" si="82"/>
        <v>0</v>
      </c>
      <c r="U246" s="21">
        <f t="shared" si="83"/>
        <v>0</v>
      </c>
      <c r="V246" s="21">
        <f t="shared" si="74"/>
        <v>71609.136306073997</v>
      </c>
      <c r="W246" s="27"/>
      <c r="X246" s="5"/>
      <c r="Y246" s="5"/>
      <c r="Z246" s="5">
        <f t="shared" si="75"/>
        <v>0</v>
      </c>
      <c r="AA246" s="5">
        <v>722116.81</v>
      </c>
      <c r="AB246" s="5" t="s">
        <v>258</v>
      </c>
      <c r="AC246" s="5">
        <f t="shared" si="76"/>
        <v>71609.136306073997</v>
      </c>
      <c r="AD246" s="5">
        <f t="shared" si="77"/>
        <v>71609.136306073997</v>
      </c>
      <c r="AE246" s="5">
        <f t="shared" si="78"/>
        <v>3.6939260025974363E-3</v>
      </c>
      <c r="AF246" s="5"/>
      <c r="AG246" s="5" t="s">
        <v>238</v>
      </c>
      <c r="AH246" s="5">
        <v>4</v>
      </c>
      <c r="AI246" s="5">
        <v>0</v>
      </c>
      <c r="AJ246" s="5">
        <v>0</v>
      </c>
      <c r="AK246" s="5" t="s">
        <v>256</v>
      </c>
      <c r="AL246" s="4" t="s">
        <v>90</v>
      </c>
      <c r="AM246" s="4" t="s">
        <v>83</v>
      </c>
      <c r="AN246" s="27"/>
      <c r="AO246" s="4"/>
      <c r="AP246" s="58"/>
      <c r="AQ246" s="58"/>
      <c r="AR246" s="23"/>
      <c r="AS246" s="23"/>
      <c r="AT246" s="4"/>
      <c r="AU246" s="4"/>
      <c r="AV246" s="4"/>
      <c r="AW246" s="4"/>
      <c r="AX246" s="12"/>
      <c r="AY246" s="12"/>
      <c r="AZ246" s="12"/>
      <c r="BB246" t="str">
        <f>VLOOKUP(B246,contactos!$A$1:$D$484,4,FALSE)</f>
        <v>p.cases@delli.mx</v>
      </c>
    </row>
    <row r="247" spans="2:54" customFormat="1" x14ac:dyDescent="0.25">
      <c r="B247" s="100">
        <v>395053</v>
      </c>
      <c r="C247" s="4" t="s">
        <v>524</v>
      </c>
      <c r="D247" s="5">
        <v>61580.149519192004</v>
      </c>
      <c r="E247" s="5">
        <v>0</v>
      </c>
      <c r="F247" s="5">
        <v>9852.823923070704</v>
      </c>
      <c r="G247" s="5">
        <v>71432.97</v>
      </c>
      <c r="H247" s="5">
        <v>0</v>
      </c>
      <c r="I247" s="5">
        <f t="shared" si="70"/>
        <v>61580.149519192004</v>
      </c>
      <c r="J247" s="5"/>
      <c r="K247" s="5">
        <f t="shared" si="71"/>
        <v>61580.149519192004</v>
      </c>
      <c r="L247" s="5">
        <f t="shared" si="72"/>
        <v>71432.973442262708</v>
      </c>
      <c r="M247" s="5"/>
      <c r="N247" s="5">
        <f t="shared" si="73"/>
        <v>71432.973442262708</v>
      </c>
      <c r="O247" s="21"/>
      <c r="P247" s="21"/>
      <c r="Q247" s="21"/>
      <c r="R247" s="21">
        <f t="shared" si="79"/>
        <v>0</v>
      </c>
      <c r="S247" s="21">
        <v>61580.149519192004</v>
      </c>
      <c r="T247" s="21">
        <f t="shared" si="82"/>
        <v>0</v>
      </c>
      <c r="U247" s="21">
        <f t="shared" si="83"/>
        <v>9852.823923070704</v>
      </c>
      <c r="V247" s="21">
        <f t="shared" si="74"/>
        <v>71432.973442262708</v>
      </c>
      <c r="W247" s="21"/>
      <c r="X247" s="5"/>
      <c r="Y247" s="5"/>
      <c r="Z247" s="5">
        <f t="shared" si="75"/>
        <v>0</v>
      </c>
      <c r="AA247" s="5">
        <v>137787.01999999999</v>
      </c>
      <c r="AB247" s="5" t="s">
        <v>258</v>
      </c>
      <c r="AC247" s="5">
        <f t="shared" si="76"/>
        <v>61580.149519192004</v>
      </c>
      <c r="AD247" s="5">
        <f t="shared" si="77"/>
        <v>71432.973442262708</v>
      </c>
      <c r="AE247" s="5">
        <f t="shared" si="78"/>
        <v>-3.4422627068124712E-3</v>
      </c>
      <c r="AF247" s="5"/>
      <c r="AG247" s="5" t="s">
        <v>238</v>
      </c>
      <c r="AH247" s="5">
        <v>4</v>
      </c>
      <c r="AI247" s="5">
        <v>0</v>
      </c>
      <c r="AJ247" s="5">
        <v>0</v>
      </c>
      <c r="AK247" s="5" t="s">
        <v>256</v>
      </c>
      <c r="AL247" s="4" t="s">
        <v>90</v>
      </c>
      <c r="AM247" s="4" t="s">
        <v>67</v>
      </c>
      <c r="AN247" s="21"/>
      <c r="AO247" s="4"/>
      <c r="AP247" s="58"/>
      <c r="AQ247" s="58"/>
      <c r="AR247" s="23"/>
      <c r="AS247" s="23"/>
      <c r="AT247" s="4"/>
      <c r="AU247" s="4"/>
      <c r="AV247" s="4"/>
      <c r="AW247" s="4"/>
      <c r="AX247" s="9"/>
      <c r="AY247" s="9"/>
      <c r="AZ247" s="4"/>
      <c r="BB247" t="str">
        <f>VLOOKUP(B247,contactos!$A$1:$D$484,4,FALSE)</f>
        <v>rguzmans@italika.com.mx</v>
      </c>
    </row>
    <row r="248" spans="2:54" customFormat="1" x14ac:dyDescent="0.25">
      <c r="B248" s="100">
        <v>7034</v>
      </c>
      <c r="C248" s="4" t="s">
        <v>525</v>
      </c>
      <c r="D248" s="5">
        <v>66327.549999999988</v>
      </c>
      <c r="E248" s="5">
        <v>4990.4472000000005</v>
      </c>
      <c r="F248" s="5">
        <v>0</v>
      </c>
      <c r="G248" s="5">
        <v>71318.06</v>
      </c>
      <c r="H248" s="5">
        <v>71318.06</v>
      </c>
      <c r="I248" s="5">
        <f t="shared" si="70"/>
        <v>66327.549999999988</v>
      </c>
      <c r="J248" s="5"/>
      <c r="K248" s="5">
        <f t="shared" si="71"/>
        <v>66327.549999999988</v>
      </c>
      <c r="L248" s="5">
        <f t="shared" si="72"/>
        <v>71317.997199999983</v>
      </c>
      <c r="M248" s="5"/>
      <c r="N248" s="5">
        <f t="shared" si="73"/>
        <v>71317.997199999983</v>
      </c>
      <c r="O248" s="21"/>
      <c r="P248" s="21"/>
      <c r="Q248" s="21"/>
      <c r="R248" s="21">
        <f t="shared" si="79"/>
        <v>0</v>
      </c>
      <c r="S248" s="21">
        <v>66327.549999999988</v>
      </c>
      <c r="T248" s="21">
        <f t="shared" si="82"/>
        <v>4990.4472000000005</v>
      </c>
      <c r="U248" s="21">
        <f t="shared" si="83"/>
        <v>0</v>
      </c>
      <c r="V248" s="21">
        <f t="shared" si="74"/>
        <v>71317.997199999983</v>
      </c>
      <c r="W248" s="21"/>
      <c r="X248" s="5"/>
      <c r="Y248" s="5"/>
      <c r="Z248" s="5">
        <f t="shared" si="75"/>
        <v>0</v>
      </c>
      <c r="AA248" s="5">
        <v>948399.76</v>
      </c>
      <c r="AB248" s="5" t="s">
        <v>258</v>
      </c>
      <c r="AC248" s="5">
        <f t="shared" si="76"/>
        <v>66327.549999999988</v>
      </c>
      <c r="AD248" s="5">
        <f t="shared" si="77"/>
        <v>71317.997199999983</v>
      </c>
      <c r="AE248" s="5">
        <f t="shared" si="78"/>
        <v>6.2800000014249235E-2</v>
      </c>
      <c r="AF248" s="5"/>
      <c r="AG248" s="5" t="s">
        <v>238</v>
      </c>
      <c r="AH248" s="5">
        <v>4</v>
      </c>
      <c r="AI248" s="5">
        <v>0</v>
      </c>
      <c r="AJ248" s="5">
        <v>0</v>
      </c>
      <c r="AK248" s="5" t="s">
        <v>256</v>
      </c>
      <c r="AL248" s="4" t="s">
        <v>90</v>
      </c>
      <c r="AM248" s="4" t="s">
        <v>112</v>
      </c>
      <c r="AN248" s="21"/>
      <c r="AO248" s="4"/>
      <c r="AP248" s="58"/>
      <c r="AQ248" s="58"/>
      <c r="AR248" s="23"/>
      <c r="AS248" s="23"/>
      <c r="AT248" s="4"/>
      <c r="AU248" s="4"/>
      <c r="AV248" s="4"/>
      <c r="AW248" s="4"/>
      <c r="AX248" s="9"/>
      <c r="AY248" s="9"/>
      <c r="AZ248" s="4"/>
      <c r="BB248" t="e">
        <f>VLOOKUP(B248,contactos!$A$1:$D$484,4,FALSE)</f>
        <v>#N/A</v>
      </c>
    </row>
    <row r="249" spans="2:54" customFormat="1" x14ac:dyDescent="0.25">
      <c r="B249" s="100">
        <v>22605</v>
      </c>
      <c r="C249" s="4" t="s">
        <v>526</v>
      </c>
      <c r="D249" s="5">
        <v>71036.680000000008</v>
      </c>
      <c r="E249" s="5">
        <v>0</v>
      </c>
      <c r="F249" s="5">
        <v>0</v>
      </c>
      <c r="G249" s="5">
        <v>71036.680000000008</v>
      </c>
      <c r="H249" s="5">
        <v>71036.679999999993</v>
      </c>
      <c r="I249" s="5">
        <f t="shared" si="70"/>
        <v>71036.680000000008</v>
      </c>
      <c r="J249" s="5"/>
      <c r="K249" s="5">
        <f t="shared" si="71"/>
        <v>71036.680000000008</v>
      </c>
      <c r="L249" s="5">
        <f t="shared" si="72"/>
        <v>71036.680000000008</v>
      </c>
      <c r="M249" s="5"/>
      <c r="N249" s="5">
        <f t="shared" si="73"/>
        <v>71036.680000000008</v>
      </c>
      <c r="O249" s="21"/>
      <c r="P249" s="21"/>
      <c r="Q249" s="21"/>
      <c r="R249" s="21">
        <f t="shared" si="79"/>
        <v>0</v>
      </c>
      <c r="S249" s="21">
        <v>71036.680000000008</v>
      </c>
      <c r="T249" s="21">
        <f t="shared" si="82"/>
        <v>0</v>
      </c>
      <c r="U249" s="21">
        <f t="shared" si="83"/>
        <v>0</v>
      </c>
      <c r="V249" s="21">
        <f t="shared" si="74"/>
        <v>71036.680000000008</v>
      </c>
      <c r="W249" s="21"/>
      <c r="X249" s="5"/>
      <c r="Y249" s="5"/>
      <c r="Z249" s="5">
        <f t="shared" si="75"/>
        <v>0</v>
      </c>
      <c r="AA249" s="5">
        <v>214330.93</v>
      </c>
      <c r="AB249" s="5" t="s">
        <v>258</v>
      </c>
      <c r="AC249" s="5">
        <f t="shared" si="76"/>
        <v>71036.680000000008</v>
      </c>
      <c r="AD249" s="5">
        <f t="shared" si="77"/>
        <v>71036.680000000008</v>
      </c>
      <c r="AE249" s="5">
        <f t="shared" si="78"/>
        <v>0</v>
      </c>
      <c r="AF249" s="5"/>
      <c r="AG249" s="5" t="s">
        <v>73</v>
      </c>
      <c r="AH249" s="5">
        <v>4</v>
      </c>
      <c r="AI249" s="5">
        <v>2</v>
      </c>
      <c r="AJ249" s="5" t="s">
        <v>527</v>
      </c>
      <c r="AK249" s="5" t="s">
        <v>59</v>
      </c>
      <c r="AL249" s="4" t="s">
        <v>75</v>
      </c>
      <c r="AM249" s="6" t="s">
        <v>94</v>
      </c>
      <c r="AN249" s="21"/>
      <c r="AO249" s="4"/>
      <c r="AP249" s="58"/>
      <c r="AQ249" s="58"/>
      <c r="AR249" s="23">
        <v>46051</v>
      </c>
      <c r="AS249" s="23">
        <v>46051</v>
      </c>
      <c r="AT249" s="4"/>
      <c r="AU249" s="4"/>
      <c r="AV249" s="4" t="s">
        <v>528</v>
      </c>
      <c r="AW249" s="4"/>
      <c r="AX249" s="9"/>
      <c r="AY249" s="9"/>
      <c r="AZ249" s="4"/>
      <c r="BB249" t="e">
        <f>VLOOKUP(B249,contactos!$A$1:$D$484,4,FALSE)</f>
        <v>#N/A</v>
      </c>
    </row>
    <row r="250" spans="2:54" customFormat="1" x14ac:dyDescent="0.25">
      <c r="B250" s="100">
        <v>79681</v>
      </c>
      <c r="C250" s="4" t="s">
        <v>529</v>
      </c>
      <c r="D250" s="5">
        <v>47909.674776871499</v>
      </c>
      <c r="E250" s="5">
        <v>13127.609825278545</v>
      </c>
      <c r="F250" s="5">
        <v>9765.9656003439995</v>
      </c>
      <c r="G250" s="5">
        <v>70803.25</v>
      </c>
      <c r="H250" s="5">
        <v>70803.25</v>
      </c>
      <c r="I250" s="5">
        <f t="shared" si="70"/>
        <v>47909.674776871499</v>
      </c>
      <c r="J250" s="5"/>
      <c r="K250" s="5">
        <f t="shared" si="71"/>
        <v>47909.674776871499</v>
      </c>
      <c r="L250" s="5">
        <f t="shared" si="72"/>
        <v>70803.250202494048</v>
      </c>
      <c r="M250" s="5"/>
      <c r="N250" s="5">
        <f t="shared" si="73"/>
        <v>70803.250202494048</v>
      </c>
      <c r="O250" s="21"/>
      <c r="P250" s="21"/>
      <c r="Q250" s="21"/>
      <c r="R250" s="21">
        <f t="shared" si="79"/>
        <v>0</v>
      </c>
      <c r="S250" s="21">
        <v>47909.674776871499</v>
      </c>
      <c r="T250" s="21">
        <f t="shared" si="82"/>
        <v>13127.609825278545</v>
      </c>
      <c r="U250" s="21">
        <f t="shared" si="83"/>
        <v>9765.9656003439995</v>
      </c>
      <c r="V250" s="21">
        <f t="shared" si="74"/>
        <v>70803.250202494048</v>
      </c>
      <c r="W250" s="21"/>
      <c r="X250" s="5"/>
      <c r="Y250" s="5"/>
      <c r="Z250" s="5">
        <f t="shared" si="75"/>
        <v>0</v>
      </c>
      <c r="AA250" s="5">
        <v>118285.27</v>
      </c>
      <c r="AB250" s="5" t="s">
        <v>258</v>
      </c>
      <c r="AC250" s="5">
        <f t="shared" si="76"/>
        <v>47909.674776871499</v>
      </c>
      <c r="AD250" s="5">
        <f t="shared" si="77"/>
        <v>70803.250202494048</v>
      </c>
      <c r="AE250" s="5">
        <f t="shared" si="78"/>
        <v>-2.0249404769856483E-4</v>
      </c>
      <c r="AF250" s="5"/>
      <c r="AG250" s="5" t="s">
        <v>73</v>
      </c>
      <c r="AH250" s="5">
        <v>4</v>
      </c>
      <c r="AI250" s="5">
        <v>0</v>
      </c>
      <c r="AJ250" s="5">
        <v>0</v>
      </c>
      <c r="AK250" s="5" t="s">
        <v>256</v>
      </c>
      <c r="AL250" s="4" t="s">
        <v>90</v>
      </c>
      <c r="AM250" s="4" t="s">
        <v>112</v>
      </c>
      <c r="AN250" s="21"/>
      <c r="AO250" s="4"/>
      <c r="AP250" s="58"/>
      <c r="AQ250" s="58"/>
      <c r="AR250" s="23"/>
      <c r="AS250" s="23"/>
      <c r="AT250" s="4"/>
      <c r="AU250" s="4"/>
      <c r="AV250" s="4"/>
      <c r="AW250" s="4"/>
      <c r="AX250" s="9"/>
      <c r="AY250" s="9"/>
      <c r="AZ250" s="4"/>
      <c r="BB250" t="str">
        <f>VLOOKUP(B250,contactos!$A$1:$D$484,4,FALSE)</f>
        <v>jbarajas@idiriunite.com</v>
      </c>
    </row>
    <row r="251" spans="2:54" customFormat="1" x14ac:dyDescent="0.25">
      <c r="B251" s="100">
        <v>397521</v>
      </c>
      <c r="C251" s="4" t="s">
        <v>530</v>
      </c>
      <c r="D251" s="5">
        <v>60327.02</v>
      </c>
      <c r="E251" s="5">
        <v>0</v>
      </c>
      <c r="F251" s="5">
        <v>9652.3231999999989</v>
      </c>
      <c r="G251" s="5">
        <v>69979.350000000006</v>
      </c>
      <c r="H251" s="5">
        <v>69979.34</v>
      </c>
      <c r="I251" s="5">
        <f t="shared" si="70"/>
        <v>60327.02</v>
      </c>
      <c r="J251" s="5"/>
      <c r="K251" s="5">
        <f t="shared" si="71"/>
        <v>60327.02</v>
      </c>
      <c r="L251" s="5">
        <f t="shared" si="72"/>
        <v>69979.343200000003</v>
      </c>
      <c r="M251" s="5"/>
      <c r="N251" s="5">
        <f t="shared" si="73"/>
        <v>69979.343200000003</v>
      </c>
      <c r="O251" s="21"/>
      <c r="P251" s="21"/>
      <c r="Q251" s="21"/>
      <c r="R251" s="21">
        <f t="shared" si="79"/>
        <v>0</v>
      </c>
      <c r="S251" s="21">
        <v>60327.02</v>
      </c>
      <c r="T251" s="21">
        <f t="shared" si="82"/>
        <v>0</v>
      </c>
      <c r="U251" s="21">
        <f t="shared" si="83"/>
        <v>9652.3231999999989</v>
      </c>
      <c r="V251" s="21">
        <f t="shared" si="74"/>
        <v>69979.343200000003</v>
      </c>
      <c r="W251" s="21"/>
      <c r="X251" s="5"/>
      <c r="Y251" s="5"/>
      <c r="Z251" s="5">
        <f t="shared" si="75"/>
        <v>0</v>
      </c>
      <c r="AA251" s="5">
        <v>560849.54</v>
      </c>
      <c r="AB251" s="5" t="s">
        <v>258</v>
      </c>
      <c r="AC251" s="5">
        <f t="shared" si="76"/>
        <v>60327.02</v>
      </c>
      <c r="AD251" s="5">
        <f t="shared" si="77"/>
        <v>69979.343200000003</v>
      </c>
      <c r="AE251" s="5">
        <f t="shared" si="78"/>
        <v>6.8000000028405339E-3</v>
      </c>
      <c r="AF251" s="5"/>
      <c r="AG251" s="5" t="s">
        <v>73</v>
      </c>
      <c r="AH251" s="5">
        <v>4</v>
      </c>
      <c r="AI251" s="5">
        <v>0</v>
      </c>
      <c r="AJ251" s="5" t="s">
        <v>279</v>
      </c>
      <c r="AK251" s="5" t="s">
        <v>256</v>
      </c>
      <c r="AL251" s="4" t="s">
        <v>90</v>
      </c>
      <c r="AM251" s="4" t="s">
        <v>119</v>
      </c>
      <c r="AN251" s="21"/>
      <c r="AO251" s="4"/>
      <c r="AP251" s="58"/>
      <c r="AQ251" s="58"/>
      <c r="AR251" s="23"/>
      <c r="AS251" s="23"/>
      <c r="AT251" s="4"/>
      <c r="AU251" s="4"/>
      <c r="AV251" s="4"/>
      <c r="AW251" s="4"/>
      <c r="AX251" s="9"/>
      <c r="AY251" s="9"/>
      <c r="AZ251" s="4"/>
      <c r="BB251" t="e">
        <f>VLOOKUP(B251,contactos!$A$1:$D$484,4,FALSE)</f>
        <v>#N/A</v>
      </c>
    </row>
    <row r="252" spans="2:54" customFormat="1" x14ac:dyDescent="0.25">
      <c r="B252" s="131">
        <v>18614</v>
      </c>
      <c r="C252" s="4" t="s">
        <v>531</v>
      </c>
      <c r="D252" s="5">
        <v>58643.59</v>
      </c>
      <c r="E252" s="5">
        <v>0</v>
      </c>
      <c r="F252" s="5">
        <v>9382.9743999999992</v>
      </c>
      <c r="G252" s="5">
        <v>68026.570000000007</v>
      </c>
      <c r="H252" s="5">
        <v>68026.570000000007</v>
      </c>
      <c r="I252" s="5">
        <f t="shared" si="70"/>
        <v>58643.59</v>
      </c>
      <c r="J252" s="5"/>
      <c r="K252" s="5">
        <f t="shared" si="71"/>
        <v>58643.59</v>
      </c>
      <c r="L252" s="5">
        <f t="shared" si="72"/>
        <v>68026.564400000003</v>
      </c>
      <c r="M252" s="5"/>
      <c r="N252" s="5">
        <f t="shared" si="73"/>
        <v>68026.564400000003</v>
      </c>
      <c r="O252" s="21"/>
      <c r="P252" s="21"/>
      <c r="Q252" s="21"/>
      <c r="R252" s="21">
        <f t="shared" si="79"/>
        <v>0</v>
      </c>
      <c r="S252" s="21">
        <v>58643.59</v>
      </c>
      <c r="T252" s="21">
        <f t="shared" si="82"/>
        <v>0</v>
      </c>
      <c r="U252" s="21">
        <f t="shared" si="83"/>
        <v>9382.9743999999992</v>
      </c>
      <c r="V252" s="21">
        <f t="shared" si="74"/>
        <v>68026.564400000003</v>
      </c>
      <c r="W252" s="21"/>
      <c r="X252" s="5"/>
      <c r="Y252" s="5"/>
      <c r="Z252" s="5">
        <f t="shared" si="75"/>
        <v>0</v>
      </c>
      <c r="AA252" s="5">
        <v>455736.57</v>
      </c>
      <c r="AB252" s="5" t="s">
        <v>258</v>
      </c>
      <c r="AC252" s="5">
        <f t="shared" si="76"/>
        <v>58643.59</v>
      </c>
      <c r="AD252" s="5">
        <f t="shared" si="77"/>
        <v>68026.564400000003</v>
      </c>
      <c r="AE252" s="5">
        <f t="shared" si="78"/>
        <v>5.6000000040512532E-3</v>
      </c>
      <c r="AF252" s="5"/>
      <c r="AG252" s="5" t="s">
        <v>238</v>
      </c>
      <c r="AH252" s="5">
        <v>4</v>
      </c>
      <c r="AI252" s="5">
        <v>0</v>
      </c>
      <c r="AJ252" s="5">
        <v>0</v>
      </c>
      <c r="AK252" s="5" t="s">
        <v>256</v>
      </c>
      <c r="AL252" s="4" t="s">
        <v>90</v>
      </c>
      <c r="AM252" s="6" t="s">
        <v>103</v>
      </c>
      <c r="AN252" s="21"/>
      <c r="AO252" s="4"/>
      <c r="AP252" s="58"/>
      <c r="AQ252" s="58"/>
      <c r="AR252" s="23"/>
      <c r="AS252" s="23"/>
      <c r="AT252" s="4"/>
      <c r="AU252" s="4"/>
      <c r="AV252" s="52"/>
      <c r="AW252" s="52"/>
      <c r="AX252" s="9"/>
      <c r="AY252" s="9"/>
      <c r="AZ252" s="4"/>
      <c r="BB252" t="e">
        <f>VLOOKUP(B252,contactos!$A$1:$D$484,4,FALSE)</f>
        <v>#N/A</v>
      </c>
    </row>
    <row r="253" spans="2:54" customFormat="1" x14ac:dyDescent="0.25">
      <c r="B253" s="100">
        <v>390518</v>
      </c>
      <c r="C253" s="4" t="s">
        <v>532</v>
      </c>
      <c r="D253" s="5">
        <v>59065.53</v>
      </c>
      <c r="E253" s="5">
        <v>0</v>
      </c>
      <c r="F253" s="5">
        <v>8956.6971000000012</v>
      </c>
      <c r="G253" s="5">
        <v>68022.260000000009</v>
      </c>
      <c r="H253" s="5">
        <v>68022.23</v>
      </c>
      <c r="I253" s="5">
        <f t="shared" si="70"/>
        <v>59065.53</v>
      </c>
      <c r="J253" s="5"/>
      <c r="K253" s="5">
        <f t="shared" si="71"/>
        <v>59065.53</v>
      </c>
      <c r="L253" s="5">
        <f t="shared" si="72"/>
        <v>68022.227100000004</v>
      </c>
      <c r="M253" s="5"/>
      <c r="N253" s="5">
        <f t="shared" si="73"/>
        <v>68022.227100000004</v>
      </c>
      <c r="O253" s="21"/>
      <c r="P253" s="21"/>
      <c r="Q253" s="21"/>
      <c r="R253" s="21">
        <f t="shared" si="79"/>
        <v>0</v>
      </c>
      <c r="S253" s="21">
        <v>59065.53</v>
      </c>
      <c r="T253" s="21">
        <f t="shared" si="82"/>
        <v>0</v>
      </c>
      <c r="U253" s="21">
        <f t="shared" si="83"/>
        <v>8956.6971000000012</v>
      </c>
      <c r="V253" s="21">
        <f t="shared" si="74"/>
        <v>68022.227100000004</v>
      </c>
      <c r="W253" s="21"/>
      <c r="X253" s="5"/>
      <c r="Y253" s="5"/>
      <c r="Z253" s="5">
        <f t="shared" si="75"/>
        <v>0</v>
      </c>
      <c r="AA253" s="5">
        <v>80474.28</v>
      </c>
      <c r="AB253" s="5" t="s">
        <v>258</v>
      </c>
      <c r="AC253" s="5">
        <f t="shared" si="76"/>
        <v>59065.53</v>
      </c>
      <c r="AD253" s="5">
        <f t="shared" si="77"/>
        <v>68022.227100000004</v>
      </c>
      <c r="AE253" s="5">
        <f t="shared" si="78"/>
        <v>3.2900000005611219E-2</v>
      </c>
      <c r="AF253" s="5"/>
      <c r="AG253" s="5" t="s">
        <v>73</v>
      </c>
      <c r="AH253" s="5">
        <v>4</v>
      </c>
      <c r="AI253" s="5">
        <v>0</v>
      </c>
      <c r="AJ253" s="5" t="s">
        <v>333</v>
      </c>
      <c r="AK253" s="5" t="s">
        <v>256</v>
      </c>
      <c r="AL253" s="4" t="s">
        <v>90</v>
      </c>
      <c r="AM253" s="4" t="s">
        <v>137</v>
      </c>
      <c r="AN253" s="21"/>
      <c r="AO253" s="4"/>
      <c r="AP253" s="58"/>
      <c r="AQ253" s="58"/>
      <c r="AR253" s="23"/>
      <c r="AS253" s="23"/>
      <c r="AT253" s="4"/>
      <c r="AU253" s="4"/>
      <c r="AV253" s="4"/>
      <c r="AW253" s="4"/>
      <c r="AX253" s="9"/>
      <c r="AY253" s="9"/>
      <c r="AZ253" s="4"/>
      <c r="BB253" t="e">
        <f>VLOOKUP(B253,contactos!$A$1:$D$484,4,FALSE)</f>
        <v>#N/A</v>
      </c>
    </row>
    <row r="254" spans="2:54" customFormat="1" x14ac:dyDescent="0.25">
      <c r="B254" s="100">
        <v>20780</v>
      </c>
      <c r="C254" s="4" t="s">
        <v>533</v>
      </c>
      <c r="D254" s="5">
        <v>58078.509999999995</v>
      </c>
      <c r="E254" s="5">
        <v>0</v>
      </c>
      <c r="F254" s="5">
        <v>9292.5616000000009</v>
      </c>
      <c r="G254" s="5">
        <v>67371.08</v>
      </c>
      <c r="H254" s="5">
        <v>67371.08</v>
      </c>
      <c r="I254" s="5">
        <f t="shared" si="70"/>
        <v>58078.509999999995</v>
      </c>
      <c r="J254" s="5"/>
      <c r="K254" s="5">
        <f t="shared" si="71"/>
        <v>58078.509999999995</v>
      </c>
      <c r="L254" s="5">
        <f t="shared" si="72"/>
        <v>67371.071599999996</v>
      </c>
      <c r="M254" s="5"/>
      <c r="N254" s="5">
        <f t="shared" si="73"/>
        <v>67371.071599999996</v>
      </c>
      <c r="O254" s="21"/>
      <c r="P254" s="21"/>
      <c r="Q254" s="21"/>
      <c r="R254" s="21">
        <f t="shared" si="79"/>
        <v>0</v>
      </c>
      <c r="S254" s="21">
        <v>58078.509999999995</v>
      </c>
      <c r="T254" s="21">
        <f t="shared" si="82"/>
        <v>0</v>
      </c>
      <c r="U254" s="21">
        <f t="shared" si="83"/>
        <v>9292.5616000000009</v>
      </c>
      <c r="V254" s="21">
        <f t="shared" si="74"/>
        <v>67371.071599999996</v>
      </c>
      <c r="W254" s="21"/>
      <c r="X254" s="5"/>
      <c r="Y254" s="5"/>
      <c r="Z254" s="5">
        <f t="shared" si="75"/>
        <v>0</v>
      </c>
      <c r="AA254" s="5">
        <v>16962.25</v>
      </c>
      <c r="AB254" s="5" t="s">
        <v>258</v>
      </c>
      <c r="AC254" s="5">
        <f t="shared" si="76"/>
        <v>58078.509999999995</v>
      </c>
      <c r="AD254" s="5">
        <f t="shared" si="77"/>
        <v>67371.071599999996</v>
      </c>
      <c r="AE254" s="5">
        <f t="shared" si="78"/>
        <v>8.4000000060768798E-3</v>
      </c>
      <c r="AF254" s="5"/>
      <c r="AG254" s="5" t="s">
        <v>73</v>
      </c>
      <c r="AH254" s="5">
        <v>4</v>
      </c>
      <c r="AI254" s="5">
        <v>0</v>
      </c>
      <c r="AJ254" s="5" t="s">
        <v>333</v>
      </c>
      <c r="AK254" s="5" t="s">
        <v>256</v>
      </c>
      <c r="AL254" s="4" t="s">
        <v>90</v>
      </c>
      <c r="AM254" s="4" t="s">
        <v>76</v>
      </c>
      <c r="AN254" s="21"/>
      <c r="AO254" s="4"/>
      <c r="AP254" s="58"/>
      <c r="AQ254" s="58"/>
      <c r="AR254" s="23"/>
      <c r="AS254" s="23"/>
      <c r="AT254" s="4"/>
      <c r="AU254" s="4"/>
      <c r="AV254" s="4"/>
      <c r="AW254" s="4"/>
      <c r="AX254" s="9"/>
      <c r="AY254" s="9"/>
      <c r="AZ254" s="4"/>
      <c r="BB254" t="e">
        <f>VLOOKUP(B254,contactos!$A$1:$D$484,4,FALSE)</f>
        <v>#N/A</v>
      </c>
    </row>
    <row r="255" spans="2:54" customFormat="1" x14ac:dyDescent="0.25">
      <c r="B255" s="100">
        <v>22225</v>
      </c>
      <c r="C255" s="4" t="s">
        <v>534</v>
      </c>
      <c r="D255" s="5">
        <v>57869.600000000006</v>
      </c>
      <c r="E255" s="5">
        <v>0</v>
      </c>
      <c r="F255" s="5">
        <v>9259.1360000000022</v>
      </c>
      <c r="G255" s="5">
        <v>67128.740000000005</v>
      </c>
      <c r="H255" s="5">
        <v>0</v>
      </c>
      <c r="I255" s="5">
        <f t="shared" si="70"/>
        <v>57869.600000000006</v>
      </c>
      <c r="J255" s="5"/>
      <c r="K255" s="5">
        <f t="shared" si="71"/>
        <v>57869.600000000006</v>
      </c>
      <c r="L255" s="5">
        <f t="shared" si="72"/>
        <v>67128.736000000004</v>
      </c>
      <c r="M255" s="5"/>
      <c r="N255" s="5">
        <f t="shared" si="73"/>
        <v>67128.736000000004</v>
      </c>
      <c r="O255" s="21"/>
      <c r="P255" s="21"/>
      <c r="Q255" s="21"/>
      <c r="R255" s="21">
        <f t="shared" si="79"/>
        <v>0</v>
      </c>
      <c r="S255" s="21">
        <v>57869.600000000006</v>
      </c>
      <c r="T255" s="21">
        <f t="shared" si="82"/>
        <v>0</v>
      </c>
      <c r="U255" s="21">
        <f t="shared" si="83"/>
        <v>9259.1360000000022</v>
      </c>
      <c r="V255" s="21">
        <f t="shared" si="74"/>
        <v>67128.736000000004</v>
      </c>
      <c r="W255" s="21"/>
      <c r="X255" s="5"/>
      <c r="Y255" s="5"/>
      <c r="Z255" s="5">
        <f t="shared" si="75"/>
        <v>0</v>
      </c>
      <c r="AA255" s="5"/>
      <c r="AB255" s="5" t="s">
        <v>258</v>
      </c>
      <c r="AC255" s="5">
        <f t="shared" si="76"/>
        <v>57869.600000000006</v>
      </c>
      <c r="AD255" s="5">
        <f t="shared" si="77"/>
        <v>67128.736000000004</v>
      </c>
      <c r="AE255" s="5">
        <f t="shared" si="78"/>
        <v>4.0000000008149073E-3</v>
      </c>
      <c r="AF255" s="5"/>
      <c r="AG255" s="5" t="s">
        <v>73</v>
      </c>
      <c r="AH255" s="5">
        <v>4</v>
      </c>
      <c r="AI255" s="5">
        <v>0</v>
      </c>
      <c r="AJ255" s="5">
        <v>0</v>
      </c>
      <c r="AK255" s="5" t="s">
        <v>256</v>
      </c>
      <c r="AL255" s="4" t="s">
        <v>90</v>
      </c>
      <c r="AM255" s="4" t="s">
        <v>107</v>
      </c>
      <c r="AN255" s="21"/>
      <c r="AO255" s="4"/>
      <c r="AP255" s="58"/>
      <c r="AQ255" s="58"/>
      <c r="AR255" s="23"/>
      <c r="AS255" s="23"/>
      <c r="AT255" s="4"/>
      <c r="AU255" s="4"/>
      <c r="AV255" s="4"/>
      <c r="AW255" s="4"/>
      <c r="AX255" s="9"/>
      <c r="AY255" s="9"/>
      <c r="AZ255" s="4"/>
      <c r="BB255" t="str">
        <f>VLOOKUP(B255,contactos!$A$1:$D$484,4,FALSE)</f>
        <v>federico.baig@happytee.mx</v>
      </c>
    </row>
    <row r="256" spans="2:54" customFormat="1" x14ac:dyDescent="0.25">
      <c r="B256" s="100">
        <v>4502</v>
      </c>
      <c r="C256" s="4" t="s">
        <v>350</v>
      </c>
      <c r="D256" s="5">
        <v>61958.30000000001</v>
      </c>
      <c r="E256" s="5">
        <v>4956.6639999999998</v>
      </c>
      <c r="F256" s="5">
        <v>0</v>
      </c>
      <c r="G256" s="5">
        <v>66914.960000000006</v>
      </c>
      <c r="H256" s="5">
        <v>66914.960000000006</v>
      </c>
      <c r="I256" s="5">
        <f t="shared" si="70"/>
        <v>61958.30000000001</v>
      </c>
      <c r="J256" s="5"/>
      <c r="K256" s="5">
        <f t="shared" si="71"/>
        <v>61958.30000000001</v>
      </c>
      <c r="L256" s="5">
        <f t="shared" si="72"/>
        <v>66914.964000000007</v>
      </c>
      <c r="M256" s="5"/>
      <c r="N256" s="5">
        <f t="shared" si="73"/>
        <v>66914.964000000007</v>
      </c>
      <c r="O256" s="21"/>
      <c r="P256" s="21"/>
      <c r="Q256" s="21"/>
      <c r="R256" s="21">
        <f t="shared" si="79"/>
        <v>0</v>
      </c>
      <c r="S256" s="21">
        <v>61958.30000000001</v>
      </c>
      <c r="T256" s="21">
        <f t="shared" si="82"/>
        <v>4956.6639999999998</v>
      </c>
      <c r="U256" s="21">
        <f t="shared" si="83"/>
        <v>0</v>
      </c>
      <c r="V256" s="21">
        <f t="shared" si="74"/>
        <v>66914.964000000007</v>
      </c>
      <c r="W256" s="21"/>
      <c r="X256" s="5"/>
      <c r="Y256" s="5"/>
      <c r="Z256" s="5">
        <f t="shared" si="75"/>
        <v>0</v>
      </c>
      <c r="AA256" s="5">
        <v>387964.12</v>
      </c>
      <c r="AB256" s="5" t="s">
        <v>258</v>
      </c>
      <c r="AC256" s="5">
        <f t="shared" si="76"/>
        <v>61958.30000000001</v>
      </c>
      <c r="AD256" s="5">
        <f t="shared" si="77"/>
        <v>66914.964000000007</v>
      </c>
      <c r="AE256" s="5">
        <f t="shared" si="78"/>
        <v>-4.0000000008149073E-3</v>
      </c>
      <c r="AF256" s="5"/>
      <c r="AG256" s="5" t="s">
        <v>73</v>
      </c>
      <c r="AH256" s="5">
        <v>4</v>
      </c>
      <c r="AI256" s="5">
        <v>0</v>
      </c>
      <c r="AJ256" s="5" t="s">
        <v>419</v>
      </c>
      <c r="AK256" s="5" t="s">
        <v>256</v>
      </c>
      <c r="AL256" s="4" t="s">
        <v>90</v>
      </c>
      <c r="AM256" s="4" t="s">
        <v>91</v>
      </c>
      <c r="AN256" s="21"/>
      <c r="AO256" s="4"/>
      <c r="AP256" s="58"/>
      <c r="AQ256" s="58"/>
      <c r="AR256" s="23"/>
      <c r="AS256" s="23"/>
      <c r="AT256" s="4"/>
      <c r="AU256" s="4"/>
      <c r="AV256" s="4"/>
      <c r="AW256" s="4"/>
      <c r="AX256" s="9"/>
      <c r="AY256" s="9"/>
      <c r="AZ256" s="4"/>
      <c r="BB256" t="e">
        <f>VLOOKUP(B256,contactos!$A$1:$D$484,4,FALSE)</f>
        <v>#N/A</v>
      </c>
    </row>
    <row r="257" spans="2:54" customFormat="1" x14ac:dyDescent="0.25">
      <c r="B257" s="100">
        <v>466</v>
      </c>
      <c r="C257" s="4" t="s">
        <v>535</v>
      </c>
      <c r="D257" s="5">
        <v>56988.759999999987</v>
      </c>
      <c r="E257" s="5">
        <v>0</v>
      </c>
      <c r="F257" s="5">
        <v>9118.2595999999994</v>
      </c>
      <c r="G257" s="5">
        <v>66107.05</v>
      </c>
      <c r="H257" s="5">
        <v>66107.05</v>
      </c>
      <c r="I257" s="5">
        <f t="shared" si="70"/>
        <v>56988.759999999987</v>
      </c>
      <c r="J257" s="5"/>
      <c r="K257" s="5">
        <f t="shared" si="71"/>
        <v>56988.759999999987</v>
      </c>
      <c r="L257" s="5">
        <f t="shared" si="72"/>
        <v>66107.019599999985</v>
      </c>
      <c r="M257" s="5"/>
      <c r="N257" s="5">
        <f t="shared" si="73"/>
        <v>66107.019599999985</v>
      </c>
      <c r="O257" s="21"/>
      <c r="P257" s="21"/>
      <c r="Q257" s="21"/>
      <c r="R257" s="21">
        <f t="shared" si="79"/>
        <v>0</v>
      </c>
      <c r="S257" s="21">
        <v>56988.759999999987</v>
      </c>
      <c r="T257" s="21">
        <f t="shared" si="82"/>
        <v>0</v>
      </c>
      <c r="U257" s="21">
        <f t="shared" si="83"/>
        <v>9118.2595999999994</v>
      </c>
      <c r="V257" s="21">
        <f t="shared" si="74"/>
        <v>66107.019599999985</v>
      </c>
      <c r="W257" s="21"/>
      <c r="X257" s="5"/>
      <c r="Y257" s="5"/>
      <c r="Z257" s="5">
        <f t="shared" si="75"/>
        <v>0</v>
      </c>
      <c r="AA257" s="5">
        <v>369618.51</v>
      </c>
      <c r="AB257" s="5" t="s">
        <v>258</v>
      </c>
      <c r="AC257" s="5">
        <f t="shared" si="76"/>
        <v>56988.759999999987</v>
      </c>
      <c r="AD257" s="5">
        <f t="shared" si="77"/>
        <v>66107.019599999985</v>
      </c>
      <c r="AE257" s="5">
        <f t="shared" si="78"/>
        <v>3.0400000017834827E-2</v>
      </c>
      <c r="AF257" s="5"/>
      <c r="AG257" s="5" t="s">
        <v>238</v>
      </c>
      <c r="AH257" s="5">
        <v>4</v>
      </c>
      <c r="AI257" s="5">
        <v>0</v>
      </c>
      <c r="AJ257" s="5">
        <v>0</v>
      </c>
      <c r="AK257" s="5" t="s">
        <v>256</v>
      </c>
      <c r="AL257" s="4" t="s">
        <v>90</v>
      </c>
      <c r="AM257" s="4" t="s">
        <v>141</v>
      </c>
      <c r="AN257" s="21"/>
      <c r="AO257" s="4"/>
      <c r="AP257" s="58"/>
      <c r="AQ257" s="58"/>
      <c r="AR257" s="23"/>
      <c r="AS257" s="23"/>
      <c r="AT257" s="4"/>
      <c r="AU257" s="4"/>
      <c r="AV257" s="4"/>
      <c r="AW257" s="4"/>
      <c r="AX257" s="9"/>
      <c r="AY257" s="9"/>
      <c r="AZ257" s="4"/>
      <c r="BB257" t="e">
        <f>VLOOKUP(B257,contactos!$A$1:$D$484,4,FALSE)</f>
        <v>#N/A</v>
      </c>
    </row>
    <row r="258" spans="2:54" customFormat="1" x14ac:dyDescent="0.25">
      <c r="B258" s="100">
        <v>322602</v>
      </c>
      <c r="C258" s="4" t="s">
        <v>536</v>
      </c>
      <c r="D258" s="5">
        <v>56335.36129796</v>
      </c>
      <c r="E258" s="5">
        <v>0</v>
      </c>
      <c r="F258" s="5">
        <v>9013.7077076736005</v>
      </c>
      <c r="G258" s="5">
        <v>65349.069999999985</v>
      </c>
      <c r="H258" s="5">
        <v>0</v>
      </c>
      <c r="I258" s="5">
        <f t="shared" si="70"/>
        <v>55528.09</v>
      </c>
      <c r="J258" s="5"/>
      <c r="K258" s="5">
        <f t="shared" si="71"/>
        <v>55528.09</v>
      </c>
      <c r="L258" s="5">
        <f t="shared" si="72"/>
        <v>64412.63</v>
      </c>
      <c r="M258" s="5"/>
      <c r="N258" s="5">
        <f t="shared" si="73"/>
        <v>64412.63</v>
      </c>
      <c r="O258" s="21"/>
      <c r="P258" s="21"/>
      <c r="Q258" s="21"/>
      <c r="R258" s="21">
        <f t="shared" si="79"/>
        <v>0</v>
      </c>
      <c r="S258" s="21">
        <v>55528.09</v>
      </c>
      <c r="T258" s="21">
        <f t="shared" ref="T258:T289" si="84">E258-X258</f>
        <v>0</v>
      </c>
      <c r="U258" s="21">
        <v>8884.5400000000009</v>
      </c>
      <c r="V258" s="21">
        <f t="shared" si="74"/>
        <v>64412.63</v>
      </c>
      <c r="W258" s="21">
        <v>807.27</v>
      </c>
      <c r="X258" s="5"/>
      <c r="Y258" s="5">
        <v>129.16</v>
      </c>
      <c r="Z258" s="5">
        <f t="shared" si="75"/>
        <v>936.43</v>
      </c>
      <c r="AA258" s="5"/>
      <c r="AB258" s="5" t="s">
        <v>258</v>
      </c>
      <c r="AC258" s="5">
        <f t="shared" si="76"/>
        <v>56335.359999999993</v>
      </c>
      <c r="AD258" s="5">
        <f t="shared" si="77"/>
        <v>65349.06</v>
      </c>
      <c r="AE258" s="5">
        <f t="shared" si="78"/>
        <v>9.9999999874853529E-3</v>
      </c>
      <c r="AF258" s="5"/>
      <c r="AG258" s="5" t="s">
        <v>73</v>
      </c>
      <c r="AH258" s="5">
        <v>4</v>
      </c>
      <c r="AI258" s="5">
        <v>1</v>
      </c>
      <c r="AJ258" s="5">
        <v>0</v>
      </c>
      <c r="AK258" s="5" t="s">
        <v>59</v>
      </c>
      <c r="AL258" s="4" t="s">
        <v>75</v>
      </c>
      <c r="AM258" s="6" t="s">
        <v>76</v>
      </c>
      <c r="AN258" s="21">
        <v>936.43</v>
      </c>
      <c r="AO258" s="13" t="s">
        <v>98</v>
      </c>
      <c r="AP258" s="58">
        <v>1</v>
      </c>
      <c r="AQ258" s="58"/>
      <c r="AR258" s="23">
        <v>46050</v>
      </c>
      <c r="AS258" s="23"/>
      <c r="AT258" s="4"/>
      <c r="AU258" s="4"/>
      <c r="AV258" s="4"/>
      <c r="AW258" s="4"/>
      <c r="AX258" s="9"/>
      <c r="AY258" s="9"/>
      <c r="AZ258" s="4"/>
      <c r="BB258" t="e">
        <f>VLOOKUP(B258,contactos!$A$1:$D$484,4,FALSE)</f>
        <v>#N/A</v>
      </c>
    </row>
    <row r="259" spans="2:54" customFormat="1" x14ac:dyDescent="0.25">
      <c r="B259" s="100">
        <v>12229</v>
      </c>
      <c r="C259" s="4" t="s">
        <v>537</v>
      </c>
      <c r="D259" s="5">
        <v>61186.023607834999</v>
      </c>
      <c r="E259" s="5">
        <v>3830.5218886268003</v>
      </c>
      <c r="F259" s="5">
        <v>0</v>
      </c>
      <c r="G259" s="5">
        <v>65016.547896461801</v>
      </c>
      <c r="H259" s="5">
        <v>65016.55</v>
      </c>
      <c r="I259" s="5">
        <f t="shared" si="70"/>
        <v>61186.023607834999</v>
      </c>
      <c r="J259" s="5"/>
      <c r="K259" s="5">
        <f t="shared" si="71"/>
        <v>61186.023607834999</v>
      </c>
      <c r="L259" s="5">
        <f t="shared" si="72"/>
        <v>65016.545496461797</v>
      </c>
      <c r="M259" s="5"/>
      <c r="N259" s="5">
        <f t="shared" si="73"/>
        <v>65016.545496461797</v>
      </c>
      <c r="O259" s="21"/>
      <c r="P259" s="21"/>
      <c r="Q259" s="21"/>
      <c r="R259" s="21">
        <f t="shared" si="79"/>
        <v>0</v>
      </c>
      <c r="S259" s="21">
        <v>61186.023607834999</v>
      </c>
      <c r="T259" s="21">
        <f t="shared" si="84"/>
        <v>3830.5218886268003</v>
      </c>
      <c r="U259" s="21">
        <f t="shared" ref="U259:U290" si="85">F259-Y259</f>
        <v>0</v>
      </c>
      <c r="V259" s="21">
        <f t="shared" si="74"/>
        <v>65016.545496461797</v>
      </c>
      <c r="W259" s="21"/>
      <c r="X259" s="5"/>
      <c r="Y259" s="5"/>
      <c r="Z259" s="5">
        <f t="shared" si="75"/>
        <v>0</v>
      </c>
      <c r="AA259" s="5"/>
      <c r="AB259" s="5" t="s">
        <v>258</v>
      </c>
      <c r="AC259" s="5">
        <f t="shared" si="76"/>
        <v>61186.023607834999</v>
      </c>
      <c r="AD259" s="5">
        <f t="shared" si="77"/>
        <v>65016.545496461797</v>
      </c>
      <c r="AE259" s="5">
        <f t="shared" si="78"/>
        <v>2.4000000048545189E-3</v>
      </c>
      <c r="AF259" s="5"/>
      <c r="AG259" s="5" t="s">
        <v>57</v>
      </c>
      <c r="AH259" s="5">
        <v>4</v>
      </c>
      <c r="AI259" s="5">
        <v>4</v>
      </c>
      <c r="AJ259" s="5" t="s">
        <v>538</v>
      </c>
      <c r="AK259" s="5" t="s">
        <v>59</v>
      </c>
      <c r="AL259" s="4" t="s">
        <v>133</v>
      </c>
      <c r="AM259" s="6" t="s">
        <v>148</v>
      </c>
      <c r="AN259" s="21">
        <v>51712.05</v>
      </c>
      <c r="AO259" s="4" t="s">
        <v>539</v>
      </c>
      <c r="AP259" s="58">
        <v>2</v>
      </c>
      <c r="AQ259" s="58"/>
      <c r="AR259" s="23">
        <v>46062</v>
      </c>
      <c r="AS259" s="23"/>
      <c r="AT259" s="4"/>
      <c r="AU259" s="4"/>
      <c r="AV259" s="4"/>
      <c r="AW259" s="4"/>
      <c r="AX259" s="9"/>
      <c r="AY259" s="9"/>
      <c r="AZ259" s="4"/>
      <c r="BB259" t="str">
        <f>VLOOKUP(B259,contactos!$A$1:$D$484,4,FALSE)</f>
        <v>crojano@rodiniainternacional.com</v>
      </c>
    </row>
    <row r="260" spans="2:54" customFormat="1" x14ac:dyDescent="0.25">
      <c r="B260" s="100">
        <v>314161</v>
      </c>
      <c r="C260" s="4" t="s">
        <v>540</v>
      </c>
      <c r="D260" s="5">
        <v>55935.38</v>
      </c>
      <c r="E260" s="5">
        <v>0</v>
      </c>
      <c r="F260" s="5">
        <v>8949.6607999999997</v>
      </c>
      <c r="G260" s="5">
        <v>64885.01</v>
      </c>
      <c r="H260" s="5">
        <v>64885.01</v>
      </c>
      <c r="I260" s="5">
        <f t="shared" si="70"/>
        <v>55935.38</v>
      </c>
      <c r="J260" s="5"/>
      <c r="K260" s="5">
        <f t="shared" si="71"/>
        <v>55935.38</v>
      </c>
      <c r="L260" s="5">
        <f t="shared" si="72"/>
        <v>64885.040799999995</v>
      </c>
      <c r="M260" s="5"/>
      <c r="N260" s="5">
        <f t="shared" si="73"/>
        <v>64885.040799999995</v>
      </c>
      <c r="O260" s="21"/>
      <c r="P260" s="21"/>
      <c r="Q260" s="21"/>
      <c r="R260" s="21">
        <f t="shared" si="79"/>
        <v>0</v>
      </c>
      <c r="S260" s="21">
        <v>55935.38</v>
      </c>
      <c r="T260" s="21">
        <f t="shared" si="84"/>
        <v>0</v>
      </c>
      <c r="U260" s="21">
        <f t="shared" si="85"/>
        <v>8949.6607999999997</v>
      </c>
      <c r="V260" s="21">
        <f t="shared" si="74"/>
        <v>64885.040799999995</v>
      </c>
      <c r="W260" s="21"/>
      <c r="X260" s="5"/>
      <c r="Y260" s="5"/>
      <c r="Z260" s="5">
        <f t="shared" si="75"/>
        <v>0</v>
      </c>
      <c r="AA260" s="5">
        <v>113103.58</v>
      </c>
      <c r="AB260" s="5" t="s">
        <v>258</v>
      </c>
      <c r="AC260" s="5">
        <f t="shared" si="76"/>
        <v>55935.38</v>
      </c>
      <c r="AD260" s="5">
        <f t="shared" si="77"/>
        <v>64885.040799999995</v>
      </c>
      <c r="AE260" s="5">
        <f t="shared" si="78"/>
        <v>-3.0799999993178062E-2</v>
      </c>
      <c r="AF260" s="5"/>
      <c r="AG260" s="5" t="s">
        <v>238</v>
      </c>
      <c r="AH260" s="5">
        <v>4</v>
      </c>
      <c r="AI260" s="5">
        <v>0</v>
      </c>
      <c r="AJ260" s="5">
        <v>0</v>
      </c>
      <c r="AK260" s="5" t="s">
        <v>256</v>
      </c>
      <c r="AL260" s="4" t="s">
        <v>90</v>
      </c>
      <c r="AM260" s="4" t="s">
        <v>137</v>
      </c>
      <c r="AN260" s="21"/>
      <c r="AO260" s="4"/>
      <c r="AP260" s="58"/>
      <c r="AQ260" s="58"/>
      <c r="AR260" s="23"/>
      <c r="AS260" s="23"/>
      <c r="AT260" s="4"/>
      <c r="AU260" s="4"/>
      <c r="AV260" s="4"/>
      <c r="AW260" s="4"/>
      <c r="AX260" s="9"/>
      <c r="AY260" s="9"/>
      <c r="AZ260" s="4"/>
      <c r="BB260" t="e">
        <f>VLOOKUP(B260,contactos!$A$1:$D$484,4,FALSE)</f>
        <v>#N/A</v>
      </c>
    </row>
    <row r="261" spans="2:54" customFormat="1" x14ac:dyDescent="0.25">
      <c r="B261" s="100">
        <v>11601</v>
      </c>
      <c r="C261" s="4" t="s">
        <v>541</v>
      </c>
      <c r="D261" s="5">
        <v>53386.049999999996</v>
      </c>
      <c r="E261" s="5">
        <v>0</v>
      </c>
      <c r="F261" s="5">
        <v>8541.7710999999981</v>
      </c>
      <c r="G261" s="5">
        <v>61927.819999999992</v>
      </c>
      <c r="H261" s="5">
        <v>33189.480000000003</v>
      </c>
      <c r="I261" s="5">
        <f t="shared" si="70"/>
        <v>53386.049999999996</v>
      </c>
      <c r="J261" s="5"/>
      <c r="K261" s="5">
        <f t="shared" si="71"/>
        <v>53386.049999999996</v>
      </c>
      <c r="L261" s="5">
        <f t="shared" si="72"/>
        <v>61927.821099999994</v>
      </c>
      <c r="M261" s="5"/>
      <c r="N261" s="5">
        <f t="shared" si="73"/>
        <v>61927.821099999994</v>
      </c>
      <c r="O261" s="21"/>
      <c r="P261" s="21"/>
      <c r="Q261" s="21"/>
      <c r="R261" s="21">
        <f t="shared" si="79"/>
        <v>0</v>
      </c>
      <c r="S261" s="21">
        <v>53386.049999999996</v>
      </c>
      <c r="T261" s="21">
        <f t="shared" si="84"/>
        <v>0</v>
      </c>
      <c r="U261" s="21">
        <f t="shared" si="85"/>
        <v>8541.7710999999981</v>
      </c>
      <c r="V261" s="21">
        <f t="shared" si="74"/>
        <v>61927.821099999994</v>
      </c>
      <c r="W261" s="21"/>
      <c r="X261" s="5"/>
      <c r="Y261" s="5"/>
      <c r="Z261" s="5">
        <f t="shared" si="75"/>
        <v>0</v>
      </c>
      <c r="AA261" s="5">
        <v>40313.1</v>
      </c>
      <c r="AB261" s="5" t="s">
        <v>258</v>
      </c>
      <c r="AC261" s="5">
        <f t="shared" si="76"/>
        <v>53386.049999999996</v>
      </c>
      <c r="AD261" s="5">
        <f t="shared" si="77"/>
        <v>61927.821099999994</v>
      </c>
      <c r="AE261" s="5">
        <f t="shared" si="78"/>
        <v>-1.1000000013154931E-3</v>
      </c>
      <c r="AF261" s="5"/>
      <c r="AG261" s="5" t="s">
        <v>73</v>
      </c>
      <c r="AH261" s="5">
        <v>4</v>
      </c>
      <c r="AI261" s="5">
        <v>0</v>
      </c>
      <c r="AJ261" s="5" t="s">
        <v>333</v>
      </c>
      <c r="AK261" s="5" t="s">
        <v>256</v>
      </c>
      <c r="AL261" s="4" t="s">
        <v>90</v>
      </c>
      <c r="AM261" s="4" t="s">
        <v>137</v>
      </c>
      <c r="AN261" s="21"/>
      <c r="AO261" s="4"/>
      <c r="AP261" s="58"/>
      <c r="AQ261" s="58"/>
      <c r="AR261" s="23"/>
      <c r="AS261" s="23"/>
      <c r="AT261" s="4"/>
      <c r="AU261" s="4"/>
      <c r="AV261" s="4"/>
      <c r="AW261" s="4"/>
      <c r="AX261" s="9"/>
      <c r="AY261" s="9"/>
      <c r="AZ261" s="4"/>
      <c r="BB261" t="e">
        <f>VLOOKUP(B261,contactos!$A$1:$D$484,4,FALSE)</f>
        <v>#N/A</v>
      </c>
    </row>
    <row r="262" spans="2:54" customFormat="1" x14ac:dyDescent="0.25">
      <c r="B262" s="100">
        <v>9580</v>
      </c>
      <c r="C262" s="4" t="s">
        <v>542</v>
      </c>
      <c r="D262" s="5">
        <v>52171.88</v>
      </c>
      <c r="E262" s="5">
        <v>0</v>
      </c>
      <c r="F262" s="5">
        <v>8347.4795000000013</v>
      </c>
      <c r="G262" s="5">
        <v>60519.38</v>
      </c>
      <c r="H262" s="5">
        <v>48124</v>
      </c>
      <c r="I262" s="5">
        <f t="shared" si="70"/>
        <v>52171.88</v>
      </c>
      <c r="J262" s="5"/>
      <c r="K262" s="5">
        <f t="shared" si="71"/>
        <v>52171.88</v>
      </c>
      <c r="L262" s="5">
        <f t="shared" si="72"/>
        <v>60519.359499999999</v>
      </c>
      <c r="M262" s="5"/>
      <c r="N262" s="5">
        <f t="shared" si="73"/>
        <v>60519.359499999999</v>
      </c>
      <c r="O262" s="21"/>
      <c r="P262" s="21"/>
      <c r="Q262" s="21"/>
      <c r="R262" s="21">
        <f t="shared" si="79"/>
        <v>0</v>
      </c>
      <c r="S262" s="21">
        <v>52171.88</v>
      </c>
      <c r="T262" s="21">
        <f t="shared" si="84"/>
        <v>0</v>
      </c>
      <c r="U262" s="21">
        <f t="shared" si="85"/>
        <v>8347.4795000000013</v>
      </c>
      <c r="V262" s="21">
        <f t="shared" si="74"/>
        <v>60519.359499999999</v>
      </c>
      <c r="W262" s="21"/>
      <c r="X262" s="5"/>
      <c r="Y262" s="5"/>
      <c r="Z262" s="5">
        <f t="shared" si="75"/>
        <v>0</v>
      </c>
      <c r="AA262" s="5">
        <v>42599.72</v>
      </c>
      <c r="AB262" s="5" t="s">
        <v>258</v>
      </c>
      <c r="AC262" s="5">
        <f t="shared" si="76"/>
        <v>52171.88</v>
      </c>
      <c r="AD262" s="5">
        <f t="shared" si="77"/>
        <v>60519.359499999999</v>
      </c>
      <c r="AE262" s="5">
        <f t="shared" si="78"/>
        <v>2.0499999998719431E-2</v>
      </c>
      <c r="AF262" s="5"/>
      <c r="AG262" s="5" t="s">
        <v>73</v>
      </c>
      <c r="AH262" s="5">
        <v>4</v>
      </c>
      <c r="AI262" s="5">
        <v>0</v>
      </c>
      <c r="AJ262" s="5" t="s">
        <v>333</v>
      </c>
      <c r="AK262" s="5" t="s">
        <v>256</v>
      </c>
      <c r="AL262" s="4" t="s">
        <v>90</v>
      </c>
      <c r="AM262" s="4" t="s">
        <v>76</v>
      </c>
      <c r="AN262" s="21"/>
      <c r="AO262" s="4"/>
      <c r="AP262" s="58"/>
      <c r="AQ262" s="58"/>
      <c r="AR262" s="23"/>
      <c r="AS262" s="23"/>
      <c r="AT262" s="4"/>
      <c r="AU262" s="4"/>
      <c r="AV262" s="4"/>
      <c r="AW262" s="4"/>
      <c r="AX262" s="9"/>
      <c r="AY262" s="9"/>
      <c r="AZ262" s="4"/>
      <c r="BB262" t="e">
        <f>VLOOKUP(B262,contactos!$A$1:$D$484,4,FALSE)</f>
        <v>#N/A</v>
      </c>
    </row>
    <row r="263" spans="2:54" customFormat="1" x14ac:dyDescent="0.25">
      <c r="B263" s="100">
        <v>7325</v>
      </c>
      <c r="C263" s="4" t="s">
        <v>543</v>
      </c>
      <c r="D263" s="5">
        <v>48276.86</v>
      </c>
      <c r="E263" s="5">
        <v>0</v>
      </c>
      <c r="F263" s="5">
        <v>7724.2975999999999</v>
      </c>
      <c r="G263" s="5">
        <v>56001.18</v>
      </c>
      <c r="H263" s="5">
        <v>56001.18</v>
      </c>
      <c r="I263" s="5">
        <f t="shared" si="70"/>
        <v>48276.86</v>
      </c>
      <c r="J263" s="5"/>
      <c r="K263" s="5">
        <f t="shared" si="71"/>
        <v>48276.86</v>
      </c>
      <c r="L263" s="5">
        <f t="shared" si="72"/>
        <v>56001.157599999999</v>
      </c>
      <c r="M263" s="5"/>
      <c r="N263" s="5">
        <f t="shared" si="73"/>
        <v>56001.157599999999</v>
      </c>
      <c r="O263" s="21"/>
      <c r="P263" s="21"/>
      <c r="Q263" s="21"/>
      <c r="R263" s="21">
        <f t="shared" si="79"/>
        <v>0</v>
      </c>
      <c r="S263" s="21">
        <v>48276.86</v>
      </c>
      <c r="T263" s="21">
        <f t="shared" si="84"/>
        <v>0</v>
      </c>
      <c r="U263" s="21">
        <f t="shared" si="85"/>
        <v>7724.2975999999999</v>
      </c>
      <c r="V263" s="21">
        <f t="shared" si="74"/>
        <v>56001.157599999999</v>
      </c>
      <c r="W263" s="21"/>
      <c r="X263" s="5"/>
      <c r="Y263" s="5"/>
      <c r="Z263" s="5">
        <f t="shared" si="75"/>
        <v>0</v>
      </c>
      <c r="AA263" s="5"/>
      <c r="AB263" s="5" t="s">
        <v>258</v>
      </c>
      <c r="AC263" s="5">
        <f t="shared" si="76"/>
        <v>48276.86</v>
      </c>
      <c r="AD263" s="5">
        <f t="shared" si="77"/>
        <v>56001.157599999999</v>
      </c>
      <c r="AE263" s="5">
        <f t="shared" si="78"/>
        <v>2.2400000001653098E-2</v>
      </c>
      <c r="AF263" s="5"/>
      <c r="AG263" s="5" t="s">
        <v>238</v>
      </c>
      <c r="AH263" s="5">
        <v>4</v>
      </c>
      <c r="AI263" s="5">
        <v>0</v>
      </c>
      <c r="AJ263" s="5">
        <v>0</v>
      </c>
      <c r="AK263" s="5" t="s">
        <v>256</v>
      </c>
      <c r="AL263" s="4" t="s">
        <v>90</v>
      </c>
      <c r="AM263" s="4" t="s">
        <v>162</v>
      </c>
      <c r="AN263" s="21"/>
      <c r="AO263" s="4"/>
      <c r="AP263" s="58"/>
      <c r="AQ263" s="58"/>
      <c r="AR263" s="23"/>
      <c r="AS263" s="23"/>
      <c r="AT263" s="4"/>
      <c r="AU263" s="4"/>
      <c r="AV263" s="4"/>
      <c r="AW263" s="4"/>
      <c r="AX263" s="9"/>
      <c r="AY263" s="9"/>
      <c r="AZ263" s="4"/>
      <c r="BB263" t="str">
        <f>VLOOKUP(B263,contactos!$A$1:$D$484,4,FALSE)</f>
        <v>gabriel.hinojosa@wecareproducts.com.mx</v>
      </c>
    </row>
    <row r="264" spans="2:54" customFormat="1" x14ac:dyDescent="0.25">
      <c r="B264" s="100">
        <v>24687</v>
      </c>
      <c r="C264" s="4" t="s">
        <v>544</v>
      </c>
      <c r="D264" s="5">
        <v>46715.042026260002</v>
      </c>
      <c r="E264" s="5">
        <v>0</v>
      </c>
      <c r="F264" s="5">
        <v>7474.4067242016008</v>
      </c>
      <c r="G264" s="5">
        <v>54189.45</v>
      </c>
      <c r="H264" s="5">
        <v>54189.45</v>
      </c>
      <c r="I264" s="5">
        <f t="shared" ref="I264:I327" si="86">O264+S264</f>
        <v>46715.042026260002</v>
      </c>
      <c r="J264" s="5"/>
      <c r="K264" s="5">
        <f t="shared" ref="K264:K327" si="87">I264-J264</f>
        <v>46715.042026260002</v>
      </c>
      <c r="L264" s="5">
        <f t="shared" ref="L264:L327" si="88">R264+V264</f>
        <v>54189.448750461605</v>
      </c>
      <c r="M264" s="5"/>
      <c r="N264" s="5">
        <f t="shared" ref="N264:N327" si="89">L264-M264</f>
        <v>54189.448750461605</v>
      </c>
      <c r="O264" s="21"/>
      <c r="P264" s="21"/>
      <c r="Q264" s="21"/>
      <c r="R264" s="21">
        <f t="shared" si="79"/>
        <v>0</v>
      </c>
      <c r="S264" s="21">
        <v>46715.042026260002</v>
      </c>
      <c r="T264" s="21">
        <f t="shared" si="84"/>
        <v>0</v>
      </c>
      <c r="U264" s="21">
        <f t="shared" si="85"/>
        <v>7474.4067242016008</v>
      </c>
      <c r="V264" s="21">
        <f t="shared" si="74"/>
        <v>54189.448750461605</v>
      </c>
      <c r="W264" s="21"/>
      <c r="X264" s="5"/>
      <c r="Y264" s="5"/>
      <c r="Z264" s="5">
        <f t="shared" si="75"/>
        <v>0</v>
      </c>
      <c r="AA264" s="5"/>
      <c r="AB264" s="5" t="s">
        <v>258</v>
      </c>
      <c r="AC264" s="5">
        <f t="shared" si="76"/>
        <v>46715.042026260002</v>
      </c>
      <c r="AD264" s="5">
        <f t="shared" si="77"/>
        <v>54189.448750461605</v>
      </c>
      <c r="AE264" s="5">
        <f t="shared" si="78"/>
        <v>1.2495383925852366E-3</v>
      </c>
      <c r="AF264" s="5"/>
      <c r="AG264" s="5" t="s">
        <v>73</v>
      </c>
      <c r="AH264" s="5">
        <v>4</v>
      </c>
      <c r="AI264" s="5">
        <v>2</v>
      </c>
      <c r="AJ264" s="5" t="s">
        <v>527</v>
      </c>
      <c r="AK264" s="5" t="s">
        <v>59</v>
      </c>
      <c r="AL264" s="4" t="s">
        <v>75</v>
      </c>
      <c r="AM264" s="6" t="s">
        <v>94</v>
      </c>
      <c r="AN264" s="21">
        <v>54189.45</v>
      </c>
      <c r="AO264" s="13" t="s">
        <v>68</v>
      </c>
      <c r="AP264" s="59">
        <v>2</v>
      </c>
      <c r="AQ264" s="59" t="s">
        <v>189</v>
      </c>
      <c r="AR264" s="23">
        <v>46041</v>
      </c>
      <c r="AS264" s="23">
        <v>46041</v>
      </c>
      <c r="AT264" s="7">
        <v>46041</v>
      </c>
      <c r="AU264" s="7"/>
      <c r="AV264" s="7" t="s">
        <v>247</v>
      </c>
      <c r="AW264" s="4"/>
      <c r="AX264" s="9" t="s">
        <v>71</v>
      </c>
      <c r="AY264" s="9"/>
      <c r="AZ264" s="9"/>
      <c r="BA264" t="s">
        <v>86</v>
      </c>
      <c r="BB264" t="str">
        <f>VLOOKUP(B264,contactos!$A$1:$D$484,4,FALSE)</f>
        <v>CREDITO@PRINSEL.COM</v>
      </c>
    </row>
    <row r="265" spans="2:54" customFormat="1" x14ac:dyDescent="0.25">
      <c r="B265" s="100">
        <v>307017</v>
      </c>
      <c r="C265" s="4" t="s">
        <v>545</v>
      </c>
      <c r="D265" s="5">
        <v>54040.695506760007</v>
      </c>
      <c r="E265" s="5">
        <v>0</v>
      </c>
      <c r="F265" s="5">
        <v>0</v>
      </c>
      <c r="G265" s="5">
        <v>54040.790000000008</v>
      </c>
      <c r="H265" s="5">
        <v>54040.79</v>
      </c>
      <c r="I265" s="5">
        <f t="shared" si="86"/>
        <v>54040.695506760007</v>
      </c>
      <c r="J265" s="5"/>
      <c r="K265" s="5">
        <f t="shared" si="87"/>
        <v>54040.695506760007</v>
      </c>
      <c r="L265" s="5">
        <f t="shared" si="88"/>
        <v>54040.695506760007</v>
      </c>
      <c r="M265" s="5"/>
      <c r="N265" s="5">
        <f t="shared" si="89"/>
        <v>54040.695506760007</v>
      </c>
      <c r="O265" s="21"/>
      <c r="P265" s="21"/>
      <c r="Q265" s="21"/>
      <c r="R265" s="21">
        <f t="shared" si="79"/>
        <v>0</v>
      </c>
      <c r="S265" s="21">
        <v>54040.695506760007</v>
      </c>
      <c r="T265" s="21">
        <f t="shared" si="84"/>
        <v>0</v>
      </c>
      <c r="U265" s="21">
        <f t="shared" si="85"/>
        <v>0</v>
      </c>
      <c r="V265" s="21">
        <f t="shared" ref="V265:V325" si="90">SUM(S265:U265)</f>
        <v>54040.695506760007</v>
      </c>
      <c r="W265" s="21"/>
      <c r="X265" s="5"/>
      <c r="Y265" s="5"/>
      <c r="Z265" s="5">
        <f t="shared" ref="Z265:Z325" si="91">SUM(W265:Y265)</f>
        <v>0</v>
      </c>
      <c r="AA265" s="5"/>
      <c r="AB265" s="5" t="s">
        <v>258</v>
      </c>
      <c r="AC265" s="5">
        <f t="shared" ref="AC265:AC325" si="92">O265+S265+W265</f>
        <v>54040.695506760007</v>
      </c>
      <c r="AD265" s="5">
        <f t="shared" ref="AD265:AD325" si="93">R265+V265+Z265</f>
        <v>54040.695506760007</v>
      </c>
      <c r="AE265" s="5">
        <f t="shared" ref="AE265:AE325" si="94">G265-AD265</f>
        <v>9.4493240001611412E-2</v>
      </c>
      <c r="AF265" s="5"/>
      <c r="AG265" s="5" t="s">
        <v>238</v>
      </c>
      <c r="AH265" s="5">
        <v>4</v>
      </c>
      <c r="AI265" s="5">
        <v>0</v>
      </c>
      <c r="AJ265" s="5">
        <v>0</v>
      </c>
      <c r="AK265" s="5" t="s">
        <v>256</v>
      </c>
      <c r="AL265" s="4" t="s">
        <v>90</v>
      </c>
      <c r="AM265" s="4" t="s">
        <v>91</v>
      </c>
      <c r="AN265" s="21"/>
      <c r="AO265" s="4"/>
      <c r="AP265" s="58"/>
      <c r="AQ265" s="58"/>
      <c r="AR265" s="23"/>
      <c r="AS265" s="23"/>
      <c r="AT265" s="4"/>
      <c r="AU265" s="4"/>
      <c r="AV265" s="4"/>
      <c r="AW265" s="4"/>
      <c r="AX265" s="9"/>
      <c r="AY265" s="9"/>
      <c r="AZ265" s="4"/>
      <c r="BB265" t="str">
        <f>VLOOKUP(B265,contactos!$A$1:$D$484,4,FALSE)</f>
        <v>gerojas@piscimex.com.mx</v>
      </c>
    </row>
    <row r="266" spans="2:54" customFormat="1" x14ac:dyDescent="0.25">
      <c r="B266" s="100">
        <v>60681</v>
      </c>
      <c r="C266" s="4" t="s">
        <v>546</v>
      </c>
      <c r="D266" s="5">
        <v>45163.810000000005</v>
      </c>
      <c r="E266" s="5">
        <v>0</v>
      </c>
      <c r="F266" s="5">
        <v>7226.2366000000002</v>
      </c>
      <c r="G266" s="5">
        <v>52390.010000000009</v>
      </c>
      <c r="H266" s="5">
        <v>52390.04</v>
      </c>
      <c r="I266" s="5">
        <f t="shared" si="86"/>
        <v>45163.810000000005</v>
      </c>
      <c r="J266" s="5"/>
      <c r="K266" s="5">
        <f t="shared" si="87"/>
        <v>45163.810000000005</v>
      </c>
      <c r="L266" s="5">
        <f t="shared" si="88"/>
        <v>52390.046600000001</v>
      </c>
      <c r="M266" s="5"/>
      <c r="N266" s="5">
        <f t="shared" si="89"/>
        <v>52390.046600000001</v>
      </c>
      <c r="O266" s="21"/>
      <c r="P266" s="21"/>
      <c r="Q266" s="21"/>
      <c r="R266" s="21">
        <f t="shared" si="79"/>
        <v>0</v>
      </c>
      <c r="S266" s="21">
        <v>45163.810000000005</v>
      </c>
      <c r="T266" s="21">
        <f t="shared" si="84"/>
        <v>0</v>
      </c>
      <c r="U266" s="21">
        <f t="shared" si="85"/>
        <v>7226.2366000000002</v>
      </c>
      <c r="V266" s="21">
        <f t="shared" si="90"/>
        <v>52390.046600000001</v>
      </c>
      <c r="W266" s="21"/>
      <c r="X266" s="5"/>
      <c r="Y266" s="5"/>
      <c r="Z266" s="5">
        <f t="shared" si="91"/>
        <v>0</v>
      </c>
      <c r="AA266" s="5">
        <v>24246.080000000002</v>
      </c>
      <c r="AB266" s="5" t="s">
        <v>258</v>
      </c>
      <c r="AC266" s="5">
        <f t="shared" si="92"/>
        <v>45163.810000000005</v>
      </c>
      <c r="AD266" s="5">
        <f t="shared" si="93"/>
        <v>52390.046600000001</v>
      </c>
      <c r="AE266" s="5">
        <f t="shared" si="94"/>
        <v>-3.659999999217689E-2</v>
      </c>
      <c r="AF266" s="5"/>
      <c r="AG266" s="5" t="s">
        <v>73</v>
      </c>
      <c r="AH266" s="5">
        <v>4</v>
      </c>
      <c r="AI266" s="5">
        <v>0</v>
      </c>
      <c r="AJ266" s="5">
        <v>0</v>
      </c>
      <c r="AK266" s="5" t="s">
        <v>256</v>
      </c>
      <c r="AL266" s="4" t="s">
        <v>90</v>
      </c>
      <c r="AM266" s="4" t="s">
        <v>141</v>
      </c>
      <c r="AN266" s="21"/>
      <c r="AO266" s="4"/>
      <c r="AP266" s="58"/>
      <c r="AQ266" s="58"/>
      <c r="AR266" s="23"/>
      <c r="AS266" s="23"/>
      <c r="AT266" s="4"/>
      <c r="AU266" s="4"/>
      <c r="AV266" s="4"/>
      <c r="AW266" s="4"/>
      <c r="AX266" s="9"/>
      <c r="AY266" s="9"/>
      <c r="AZ266" s="4"/>
      <c r="BB266" t="e">
        <f>VLOOKUP(B266,contactos!$A$1:$D$484,4,FALSE)</f>
        <v>#N/A</v>
      </c>
    </row>
    <row r="267" spans="2:54" customFormat="1" x14ac:dyDescent="0.25">
      <c r="B267" s="100">
        <v>21157</v>
      </c>
      <c r="C267" s="4" t="s">
        <v>547</v>
      </c>
      <c r="D267" s="5">
        <v>44422.99</v>
      </c>
      <c r="E267" s="5">
        <v>0</v>
      </c>
      <c r="F267" s="5">
        <v>7107.6783999999998</v>
      </c>
      <c r="G267" s="5">
        <v>51530.68</v>
      </c>
      <c r="H267" s="5">
        <v>51530.68</v>
      </c>
      <c r="I267" s="5">
        <f t="shared" si="86"/>
        <v>44422.99</v>
      </c>
      <c r="J267" s="5"/>
      <c r="K267" s="5">
        <f t="shared" si="87"/>
        <v>44422.99</v>
      </c>
      <c r="L267" s="5">
        <f t="shared" si="88"/>
        <v>51530.668399999995</v>
      </c>
      <c r="M267" s="5"/>
      <c r="N267" s="5">
        <f t="shared" si="89"/>
        <v>51530.668399999995</v>
      </c>
      <c r="O267" s="21"/>
      <c r="P267" s="21"/>
      <c r="Q267" s="21"/>
      <c r="R267" s="21">
        <f t="shared" si="79"/>
        <v>0</v>
      </c>
      <c r="S267" s="21">
        <v>44422.99</v>
      </c>
      <c r="T267" s="21">
        <f t="shared" si="84"/>
        <v>0</v>
      </c>
      <c r="U267" s="21">
        <f t="shared" si="85"/>
        <v>7107.6783999999998</v>
      </c>
      <c r="V267" s="21">
        <f t="shared" si="90"/>
        <v>51530.668399999995</v>
      </c>
      <c r="W267" s="21"/>
      <c r="X267" s="5"/>
      <c r="Y267" s="5"/>
      <c r="Z267" s="5">
        <f t="shared" si="91"/>
        <v>0</v>
      </c>
      <c r="AA267" s="5"/>
      <c r="AB267" s="5" t="s">
        <v>258</v>
      </c>
      <c r="AC267" s="5">
        <f t="shared" si="92"/>
        <v>44422.99</v>
      </c>
      <c r="AD267" s="5">
        <f t="shared" si="93"/>
        <v>51530.668399999995</v>
      </c>
      <c r="AE267" s="5">
        <f t="shared" si="94"/>
        <v>1.1600000005273614E-2</v>
      </c>
      <c r="AF267" s="5"/>
      <c r="AG267" s="5" t="s">
        <v>238</v>
      </c>
      <c r="AH267" s="5">
        <v>4</v>
      </c>
      <c r="AI267" s="5">
        <v>0</v>
      </c>
      <c r="AJ267" s="5">
        <v>0</v>
      </c>
      <c r="AK267" s="5" t="s">
        <v>256</v>
      </c>
      <c r="AL267" s="4" t="s">
        <v>90</v>
      </c>
      <c r="AM267" s="4" t="s">
        <v>137</v>
      </c>
      <c r="AN267" s="21"/>
      <c r="AO267" s="4"/>
      <c r="AP267" s="58"/>
      <c r="AQ267" s="58"/>
      <c r="AR267" s="23"/>
      <c r="AS267" s="23"/>
      <c r="AT267" s="4"/>
      <c r="AU267" s="4"/>
      <c r="AV267" s="4"/>
      <c r="AW267" s="4"/>
      <c r="AX267" s="9"/>
      <c r="AY267" s="9"/>
      <c r="AZ267" s="4"/>
      <c r="BB267" t="str">
        <f>VLOOKUP(B267,contactos!$A$1:$D$484,4,FALSE)</f>
        <v>LUIS.TRINIDAD@TCL.COM</v>
      </c>
    </row>
    <row r="268" spans="2:54" customFormat="1" x14ac:dyDescent="0.25">
      <c r="B268" s="100">
        <v>99861</v>
      </c>
      <c r="C268" s="4" t="s">
        <v>548</v>
      </c>
      <c r="D268" s="5">
        <v>50470.48</v>
      </c>
      <c r="E268" s="5">
        <v>0</v>
      </c>
      <c r="F268" s="5">
        <v>0</v>
      </c>
      <c r="G268" s="5">
        <v>50470.48</v>
      </c>
      <c r="H268" s="5">
        <v>50470.48</v>
      </c>
      <c r="I268" s="5">
        <f t="shared" si="86"/>
        <v>50470.48</v>
      </c>
      <c r="J268" s="5"/>
      <c r="K268" s="5">
        <f t="shared" si="87"/>
        <v>50470.48</v>
      </c>
      <c r="L268" s="5">
        <f t="shared" si="88"/>
        <v>50470.48</v>
      </c>
      <c r="M268" s="5"/>
      <c r="N268" s="5">
        <f t="shared" si="89"/>
        <v>50470.48</v>
      </c>
      <c r="O268" s="21"/>
      <c r="P268" s="21"/>
      <c r="Q268" s="21"/>
      <c r="R268" s="21">
        <f t="shared" si="79"/>
        <v>0</v>
      </c>
      <c r="S268" s="21">
        <v>50470.48</v>
      </c>
      <c r="T268" s="21">
        <f t="shared" si="84"/>
        <v>0</v>
      </c>
      <c r="U268" s="21">
        <f t="shared" si="85"/>
        <v>0</v>
      </c>
      <c r="V268" s="21">
        <f t="shared" si="90"/>
        <v>50470.48</v>
      </c>
      <c r="W268" s="21"/>
      <c r="X268" s="5"/>
      <c r="Y268" s="5"/>
      <c r="Z268" s="5">
        <f t="shared" si="91"/>
        <v>0</v>
      </c>
      <c r="AA268" s="5">
        <v>416854.91</v>
      </c>
      <c r="AB268" s="5" t="s">
        <v>258</v>
      </c>
      <c r="AC268" s="5">
        <f t="shared" si="92"/>
        <v>50470.48</v>
      </c>
      <c r="AD268" s="5">
        <f t="shared" si="93"/>
        <v>50470.48</v>
      </c>
      <c r="AE268" s="5">
        <f t="shared" si="94"/>
        <v>0</v>
      </c>
      <c r="AF268" s="5"/>
      <c r="AG268" s="5" t="s">
        <v>238</v>
      </c>
      <c r="AH268" s="5">
        <v>4</v>
      </c>
      <c r="AI268" s="5">
        <v>0</v>
      </c>
      <c r="AJ268" s="5">
        <v>0</v>
      </c>
      <c r="AK268" s="5" t="s">
        <v>256</v>
      </c>
      <c r="AL268" s="4" t="s">
        <v>90</v>
      </c>
      <c r="AM268" s="4" t="s">
        <v>91</v>
      </c>
      <c r="AN268" s="21"/>
      <c r="AO268" s="4"/>
      <c r="AP268" s="58"/>
      <c r="AQ268" s="58"/>
      <c r="AR268" s="23"/>
      <c r="AS268" s="23"/>
      <c r="AT268" s="4"/>
      <c r="AU268" s="4"/>
      <c r="AV268" s="4"/>
      <c r="AW268" s="4"/>
      <c r="AX268" s="9"/>
      <c r="AY268" s="9"/>
      <c r="AZ268" s="4"/>
      <c r="BB268" t="e">
        <f>VLOOKUP(B268,contactos!$A$1:$D$484,4,FALSE)</f>
        <v>#N/A</v>
      </c>
    </row>
    <row r="269" spans="2:54" customFormat="1" x14ac:dyDescent="0.25">
      <c r="B269" s="131">
        <v>20859</v>
      </c>
      <c r="C269" s="4" t="s">
        <v>549</v>
      </c>
      <c r="D269" s="5">
        <v>43281.33</v>
      </c>
      <c r="E269" s="5">
        <v>0</v>
      </c>
      <c r="F269" s="5">
        <v>6925.0051999999996</v>
      </c>
      <c r="G269" s="5">
        <v>50206.34</v>
      </c>
      <c r="H269" s="5">
        <v>50206.35</v>
      </c>
      <c r="I269" s="5">
        <f t="shared" si="86"/>
        <v>43281.33</v>
      </c>
      <c r="J269" s="5"/>
      <c r="K269" s="5">
        <f t="shared" si="87"/>
        <v>43281.33</v>
      </c>
      <c r="L269" s="5">
        <f t="shared" si="88"/>
        <v>50206.335200000001</v>
      </c>
      <c r="M269" s="5"/>
      <c r="N269" s="5">
        <f t="shared" si="89"/>
        <v>50206.335200000001</v>
      </c>
      <c r="O269" s="21"/>
      <c r="P269" s="21"/>
      <c r="Q269" s="21"/>
      <c r="R269" s="21">
        <f t="shared" si="79"/>
        <v>0</v>
      </c>
      <c r="S269" s="21">
        <v>43281.33</v>
      </c>
      <c r="T269" s="21">
        <f t="shared" si="84"/>
        <v>0</v>
      </c>
      <c r="U269" s="21">
        <f t="shared" si="85"/>
        <v>6925.0051999999996</v>
      </c>
      <c r="V269" s="21">
        <f t="shared" si="90"/>
        <v>50206.335200000001</v>
      </c>
      <c r="W269" s="21"/>
      <c r="X269" s="5"/>
      <c r="Y269" s="5"/>
      <c r="Z269" s="5">
        <f t="shared" si="91"/>
        <v>0</v>
      </c>
      <c r="AA269" s="5">
        <v>476753.04</v>
      </c>
      <c r="AB269" s="5" t="s">
        <v>258</v>
      </c>
      <c r="AC269" s="5">
        <f t="shared" si="92"/>
        <v>43281.33</v>
      </c>
      <c r="AD269" s="5">
        <f t="shared" si="93"/>
        <v>50206.335200000001</v>
      </c>
      <c r="AE269" s="5">
        <f t="shared" si="94"/>
        <v>4.7999999951571226E-3</v>
      </c>
      <c r="AF269" s="5"/>
      <c r="AG269" s="5" t="s">
        <v>73</v>
      </c>
      <c r="AH269" s="5">
        <v>4</v>
      </c>
      <c r="AI269" s="5">
        <v>0</v>
      </c>
      <c r="AJ269" s="5">
        <v>0</v>
      </c>
      <c r="AK269" s="5" t="s">
        <v>256</v>
      </c>
      <c r="AL269" s="4" t="s">
        <v>90</v>
      </c>
      <c r="AM269" s="6" t="s">
        <v>103</v>
      </c>
      <c r="AN269" s="21"/>
      <c r="AO269" s="4"/>
      <c r="AP269" s="58"/>
      <c r="AQ269" s="58"/>
      <c r="AR269" s="23"/>
      <c r="AS269" s="23"/>
      <c r="AT269" s="4"/>
      <c r="AU269" s="4"/>
      <c r="AV269" s="52"/>
      <c r="AW269" s="52"/>
      <c r="AX269" s="9"/>
      <c r="AY269" s="9"/>
      <c r="AZ269" s="4"/>
      <c r="BB269" t="e">
        <f>VLOOKUP(B269,contactos!$A$1:$D$484,4,FALSE)</f>
        <v>#N/A</v>
      </c>
    </row>
    <row r="270" spans="2:54" customFormat="1" x14ac:dyDescent="0.25">
      <c r="B270" s="131">
        <v>28241</v>
      </c>
      <c r="C270" s="4" t="s">
        <v>550</v>
      </c>
      <c r="D270" s="5">
        <v>40821.930000000008</v>
      </c>
      <c r="E270" s="5">
        <v>1647.2943000000002</v>
      </c>
      <c r="F270" s="5">
        <v>6795.0558000000001</v>
      </c>
      <c r="G270" s="5">
        <v>49264.259999999995</v>
      </c>
      <c r="H270" s="5">
        <v>49264.26</v>
      </c>
      <c r="I270" s="5">
        <f t="shared" si="86"/>
        <v>40821.930000000008</v>
      </c>
      <c r="J270" s="5"/>
      <c r="K270" s="5">
        <f t="shared" si="87"/>
        <v>40821.930000000008</v>
      </c>
      <c r="L270" s="5">
        <f t="shared" si="88"/>
        <v>49264.280100000011</v>
      </c>
      <c r="M270" s="5"/>
      <c r="N270" s="5">
        <f t="shared" si="89"/>
        <v>49264.280100000011</v>
      </c>
      <c r="O270" s="21"/>
      <c r="P270" s="21"/>
      <c r="Q270" s="21"/>
      <c r="R270" s="21">
        <f t="shared" si="79"/>
        <v>0</v>
      </c>
      <c r="S270" s="21">
        <v>40821.930000000008</v>
      </c>
      <c r="T270" s="21">
        <f t="shared" si="84"/>
        <v>1647.2943000000002</v>
      </c>
      <c r="U270" s="21">
        <f t="shared" si="85"/>
        <v>6795.0558000000001</v>
      </c>
      <c r="V270" s="21">
        <f t="shared" si="90"/>
        <v>49264.280100000011</v>
      </c>
      <c r="W270" s="21"/>
      <c r="X270" s="5"/>
      <c r="Y270" s="5"/>
      <c r="Z270" s="5">
        <f t="shared" si="91"/>
        <v>0</v>
      </c>
      <c r="AA270" s="5">
        <v>422532.21</v>
      </c>
      <c r="AB270" s="5" t="s">
        <v>258</v>
      </c>
      <c r="AC270" s="5">
        <f t="shared" si="92"/>
        <v>40821.930000000008</v>
      </c>
      <c r="AD270" s="5">
        <f t="shared" si="93"/>
        <v>49264.280100000011</v>
      </c>
      <c r="AE270" s="5">
        <f t="shared" si="94"/>
        <v>-2.0100000016100239E-2</v>
      </c>
      <c r="AF270" s="5"/>
      <c r="AG270" s="5" t="s">
        <v>238</v>
      </c>
      <c r="AH270" s="5">
        <v>4</v>
      </c>
      <c r="AI270" s="5">
        <v>0</v>
      </c>
      <c r="AJ270" s="5">
        <v>0</v>
      </c>
      <c r="AK270" s="5" t="s">
        <v>256</v>
      </c>
      <c r="AL270" s="4" t="s">
        <v>90</v>
      </c>
      <c r="AM270" s="6" t="s">
        <v>103</v>
      </c>
      <c r="AN270" s="21"/>
      <c r="AO270" s="4"/>
      <c r="AP270" s="58"/>
      <c r="AQ270" s="58"/>
      <c r="AR270" s="23"/>
      <c r="AS270" s="23"/>
      <c r="AT270" s="4"/>
      <c r="AU270" s="4"/>
      <c r="AV270" s="52"/>
      <c r="AW270" s="52"/>
      <c r="AX270" s="9"/>
      <c r="AY270" s="9"/>
      <c r="AZ270" s="4"/>
      <c r="BB270" t="e">
        <f>VLOOKUP(B270,contactos!$A$1:$D$484,4,FALSE)</f>
        <v>#N/A</v>
      </c>
    </row>
    <row r="271" spans="2:54" customFormat="1" x14ac:dyDescent="0.25">
      <c r="B271" s="100">
        <v>20539</v>
      </c>
      <c r="C271" s="4" t="s">
        <v>551</v>
      </c>
      <c r="D271" s="5">
        <v>41943.960802699992</v>
      </c>
      <c r="E271" s="5">
        <v>0</v>
      </c>
      <c r="F271" s="5">
        <v>6711.0337284320003</v>
      </c>
      <c r="G271" s="5">
        <v>48654.99</v>
      </c>
      <c r="H271" s="5">
        <v>0</v>
      </c>
      <c r="I271" s="5">
        <f t="shared" si="86"/>
        <v>37656.92</v>
      </c>
      <c r="J271" s="5"/>
      <c r="K271" s="5">
        <f t="shared" si="87"/>
        <v>37656.92</v>
      </c>
      <c r="L271" s="5">
        <f t="shared" si="88"/>
        <v>43682.033728431998</v>
      </c>
      <c r="M271" s="5"/>
      <c r="N271" s="5">
        <f t="shared" si="89"/>
        <v>43682.033728431998</v>
      </c>
      <c r="O271" s="21"/>
      <c r="P271" s="21"/>
      <c r="Q271" s="21"/>
      <c r="R271" s="21">
        <f t="shared" si="79"/>
        <v>0</v>
      </c>
      <c r="S271" s="21">
        <v>37656.92</v>
      </c>
      <c r="T271" s="21">
        <f t="shared" si="84"/>
        <v>0</v>
      </c>
      <c r="U271" s="21">
        <f t="shared" si="85"/>
        <v>6025.1137284320002</v>
      </c>
      <c r="V271" s="21">
        <f t="shared" si="90"/>
        <v>43682.033728431998</v>
      </c>
      <c r="W271" s="21">
        <v>4287.04</v>
      </c>
      <c r="X271" s="5"/>
      <c r="Y271" s="5">
        <v>685.92</v>
      </c>
      <c r="Z271" s="5">
        <f t="shared" si="91"/>
        <v>4972.96</v>
      </c>
      <c r="AA271" s="5">
        <v>80327.509999999995</v>
      </c>
      <c r="AB271" s="5" t="s">
        <v>258</v>
      </c>
      <c r="AC271" s="5">
        <f t="shared" si="92"/>
        <v>41943.96</v>
      </c>
      <c r="AD271" s="5">
        <f t="shared" si="93"/>
        <v>48654.993728431997</v>
      </c>
      <c r="AE271" s="5">
        <f t="shared" si="94"/>
        <v>-3.7284319987520576E-3</v>
      </c>
      <c r="AF271" s="5"/>
      <c r="AG271" s="5" t="s">
        <v>57</v>
      </c>
      <c r="AH271" s="5">
        <v>4</v>
      </c>
      <c r="AI271" s="5">
        <v>3</v>
      </c>
      <c r="AJ271" s="5" t="s">
        <v>552</v>
      </c>
      <c r="AK271" s="5" t="s">
        <v>59</v>
      </c>
      <c r="AL271" s="4" t="s">
        <v>133</v>
      </c>
      <c r="AM271" s="6" t="s">
        <v>94</v>
      </c>
      <c r="AN271" s="5">
        <v>48654.99</v>
      </c>
      <c r="AO271" s="13" t="s">
        <v>68</v>
      </c>
      <c r="AP271" s="58"/>
      <c r="AQ271" s="58"/>
      <c r="AR271" s="23">
        <v>46042</v>
      </c>
      <c r="AS271" s="23">
        <v>46043</v>
      </c>
      <c r="AT271" s="7">
        <v>46043</v>
      </c>
      <c r="AU271" s="4"/>
      <c r="AV271" s="7" t="s">
        <v>247</v>
      </c>
      <c r="AW271" s="4"/>
      <c r="AX271" s="9"/>
      <c r="AY271" s="9" t="s">
        <v>71</v>
      </c>
      <c r="AZ271" s="4"/>
      <c r="BB271" t="str">
        <f>VLOOKUP(B271,contactos!$A$1:$D$484,4,FALSE)</f>
        <v>smm@biotrade.com.mx</v>
      </c>
    </row>
    <row r="272" spans="2:54" s="80" customFormat="1" ht="45" x14ac:dyDescent="0.25">
      <c r="B272" s="125">
        <v>314567</v>
      </c>
      <c r="C272" s="52" t="s">
        <v>553</v>
      </c>
      <c r="D272" s="81">
        <v>39378.299999999996</v>
      </c>
      <c r="E272" s="81">
        <v>0</v>
      </c>
      <c r="F272" s="81">
        <v>6300.5279999999993</v>
      </c>
      <c r="G272" s="81">
        <v>45678.86</v>
      </c>
      <c r="H272" s="5">
        <v>45678.86</v>
      </c>
      <c r="I272" s="5">
        <f t="shared" si="86"/>
        <v>39378.299999999996</v>
      </c>
      <c r="J272" s="5"/>
      <c r="K272" s="5">
        <f t="shared" si="87"/>
        <v>39378.299999999996</v>
      </c>
      <c r="L272" s="5">
        <f t="shared" si="88"/>
        <v>45678.827999999994</v>
      </c>
      <c r="M272" s="5"/>
      <c r="N272" s="5">
        <f t="shared" si="89"/>
        <v>45678.827999999994</v>
      </c>
      <c r="O272" s="86"/>
      <c r="P272" s="21"/>
      <c r="Q272" s="21"/>
      <c r="R272" s="21">
        <f t="shared" si="79"/>
        <v>0</v>
      </c>
      <c r="S272" s="86">
        <v>39378.299999999996</v>
      </c>
      <c r="T272" s="21">
        <f t="shared" si="84"/>
        <v>0</v>
      </c>
      <c r="U272" s="21">
        <f t="shared" si="85"/>
        <v>6300.5279999999993</v>
      </c>
      <c r="V272" s="21">
        <f t="shared" si="90"/>
        <v>45678.827999999994</v>
      </c>
      <c r="W272" s="86"/>
      <c r="X272" s="5"/>
      <c r="Y272" s="5"/>
      <c r="Z272" s="5">
        <f t="shared" si="91"/>
        <v>0</v>
      </c>
      <c r="AA272" s="5">
        <v>685775.42</v>
      </c>
      <c r="AB272" s="5" t="s">
        <v>258</v>
      </c>
      <c r="AC272" s="5">
        <f t="shared" si="92"/>
        <v>39378.299999999996</v>
      </c>
      <c r="AD272" s="5">
        <f t="shared" si="93"/>
        <v>45678.827999999994</v>
      </c>
      <c r="AE272" s="5">
        <f t="shared" si="94"/>
        <v>3.2000000006519258E-2</v>
      </c>
      <c r="AF272" s="81"/>
      <c r="AG272" s="81" t="s">
        <v>73</v>
      </c>
      <c r="AH272" s="5">
        <v>4</v>
      </c>
      <c r="AI272" s="5">
        <v>2</v>
      </c>
      <c r="AJ272" s="127" t="s">
        <v>554</v>
      </c>
      <c r="AK272" s="81" t="s">
        <v>59</v>
      </c>
      <c r="AL272" s="52" t="s">
        <v>75</v>
      </c>
      <c r="AM272" s="54" t="s">
        <v>103</v>
      </c>
      <c r="AN272" s="86">
        <v>45678.86</v>
      </c>
      <c r="AO272" s="52" t="s">
        <v>68</v>
      </c>
      <c r="AP272" s="83">
        <v>6</v>
      </c>
      <c r="AQ272" s="83" t="s">
        <v>189</v>
      </c>
      <c r="AR272" s="84">
        <v>46043</v>
      </c>
      <c r="AS272" s="84">
        <v>46044</v>
      </c>
      <c r="AT272" s="84">
        <v>46044</v>
      </c>
      <c r="AU272" s="52"/>
      <c r="AV272" s="53" t="s">
        <v>555</v>
      </c>
      <c r="AW272" s="12" t="s">
        <v>70</v>
      </c>
      <c r="AX272" s="12" t="s">
        <v>71</v>
      </c>
      <c r="AY272" s="12"/>
      <c r="AZ272" s="52"/>
      <c r="BB272" s="80" t="e">
        <f>VLOOKUP(B272,contactos!$A$1:$D$484,4,FALSE)</f>
        <v>#N/A</v>
      </c>
    </row>
    <row r="273" spans="2:54" customFormat="1" x14ac:dyDescent="0.25">
      <c r="B273" s="100">
        <v>381202</v>
      </c>
      <c r="C273" s="4" t="s">
        <v>556</v>
      </c>
      <c r="D273" s="5">
        <v>39519.820000000007</v>
      </c>
      <c r="E273" s="5">
        <v>3161.5855999999994</v>
      </c>
      <c r="F273" s="5">
        <v>0</v>
      </c>
      <c r="G273" s="5">
        <v>42681.380000000005</v>
      </c>
      <c r="H273" s="5">
        <v>42681.38</v>
      </c>
      <c r="I273" s="5">
        <f t="shared" si="86"/>
        <v>39519.820000000007</v>
      </c>
      <c r="J273" s="5"/>
      <c r="K273" s="5">
        <f t="shared" si="87"/>
        <v>39519.820000000007</v>
      </c>
      <c r="L273" s="5">
        <f t="shared" si="88"/>
        <v>42681.405600000006</v>
      </c>
      <c r="M273" s="5"/>
      <c r="N273" s="5">
        <f t="shared" si="89"/>
        <v>42681.405600000006</v>
      </c>
      <c r="O273" s="21"/>
      <c r="P273" s="21"/>
      <c r="Q273" s="21"/>
      <c r="R273" s="21">
        <f t="shared" si="79"/>
        <v>0</v>
      </c>
      <c r="S273" s="21">
        <v>39519.820000000007</v>
      </c>
      <c r="T273" s="21">
        <f t="shared" si="84"/>
        <v>3161.5855999999994</v>
      </c>
      <c r="U273" s="21">
        <f t="shared" si="85"/>
        <v>0</v>
      </c>
      <c r="V273" s="21">
        <f t="shared" si="90"/>
        <v>42681.405600000006</v>
      </c>
      <c r="W273" s="21"/>
      <c r="X273" s="5"/>
      <c r="Y273" s="5"/>
      <c r="Z273" s="5">
        <f t="shared" si="91"/>
        <v>0</v>
      </c>
      <c r="AA273" s="5">
        <v>418503.85</v>
      </c>
      <c r="AB273" s="5" t="s">
        <v>258</v>
      </c>
      <c r="AC273" s="5">
        <f t="shared" si="92"/>
        <v>39519.820000000007</v>
      </c>
      <c r="AD273" s="5">
        <f t="shared" si="93"/>
        <v>42681.405600000006</v>
      </c>
      <c r="AE273" s="5">
        <f t="shared" si="94"/>
        <v>-2.5600000000849832E-2</v>
      </c>
      <c r="AF273" s="5"/>
      <c r="AG273" s="5" t="s">
        <v>238</v>
      </c>
      <c r="AH273" s="5">
        <v>4</v>
      </c>
      <c r="AI273" s="5">
        <v>0</v>
      </c>
      <c r="AJ273" s="5" t="s">
        <v>279</v>
      </c>
      <c r="AK273" s="5" t="s">
        <v>256</v>
      </c>
      <c r="AL273" s="4" t="s">
        <v>90</v>
      </c>
      <c r="AM273" s="4" t="s">
        <v>119</v>
      </c>
      <c r="AN273" s="21"/>
      <c r="AO273" s="4"/>
      <c r="AP273" s="58"/>
      <c r="AQ273" s="58"/>
      <c r="AR273" s="23"/>
      <c r="AS273" s="23"/>
      <c r="AT273" s="4"/>
      <c r="AU273" s="4"/>
      <c r="AV273" s="4"/>
      <c r="AW273" s="4"/>
      <c r="AX273" s="9"/>
      <c r="AY273" s="9"/>
      <c r="AZ273" s="4"/>
      <c r="BB273" t="e">
        <f>VLOOKUP(B273,contactos!$A$1:$D$484,4,FALSE)</f>
        <v>#N/A</v>
      </c>
    </row>
    <row r="274" spans="2:54" customFormat="1" x14ac:dyDescent="0.25">
      <c r="B274" s="100">
        <v>87270</v>
      </c>
      <c r="C274" s="4" t="s">
        <v>557</v>
      </c>
      <c r="D274" s="5">
        <v>36399.94</v>
      </c>
      <c r="E274" s="5">
        <v>0</v>
      </c>
      <c r="F274" s="5">
        <v>5823.9903999999988</v>
      </c>
      <c r="G274" s="5">
        <v>42223.89</v>
      </c>
      <c r="H274" s="5">
        <v>42223.89</v>
      </c>
      <c r="I274" s="5">
        <f t="shared" si="86"/>
        <v>36399.94</v>
      </c>
      <c r="J274" s="5"/>
      <c r="K274" s="5">
        <f t="shared" si="87"/>
        <v>36399.94</v>
      </c>
      <c r="L274" s="5">
        <f t="shared" si="88"/>
        <v>42223.930399999997</v>
      </c>
      <c r="M274" s="5"/>
      <c r="N274" s="5">
        <f t="shared" si="89"/>
        <v>42223.930399999997</v>
      </c>
      <c r="O274" s="21"/>
      <c r="P274" s="21"/>
      <c r="Q274" s="21"/>
      <c r="R274" s="21">
        <f t="shared" si="79"/>
        <v>0</v>
      </c>
      <c r="S274" s="21">
        <v>36399.94</v>
      </c>
      <c r="T274" s="21">
        <f t="shared" si="84"/>
        <v>0</v>
      </c>
      <c r="U274" s="21">
        <f t="shared" si="85"/>
        <v>5823.9903999999988</v>
      </c>
      <c r="V274" s="21">
        <f t="shared" si="90"/>
        <v>42223.930399999997</v>
      </c>
      <c r="W274" s="21"/>
      <c r="X274" s="5"/>
      <c r="Y274" s="5"/>
      <c r="Z274" s="5">
        <f t="shared" si="91"/>
        <v>0</v>
      </c>
      <c r="AA274" s="5">
        <v>100709.57</v>
      </c>
      <c r="AB274" s="5" t="s">
        <v>258</v>
      </c>
      <c r="AC274" s="5">
        <f t="shared" si="92"/>
        <v>36399.94</v>
      </c>
      <c r="AD274" s="5">
        <f t="shared" si="93"/>
        <v>42223.930399999997</v>
      </c>
      <c r="AE274" s="5">
        <f t="shared" si="94"/>
        <v>-4.0399999998044223E-2</v>
      </c>
      <c r="AF274" s="5"/>
      <c r="AG274" s="5" t="s">
        <v>238</v>
      </c>
      <c r="AH274" s="5">
        <v>4</v>
      </c>
      <c r="AI274" s="5">
        <v>0</v>
      </c>
      <c r="AJ274" s="5">
        <v>0</v>
      </c>
      <c r="AK274" s="5" t="s">
        <v>256</v>
      </c>
      <c r="AL274" s="4" t="s">
        <v>90</v>
      </c>
      <c r="AM274" s="4" t="s">
        <v>61</v>
      </c>
      <c r="AN274" s="21"/>
      <c r="AO274" s="4"/>
      <c r="AP274" s="58"/>
      <c r="AQ274" s="58"/>
      <c r="AR274" s="23"/>
      <c r="AS274" s="23"/>
      <c r="AT274" s="4"/>
      <c r="AU274" s="4"/>
      <c r="AV274" s="4"/>
      <c r="AW274" s="4"/>
      <c r="AX274" s="9"/>
      <c r="AY274" s="9"/>
      <c r="AZ274" s="4"/>
      <c r="BB274" t="e">
        <f>VLOOKUP(B274,contactos!$A$1:$D$484,4,FALSE)</f>
        <v>#N/A</v>
      </c>
    </row>
    <row r="275" spans="2:54" customFormat="1" x14ac:dyDescent="0.25">
      <c r="B275" s="100">
        <v>301531</v>
      </c>
      <c r="C275" s="4" t="s">
        <v>558</v>
      </c>
      <c r="D275" s="5">
        <v>38012.700000000004</v>
      </c>
      <c r="E275" s="5">
        <v>84.289599999999993</v>
      </c>
      <c r="F275" s="5">
        <v>2299.5504000000001</v>
      </c>
      <c r="G275" s="5">
        <v>40396.53</v>
      </c>
      <c r="H275" s="5">
        <v>40396.53</v>
      </c>
      <c r="I275" s="5">
        <f t="shared" si="86"/>
        <v>38012.700000000004</v>
      </c>
      <c r="J275" s="5"/>
      <c r="K275" s="5">
        <f t="shared" si="87"/>
        <v>38012.700000000004</v>
      </c>
      <c r="L275" s="5">
        <f t="shared" si="88"/>
        <v>40396.54</v>
      </c>
      <c r="M275" s="5"/>
      <c r="N275" s="5">
        <f t="shared" si="89"/>
        <v>40396.54</v>
      </c>
      <c r="O275" s="21"/>
      <c r="P275" s="21"/>
      <c r="Q275" s="21"/>
      <c r="R275" s="21">
        <f t="shared" si="79"/>
        <v>0</v>
      </c>
      <c r="S275" s="21">
        <v>38012.700000000004</v>
      </c>
      <c r="T275" s="21">
        <f t="shared" si="84"/>
        <v>84.289599999999993</v>
      </c>
      <c r="U275" s="21">
        <f t="shared" si="85"/>
        <v>2299.5504000000001</v>
      </c>
      <c r="V275" s="21">
        <f t="shared" si="90"/>
        <v>40396.54</v>
      </c>
      <c r="W275" s="21"/>
      <c r="X275" s="5"/>
      <c r="Y275" s="5"/>
      <c r="Z275" s="5">
        <f t="shared" si="91"/>
        <v>0</v>
      </c>
      <c r="AA275" s="5">
        <v>255675.09</v>
      </c>
      <c r="AB275" s="5" t="s">
        <v>258</v>
      </c>
      <c r="AC275" s="5">
        <f t="shared" si="92"/>
        <v>38012.700000000004</v>
      </c>
      <c r="AD275" s="5">
        <f t="shared" si="93"/>
        <v>40396.54</v>
      </c>
      <c r="AE275" s="5">
        <f t="shared" si="94"/>
        <v>-1.0000000002037268E-2</v>
      </c>
      <c r="AF275" s="5"/>
      <c r="AG275" s="5" t="s">
        <v>238</v>
      </c>
      <c r="AH275" s="5">
        <v>4</v>
      </c>
      <c r="AI275" s="5">
        <v>0</v>
      </c>
      <c r="AJ275" s="5">
        <v>0</v>
      </c>
      <c r="AK275" s="5" t="s">
        <v>256</v>
      </c>
      <c r="AL275" s="4" t="s">
        <v>90</v>
      </c>
      <c r="AM275" s="4" t="s">
        <v>61</v>
      </c>
      <c r="AN275" s="21"/>
      <c r="AO275" s="4"/>
      <c r="AP275" s="58"/>
      <c r="AQ275" s="58"/>
      <c r="AR275" s="23"/>
      <c r="AS275" s="23"/>
      <c r="AT275" s="4"/>
      <c r="AU275" s="4"/>
      <c r="AV275" s="4"/>
      <c r="AW275" s="4"/>
      <c r="AX275" s="9"/>
      <c r="AY275" s="9"/>
      <c r="AZ275" s="4"/>
      <c r="BB275" t="e">
        <f>VLOOKUP(B275,contactos!$A$1:$D$484,4,FALSE)</f>
        <v>#N/A</v>
      </c>
    </row>
    <row r="276" spans="2:54" customFormat="1" x14ac:dyDescent="0.25">
      <c r="B276" s="100">
        <v>80853</v>
      </c>
      <c r="C276" s="4" t="s">
        <v>559</v>
      </c>
      <c r="D276" s="5">
        <v>39947.79</v>
      </c>
      <c r="E276" s="5">
        <v>0</v>
      </c>
      <c r="F276" s="5">
        <v>0</v>
      </c>
      <c r="G276" s="5">
        <v>39947.79</v>
      </c>
      <c r="H276" s="5">
        <v>39947.79</v>
      </c>
      <c r="I276" s="5">
        <f t="shared" si="86"/>
        <v>39947.79</v>
      </c>
      <c r="J276" s="5"/>
      <c r="K276" s="5">
        <f t="shared" si="87"/>
        <v>39947.79</v>
      </c>
      <c r="L276" s="5">
        <f t="shared" si="88"/>
        <v>39947.79</v>
      </c>
      <c r="M276" s="5"/>
      <c r="N276" s="5">
        <f t="shared" si="89"/>
        <v>39947.79</v>
      </c>
      <c r="O276" s="21"/>
      <c r="P276" s="21"/>
      <c r="Q276" s="21"/>
      <c r="R276" s="21">
        <f t="shared" si="79"/>
        <v>0</v>
      </c>
      <c r="S276" s="21">
        <v>39947.79</v>
      </c>
      <c r="T276" s="21">
        <f t="shared" si="84"/>
        <v>0</v>
      </c>
      <c r="U276" s="21">
        <f t="shared" si="85"/>
        <v>0</v>
      </c>
      <c r="V276" s="21">
        <f t="shared" si="90"/>
        <v>39947.79</v>
      </c>
      <c r="W276" s="21"/>
      <c r="X276" s="5"/>
      <c r="Y276" s="5"/>
      <c r="Z276" s="5">
        <f t="shared" si="91"/>
        <v>0</v>
      </c>
      <c r="AA276" s="5">
        <v>20937.03</v>
      </c>
      <c r="AB276" s="5" t="s">
        <v>258</v>
      </c>
      <c r="AC276" s="5">
        <f t="shared" si="92"/>
        <v>39947.79</v>
      </c>
      <c r="AD276" s="5">
        <f t="shared" si="93"/>
        <v>39947.79</v>
      </c>
      <c r="AE276" s="5">
        <f t="shared" si="94"/>
        <v>0</v>
      </c>
      <c r="AF276" s="5"/>
      <c r="AG276" s="5" t="s">
        <v>238</v>
      </c>
      <c r="AH276" s="5">
        <v>4</v>
      </c>
      <c r="AI276" s="5">
        <v>0</v>
      </c>
      <c r="AJ276" s="5">
        <v>0</v>
      </c>
      <c r="AK276" s="5" t="s">
        <v>256</v>
      </c>
      <c r="AL276" s="4" t="s">
        <v>90</v>
      </c>
      <c r="AM276" s="4" t="s">
        <v>61</v>
      </c>
      <c r="AN276" s="21"/>
      <c r="AO276" s="4"/>
      <c r="AP276" s="58"/>
      <c r="AQ276" s="58"/>
      <c r="AR276" s="23"/>
      <c r="AS276" s="23"/>
      <c r="AT276" s="4"/>
      <c r="AU276" s="4"/>
      <c r="AV276" s="4"/>
      <c r="AW276" s="4"/>
      <c r="AX276" s="9"/>
      <c r="AY276" s="9"/>
      <c r="AZ276" s="4"/>
      <c r="BB276" t="e">
        <f>VLOOKUP(B276,contactos!$A$1:$D$484,4,FALSE)</f>
        <v>#N/A</v>
      </c>
    </row>
    <row r="277" spans="2:54" customFormat="1" x14ac:dyDescent="0.25">
      <c r="B277" s="100">
        <v>59493</v>
      </c>
      <c r="C277" s="4" t="s">
        <v>560</v>
      </c>
      <c r="D277" s="5">
        <v>33824.939999999995</v>
      </c>
      <c r="E277" s="5">
        <v>0</v>
      </c>
      <c r="F277" s="5">
        <v>5411.9726000000001</v>
      </c>
      <c r="G277" s="5">
        <v>39236.92</v>
      </c>
      <c r="H277" s="5">
        <v>39236.92</v>
      </c>
      <c r="I277" s="5">
        <f t="shared" si="86"/>
        <v>33824.939999999995</v>
      </c>
      <c r="J277" s="5"/>
      <c r="K277" s="5">
        <f t="shared" si="87"/>
        <v>33824.939999999995</v>
      </c>
      <c r="L277" s="5">
        <f t="shared" si="88"/>
        <v>39236.912599999996</v>
      </c>
      <c r="M277" s="5"/>
      <c r="N277" s="5">
        <f t="shared" si="89"/>
        <v>39236.912599999996</v>
      </c>
      <c r="O277" s="21"/>
      <c r="P277" s="21"/>
      <c r="Q277" s="21"/>
      <c r="R277" s="21">
        <f t="shared" si="79"/>
        <v>0</v>
      </c>
      <c r="S277" s="21">
        <v>33824.939999999995</v>
      </c>
      <c r="T277" s="21">
        <f t="shared" si="84"/>
        <v>0</v>
      </c>
      <c r="U277" s="21">
        <f t="shared" si="85"/>
        <v>5411.9726000000001</v>
      </c>
      <c r="V277" s="21">
        <f t="shared" si="90"/>
        <v>39236.912599999996</v>
      </c>
      <c r="W277" s="21"/>
      <c r="X277" s="5"/>
      <c r="Y277" s="5"/>
      <c r="Z277" s="5">
        <f t="shared" si="91"/>
        <v>0</v>
      </c>
      <c r="AA277" s="5">
        <v>20015.21</v>
      </c>
      <c r="AB277" s="5" t="s">
        <v>258</v>
      </c>
      <c r="AC277" s="5">
        <f t="shared" si="92"/>
        <v>33824.939999999995</v>
      </c>
      <c r="AD277" s="5">
        <f t="shared" si="93"/>
        <v>39236.912599999996</v>
      </c>
      <c r="AE277" s="5">
        <f t="shared" si="94"/>
        <v>7.4000000022351742E-3</v>
      </c>
      <c r="AF277" s="5"/>
      <c r="AG277" s="5" t="s">
        <v>238</v>
      </c>
      <c r="AH277" s="5">
        <v>4</v>
      </c>
      <c r="AI277" s="5">
        <v>0</v>
      </c>
      <c r="AJ277" s="5" t="s">
        <v>279</v>
      </c>
      <c r="AK277" s="5" t="s">
        <v>256</v>
      </c>
      <c r="AL277" s="4" t="s">
        <v>90</v>
      </c>
      <c r="AM277" s="4" t="s">
        <v>119</v>
      </c>
      <c r="AN277" s="21"/>
      <c r="AO277" s="4"/>
      <c r="AP277" s="58"/>
      <c r="AQ277" s="58"/>
      <c r="AR277" s="23"/>
      <c r="AS277" s="23"/>
      <c r="AT277" s="4"/>
      <c r="AU277" s="4"/>
      <c r="AV277" s="4"/>
      <c r="AW277" s="4"/>
      <c r="AX277" s="9"/>
      <c r="AY277" s="9"/>
      <c r="AZ277" s="4"/>
      <c r="BB277" t="e">
        <f>VLOOKUP(B277,contactos!$A$1:$D$484,4,FALSE)</f>
        <v>#N/A</v>
      </c>
    </row>
    <row r="278" spans="2:54" customFormat="1" x14ac:dyDescent="0.25">
      <c r="B278" s="100">
        <v>27011</v>
      </c>
      <c r="C278" s="4" t="s">
        <v>561</v>
      </c>
      <c r="D278" s="5">
        <v>36169.810000000005</v>
      </c>
      <c r="E278" s="5">
        <v>2893.5819999999999</v>
      </c>
      <c r="F278" s="5">
        <v>0</v>
      </c>
      <c r="G278" s="5">
        <v>39063.399999999987</v>
      </c>
      <c r="H278" s="5">
        <v>39063.4</v>
      </c>
      <c r="I278" s="5">
        <f t="shared" si="86"/>
        <v>36169.810000000005</v>
      </c>
      <c r="J278" s="5"/>
      <c r="K278" s="5">
        <f t="shared" si="87"/>
        <v>36169.810000000005</v>
      </c>
      <c r="L278" s="5">
        <f t="shared" si="88"/>
        <v>39063.392000000007</v>
      </c>
      <c r="M278" s="5"/>
      <c r="N278" s="5">
        <f t="shared" si="89"/>
        <v>39063.392000000007</v>
      </c>
      <c r="O278" s="21"/>
      <c r="P278" s="21"/>
      <c r="Q278" s="21"/>
      <c r="R278" s="21">
        <f t="shared" si="79"/>
        <v>0</v>
      </c>
      <c r="S278" s="21">
        <v>36169.810000000005</v>
      </c>
      <c r="T278" s="21">
        <f t="shared" si="84"/>
        <v>2893.5819999999999</v>
      </c>
      <c r="U278" s="21">
        <f t="shared" si="85"/>
        <v>0</v>
      </c>
      <c r="V278" s="21">
        <f t="shared" si="90"/>
        <v>39063.392000000007</v>
      </c>
      <c r="W278" s="21"/>
      <c r="X278" s="5"/>
      <c r="Y278" s="5"/>
      <c r="Z278" s="5">
        <f t="shared" si="91"/>
        <v>0</v>
      </c>
      <c r="AA278" s="5">
        <v>262665.17</v>
      </c>
      <c r="AB278" s="5" t="s">
        <v>258</v>
      </c>
      <c r="AC278" s="5">
        <f t="shared" si="92"/>
        <v>36169.810000000005</v>
      </c>
      <c r="AD278" s="5">
        <f t="shared" si="93"/>
        <v>39063.392000000007</v>
      </c>
      <c r="AE278" s="5">
        <f t="shared" si="94"/>
        <v>7.9999999798019417E-3</v>
      </c>
      <c r="AF278" s="5"/>
      <c r="AG278" s="5" t="s">
        <v>238</v>
      </c>
      <c r="AH278" s="5">
        <v>4</v>
      </c>
      <c r="AI278" s="5">
        <v>0</v>
      </c>
      <c r="AJ278" s="5">
        <v>0</v>
      </c>
      <c r="AK278" s="5" t="s">
        <v>256</v>
      </c>
      <c r="AL278" s="4" t="s">
        <v>90</v>
      </c>
      <c r="AM278" s="4" t="s">
        <v>112</v>
      </c>
      <c r="AN278" s="21"/>
      <c r="AO278" s="4"/>
      <c r="AP278" s="58"/>
      <c r="AQ278" s="58"/>
      <c r="AR278" s="23"/>
      <c r="AS278" s="23"/>
      <c r="AT278" s="4"/>
      <c r="AU278" s="4"/>
      <c r="AV278" s="4"/>
      <c r="AW278" s="4"/>
      <c r="AX278" s="9"/>
      <c r="AY278" s="9"/>
      <c r="AZ278" s="4"/>
      <c r="BB278" t="e">
        <f>VLOOKUP(B278,contactos!$A$1:$D$484,4,FALSE)</f>
        <v>#N/A</v>
      </c>
    </row>
    <row r="279" spans="2:54" customFormat="1" x14ac:dyDescent="0.25">
      <c r="B279" s="100">
        <v>20777</v>
      </c>
      <c r="C279" s="4" t="s">
        <v>562</v>
      </c>
      <c r="D279" s="5">
        <v>33538.102687815997</v>
      </c>
      <c r="E279" s="5">
        <v>0</v>
      </c>
      <c r="F279" s="5">
        <v>5366.0983300505595</v>
      </c>
      <c r="G279" s="5">
        <v>38904.239999999998</v>
      </c>
      <c r="H279" s="5">
        <v>0</v>
      </c>
      <c r="I279" s="5">
        <f t="shared" si="86"/>
        <v>33538.102687815997</v>
      </c>
      <c r="J279" s="5"/>
      <c r="K279" s="5">
        <f t="shared" si="87"/>
        <v>33538.102687815997</v>
      </c>
      <c r="L279" s="5">
        <f t="shared" si="88"/>
        <v>38904.201017866559</v>
      </c>
      <c r="M279" s="5"/>
      <c r="N279" s="5">
        <f t="shared" si="89"/>
        <v>38904.201017866559</v>
      </c>
      <c r="O279" s="21"/>
      <c r="P279" s="21"/>
      <c r="Q279" s="21"/>
      <c r="R279" s="21">
        <f t="shared" si="79"/>
        <v>0</v>
      </c>
      <c r="S279" s="21">
        <v>33538.102687815997</v>
      </c>
      <c r="T279" s="21">
        <f t="shared" si="84"/>
        <v>0</v>
      </c>
      <c r="U279" s="21">
        <f t="shared" si="85"/>
        <v>5366.0983300505595</v>
      </c>
      <c r="V279" s="21">
        <f t="shared" si="90"/>
        <v>38904.201017866559</v>
      </c>
      <c r="W279" s="21"/>
      <c r="X279" s="5"/>
      <c r="Y279" s="5"/>
      <c r="Z279" s="5">
        <f t="shared" si="91"/>
        <v>0</v>
      </c>
      <c r="AA279" s="5">
        <v>58662.96</v>
      </c>
      <c r="AB279" s="5" t="s">
        <v>258</v>
      </c>
      <c r="AC279" s="5">
        <f t="shared" si="92"/>
        <v>33538.102687815997</v>
      </c>
      <c r="AD279" s="5">
        <f t="shared" si="93"/>
        <v>38904.201017866559</v>
      </c>
      <c r="AE279" s="5">
        <f t="shared" si="94"/>
        <v>3.8982133439276367E-2</v>
      </c>
      <c r="AF279" s="5"/>
      <c r="AG279" s="5" t="s">
        <v>73</v>
      </c>
      <c r="AH279" s="5">
        <v>4</v>
      </c>
      <c r="AI279" s="5">
        <v>0</v>
      </c>
      <c r="AJ279" s="5" t="s">
        <v>419</v>
      </c>
      <c r="AK279" s="5" t="s">
        <v>256</v>
      </c>
      <c r="AL279" s="4" t="s">
        <v>90</v>
      </c>
      <c r="AM279" s="4" t="s">
        <v>91</v>
      </c>
      <c r="AN279" s="21"/>
      <c r="AO279" s="4"/>
      <c r="AP279" s="58"/>
      <c r="AQ279" s="58"/>
      <c r="AR279" s="23"/>
      <c r="AS279" s="23"/>
      <c r="AT279" s="4"/>
      <c r="AU279" s="4"/>
      <c r="AV279" s="4"/>
      <c r="AW279" s="4"/>
      <c r="AX279" s="9"/>
      <c r="AY279" s="9"/>
      <c r="AZ279" s="4"/>
      <c r="BB279" t="e">
        <f>VLOOKUP(B279,contactos!$A$1:$D$484,4,FALSE)</f>
        <v>#N/A</v>
      </c>
    </row>
    <row r="280" spans="2:54" customFormat="1" x14ac:dyDescent="0.25">
      <c r="B280" s="100">
        <v>1398</v>
      </c>
      <c r="C280" s="4" t="s">
        <v>563</v>
      </c>
      <c r="D280" s="5">
        <v>33512.42</v>
      </c>
      <c r="E280" s="5">
        <v>0</v>
      </c>
      <c r="F280" s="5">
        <v>5361.9938999999995</v>
      </c>
      <c r="G280" s="5">
        <v>38874.42</v>
      </c>
      <c r="H280" s="5">
        <v>38874.42</v>
      </c>
      <c r="I280" s="5">
        <f t="shared" si="86"/>
        <v>33512.42</v>
      </c>
      <c r="J280" s="5"/>
      <c r="K280" s="5">
        <f t="shared" si="87"/>
        <v>33512.42</v>
      </c>
      <c r="L280" s="5">
        <f t="shared" si="88"/>
        <v>38874.4139</v>
      </c>
      <c r="M280" s="5"/>
      <c r="N280" s="5">
        <f t="shared" si="89"/>
        <v>38874.4139</v>
      </c>
      <c r="O280" s="21"/>
      <c r="P280" s="21"/>
      <c r="Q280" s="21"/>
      <c r="R280" s="21">
        <f t="shared" si="79"/>
        <v>0</v>
      </c>
      <c r="S280" s="21">
        <v>33512.42</v>
      </c>
      <c r="T280" s="21">
        <f t="shared" si="84"/>
        <v>0</v>
      </c>
      <c r="U280" s="21">
        <f t="shared" si="85"/>
        <v>5361.9938999999995</v>
      </c>
      <c r="V280" s="21">
        <f t="shared" si="90"/>
        <v>38874.4139</v>
      </c>
      <c r="W280" s="21"/>
      <c r="X280" s="5"/>
      <c r="Y280" s="5"/>
      <c r="Z280" s="5">
        <f t="shared" si="91"/>
        <v>0</v>
      </c>
      <c r="AA280" s="5">
        <v>29474.68</v>
      </c>
      <c r="AB280" s="5" t="s">
        <v>258</v>
      </c>
      <c r="AC280" s="5">
        <f t="shared" si="92"/>
        <v>33512.42</v>
      </c>
      <c r="AD280" s="5">
        <f t="shared" si="93"/>
        <v>38874.4139</v>
      </c>
      <c r="AE280" s="5">
        <f t="shared" si="94"/>
        <v>6.0999999986961484E-3</v>
      </c>
      <c r="AF280" s="5"/>
      <c r="AG280" s="5" t="s">
        <v>238</v>
      </c>
      <c r="AH280" s="5">
        <v>4</v>
      </c>
      <c r="AI280" s="5">
        <v>0</v>
      </c>
      <c r="AJ280" s="5">
        <v>0</v>
      </c>
      <c r="AK280" s="5" t="s">
        <v>256</v>
      </c>
      <c r="AL280" s="4" t="s">
        <v>90</v>
      </c>
      <c r="AM280" s="4" t="s">
        <v>61</v>
      </c>
      <c r="AN280" s="21"/>
      <c r="AO280" s="4"/>
      <c r="AP280" s="58"/>
      <c r="AQ280" s="58"/>
      <c r="AR280" s="23"/>
      <c r="AS280" s="23"/>
      <c r="AT280" s="4"/>
      <c r="AU280" s="4"/>
      <c r="AV280" s="4"/>
      <c r="AW280" s="4"/>
      <c r="AX280" s="9"/>
      <c r="AY280" s="9"/>
      <c r="AZ280" s="4"/>
      <c r="BB280" t="e">
        <f>VLOOKUP(B280,contactos!$A$1:$D$484,4,FALSE)</f>
        <v>#N/A</v>
      </c>
    </row>
    <row r="281" spans="2:54" customFormat="1" x14ac:dyDescent="0.25">
      <c r="B281" s="100">
        <v>66951</v>
      </c>
      <c r="C281" s="4" t="s">
        <v>564</v>
      </c>
      <c r="D281" s="5">
        <v>38217.031937576001</v>
      </c>
      <c r="E281" s="5">
        <v>0</v>
      </c>
      <c r="F281" s="5">
        <v>0</v>
      </c>
      <c r="G281" s="5">
        <v>38217.040000000001</v>
      </c>
      <c r="H281" s="5">
        <v>38217.040000000001</v>
      </c>
      <c r="I281" s="5">
        <f t="shared" si="86"/>
        <v>38217.031937576001</v>
      </c>
      <c r="J281" s="5"/>
      <c r="K281" s="5">
        <f t="shared" si="87"/>
        <v>38217.031937576001</v>
      </c>
      <c r="L281" s="5">
        <f t="shared" si="88"/>
        <v>38217.031937576001</v>
      </c>
      <c r="M281" s="5"/>
      <c r="N281" s="5">
        <f t="shared" si="89"/>
        <v>38217.031937576001</v>
      </c>
      <c r="O281" s="21"/>
      <c r="P281" s="21"/>
      <c r="Q281" s="21"/>
      <c r="R281" s="21">
        <f t="shared" si="79"/>
        <v>0</v>
      </c>
      <c r="S281" s="21">
        <v>38217.031937576001</v>
      </c>
      <c r="T281" s="21">
        <f t="shared" si="84"/>
        <v>0</v>
      </c>
      <c r="U281" s="21">
        <f t="shared" si="85"/>
        <v>0</v>
      </c>
      <c r="V281" s="21">
        <f t="shared" si="90"/>
        <v>38217.031937576001</v>
      </c>
      <c r="W281" s="21"/>
      <c r="X281" s="5"/>
      <c r="Y281" s="5"/>
      <c r="Z281" s="5">
        <f t="shared" si="91"/>
        <v>0</v>
      </c>
      <c r="AA281" s="5">
        <v>855143.04</v>
      </c>
      <c r="AB281" s="5" t="s">
        <v>258</v>
      </c>
      <c r="AC281" s="5">
        <f t="shared" si="92"/>
        <v>38217.031937576001</v>
      </c>
      <c r="AD281" s="5">
        <f t="shared" si="93"/>
        <v>38217.031937576001</v>
      </c>
      <c r="AE281" s="5">
        <f t="shared" si="94"/>
        <v>8.0624239999451675E-3</v>
      </c>
      <c r="AF281" s="5"/>
      <c r="AG281" s="5" t="s">
        <v>238</v>
      </c>
      <c r="AH281" s="5">
        <v>4</v>
      </c>
      <c r="AI281" s="5">
        <v>0</v>
      </c>
      <c r="AJ281" s="5">
        <v>0</v>
      </c>
      <c r="AK281" s="5" t="s">
        <v>256</v>
      </c>
      <c r="AL281" s="4" t="s">
        <v>90</v>
      </c>
      <c r="AM281" s="4" t="s">
        <v>112</v>
      </c>
      <c r="AN281" s="21"/>
      <c r="AO281" s="4"/>
      <c r="AP281" s="58"/>
      <c r="AQ281" s="58"/>
      <c r="AR281" s="23"/>
      <c r="AS281" s="23"/>
      <c r="AT281" s="4"/>
      <c r="AU281" s="4"/>
      <c r="AV281" s="4"/>
      <c r="AW281" s="4"/>
      <c r="AX281" s="9"/>
      <c r="AY281" s="9"/>
      <c r="AZ281" s="4"/>
      <c r="BB281" t="str">
        <f>VLOOKUP(B281,contactos!$A$1:$D$484,4,FALSE)</f>
        <v>igarcia@blueretailsolutions.com</v>
      </c>
    </row>
    <row r="282" spans="2:54" customFormat="1" x14ac:dyDescent="0.25">
      <c r="B282" s="100">
        <v>337956</v>
      </c>
      <c r="C282" s="4" t="s">
        <v>565</v>
      </c>
      <c r="D282" s="5">
        <v>36620.53</v>
      </c>
      <c r="E282" s="5">
        <v>0</v>
      </c>
      <c r="F282" s="5">
        <v>240.69759999999999</v>
      </c>
      <c r="G282" s="5">
        <v>36861.229999999996</v>
      </c>
      <c r="H282" s="5">
        <v>36861.230000000003</v>
      </c>
      <c r="I282" s="5">
        <f t="shared" si="86"/>
        <v>36620.53</v>
      </c>
      <c r="J282" s="5"/>
      <c r="K282" s="5">
        <f t="shared" si="87"/>
        <v>36620.53</v>
      </c>
      <c r="L282" s="5">
        <f t="shared" si="88"/>
        <v>36861.227599999998</v>
      </c>
      <c r="M282" s="5"/>
      <c r="N282" s="5">
        <f t="shared" si="89"/>
        <v>36861.227599999998</v>
      </c>
      <c r="O282" s="21"/>
      <c r="P282" s="21"/>
      <c r="Q282" s="21"/>
      <c r="R282" s="21">
        <f t="shared" ref="R282:R325" si="95">SUM(O282:Q282)</f>
        <v>0</v>
      </c>
      <c r="S282" s="21">
        <v>36620.53</v>
      </c>
      <c r="T282" s="21">
        <f t="shared" si="84"/>
        <v>0</v>
      </c>
      <c r="U282" s="21">
        <f t="shared" si="85"/>
        <v>240.69759999999999</v>
      </c>
      <c r="V282" s="21">
        <f t="shared" si="90"/>
        <v>36861.227599999998</v>
      </c>
      <c r="W282" s="21"/>
      <c r="X282" s="5"/>
      <c r="Y282" s="5"/>
      <c r="Z282" s="5">
        <f t="shared" si="91"/>
        <v>0</v>
      </c>
      <c r="AA282" s="5">
        <v>151689.97</v>
      </c>
      <c r="AB282" s="5" t="s">
        <v>258</v>
      </c>
      <c r="AC282" s="5">
        <f t="shared" si="92"/>
        <v>36620.53</v>
      </c>
      <c r="AD282" s="5">
        <f t="shared" si="93"/>
        <v>36861.227599999998</v>
      </c>
      <c r="AE282" s="5">
        <f t="shared" si="94"/>
        <v>2.3999999975785613E-3</v>
      </c>
      <c r="AF282" s="5"/>
      <c r="AG282" s="5" t="s">
        <v>238</v>
      </c>
      <c r="AH282" s="5">
        <v>4</v>
      </c>
      <c r="AI282" s="5">
        <v>0</v>
      </c>
      <c r="AJ282" s="5">
        <v>0</v>
      </c>
      <c r="AK282" s="5" t="s">
        <v>256</v>
      </c>
      <c r="AL282" s="4" t="s">
        <v>90</v>
      </c>
      <c r="AM282" s="4" t="s">
        <v>76</v>
      </c>
      <c r="AN282" s="21"/>
      <c r="AO282" s="4"/>
      <c r="AP282" s="58"/>
      <c r="AQ282" s="58"/>
      <c r="AR282" s="23"/>
      <c r="AS282" s="23"/>
      <c r="AT282" s="4"/>
      <c r="AU282" s="4"/>
      <c r="AV282" s="4"/>
      <c r="AW282" s="4"/>
      <c r="AX282" s="9"/>
      <c r="AY282" s="9"/>
      <c r="AZ282" s="4"/>
      <c r="BB282" t="e">
        <f>VLOOKUP(B282,contactos!$A$1:$D$484,4,FALSE)</f>
        <v>#N/A</v>
      </c>
    </row>
    <row r="283" spans="2:54" customFormat="1" x14ac:dyDescent="0.25">
      <c r="B283" s="100">
        <v>391961</v>
      </c>
      <c r="C283" s="4" t="s">
        <v>566</v>
      </c>
      <c r="D283" s="5">
        <v>31621.769108163997</v>
      </c>
      <c r="E283" s="5">
        <v>0</v>
      </c>
      <c r="F283" s="5">
        <v>5059.4830573062409</v>
      </c>
      <c r="G283" s="5">
        <v>36681.26</v>
      </c>
      <c r="H283" s="5">
        <v>0</v>
      </c>
      <c r="I283" s="5">
        <f t="shared" si="86"/>
        <v>31621.769108163997</v>
      </c>
      <c r="J283" s="5"/>
      <c r="K283" s="5">
        <f t="shared" si="87"/>
        <v>31621.769108163997</v>
      </c>
      <c r="L283" s="5">
        <f t="shared" si="88"/>
        <v>36681.252165470236</v>
      </c>
      <c r="M283" s="5"/>
      <c r="N283" s="5">
        <f t="shared" si="89"/>
        <v>36681.252165470236</v>
      </c>
      <c r="O283" s="27"/>
      <c r="P283" s="27"/>
      <c r="Q283" s="27"/>
      <c r="R283" s="21">
        <f t="shared" si="95"/>
        <v>0</v>
      </c>
      <c r="S283" s="27">
        <v>31621.769108163997</v>
      </c>
      <c r="T283" s="21">
        <f t="shared" si="84"/>
        <v>0</v>
      </c>
      <c r="U283" s="21">
        <f t="shared" si="85"/>
        <v>5059.4830573062409</v>
      </c>
      <c r="V283" s="21">
        <f t="shared" si="90"/>
        <v>36681.252165470236</v>
      </c>
      <c r="W283" s="27"/>
      <c r="X283" s="5"/>
      <c r="Y283" s="5"/>
      <c r="Z283" s="5">
        <f t="shared" si="91"/>
        <v>0</v>
      </c>
      <c r="AA283" s="5">
        <v>147022.98000000001</v>
      </c>
      <c r="AB283" s="5" t="s">
        <v>258</v>
      </c>
      <c r="AC283" s="5">
        <f t="shared" si="92"/>
        <v>31621.769108163997</v>
      </c>
      <c r="AD283" s="5">
        <f t="shared" si="93"/>
        <v>36681.252165470236</v>
      </c>
      <c r="AE283" s="5">
        <f t="shared" si="94"/>
        <v>7.8345297661144286E-3</v>
      </c>
      <c r="AF283" s="5"/>
      <c r="AG283" s="5" t="s">
        <v>238</v>
      </c>
      <c r="AH283" s="5">
        <v>4</v>
      </c>
      <c r="AI283" s="5">
        <v>0</v>
      </c>
      <c r="AJ283" s="5">
        <v>0</v>
      </c>
      <c r="AK283" s="5" t="s">
        <v>256</v>
      </c>
      <c r="AL283" s="4" t="s">
        <v>90</v>
      </c>
      <c r="AM283" s="4" t="s">
        <v>83</v>
      </c>
      <c r="AN283" s="27"/>
      <c r="AO283" s="4"/>
      <c r="AP283" s="58"/>
      <c r="AQ283" s="58"/>
      <c r="AR283" s="23"/>
      <c r="AS283" s="23"/>
      <c r="AT283" s="4"/>
      <c r="AU283" s="4"/>
      <c r="AV283" s="4"/>
      <c r="AW283" s="4"/>
      <c r="AX283" s="12"/>
      <c r="AY283" s="12"/>
      <c r="AZ283" s="12"/>
      <c r="BB283" t="e">
        <f>VLOOKUP(B283,contactos!$A$1:$D$484,4,FALSE)</f>
        <v>#N/A</v>
      </c>
    </row>
    <row r="284" spans="2:54" customFormat="1" x14ac:dyDescent="0.25">
      <c r="B284" s="100">
        <v>56051</v>
      </c>
      <c r="C284" s="4" t="s">
        <v>567</v>
      </c>
      <c r="D284" s="5">
        <v>31564.748761247483</v>
      </c>
      <c r="E284" s="5">
        <v>0</v>
      </c>
      <c r="F284" s="5">
        <v>5050.3598017996001</v>
      </c>
      <c r="G284" s="5">
        <v>36615.14</v>
      </c>
      <c r="H284" s="5">
        <v>0</v>
      </c>
      <c r="I284" s="5">
        <f t="shared" si="86"/>
        <v>31564.748761247483</v>
      </c>
      <c r="J284" s="5"/>
      <c r="K284" s="5">
        <f t="shared" si="87"/>
        <v>31564.748761247483</v>
      </c>
      <c r="L284" s="5">
        <f t="shared" si="88"/>
        <v>36615.108563047084</v>
      </c>
      <c r="M284" s="5"/>
      <c r="N284" s="5">
        <f t="shared" si="89"/>
        <v>36615.108563047084</v>
      </c>
      <c r="O284" s="21"/>
      <c r="P284" s="21"/>
      <c r="Q284" s="21"/>
      <c r="R284" s="21">
        <f t="shared" si="95"/>
        <v>0</v>
      </c>
      <c r="S284" s="21">
        <v>31564.748761247483</v>
      </c>
      <c r="T284" s="21">
        <f t="shared" si="84"/>
        <v>0</v>
      </c>
      <c r="U284" s="21">
        <f t="shared" si="85"/>
        <v>5050.3598017996001</v>
      </c>
      <c r="V284" s="21">
        <f t="shared" si="90"/>
        <v>36615.108563047084</v>
      </c>
      <c r="W284" s="21"/>
      <c r="X284" s="5"/>
      <c r="Y284" s="5"/>
      <c r="Z284" s="5">
        <f t="shared" si="91"/>
        <v>0</v>
      </c>
      <c r="AA284" s="5">
        <v>77266.89</v>
      </c>
      <c r="AB284" s="5" t="s">
        <v>258</v>
      </c>
      <c r="AC284" s="5">
        <f t="shared" si="92"/>
        <v>31564.748761247483</v>
      </c>
      <c r="AD284" s="5">
        <f t="shared" si="93"/>
        <v>36615.108563047084</v>
      </c>
      <c r="AE284" s="5">
        <f t="shared" si="94"/>
        <v>3.1436952915100846E-2</v>
      </c>
      <c r="AF284" s="5"/>
      <c r="AG284" s="5" t="s">
        <v>73</v>
      </c>
      <c r="AH284" s="5">
        <v>4</v>
      </c>
      <c r="AI284" s="5">
        <v>0</v>
      </c>
      <c r="AJ284" s="5">
        <v>0</v>
      </c>
      <c r="AK284" s="5" t="s">
        <v>256</v>
      </c>
      <c r="AL284" s="4" t="s">
        <v>90</v>
      </c>
      <c r="AM284" s="4" t="s">
        <v>112</v>
      </c>
      <c r="AN284" s="21"/>
      <c r="AO284" s="4"/>
      <c r="AP284" s="58"/>
      <c r="AQ284" s="58"/>
      <c r="AR284" s="23"/>
      <c r="AS284" s="23"/>
      <c r="AT284" s="4"/>
      <c r="AU284" s="4"/>
      <c r="AV284" s="4"/>
      <c r="AW284" s="4"/>
      <c r="AX284" s="9"/>
      <c r="AY284" s="9"/>
      <c r="AZ284" s="4"/>
      <c r="BB284" t="e">
        <f>VLOOKUP(B284,contactos!$A$1:$D$484,4,FALSE)</f>
        <v>#N/A</v>
      </c>
    </row>
    <row r="285" spans="2:54" customFormat="1" x14ac:dyDescent="0.25">
      <c r="B285" s="100">
        <v>86199</v>
      </c>
      <c r="C285" s="4" t="s">
        <v>568</v>
      </c>
      <c r="D285" s="5">
        <v>32669.469314187998</v>
      </c>
      <c r="E285" s="5">
        <v>2613.57144513504</v>
      </c>
      <c r="F285" s="5">
        <v>0</v>
      </c>
      <c r="G285" s="5">
        <v>35283.040000000008</v>
      </c>
      <c r="H285" s="5">
        <v>35283.040000000001</v>
      </c>
      <c r="I285" s="5">
        <f t="shared" si="86"/>
        <v>32669.469314187998</v>
      </c>
      <c r="J285" s="5"/>
      <c r="K285" s="5">
        <f t="shared" si="87"/>
        <v>32669.469314187998</v>
      </c>
      <c r="L285" s="5">
        <f t="shared" si="88"/>
        <v>35283.040759323041</v>
      </c>
      <c r="M285" s="5"/>
      <c r="N285" s="5">
        <f t="shared" si="89"/>
        <v>35283.040759323041</v>
      </c>
      <c r="O285" s="27"/>
      <c r="P285" s="27"/>
      <c r="Q285" s="27"/>
      <c r="R285" s="21">
        <f t="shared" si="95"/>
        <v>0</v>
      </c>
      <c r="S285" s="27">
        <v>32669.469314187998</v>
      </c>
      <c r="T285" s="21">
        <f t="shared" si="84"/>
        <v>2613.57144513504</v>
      </c>
      <c r="U285" s="21">
        <f t="shared" si="85"/>
        <v>0</v>
      </c>
      <c r="V285" s="21">
        <f t="shared" si="90"/>
        <v>35283.040759323041</v>
      </c>
      <c r="W285" s="27"/>
      <c r="X285" s="5"/>
      <c r="Y285" s="5"/>
      <c r="Z285" s="5">
        <f t="shared" si="91"/>
        <v>0</v>
      </c>
      <c r="AA285" s="5">
        <v>872274.14</v>
      </c>
      <c r="AB285" s="5" t="s">
        <v>258</v>
      </c>
      <c r="AC285" s="5">
        <f t="shared" si="92"/>
        <v>32669.469314187998</v>
      </c>
      <c r="AD285" s="5">
        <f t="shared" si="93"/>
        <v>35283.040759323041</v>
      </c>
      <c r="AE285" s="5">
        <f t="shared" si="94"/>
        <v>-7.5932303298031911E-4</v>
      </c>
      <c r="AF285" s="5"/>
      <c r="AG285" s="5" t="s">
        <v>238</v>
      </c>
      <c r="AH285" s="5">
        <v>4</v>
      </c>
      <c r="AI285" s="5">
        <v>0</v>
      </c>
      <c r="AJ285" s="5">
        <v>0</v>
      </c>
      <c r="AK285" s="5" t="s">
        <v>256</v>
      </c>
      <c r="AL285" s="4" t="s">
        <v>90</v>
      </c>
      <c r="AM285" s="4" t="s">
        <v>83</v>
      </c>
      <c r="AN285" s="27"/>
      <c r="AO285" s="4"/>
      <c r="AP285" s="58"/>
      <c r="AQ285" s="58"/>
      <c r="AR285" s="23"/>
      <c r="AS285" s="23"/>
      <c r="AT285" s="4"/>
      <c r="AU285" s="4"/>
      <c r="AV285" s="4"/>
      <c r="AW285" s="4"/>
      <c r="AX285" s="12"/>
      <c r="AY285" s="12"/>
      <c r="AZ285" s="12"/>
      <c r="BB285" t="e">
        <f>VLOOKUP(B285,contactos!$A$1:$D$484,4,FALSE)</f>
        <v>#N/A</v>
      </c>
    </row>
    <row r="286" spans="2:54" customFormat="1" x14ac:dyDescent="0.25">
      <c r="B286" s="100">
        <v>50989</v>
      </c>
      <c r="C286" s="4" t="s">
        <v>569</v>
      </c>
      <c r="D286" s="5">
        <v>35242.769999999997</v>
      </c>
      <c r="E286" s="5">
        <v>0</v>
      </c>
      <c r="F286" s="5">
        <v>0</v>
      </c>
      <c r="G286" s="5">
        <v>35242.769999999997</v>
      </c>
      <c r="H286" s="5">
        <v>35242.769999999997</v>
      </c>
      <c r="I286" s="5">
        <f t="shared" si="86"/>
        <v>35242.769999999997</v>
      </c>
      <c r="J286" s="5"/>
      <c r="K286" s="5">
        <f t="shared" si="87"/>
        <v>35242.769999999997</v>
      </c>
      <c r="L286" s="5">
        <f t="shared" si="88"/>
        <v>35242.769999999997</v>
      </c>
      <c r="M286" s="5"/>
      <c r="N286" s="5">
        <f t="shared" si="89"/>
        <v>35242.769999999997</v>
      </c>
      <c r="O286" s="21"/>
      <c r="P286" s="21"/>
      <c r="Q286" s="21"/>
      <c r="R286" s="21">
        <f t="shared" si="95"/>
        <v>0</v>
      </c>
      <c r="S286" s="21">
        <v>35242.769999999997</v>
      </c>
      <c r="T286" s="21">
        <f t="shared" si="84"/>
        <v>0</v>
      </c>
      <c r="U286" s="21">
        <f t="shared" si="85"/>
        <v>0</v>
      </c>
      <c r="V286" s="21">
        <f t="shared" si="90"/>
        <v>35242.769999999997</v>
      </c>
      <c r="W286" s="21"/>
      <c r="X286" s="5"/>
      <c r="Y286" s="5"/>
      <c r="Z286" s="5">
        <f t="shared" si="91"/>
        <v>0</v>
      </c>
      <c r="AA286" s="5">
        <v>1006828.75</v>
      </c>
      <c r="AB286" s="5" t="s">
        <v>258</v>
      </c>
      <c r="AC286" s="5">
        <f t="shared" si="92"/>
        <v>35242.769999999997</v>
      </c>
      <c r="AD286" s="5">
        <f t="shared" si="93"/>
        <v>35242.769999999997</v>
      </c>
      <c r="AE286" s="5">
        <f t="shared" si="94"/>
        <v>0</v>
      </c>
      <c r="AF286" s="5"/>
      <c r="AG286" s="5" t="s">
        <v>238</v>
      </c>
      <c r="AH286" s="5">
        <v>4</v>
      </c>
      <c r="AI286" s="5">
        <v>0</v>
      </c>
      <c r="AJ286" s="5">
        <v>0</v>
      </c>
      <c r="AK286" s="5" t="s">
        <v>256</v>
      </c>
      <c r="AL286" s="4" t="s">
        <v>90</v>
      </c>
      <c r="AM286" s="4" t="s">
        <v>162</v>
      </c>
      <c r="AN286" s="21"/>
      <c r="AO286" s="4"/>
      <c r="AP286" s="58"/>
      <c r="AQ286" s="58"/>
      <c r="AR286" s="23"/>
      <c r="AS286" s="23"/>
      <c r="AT286" s="4"/>
      <c r="AU286" s="4"/>
      <c r="AV286" s="4"/>
      <c r="AW286" s="4"/>
      <c r="AX286" s="9"/>
      <c r="AY286" s="9"/>
      <c r="AZ286" s="4"/>
      <c r="BB286" t="e">
        <f>VLOOKUP(B286,contactos!$A$1:$D$484,4,FALSE)</f>
        <v>#N/A</v>
      </c>
    </row>
    <row r="287" spans="2:54" customFormat="1" x14ac:dyDescent="0.25">
      <c r="B287" s="100">
        <v>64840</v>
      </c>
      <c r="C287" s="4" t="s">
        <v>570</v>
      </c>
      <c r="D287" s="5">
        <v>34871.719999999994</v>
      </c>
      <c r="E287" s="5">
        <v>0</v>
      </c>
      <c r="F287" s="5">
        <v>0</v>
      </c>
      <c r="G287" s="5">
        <v>34871.719999999994</v>
      </c>
      <c r="H287" s="5">
        <v>34871.72</v>
      </c>
      <c r="I287" s="5">
        <f t="shared" si="86"/>
        <v>34871.719999999994</v>
      </c>
      <c r="J287" s="5"/>
      <c r="K287" s="5">
        <f t="shared" si="87"/>
        <v>34871.719999999994</v>
      </c>
      <c r="L287" s="5">
        <f t="shared" si="88"/>
        <v>34871.719999999994</v>
      </c>
      <c r="M287" s="5"/>
      <c r="N287" s="5">
        <f t="shared" si="89"/>
        <v>34871.719999999994</v>
      </c>
      <c r="O287" s="21"/>
      <c r="P287" s="21"/>
      <c r="Q287" s="21"/>
      <c r="R287" s="21">
        <f t="shared" si="95"/>
        <v>0</v>
      </c>
      <c r="S287" s="21">
        <v>34871.719999999994</v>
      </c>
      <c r="T287" s="21">
        <f t="shared" si="84"/>
        <v>0</v>
      </c>
      <c r="U287" s="21">
        <f t="shared" si="85"/>
        <v>0</v>
      </c>
      <c r="V287" s="21">
        <f t="shared" si="90"/>
        <v>34871.719999999994</v>
      </c>
      <c r="W287" s="21"/>
      <c r="X287" s="5"/>
      <c r="Y287" s="5"/>
      <c r="Z287" s="5">
        <f t="shared" si="91"/>
        <v>0</v>
      </c>
      <c r="AA287" s="5">
        <v>474913.19</v>
      </c>
      <c r="AB287" s="5" t="s">
        <v>258</v>
      </c>
      <c r="AC287" s="5">
        <f t="shared" si="92"/>
        <v>34871.719999999994</v>
      </c>
      <c r="AD287" s="5">
        <f t="shared" si="93"/>
        <v>34871.719999999994</v>
      </c>
      <c r="AE287" s="5">
        <f t="shared" si="94"/>
        <v>0</v>
      </c>
      <c r="AF287" s="5"/>
      <c r="AG287" s="5" t="s">
        <v>238</v>
      </c>
      <c r="AH287" s="5">
        <v>4</v>
      </c>
      <c r="AI287" s="5">
        <v>0</v>
      </c>
      <c r="AJ287" s="5">
        <v>0</v>
      </c>
      <c r="AK287" s="5" t="s">
        <v>256</v>
      </c>
      <c r="AL287" s="4" t="s">
        <v>90</v>
      </c>
      <c r="AM287" s="4" t="s">
        <v>107</v>
      </c>
      <c r="AN287" s="21"/>
      <c r="AO287" s="4"/>
      <c r="AP287" s="58"/>
      <c r="AQ287" s="58"/>
      <c r="AR287" s="23"/>
      <c r="AS287" s="23"/>
      <c r="AT287" s="4"/>
      <c r="AU287" s="4"/>
      <c r="AV287" s="4"/>
      <c r="AW287" s="4"/>
      <c r="AX287" s="9"/>
      <c r="AY287" s="9"/>
      <c r="AZ287" s="4"/>
      <c r="BB287" t="e">
        <f>VLOOKUP(B287,contactos!$A$1:$D$484,4,FALSE)</f>
        <v>#N/A</v>
      </c>
    </row>
    <row r="288" spans="2:54" customFormat="1" x14ac:dyDescent="0.25">
      <c r="B288" s="100">
        <v>327460</v>
      </c>
      <c r="C288" s="4" t="s">
        <v>571</v>
      </c>
      <c r="D288" s="5">
        <v>32237.780000000002</v>
      </c>
      <c r="E288" s="5">
        <v>1681.1259000000002</v>
      </c>
      <c r="F288" s="5">
        <v>741.24800000000005</v>
      </c>
      <c r="G288" s="5">
        <v>34660.14</v>
      </c>
      <c r="H288" s="5">
        <v>34660.14</v>
      </c>
      <c r="I288" s="5">
        <f t="shared" si="86"/>
        <v>32237.780000000002</v>
      </c>
      <c r="J288" s="5"/>
      <c r="K288" s="5">
        <f t="shared" si="87"/>
        <v>32237.780000000002</v>
      </c>
      <c r="L288" s="5">
        <f t="shared" si="88"/>
        <v>34660.153900000005</v>
      </c>
      <c r="M288" s="5"/>
      <c r="N288" s="5">
        <f t="shared" si="89"/>
        <v>34660.153900000005</v>
      </c>
      <c r="O288" s="21"/>
      <c r="P288" s="21"/>
      <c r="Q288" s="21"/>
      <c r="R288" s="21">
        <f t="shared" si="95"/>
        <v>0</v>
      </c>
      <c r="S288" s="21">
        <v>32237.780000000002</v>
      </c>
      <c r="T288" s="21">
        <f t="shared" si="84"/>
        <v>1681.1259000000002</v>
      </c>
      <c r="U288" s="21">
        <f t="shared" si="85"/>
        <v>741.24800000000005</v>
      </c>
      <c r="V288" s="21">
        <f t="shared" si="90"/>
        <v>34660.153900000005</v>
      </c>
      <c r="W288" s="21"/>
      <c r="X288" s="5"/>
      <c r="Y288" s="5"/>
      <c r="Z288" s="5">
        <f t="shared" si="91"/>
        <v>0</v>
      </c>
      <c r="AA288" s="5">
        <v>400848.85</v>
      </c>
      <c r="AB288" s="5" t="s">
        <v>258</v>
      </c>
      <c r="AC288" s="5">
        <f t="shared" si="92"/>
        <v>32237.780000000002</v>
      </c>
      <c r="AD288" s="5">
        <f t="shared" si="93"/>
        <v>34660.153900000005</v>
      </c>
      <c r="AE288" s="5">
        <f t="shared" si="94"/>
        <v>-1.3900000005378388E-2</v>
      </c>
      <c r="AF288" s="5"/>
      <c r="AG288" s="5" t="s">
        <v>238</v>
      </c>
      <c r="AH288" s="5">
        <v>4</v>
      </c>
      <c r="AI288" s="5">
        <v>0</v>
      </c>
      <c r="AJ288" s="5"/>
      <c r="AK288" s="5" t="s">
        <v>256</v>
      </c>
      <c r="AL288" s="4" t="s">
        <v>90</v>
      </c>
      <c r="AM288" s="4" t="s">
        <v>94</v>
      </c>
      <c r="AN288" s="21"/>
      <c r="AO288" s="4"/>
      <c r="AP288" s="58"/>
      <c r="AQ288" s="58"/>
      <c r="AR288" s="23"/>
      <c r="AS288" s="23"/>
      <c r="AT288" s="4"/>
      <c r="AU288" s="4"/>
      <c r="AV288" s="4"/>
      <c r="AW288" s="4"/>
      <c r="AX288" s="9"/>
      <c r="AY288" s="9"/>
      <c r="AZ288" s="4"/>
      <c r="BB288" t="e">
        <f>VLOOKUP(B288,contactos!$A$1:$D$484,4,FALSE)</f>
        <v>#N/A</v>
      </c>
    </row>
    <row r="289" spans="2:54" customFormat="1" x14ac:dyDescent="0.25">
      <c r="B289" s="100">
        <v>302786</v>
      </c>
      <c r="C289" s="4" t="s">
        <v>572</v>
      </c>
      <c r="D289" s="5">
        <v>28391.040863447004</v>
      </c>
      <c r="E289" s="5">
        <v>0</v>
      </c>
      <c r="F289" s="5">
        <v>4542.5223381515198</v>
      </c>
      <c r="G289" s="5">
        <v>32933.56</v>
      </c>
      <c r="H289" s="5">
        <v>32933.56</v>
      </c>
      <c r="I289" s="5">
        <f t="shared" si="86"/>
        <v>28391.040863447004</v>
      </c>
      <c r="J289" s="5"/>
      <c r="K289" s="5">
        <f t="shared" si="87"/>
        <v>28391.040863447004</v>
      </c>
      <c r="L289" s="5">
        <f t="shared" si="88"/>
        <v>32933.563201598525</v>
      </c>
      <c r="M289" s="5"/>
      <c r="N289" s="5">
        <f t="shared" si="89"/>
        <v>32933.563201598525</v>
      </c>
      <c r="O289" s="21"/>
      <c r="P289" s="21"/>
      <c r="Q289" s="21"/>
      <c r="R289" s="21">
        <f t="shared" si="95"/>
        <v>0</v>
      </c>
      <c r="S289" s="21">
        <v>28391.040863447004</v>
      </c>
      <c r="T289" s="21">
        <f t="shared" si="84"/>
        <v>0</v>
      </c>
      <c r="U289" s="21">
        <f t="shared" si="85"/>
        <v>4542.5223381515198</v>
      </c>
      <c r="V289" s="21">
        <f t="shared" si="90"/>
        <v>32933.563201598525</v>
      </c>
      <c r="W289" s="21"/>
      <c r="X289" s="5"/>
      <c r="Y289" s="5"/>
      <c r="Z289" s="5">
        <f t="shared" si="91"/>
        <v>0</v>
      </c>
      <c r="AA289" s="5">
        <v>208059.74</v>
      </c>
      <c r="AB289" s="5" t="s">
        <v>258</v>
      </c>
      <c r="AC289" s="5">
        <f t="shared" si="92"/>
        <v>28391.040863447004</v>
      </c>
      <c r="AD289" s="5">
        <f t="shared" si="93"/>
        <v>32933.563201598525</v>
      </c>
      <c r="AE289" s="5">
        <f t="shared" si="94"/>
        <v>-3.2015985270845704E-3</v>
      </c>
      <c r="AF289" s="5"/>
      <c r="AG289" s="5" t="s">
        <v>73</v>
      </c>
      <c r="AH289" s="5">
        <v>4</v>
      </c>
      <c r="AI289" s="5">
        <v>0</v>
      </c>
      <c r="AJ289" s="5" t="s">
        <v>279</v>
      </c>
      <c r="AK289" s="5" t="s">
        <v>256</v>
      </c>
      <c r="AL289" s="4" t="s">
        <v>90</v>
      </c>
      <c r="AM289" s="4" t="s">
        <v>119</v>
      </c>
      <c r="AN289" s="21"/>
      <c r="AO289" s="4"/>
      <c r="AP289" s="58"/>
      <c r="AQ289" s="58"/>
      <c r="AR289" s="23"/>
      <c r="AS289" s="23"/>
      <c r="AT289" s="4"/>
      <c r="AU289" s="4"/>
      <c r="AV289" s="4"/>
      <c r="AW289" s="4"/>
      <c r="AX289" s="9"/>
      <c r="AY289" s="9"/>
      <c r="AZ289" s="4"/>
      <c r="BB289" t="e">
        <f>VLOOKUP(B289,contactos!$A$1:$D$484,4,FALSE)</f>
        <v>#N/A</v>
      </c>
    </row>
    <row r="290" spans="2:54" customFormat="1" x14ac:dyDescent="0.25">
      <c r="B290" s="100">
        <v>6052</v>
      </c>
      <c r="C290" s="4" t="s">
        <v>573</v>
      </c>
      <c r="D290" s="5">
        <v>28210.659999999996</v>
      </c>
      <c r="E290" s="5">
        <v>0</v>
      </c>
      <c r="F290" s="5">
        <v>4513.7056000000002</v>
      </c>
      <c r="G290" s="5">
        <v>32724.370000000003</v>
      </c>
      <c r="H290" s="5">
        <v>32724.37</v>
      </c>
      <c r="I290" s="5">
        <f t="shared" si="86"/>
        <v>28210.659999999996</v>
      </c>
      <c r="J290" s="5"/>
      <c r="K290" s="5">
        <f t="shared" si="87"/>
        <v>28210.659999999996</v>
      </c>
      <c r="L290" s="5">
        <f t="shared" si="88"/>
        <v>32724.365599999997</v>
      </c>
      <c r="M290" s="5"/>
      <c r="N290" s="5">
        <f t="shared" si="89"/>
        <v>32724.365599999997</v>
      </c>
      <c r="O290" s="21"/>
      <c r="P290" s="21"/>
      <c r="Q290" s="21"/>
      <c r="R290" s="21">
        <f t="shared" si="95"/>
        <v>0</v>
      </c>
      <c r="S290" s="21">
        <v>28210.659999999996</v>
      </c>
      <c r="T290" s="21">
        <f t="shared" ref="T290:T325" si="96">E290-X290</f>
        <v>0</v>
      </c>
      <c r="U290" s="21">
        <f t="shared" si="85"/>
        <v>4513.7056000000002</v>
      </c>
      <c r="V290" s="21">
        <f t="shared" si="90"/>
        <v>32724.365599999997</v>
      </c>
      <c r="W290" s="21"/>
      <c r="X290" s="5"/>
      <c r="Y290" s="5"/>
      <c r="Z290" s="5">
        <f t="shared" si="91"/>
        <v>0</v>
      </c>
      <c r="AA290" s="5">
        <v>87000.71</v>
      </c>
      <c r="AB290" s="5" t="s">
        <v>258</v>
      </c>
      <c r="AC290" s="5">
        <f t="shared" si="92"/>
        <v>28210.659999999996</v>
      </c>
      <c r="AD290" s="5">
        <f t="shared" si="93"/>
        <v>32724.365599999997</v>
      </c>
      <c r="AE290" s="5">
        <f t="shared" si="94"/>
        <v>4.4000000052619725E-3</v>
      </c>
      <c r="AF290" s="5"/>
      <c r="AG290" s="5" t="s">
        <v>73</v>
      </c>
      <c r="AH290" s="5">
        <v>4</v>
      </c>
      <c r="AI290" s="5">
        <v>0</v>
      </c>
      <c r="AJ290" s="5" t="s">
        <v>212</v>
      </c>
      <c r="AK290" s="5" t="s">
        <v>256</v>
      </c>
      <c r="AL290" s="4" t="s">
        <v>90</v>
      </c>
      <c r="AM290" s="4" t="s">
        <v>148</v>
      </c>
      <c r="AN290" s="21"/>
      <c r="AO290" s="4"/>
      <c r="AP290" s="58"/>
      <c r="AQ290" s="58"/>
      <c r="AR290" s="23"/>
      <c r="AS290" s="23"/>
      <c r="AT290" s="4"/>
      <c r="AU290" s="4"/>
      <c r="AV290" s="4"/>
      <c r="AW290" s="4"/>
      <c r="AX290" s="9"/>
      <c r="AY290" s="9"/>
      <c r="AZ290" s="4"/>
      <c r="BB290" t="e">
        <f>VLOOKUP(B290,contactos!$A$1:$D$484,4,FALSE)</f>
        <v>#N/A</v>
      </c>
    </row>
    <row r="291" spans="2:54" customFormat="1" ht="30" x14ac:dyDescent="0.25">
      <c r="B291" s="100">
        <v>36137</v>
      </c>
      <c r="C291" s="4" t="s">
        <v>574</v>
      </c>
      <c r="D291" s="5">
        <v>28106.13</v>
      </c>
      <c r="E291" s="5">
        <v>0</v>
      </c>
      <c r="F291" s="5">
        <v>4496.9808000000003</v>
      </c>
      <c r="G291" s="5">
        <v>32603.11</v>
      </c>
      <c r="H291" s="5">
        <v>32603.11</v>
      </c>
      <c r="I291" s="5">
        <f t="shared" si="86"/>
        <v>28106.13</v>
      </c>
      <c r="J291" s="5"/>
      <c r="K291" s="5">
        <f t="shared" si="87"/>
        <v>28106.13</v>
      </c>
      <c r="L291" s="5">
        <f t="shared" si="88"/>
        <v>32603.110800000002</v>
      </c>
      <c r="M291" s="5"/>
      <c r="N291" s="5">
        <f t="shared" si="89"/>
        <v>32603.110800000002</v>
      </c>
      <c r="O291" s="21"/>
      <c r="P291" s="21"/>
      <c r="Q291" s="21"/>
      <c r="R291" s="21">
        <f t="shared" si="95"/>
        <v>0</v>
      </c>
      <c r="S291" s="21">
        <v>28106.13</v>
      </c>
      <c r="T291" s="21">
        <f t="shared" si="96"/>
        <v>0</v>
      </c>
      <c r="U291" s="21">
        <f t="shared" ref="U291:U324" si="97">F291-Y291</f>
        <v>4496.9808000000003</v>
      </c>
      <c r="V291" s="21">
        <f t="shared" si="90"/>
        <v>32603.110800000002</v>
      </c>
      <c r="W291" s="21"/>
      <c r="X291" s="5"/>
      <c r="Y291" s="5"/>
      <c r="Z291" s="5">
        <f t="shared" si="91"/>
        <v>0</v>
      </c>
      <c r="AA291" s="5">
        <v>7709.62</v>
      </c>
      <c r="AB291" s="5" t="s">
        <v>258</v>
      </c>
      <c r="AC291" s="5">
        <f t="shared" si="92"/>
        <v>28106.13</v>
      </c>
      <c r="AD291" s="5">
        <f t="shared" si="93"/>
        <v>32603.110800000002</v>
      </c>
      <c r="AE291" s="5">
        <f t="shared" si="94"/>
        <v>-8.0000000161817297E-4</v>
      </c>
      <c r="AF291" s="5"/>
      <c r="AG291" s="5" t="s">
        <v>73</v>
      </c>
      <c r="AH291" s="5">
        <v>4</v>
      </c>
      <c r="AI291" s="5">
        <v>1</v>
      </c>
      <c r="AJ291" s="120" t="s">
        <v>575</v>
      </c>
      <c r="AK291" s="5" t="s">
        <v>59</v>
      </c>
      <c r="AL291" s="4" t="s">
        <v>75</v>
      </c>
      <c r="AM291" s="6" t="s">
        <v>137</v>
      </c>
      <c r="AN291" s="5">
        <v>32603.11</v>
      </c>
      <c r="AO291" s="4" t="s">
        <v>576</v>
      </c>
      <c r="AP291" s="58">
        <v>5</v>
      </c>
      <c r="AQ291" s="58" t="s">
        <v>189</v>
      </c>
      <c r="AR291" s="23">
        <v>46043</v>
      </c>
      <c r="AS291" s="23">
        <v>46044</v>
      </c>
      <c r="AT291" s="4"/>
      <c r="AU291" s="4"/>
      <c r="AV291" s="7" t="s">
        <v>254</v>
      </c>
      <c r="AW291" s="13" t="s">
        <v>70</v>
      </c>
      <c r="AX291" s="9" t="s">
        <v>71</v>
      </c>
      <c r="AY291" s="9"/>
      <c r="AZ291" s="4"/>
      <c r="BB291" t="e">
        <f>VLOOKUP(B291,contactos!$A$1:$D$484,4,FALSE)</f>
        <v>#N/A</v>
      </c>
    </row>
    <row r="292" spans="2:54" customFormat="1" x14ac:dyDescent="0.25">
      <c r="B292" s="100">
        <v>87221</v>
      </c>
      <c r="C292" s="4" t="s">
        <v>577</v>
      </c>
      <c r="D292" s="5">
        <v>27339.61</v>
      </c>
      <c r="E292" s="5">
        <v>0</v>
      </c>
      <c r="F292" s="5">
        <v>4374.3375999999998</v>
      </c>
      <c r="G292" s="5">
        <v>31713.950000000004</v>
      </c>
      <c r="H292" s="5">
        <v>31713.95</v>
      </c>
      <c r="I292" s="5">
        <f t="shared" si="86"/>
        <v>27339.61</v>
      </c>
      <c r="J292" s="5"/>
      <c r="K292" s="5">
        <f t="shared" si="87"/>
        <v>27339.61</v>
      </c>
      <c r="L292" s="5">
        <f t="shared" si="88"/>
        <v>31713.9476</v>
      </c>
      <c r="M292" s="5"/>
      <c r="N292" s="5">
        <f t="shared" si="89"/>
        <v>31713.9476</v>
      </c>
      <c r="O292" s="21"/>
      <c r="P292" s="21"/>
      <c r="Q292" s="21"/>
      <c r="R292" s="21">
        <f t="shared" si="95"/>
        <v>0</v>
      </c>
      <c r="S292" s="21">
        <v>27339.61</v>
      </c>
      <c r="T292" s="21">
        <f t="shared" si="96"/>
        <v>0</v>
      </c>
      <c r="U292" s="21">
        <f t="shared" si="97"/>
        <v>4374.3375999999998</v>
      </c>
      <c r="V292" s="21">
        <f t="shared" si="90"/>
        <v>31713.9476</v>
      </c>
      <c r="W292" s="21"/>
      <c r="X292" s="5"/>
      <c r="Y292" s="5"/>
      <c r="Z292" s="5">
        <f t="shared" si="91"/>
        <v>0</v>
      </c>
      <c r="AA292" s="5">
        <v>2856</v>
      </c>
      <c r="AB292" s="5" t="s">
        <v>258</v>
      </c>
      <c r="AC292" s="5">
        <f t="shared" si="92"/>
        <v>27339.61</v>
      </c>
      <c r="AD292" s="5">
        <f t="shared" si="93"/>
        <v>31713.9476</v>
      </c>
      <c r="AE292" s="5">
        <f t="shared" si="94"/>
        <v>2.4000000048545189E-3</v>
      </c>
      <c r="AF292" s="5"/>
      <c r="AG292" s="5" t="s">
        <v>238</v>
      </c>
      <c r="AH292" s="5">
        <v>4</v>
      </c>
      <c r="AI292" s="5">
        <v>0</v>
      </c>
      <c r="AJ292" s="5">
        <v>0</v>
      </c>
      <c r="AK292" s="5" t="s">
        <v>256</v>
      </c>
      <c r="AL292" s="4" t="s">
        <v>90</v>
      </c>
      <c r="AM292" s="4" t="s">
        <v>141</v>
      </c>
      <c r="AN292" s="21"/>
      <c r="AO292" s="4"/>
      <c r="AP292" s="58"/>
      <c r="AQ292" s="58"/>
      <c r="AR292" s="23"/>
      <c r="AS292" s="23"/>
      <c r="AT292" s="4"/>
      <c r="AU292" s="4"/>
      <c r="AV292" s="4"/>
      <c r="AW292" s="4"/>
      <c r="AX292" s="9"/>
      <c r="AY292" s="9"/>
      <c r="AZ292" s="4"/>
      <c r="BB292" t="e">
        <f>VLOOKUP(B292,contactos!$A$1:$D$484,4,FALSE)</f>
        <v>#N/A</v>
      </c>
    </row>
    <row r="293" spans="2:54" customFormat="1" x14ac:dyDescent="0.25">
      <c r="B293" s="100">
        <v>381970</v>
      </c>
      <c r="C293" s="4" t="s">
        <v>578</v>
      </c>
      <c r="D293" s="5">
        <v>26976.6</v>
      </c>
      <c r="E293" s="5">
        <v>0</v>
      </c>
      <c r="F293" s="5">
        <v>4316.2560000000003</v>
      </c>
      <c r="G293" s="5">
        <v>31292.856</v>
      </c>
      <c r="H293" s="5">
        <v>31292.86</v>
      </c>
      <c r="I293" s="5">
        <f t="shared" si="86"/>
        <v>26976.6</v>
      </c>
      <c r="J293" s="5"/>
      <c r="K293" s="5">
        <f t="shared" si="87"/>
        <v>26976.6</v>
      </c>
      <c r="L293" s="5">
        <f t="shared" si="88"/>
        <v>31292.856</v>
      </c>
      <c r="M293" s="5"/>
      <c r="N293" s="5">
        <f t="shared" si="89"/>
        <v>31292.856</v>
      </c>
      <c r="O293" s="21"/>
      <c r="P293" s="21"/>
      <c r="Q293" s="21"/>
      <c r="R293" s="21">
        <f t="shared" si="95"/>
        <v>0</v>
      </c>
      <c r="S293" s="21">
        <v>26976.6</v>
      </c>
      <c r="T293" s="21">
        <f t="shared" si="96"/>
        <v>0</v>
      </c>
      <c r="U293" s="21">
        <f t="shared" si="97"/>
        <v>4316.2560000000003</v>
      </c>
      <c r="V293" s="21">
        <f t="shared" si="90"/>
        <v>31292.856</v>
      </c>
      <c r="W293" s="21"/>
      <c r="X293" s="5"/>
      <c r="Y293" s="5"/>
      <c r="Z293" s="5">
        <f t="shared" si="91"/>
        <v>0</v>
      </c>
      <c r="AA293" s="5">
        <v>23326.14</v>
      </c>
      <c r="AB293" s="5" t="s">
        <v>258</v>
      </c>
      <c r="AC293" s="5">
        <f t="shared" si="92"/>
        <v>26976.6</v>
      </c>
      <c r="AD293" s="5">
        <f t="shared" si="93"/>
        <v>31292.856</v>
      </c>
      <c r="AE293" s="5">
        <f t="shared" si="94"/>
        <v>0</v>
      </c>
      <c r="AF293" s="5"/>
      <c r="AG293" s="5" t="s">
        <v>73</v>
      </c>
      <c r="AH293" s="5">
        <v>4</v>
      </c>
      <c r="AI293" s="5">
        <v>0</v>
      </c>
      <c r="AJ293" s="120" t="s">
        <v>386</v>
      </c>
      <c r="AK293" s="5" t="s">
        <v>256</v>
      </c>
      <c r="AL293" s="4" t="s">
        <v>90</v>
      </c>
      <c r="AM293" s="4" t="s">
        <v>67</v>
      </c>
      <c r="AN293" s="21"/>
      <c r="AO293" s="4"/>
      <c r="AP293" s="58"/>
      <c r="AQ293" s="58"/>
      <c r="AR293" s="23"/>
      <c r="AS293" s="23"/>
      <c r="AT293" s="4"/>
      <c r="AU293" s="4"/>
      <c r="AV293" s="4"/>
      <c r="AW293" s="4"/>
      <c r="AX293" s="9"/>
      <c r="AY293" s="9"/>
      <c r="AZ293" s="4"/>
      <c r="BB293" t="str">
        <f>VLOOKUP(B293,contactos!$A$1:$D$484,4,FALSE)</f>
        <v>alfredo.castanedachagolla@gepp.com</v>
      </c>
    </row>
    <row r="294" spans="2:54" customFormat="1" x14ac:dyDescent="0.25">
      <c r="B294" s="100">
        <v>10948</v>
      </c>
      <c r="C294" s="4" t="s">
        <v>579</v>
      </c>
      <c r="D294" s="5">
        <v>31239.35</v>
      </c>
      <c r="E294" s="5">
        <v>0</v>
      </c>
      <c r="F294" s="5">
        <v>0</v>
      </c>
      <c r="G294" s="5">
        <v>31239.35</v>
      </c>
      <c r="H294" s="5">
        <v>0</v>
      </c>
      <c r="I294" s="5">
        <f t="shared" si="86"/>
        <v>31239.35</v>
      </c>
      <c r="J294" s="5"/>
      <c r="K294" s="5">
        <f t="shared" si="87"/>
        <v>31239.35</v>
      </c>
      <c r="L294" s="5">
        <f t="shared" si="88"/>
        <v>31239.35</v>
      </c>
      <c r="M294" s="5"/>
      <c r="N294" s="5">
        <f t="shared" si="89"/>
        <v>31239.35</v>
      </c>
      <c r="O294" s="21"/>
      <c r="P294" s="21"/>
      <c r="Q294" s="21"/>
      <c r="R294" s="21">
        <f t="shared" si="95"/>
        <v>0</v>
      </c>
      <c r="S294" s="21">
        <v>31239.35</v>
      </c>
      <c r="T294" s="21">
        <f t="shared" si="96"/>
        <v>0</v>
      </c>
      <c r="U294" s="21">
        <f t="shared" si="97"/>
        <v>0</v>
      </c>
      <c r="V294" s="21">
        <f t="shared" si="90"/>
        <v>31239.35</v>
      </c>
      <c r="W294" s="21"/>
      <c r="X294" s="5"/>
      <c r="Y294" s="5"/>
      <c r="Z294" s="5">
        <f t="shared" si="91"/>
        <v>0</v>
      </c>
      <c r="AA294" s="5">
        <v>35536.239999999998</v>
      </c>
      <c r="AB294" s="5" t="s">
        <v>258</v>
      </c>
      <c r="AC294" s="5">
        <f t="shared" si="92"/>
        <v>31239.35</v>
      </c>
      <c r="AD294" s="5">
        <f t="shared" si="93"/>
        <v>31239.35</v>
      </c>
      <c r="AE294" s="5">
        <f t="shared" si="94"/>
        <v>0</v>
      </c>
      <c r="AF294" s="5"/>
      <c r="AG294" s="5" t="s">
        <v>73</v>
      </c>
      <c r="AH294" s="5">
        <v>4</v>
      </c>
      <c r="AI294" s="5">
        <v>0</v>
      </c>
      <c r="AJ294" s="5" t="s">
        <v>333</v>
      </c>
      <c r="AK294" s="5" t="s">
        <v>256</v>
      </c>
      <c r="AL294" s="4" t="s">
        <v>90</v>
      </c>
      <c r="AM294" s="4" t="s">
        <v>137</v>
      </c>
      <c r="AN294" s="21"/>
      <c r="AO294" s="4"/>
      <c r="AP294" s="58"/>
      <c r="AQ294" s="58"/>
      <c r="AR294" s="23"/>
      <c r="AS294" s="23"/>
      <c r="AT294" s="4"/>
      <c r="AU294" s="4"/>
      <c r="AV294" s="4"/>
      <c r="AW294" s="4"/>
      <c r="AX294" s="9"/>
      <c r="AY294" s="9"/>
      <c r="AZ294" s="4"/>
      <c r="BB294" t="e">
        <f>VLOOKUP(B294,contactos!$A$1:$D$484,4,FALSE)</f>
        <v>#N/A</v>
      </c>
    </row>
    <row r="295" spans="2:54" customFormat="1" x14ac:dyDescent="0.25">
      <c r="B295" s="100">
        <v>487</v>
      </c>
      <c r="C295" s="4" t="s">
        <v>580</v>
      </c>
      <c r="D295" s="5">
        <v>26469.770000000004</v>
      </c>
      <c r="E295" s="5">
        <v>0</v>
      </c>
      <c r="F295" s="5">
        <v>4235.1632</v>
      </c>
      <c r="G295" s="5">
        <v>30704.93</v>
      </c>
      <c r="H295" s="5">
        <v>30704.93</v>
      </c>
      <c r="I295" s="5">
        <f t="shared" si="86"/>
        <v>26469.770000000004</v>
      </c>
      <c r="J295" s="5"/>
      <c r="K295" s="5">
        <f t="shared" si="87"/>
        <v>26469.770000000004</v>
      </c>
      <c r="L295" s="5">
        <f t="shared" si="88"/>
        <v>30704.933200000003</v>
      </c>
      <c r="M295" s="5"/>
      <c r="N295" s="5">
        <f t="shared" si="89"/>
        <v>30704.933200000003</v>
      </c>
      <c r="O295" s="21"/>
      <c r="P295" s="21"/>
      <c r="Q295" s="21"/>
      <c r="R295" s="21">
        <f t="shared" si="95"/>
        <v>0</v>
      </c>
      <c r="S295" s="21">
        <v>26469.770000000004</v>
      </c>
      <c r="T295" s="21">
        <f t="shared" si="96"/>
        <v>0</v>
      </c>
      <c r="U295" s="21">
        <f t="shared" si="97"/>
        <v>4235.1632</v>
      </c>
      <c r="V295" s="21">
        <f t="shared" si="90"/>
        <v>30704.933200000003</v>
      </c>
      <c r="W295" s="21"/>
      <c r="X295" s="5"/>
      <c r="Y295" s="5"/>
      <c r="Z295" s="5">
        <f t="shared" si="91"/>
        <v>0</v>
      </c>
      <c r="AA295" s="5">
        <v>46239.09</v>
      </c>
      <c r="AB295" s="5" t="s">
        <v>258</v>
      </c>
      <c r="AC295" s="5">
        <f t="shared" si="92"/>
        <v>26469.770000000004</v>
      </c>
      <c r="AD295" s="5">
        <f t="shared" si="93"/>
        <v>30704.933200000003</v>
      </c>
      <c r="AE295" s="5">
        <f t="shared" si="94"/>
        <v>-3.2000000028347131E-3</v>
      </c>
      <c r="AF295" s="5"/>
      <c r="AG295" s="5" t="s">
        <v>238</v>
      </c>
      <c r="AH295" s="5">
        <v>4</v>
      </c>
      <c r="AI295" s="5">
        <v>0</v>
      </c>
      <c r="AJ295" s="5">
        <v>0</v>
      </c>
      <c r="AK295" s="5" t="s">
        <v>256</v>
      </c>
      <c r="AL295" s="4" t="s">
        <v>90</v>
      </c>
      <c r="AM295" s="4" t="s">
        <v>141</v>
      </c>
      <c r="AN295" s="21"/>
      <c r="AO295" s="4"/>
      <c r="AP295" s="58"/>
      <c r="AQ295" s="58"/>
      <c r="AR295" s="23"/>
      <c r="AS295" s="23"/>
      <c r="AT295" s="4"/>
      <c r="AU295" s="4"/>
      <c r="AV295" s="4"/>
      <c r="AW295" s="4"/>
      <c r="AX295" s="9"/>
      <c r="AY295" s="9"/>
      <c r="AZ295" s="4"/>
      <c r="BB295" t="e">
        <f>VLOOKUP(B295,contactos!$A$1:$D$484,4,FALSE)</f>
        <v>#N/A</v>
      </c>
    </row>
    <row r="296" spans="2:54" customFormat="1" x14ac:dyDescent="0.25">
      <c r="B296" s="100">
        <v>226092</v>
      </c>
      <c r="C296" s="4" t="s">
        <v>581</v>
      </c>
      <c r="D296" s="5">
        <v>20819.2336346128</v>
      </c>
      <c r="E296" s="5">
        <v>5517.09711317238</v>
      </c>
      <c r="F296" s="5">
        <v>4213.8129716456197</v>
      </c>
      <c r="G296" s="5">
        <v>30550.160000000003</v>
      </c>
      <c r="H296" s="5">
        <v>30550.16</v>
      </c>
      <c r="I296" s="5">
        <f t="shared" si="86"/>
        <v>20819.2336346128</v>
      </c>
      <c r="J296" s="5"/>
      <c r="K296" s="5">
        <f t="shared" si="87"/>
        <v>20819.2336346128</v>
      </c>
      <c r="L296" s="5">
        <f t="shared" si="88"/>
        <v>30550.143719430798</v>
      </c>
      <c r="M296" s="5"/>
      <c r="N296" s="5">
        <f t="shared" si="89"/>
        <v>30550.143719430798</v>
      </c>
      <c r="O296" s="21"/>
      <c r="P296" s="21"/>
      <c r="Q296" s="21"/>
      <c r="R296" s="21">
        <f t="shared" si="95"/>
        <v>0</v>
      </c>
      <c r="S296" s="21">
        <v>20819.2336346128</v>
      </c>
      <c r="T296" s="21">
        <f t="shared" si="96"/>
        <v>5517.09711317238</v>
      </c>
      <c r="U296" s="21">
        <f t="shared" si="97"/>
        <v>4213.8129716456197</v>
      </c>
      <c r="V296" s="21">
        <f t="shared" si="90"/>
        <v>30550.143719430798</v>
      </c>
      <c r="W296" s="21"/>
      <c r="X296" s="5"/>
      <c r="Y296" s="5"/>
      <c r="Z296" s="5">
        <f t="shared" si="91"/>
        <v>0</v>
      </c>
      <c r="AA296" s="5">
        <v>362385.09</v>
      </c>
      <c r="AB296" s="5" t="s">
        <v>258</v>
      </c>
      <c r="AC296" s="5">
        <f t="shared" si="92"/>
        <v>20819.2336346128</v>
      </c>
      <c r="AD296" s="5">
        <f t="shared" si="93"/>
        <v>30550.143719430798</v>
      </c>
      <c r="AE296" s="5">
        <f t="shared" si="94"/>
        <v>1.6280569205264328E-2</v>
      </c>
      <c r="AF296" s="5"/>
      <c r="AG296" s="5" t="s">
        <v>73</v>
      </c>
      <c r="AH296" s="5">
        <v>4</v>
      </c>
      <c r="AI296" s="5">
        <v>0</v>
      </c>
      <c r="AJ296" s="5" t="s">
        <v>333</v>
      </c>
      <c r="AK296" s="5" t="s">
        <v>256</v>
      </c>
      <c r="AL296" s="4" t="s">
        <v>90</v>
      </c>
      <c r="AM296" s="4" t="s">
        <v>76</v>
      </c>
      <c r="AN296" s="21"/>
      <c r="AO296" s="4"/>
      <c r="AP296" s="58"/>
      <c r="AQ296" s="58"/>
      <c r="AR296" s="23"/>
      <c r="AS296" s="23"/>
      <c r="AT296" s="4"/>
      <c r="AU296" s="4"/>
      <c r="AV296" s="4"/>
      <c r="AW296" s="4"/>
      <c r="AX296" s="9"/>
      <c r="AY296" s="9"/>
      <c r="AZ296" s="4"/>
      <c r="BB296" t="e">
        <f>VLOOKUP(B296,contactos!$A$1:$D$484,4,FALSE)</f>
        <v>#N/A</v>
      </c>
    </row>
    <row r="297" spans="2:54" customFormat="1" x14ac:dyDescent="0.25">
      <c r="B297" s="100">
        <v>391011</v>
      </c>
      <c r="C297" s="4" t="s">
        <v>582</v>
      </c>
      <c r="D297" s="5">
        <v>25199.73</v>
      </c>
      <c r="E297" s="5">
        <v>0</v>
      </c>
      <c r="F297" s="5">
        <v>4031.9567999999999</v>
      </c>
      <c r="G297" s="5">
        <v>29231.7</v>
      </c>
      <c r="H297" s="5">
        <v>29232.09</v>
      </c>
      <c r="I297" s="5">
        <f t="shared" si="86"/>
        <v>25199.73</v>
      </c>
      <c r="J297" s="5"/>
      <c r="K297" s="5">
        <f t="shared" si="87"/>
        <v>25199.73</v>
      </c>
      <c r="L297" s="5">
        <f t="shared" si="88"/>
        <v>29231.686799999999</v>
      </c>
      <c r="M297" s="5"/>
      <c r="N297" s="5">
        <f t="shared" si="89"/>
        <v>29231.686799999999</v>
      </c>
      <c r="O297" s="21"/>
      <c r="P297" s="21"/>
      <c r="Q297" s="21"/>
      <c r="R297" s="21">
        <f t="shared" si="95"/>
        <v>0</v>
      </c>
      <c r="S297" s="21">
        <v>25199.73</v>
      </c>
      <c r="T297" s="21">
        <f t="shared" si="96"/>
        <v>0</v>
      </c>
      <c r="U297" s="21">
        <f t="shared" si="97"/>
        <v>4031.9567999999999</v>
      </c>
      <c r="V297" s="21">
        <f t="shared" si="90"/>
        <v>29231.686799999999</v>
      </c>
      <c r="W297" s="21"/>
      <c r="X297" s="5"/>
      <c r="Y297" s="5"/>
      <c r="Z297" s="5">
        <f t="shared" si="91"/>
        <v>0</v>
      </c>
      <c r="AA297" s="5">
        <v>9039.8799999999992</v>
      </c>
      <c r="AB297" s="5" t="s">
        <v>258</v>
      </c>
      <c r="AC297" s="5">
        <f t="shared" si="92"/>
        <v>25199.73</v>
      </c>
      <c r="AD297" s="5">
        <f t="shared" si="93"/>
        <v>29231.686799999999</v>
      </c>
      <c r="AE297" s="5">
        <f t="shared" si="94"/>
        <v>1.3200000001234002E-2</v>
      </c>
      <c r="AF297" s="5"/>
      <c r="AG297" s="5" t="s">
        <v>73</v>
      </c>
      <c r="AH297" s="5">
        <v>4</v>
      </c>
      <c r="AI297" s="5">
        <v>0</v>
      </c>
      <c r="AJ297" s="5" t="s">
        <v>333</v>
      </c>
      <c r="AK297" s="5" t="s">
        <v>256</v>
      </c>
      <c r="AL297" s="4" t="s">
        <v>90</v>
      </c>
      <c r="AM297" s="4" t="s">
        <v>76</v>
      </c>
      <c r="AN297" s="21"/>
      <c r="AO297" s="4"/>
      <c r="AP297" s="58"/>
      <c r="AQ297" s="58"/>
      <c r="AR297" s="23"/>
      <c r="AS297" s="23"/>
      <c r="AT297" s="4"/>
      <c r="AU297" s="4"/>
      <c r="AV297" s="4"/>
      <c r="AW297" s="4"/>
      <c r="AX297" s="9"/>
      <c r="AY297" s="9"/>
      <c r="AZ297" s="4"/>
      <c r="BB297" t="e">
        <f>VLOOKUP(B297,contactos!$A$1:$D$484,4,FALSE)</f>
        <v>#N/A</v>
      </c>
    </row>
    <row r="298" spans="2:54" customFormat="1" x14ac:dyDescent="0.25">
      <c r="B298" s="100">
        <v>73528</v>
      </c>
      <c r="C298" s="4" t="s">
        <v>583</v>
      </c>
      <c r="D298" s="5">
        <v>25055.383671184005</v>
      </c>
      <c r="E298" s="5">
        <v>0</v>
      </c>
      <c r="F298" s="5">
        <v>4008.86898738944</v>
      </c>
      <c r="G298" s="5">
        <v>29064.249999999996</v>
      </c>
      <c r="H298" s="5">
        <v>0</v>
      </c>
      <c r="I298" s="5">
        <f t="shared" si="86"/>
        <v>25055.383671184005</v>
      </c>
      <c r="J298" s="5"/>
      <c r="K298" s="5">
        <f t="shared" si="87"/>
        <v>25055.383671184005</v>
      </c>
      <c r="L298" s="5">
        <f t="shared" si="88"/>
        <v>29064.252658573445</v>
      </c>
      <c r="M298" s="5"/>
      <c r="N298" s="5">
        <f t="shared" si="89"/>
        <v>29064.252658573445</v>
      </c>
      <c r="O298" s="21"/>
      <c r="P298" s="21"/>
      <c r="Q298" s="21"/>
      <c r="R298" s="21">
        <f t="shared" si="95"/>
        <v>0</v>
      </c>
      <c r="S298" s="21">
        <v>25055.383671184005</v>
      </c>
      <c r="T298" s="21">
        <f t="shared" si="96"/>
        <v>0</v>
      </c>
      <c r="U298" s="21">
        <f t="shared" si="97"/>
        <v>4008.86898738944</v>
      </c>
      <c r="V298" s="21">
        <f t="shared" si="90"/>
        <v>29064.252658573445</v>
      </c>
      <c r="W298" s="21"/>
      <c r="X298" s="5"/>
      <c r="Y298" s="5"/>
      <c r="Z298" s="5">
        <f t="shared" si="91"/>
        <v>0</v>
      </c>
      <c r="AA298" s="5">
        <v>10235.07</v>
      </c>
      <c r="AB298" s="5" t="s">
        <v>258</v>
      </c>
      <c r="AC298" s="5">
        <f t="shared" si="92"/>
        <v>25055.383671184005</v>
      </c>
      <c r="AD298" s="5">
        <f t="shared" si="93"/>
        <v>29064.252658573445</v>
      </c>
      <c r="AE298" s="5">
        <f t="shared" si="94"/>
        <v>-2.658573448570678E-3</v>
      </c>
      <c r="AF298" s="5"/>
      <c r="AG298" s="5" t="s">
        <v>73</v>
      </c>
      <c r="AH298" s="5">
        <v>4</v>
      </c>
      <c r="AI298" s="5">
        <v>0</v>
      </c>
      <c r="AJ298" s="5">
        <v>0</v>
      </c>
      <c r="AK298" s="5" t="s">
        <v>256</v>
      </c>
      <c r="AL298" s="4" t="s">
        <v>90</v>
      </c>
      <c r="AM298" s="4" t="s">
        <v>162</v>
      </c>
      <c r="AN298" s="21"/>
      <c r="AO298" s="4"/>
      <c r="AP298" s="58"/>
      <c r="AQ298" s="58"/>
      <c r="AR298" s="23"/>
      <c r="AS298" s="23"/>
      <c r="AT298" s="4"/>
      <c r="AU298" s="4"/>
      <c r="AV298" s="4"/>
      <c r="AW298" s="4"/>
      <c r="AX298" s="9"/>
      <c r="AY298" s="9"/>
      <c r="AZ298" s="4"/>
      <c r="BB298" t="e">
        <f>VLOOKUP(B298,contactos!$A$1:$D$484,4,FALSE)</f>
        <v>#N/A</v>
      </c>
    </row>
    <row r="299" spans="2:54" customFormat="1" x14ac:dyDescent="0.25">
      <c r="B299" s="100">
        <v>396234</v>
      </c>
      <c r="C299" s="4" t="s">
        <v>584</v>
      </c>
      <c r="D299" s="5">
        <v>24788.137393540801</v>
      </c>
      <c r="E299" s="5">
        <v>0</v>
      </c>
      <c r="F299" s="5">
        <v>3966.1019829665274</v>
      </c>
      <c r="G299" s="5">
        <v>28754.29</v>
      </c>
      <c r="H299" s="5">
        <v>28754.29</v>
      </c>
      <c r="I299" s="5">
        <f t="shared" si="86"/>
        <v>24788.137393540801</v>
      </c>
      <c r="J299" s="5"/>
      <c r="K299" s="5">
        <f t="shared" si="87"/>
        <v>24788.137393540801</v>
      </c>
      <c r="L299" s="5">
        <f t="shared" si="88"/>
        <v>28754.239376507328</v>
      </c>
      <c r="M299" s="5"/>
      <c r="N299" s="5">
        <f t="shared" si="89"/>
        <v>28754.239376507328</v>
      </c>
      <c r="O299" s="21"/>
      <c r="P299" s="21"/>
      <c r="Q299" s="21"/>
      <c r="R299" s="21">
        <f t="shared" si="95"/>
        <v>0</v>
      </c>
      <c r="S299" s="21">
        <v>24788.137393540801</v>
      </c>
      <c r="T299" s="21">
        <f t="shared" si="96"/>
        <v>0</v>
      </c>
      <c r="U299" s="21">
        <f t="shared" si="97"/>
        <v>3966.1019829665274</v>
      </c>
      <c r="V299" s="21">
        <f t="shared" si="90"/>
        <v>28754.239376507328</v>
      </c>
      <c r="W299" s="21"/>
      <c r="X299" s="5"/>
      <c r="Y299" s="5"/>
      <c r="Z299" s="5">
        <f t="shared" si="91"/>
        <v>0</v>
      </c>
      <c r="AA299" s="5">
        <v>113153.43</v>
      </c>
      <c r="AB299" s="5" t="s">
        <v>258</v>
      </c>
      <c r="AC299" s="5">
        <f t="shared" si="92"/>
        <v>24788.137393540801</v>
      </c>
      <c r="AD299" s="5">
        <f t="shared" si="93"/>
        <v>28754.239376507328</v>
      </c>
      <c r="AE299" s="5">
        <f t="shared" si="94"/>
        <v>5.062349267245736E-2</v>
      </c>
      <c r="AF299" s="5"/>
      <c r="AG299" s="5" t="s">
        <v>238</v>
      </c>
      <c r="AH299" s="5">
        <v>4</v>
      </c>
      <c r="AI299" s="5">
        <v>0</v>
      </c>
      <c r="AJ299" s="5"/>
      <c r="AK299" s="5" t="s">
        <v>256</v>
      </c>
      <c r="AL299" s="4" t="s">
        <v>90</v>
      </c>
      <c r="AM299" s="4" t="s">
        <v>94</v>
      </c>
      <c r="AN299" s="21"/>
      <c r="AO299" s="4"/>
      <c r="AP299" s="58"/>
      <c r="AQ299" s="58"/>
      <c r="AR299" s="23"/>
      <c r="AS299" s="23"/>
      <c r="AT299" s="4"/>
      <c r="AU299" s="4"/>
      <c r="AV299" s="4"/>
      <c r="AW299" s="4"/>
      <c r="AX299" s="9"/>
      <c r="AY299" s="9"/>
      <c r="AZ299" s="4"/>
      <c r="BB299" t="e">
        <f>VLOOKUP(B299,contactos!$A$1:$D$484,4,FALSE)</f>
        <v>#N/A</v>
      </c>
    </row>
    <row r="300" spans="2:54" customFormat="1" x14ac:dyDescent="0.25">
      <c r="B300" s="100">
        <v>12246</v>
      </c>
      <c r="C300" s="4" t="s">
        <v>585</v>
      </c>
      <c r="D300" s="5">
        <v>28547.25</v>
      </c>
      <c r="E300" s="5">
        <v>0</v>
      </c>
      <c r="F300" s="5">
        <v>0</v>
      </c>
      <c r="G300" s="5">
        <v>28547.25</v>
      </c>
      <c r="H300" s="5">
        <v>28547.25</v>
      </c>
      <c r="I300" s="5">
        <f t="shared" si="86"/>
        <v>28547.25</v>
      </c>
      <c r="J300" s="5"/>
      <c r="K300" s="5">
        <f t="shared" si="87"/>
        <v>28547.25</v>
      </c>
      <c r="L300" s="5">
        <f t="shared" si="88"/>
        <v>28547.25</v>
      </c>
      <c r="M300" s="5"/>
      <c r="N300" s="5">
        <f t="shared" si="89"/>
        <v>28547.25</v>
      </c>
      <c r="O300" s="21"/>
      <c r="P300" s="21"/>
      <c r="Q300" s="21"/>
      <c r="R300" s="21">
        <f t="shared" si="95"/>
        <v>0</v>
      </c>
      <c r="S300" s="21">
        <v>28547.25</v>
      </c>
      <c r="T300" s="21">
        <f t="shared" si="96"/>
        <v>0</v>
      </c>
      <c r="U300" s="21">
        <f t="shared" si="97"/>
        <v>0</v>
      </c>
      <c r="V300" s="21">
        <f t="shared" si="90"/>
        <v>28547.25</v>
      </c>
      <c r="W300" s="21"/>
      <c r="X300" s="5"/>
      <c r="Y300" s="5"/>
      <c r="Z300" s="5">
        <f t="shared" si="91"/>
        <v>0</v>
      </c>
      <c r="AA300" s="5">
        <v>17394.849999999999</v>
      </c>
      <c r="AB300" s="5" t="s">
        <v>258</v>
      </c>
      <c r="AC300" s="5">
        <f t="shared" si="92"/>
        <v>28547.25</v>
      </c>
      <c r="AD300" s="5">
        <f t="shared" si="93"/>
        <v>28547.25</v>
      </c>
      <c r="AE300" s="5">
        <f t="shared" si="94"/>
        <v>0</v>
      </c>
      <c r="AF300" s="5"/>
      <c r="AG300" s="5" t="s">
        <v>238</v>
      </c>
      <c r="AH300" s="5">
        <v>4</v>
      </c>
      <c r="AI300" s="5">
        <v>0</v>
      </c>
      <c r="AJ300" s="5"/>
      <c r="AK300" s="5" t="s">
        <v>256</v>
      </c>
      <c r="AL300" s="4" t="s">
        <v>90</v>
      </c>
      <c r="AM300" s="4" t="s">
        <v>94</v>
      </c>
      <c r="AN300" s="21"/>
      <c r="AO300" s="4"/>
      <c r="AP300" s="58"/>
      <c r="AQ300" s="58"/>
      <c r="AR300" s="23"/>
      <c r="AS300" s="23"/>
      <c r="AT300" s="4"/>
      <c r="AU300" s="4"/>
      <c r="AV300" s="4"/>
      <c r="AW300" s="4"/>
      <c r="AX300" s="9"/>
      <c r="AY300" s="9"/>
      <c r="AZ300" s="4"/>
      <c r="BB300" t="e">
        <f>VLOOKUP(B300,contactos!$A$1:$D$484,4,FALSE)</f>
        <v>#N/A</v>
      </c>
    </row>
    <row r="301" spans="2:54" customFormat="1" x14ac:dyDescent="0.25">
      <c r="B301" s="100">
        <v>308721</v>
      </c>
      <c r="C301" s="4" t="s">
        <v>586</v>
      </c>
      <c r="D301" s="5">
        <v>23288.649001843005</v>
      </c>
      <c r="E301" s="5">
        <v>0</v>
      </c>
      <c r="F301" s="5">
        <v>3646.7089402948804</v>
      </c>
      <c r="G301" s="5">
        <v>26935.340000000004</v>
      </c>
      <c r="H301" s="5">
        <v>26935.35</v>
      </c>
      <c r="I301" s="5">
        <f t="shared" si="86"/>
        <v>23288.649001843005</v>
      </c>
      <c r="J301" s="5"/>
      <c r="K301" s="5">
        <f t="shared" si="87"/>
        <v>23288.649001843005</v>
      </c>
      <c r="L301" s="5">
        <f t="shared" si="88"/>
        <v>26935.357942137885</v>
      </c>
      <c r="M301" s="5"/>
      <c r="N301" s="5">
        <f t="shared" si="89"/>
        <v>26935.357942137885</v>
      </c>
      <c r="O301" s="27"/>
      <c r="P301" s="27"/>
      <c r="Q301" s="27"/>
      <c r="R301" s="21">
        <f t="shared" si="95"/>
        <v>0</v>
      </c>
      <c r="S301" s="27">
        <v>23288.649001843005</v>
      </c>
      <c r="T301" s="21">
        <f t="shared" si="96"/>
        <v>0</v>
      </c>
      <c r="U301" s="21">
        <f t="shared" si="97"/>
        <v>3646.7089402948804</v>
      </c>
      <c r="V301" s="21">
        <f t="shared" si="90"/>
        <v>26935.357942137885</v>
      </c>
      <c r="W301" s="27"/>
      <c r="X301" s="5"/>
      <c r="Y301" s="5"/>
      <c r="Z301" s="5">
        <f t="shared" si="91"/>
        <v>0</v>
      </c>
      <c r="AA301" s="5"/>
      <c r="AB301" s="5" t="s">
        <v>258</v>
      </c>
      <c r="AC301" s="5">
        <f t="shared" si="92"/>
        <v>23288.649001843005</v>
      </c>
      <c r="AD301" s="5">
        <f t="shared" si="93"/>
        <v>26935.357942137885</v>
      </c>
      <c r="AE301" s="5">
        <f t="shared" si="94"/>
        <v>-1.7942137881618692E-2</v>
      </c>
      <c r="AF301" s="5"/>
      <c r="AG301" s="5" t="s">
        <v>73</v>
      </c>
      <c r="AH301" s="5">
        <v>4</v>
      </c>
      <c r="AI301" s="5">
        <v>0</v>
      </c>
      <c r="AJ301" s="5">
        <v>0</v>
      </c>
      <c r="AK301" s="5" t="s">
        <v>256</v>
      </c>
      <c r="AL301" s="4" t="s">
        <v>90</v>
      </c>
      <c r="AM301" s="4" t="s">
        <v>83</v>
      </c>
      <c r="AN301" s="27"/>
      <c r="AO301" s="4"/>
      <c r="AP301" s="58"/>
      <c r="AQ301" s="58"/>
      <c r="AR301" s="23"/>
      <c r="AS301" s="23"/>
      <c r="AT301" s="4"/>
      <c r="AU301" s="4"/>
      <c r="AV301" s="4"/>
      <c r="AW301" s="4"/>
      <c r="AX301" s="12"/>
      <c r="AY301" s="12"/>
      <c r="AZ301" s="12"/>
      <c r="BB301" t="e">
        <f>VLOOKUP(B301,contactos!$A$1:$D$484,4,FALSE)</f>
        <v>#N/A</v>
      </c>
    </row>
    <row r="302" spans="2:54" customFormat="1" x14ac:dyDescent="0.25">
      <c r="B302" s="100">
        <v>4404</v>
      </c>
      <c r="C302" s="4" t="s">
        <v>587</v>
      </c>
      <c r="D302" s="5">
        <v>23186.02</v>
      </c>
      <c r="E302" s="5">
        <v>0</v>
      </c>
      <c r="F302" s="5">
        <v>3709.7805999999996</v>
      </c>
      <c r="G302" s="5">
        <v>26895.94</v>
      </c>
      <c r="H302" s="5">
        <v>26895.94</v>
      </c>
      <c r="I302" s="5">
        <f t="shared" si="86"/>
        <v>23186.02</v>
      </c>
      <c r="J302" s="5"/>
      <c r="K302" s="5">
        <f t="shared" si="87"/>
        <v>23186.02</v>
      </c>
      <c r="L302" s="5">
        <f t="shared" si="88"/>
        <v>26895.800599999999</v>
      </c>
      <c r="M302" s="5"/>
      <c r="N302" s="5">
        <f t="shared" si="89"/>
        <v>26895.800599999999</v>
      </c>
      <c r="O302" s="21"/>
      <c r="P302" s="21"/>
      <c r="Q302" s="21"/>
      <c r="R302" s="21">
        <f t="shared" si="95"/>
        <v>0</v>
      </c>
      <c r="S302" s="21">
        <v>23186.02</v>
      </c>
      <c r="T302" s="21">
        <f t="shared" si="96"/>
        <v>0</v>
      </c>
      <c r="U302" s="21">
        <f t="shared" si="97"/>
        <v>3709.7805999999996</v>
      </c>
      <c r="V302" s="21">
        <f t="shared" si="90"/>
        <v>26895.800599999999</v>
      </c>
      <c r="W302" s="21"/>
      <c r="X302" s="5"/>
      <c r="Y302" s="5"/>
      <c r="Z302" s="5">
        <f t="shared" si="91"/>
        <v>0</v>
      </c>
      <c r="AA302" s="5">
        <v>16270.37</v>
      </c>
      <c r="AB302" s="5" t="s">
        <v>258</v>
      </c>
      <c r="AC302" s="5">
        <f t="shared" si="92"/>
        <v>23186.02</v>
      </c>
      <c r="AD302" s="5">
        <f t="shared" si="93"/>
        <v>26895.800599999999</v>
      </c>
      <c r="AE302" s="5">
        <f t="shared" si="94"/>
        <v>0.13940000000002328</v>
      </c>
      <c r="AF302" s="5"/>
      <c r="AG302" s="5" t="s">
        <v>238</v>
      </c>
      <c r="AH302" s="5">
        <v>4</v>
      </c>
      <c r="AI302" s="5">
        <v>0</v>
      </c>
      <c r="AJ302" s="5">
        <v>0</v>
      </c>
      <c r="AK302" s="5" t="s">
        <v>256</v>
      </c>
      <c r="AL302" s="4" t="s">
        <v>90</v>
      </c>
      <c r="AM302" s="4" t="s">
        <v>112</v>
      </c>
      <c r="AN302" s="21"/>
      <c r="AO302" s="4"/>
      <c r="AP302" s="58"/>
      <c r="AQ302" s="58"/>
      <c r="AR302" s="23"/>
      <c r="AS302" s="23"/>
      <c r="AT302" s="4"/>
      <c r="AU302" s="4"/>
      <c r="AV302" s="4"/>
      <c r="AW302" s="4"/>
      <c r="AX302" s="9"/>
      <c r="AY302" s="9"/>
      <c r="AZ302" s="4"/>
      <c r="BB302" t="e">
        <f>VLOOKUP(B302,contactos!$A$1:$D$484,4,FALSE)</f>
        <v>#N/A</v>
      </c>
    </row>
    <row r="303" spans="2:54" customFormat="1" x14ac:dyDescent="0.25">
      <c r="B303" s="100">
        <v>203749</v>
      </c>
      <c r="C303" s="4" t="s">
        <v>588</v>
      </c>
      <c r="D303" s="5">
        <v>22446.83</v>
      </c>
      <c r="E303" s="5">
        <v>0</v>
      </c>
      <c r="F303" s="5">
        <v>3591.4928</v>
      </c>
      <c r="G303" s="5">
        <v>26038.32</v>
      </c>
      <c r="H303" s="5">
        <v>26038.32</v>
      </c>
      <c r="I303" s="5">
        <f t="shared" si="86"/>
        <v>22446.83</v>
      </c>
      <c r="J303" s="5"/>
      <c r="K303" s="5">
        <f t="shared" si="87"/>
        <v>22446.83</v>
      </c>
      <c r="L303" s="5">
        <f t="shared" si="88"/>
        <v>26038.322800000002</v>
      </c>
      <c r="M303" s="5"/>
      <c r="N303" s="5">
        <f t="shared" si="89"/>
        <v>26038.322800000002</v>
      </c>
      <c r="O303" s="21"/>
      <c r="P303" s="21"/>
      <c r="Q303" s="21"/>
      <c r="R303" s="21">
        <f t="shared" si="95"/>
        <v>0</v>
      </c>
      <c r="S303" s="21">
        <v>22446.83</v>
      </c>
      <c r="T303" s="21">
        <f t="shared" si="96"/>
        <v>0</v>
      </c>
      <c r="U303" s="21">
        <f t="shared" si="97"/>
        <v>3591.4928</v>
      </c>
      <c r="V303" s="21">
        <f t="shared" si="90"/>
        <v>26038.322800000002</v>
      </c>
      <c r="W303" s="21"/>
      <c r="X303" s="5"/>
      <c r="Y303" s="5"/>
      <c r="Z303" s="5">
        <f t="shared" si="91"/>
        <v>0</v>
      </c>
      <c r="AA303" s="5">
        <v>162976.04999999999</v>
      </c>
      <c r="AB303" s="5" t="s">
        <v>258</v>
      </c>
      <c r="AC303" s="5">
        <f t="shared" si="92"/>
        <v>22446.83</v>
      </c>
      <c r="AD303" s="5">
        <f t="shared" si="93"/>
        <v>26038.322800000002</v>
      </c>
      <c r="AE303" s="5">
        <f t="shared" si="94"/>
        <v>-2.8000000020256266E-3</v>
      </c>
      <c r="AF303" s="5"/>
      <c r="AG303" s="5" t="s">
        <v>238</v>
      </c>
      <c r="AH303" s="5">
        <v>4</v>
      </c>
      <c r="AI303" s="5">
        <v>0</v>
      </c>
      <c r="AJ303" s="5">
        <v>0</v>
      </c>
      <c r="AK303" s="5" t="s">
        <v>256</v>
      </c>
      <c r="AL303" s="4" t="s">
        <v>90</v>
      </c>
      <c r="AM303" s="4" t="s">
        <v>141</v>
      </c>
      <c r="AN303" s="21"/>
      <c r="AO303" s="4"/>
      <c r="AP303" s="58"/>
      <c r="AQ303" s="58"/>
      <c r="AR303" s="23"/>
      <c r="AS303" s="23"/>
      <c r="AT303" s="4"/>
      <c r="AU303" s="4"/>
      <c r="AV303" s="4"/>
      <c r="AW303" s="4"/>
      <c r="AX303" s="9"/>
      <c r="AY303" s="9"/>
      <c r="AZ303" s="4"/>
      <c r="BB303" t="e">
        <f>VLOOKUP(B303,contactos!$A$1:$D$484,4,FALSE)</f>
        <v>#N/A</v>
      </c>
    </row>
    <row r="304" spans="2:54" customFormat="1" x14ac:dyDescent="0.25">
      <c r="B304" s="100">
        <v>312017</v>
      </c>
      <c r="C304" s="4" t="s">
        <v>589</v>
      </c>
      <c r="D304" s="5">
        <v>25810.789999999994</v>
      </c>
      <c r="E304" s="5">
        <v>0</v>
      </c>
      <c r="F304" s="5">
        <v>0</v>
      </c>
      <c r="G304" s="5">
        <v>25810.789999999994</v>
      </c>
      <c r="H304" s="5">
        <v>25810.79</v>
      </c>
      <c r="I304" s="5">
        <f t="shared" si="86"/>
        <v>25810.789999999994</v>
      </c>
      <c r="J304" s="5"/>
      <c r="K304" s="5">
        <f t="shared" si="87"/>
        <v>25810.789999999994</v>
      </c>
      <c r="L304" s="5">
        <f t="shared" si="88"/>
        <v>25810.789999999994</v>
      </c>
      <c r="M304" s="5"/>
      <c r="N304" s="5">
        <f t="shared" si="89"/>
        <v>25810.789999999994</v>
      </c>
      <c r="O304" s="21"/>
      <c r="P304" s="21"/>
      <c r="Q304" s="21"/>
      <c r="R304" s="21">
        <f t="shared" si="95"/>
        <v>0</v>
      </c>
      <c r="S304" s="21">
        <v>25810.789999999994</v>
      </c>
      <c r="T304" s="21">
        <f t="shared" si="96"/>
        <v>0</v>
      </c>
      <c r="U304" s="21">
        <f t="shared" si="97"/>
        <v>0</v>
      </c>
      <c r="V304" s="21">
        <f t="shared" si="90"/>
        <v>25810.789999999994</v>
      </c>
      <c r="W304" s="21"/>
      <c r="X304" s="5"/>
      <c r="Y304" s="5"/>
      <c r="Z304" s="5">
        <f t="shared" si="91"/>
        <v>0</v>
      </c>
      <c r="AA304" s="5">
        <v>352721.39</v>
      </c>
      <c r="AB304" s="5" t="s">
        <v>258</v>
      </c>
      <c r="AC304" s="5">
        <f t="shared" si="92"/>
        <v>25810.789999999994</v>
      </c>
      <c r="AD304" s="5">
        <f t="shared" si="93"/>
        <v>25810.789999999994</v>
      </c>
      <c r="AE304" s="5">
        <f t="shared" si="94"/>
        <v>0</v>
      </c>
      <c r="AF304" s="5"/>
      <c r="AG304" s="5" t="s">
        <v>238</v>
      </c>
      <c r="AH304" s="5">
        <v>4</v>
      </c>
      <c r="AI304" s="5">
        <v>0</v>
      </c>
      <c r="AJ304" s="5">
        <v>0</v>
      </c>
      <c r="AK304" s="5" t="s">
        <v>256</v>
      </c>
      <c r="AL304" s="4" t="s">
        <v>90</v>
      </c>
      <c r="AM304" s="4" t="s">
        <v>107</v>
      </c>
      <c r="AN304" s="21"/>
      <c r="AO304" s="4"/>
      <c r="AP304" s="58"/>
      <c r="AQ304" s="58"/>
      <c r="AR304" s="23"/>
      <c r="AS304" s="23"/>
      <c r="AT304" s="4"/>
      <c r="AU304" s="4"/>
      <c r="AV304" s="4"/>
      <c r="AW304" s="4"/>
      <c r="AX304" s="9"/>
      <c r="AY304" s="9"/>
      <c r="AZ304" s="4"/>
      <c r="BB304" t="e">
        <f>VLOOKUP(B304,contactos!$A$1:$D$484,4,FALSE)</f>
        <v>#N/A</v>
      </c>
    </row>
    <row r="305" spans="2:54" customFormat="1" x14ac:dyDescent="0.25">
      <c r="B305" s="100">
        <v>329763</v>
      </c>
      <c r="C305" s="4" t="s">
        <v>590</v>
      </c>
      <c r="D305" s="5">
        <v>22230.299800000001</v>
      </c>
      <c r="E305" s="5">
        <v>0</v>
      </c>
      <c r="F305" s="5">
        <v>3556.8480000000004</v>
      </c>
      <c r="G305" s="5">
        <v>25787.123399999997</v>
      </c>
      <c r="H305" s="5">
        <v>0</v>
      </c>
      <c r="I305" s="5">
        <f t="shared" si="86"/>
        <v>22230.299800000001</v>
      </c>
      <c r="J305" s="5"/>
      <c r="K305" s="5">
        <f t="shared" si="87"/>
        <v>22230.299800000001</v>
      </c>
      <c r="L305" s="5">
        <f t="shared" si="88"/>
        <v>25787.147800000002</v>
      </c>
      <c r="M305" s="5"/>
      <c r="N305" s="5">
        <f t="shared" si="89"/>
        <v>25787.147800000002</v>
      </c>
      <c r="O305" s="21"/>
      <c r="P305" s="21"/>
      <c r="Q305" s="21"/>
      <c r="R305" s="21">
        <f t="shared" si="95"/>
        <v>0</v>
      </c>
      <c r="S305" s="21">
        <v>22230.299800000001</v>
      </c>
      <c r="T305" s="21">
        <f t="shared" si="96"/>
        <v>0</v>
      </c>
      <c r="U305" s="21">
        <f t="shared" si="97"/>
        <v>3556.8480000000004</v>
      </c>
      <c r="V305" s="21">
        <f t="shared" si="90"/>
        <v>25787.147800000002</v>
      </c>
      <c r="W305" s="21"/>
      <c r="X305" s="5"/>
      <c r="Y305" s="5"/>
      <c r="Z305" s="5">
        <f t="shared" si="91"/>
        <v>0</v>
      </c>
      <c r="AA305" s="5"/>
      <c r="AB305" s="5" t="s">
        <v>258</v>
      </c>
      <c r="AC305" s="5">
        <f t="shared" si="92"/>
        <v>22230.299800000001</v>
      </c>
      <c r="AD305" s="5">
        <f t="shared" si="93"/>
        <v>25787.147800000002</v>
      </c>
      <c r="AE305" s="5">
        <f t="shared" si="94"/>
        <v>-2.440000000569853E-2</v>
      </c>
      <c r="AF305" s="5"/>
      <c r="AG305" s="5" t="s">
        <v>238</v>
      </c>
      <c r="AH305" s="5">
        <v>4</v>
      </c>
      <c r="AI305" s="5">
        <v>0</v>
      </c>
      <c r="AJ305" s="5">
        <v>0</v>
      </c>
      <c r="AK305" s="5" t="s">
        <v>256</v>
      </c>
      <c r="AL305" s="4" t="s">
        <v>90</v>
      </c>
      <c r="AM305" s="4" t="s">
        <v>91</v>
      </c>
      <c r="AN305" s="21"/>
      <c r="AO305" s="4"/>
      <c r="AP305" s="58"/>
      <c r="AQ305" s="58"/>
      <c r="AR305" s="23"/>
      <c r="AS305" s="23"/>
      <c r="AT305" s="4"/>
      <c r="AU305" s="4"/>
      <c r="AV305" s="4"/>
      <c r="AW305" s="4"/>
      <c r="AX305" s="9"/>
      <c r="AY305" s="9"/>
      <c r="AZ305" s="4"/>
      <c r="BB305" t="e">
        <f>VLOOKUP(B305,contactos!$A$1:$D$484,4,FALSE)</f>
        <v>#N/A</v>
      </c>
    </row>
    <row r="306" spans="2:54" customFormat="1" x14ac:dyDescent="0.25">
      <c r="B306" s="100">
        <v>77933</v>
      </c>
      <c r="C306" s="4" t="s">
        <v>591</v>
      </c>
      <c r="D306" s="5">
        <v>22135.75</v>
      </c>
      <c r="E306" s="5">
        <v>0</v>
      </c>
      <c r="F306" s="5">
        <v>3541.72</v>
      </c>
      <c r="G306" s="5">
        <v>25677.47</v>
      </c>
      <c r="H306" s="5">
        <v>25677.47</v>
      </c>
      <c r="I306" s="5">
        <f t="shared" si="86"/>
        <v>22135.75</v>
      </c>
      <c r="J306" s="5"/>
      <c r="K306" s="5">
        <f t="shared" si="87"/>
        <v>22135.75</v>
      </c>
      <c r="L306" s="5">
        <f t="shared" si="88"/>
        <v>25677.47</v>
      </c>
      <c r="M306" s="5"/>
      <c r="N306" s="5">
        <f t="shared" si="89"/>
        <v>25677.47</v>
      </c>
      <c r="O306" s="21"/>
      <c r="P306" s="21"/>
      <c r="Q306" s="21"/>
      <c r="R306" s="21">
        <f t="shared" si="95"/>
        <v>0</v>
      </c>
      <c r="S306" s="21">
        <v>22135.75</v>
      </c>
      <c r="T306" s="21">
        <f t="shared" si="96"/>
        <v>0</v>
      </c>
      <c r="U306" s="21">
        <f t="shared" si="97"/>
        <v>3541.72</v>
      </c>
      <c r="V306" s="21">
        <f t="shared" si="90"/>
        <v>25677.47</v>
      </c>
      <c r="W306" s="21"/>
      <c r="X306" s="5"/>
      <c r="Y306" s="5"/>
      <c r="Z306" s="5">
        <f t="shared" si="91"/>
        <v>0</v>
      </c>
      <c r="AA306" s="5">
        <v>54203.08</v>
      </c>
      <c r="AB306" s="5" t="s">
        <v>258</v>
      </c>
      <c r="AC306" s="5">
        <f t="shared" si="92"/>
        <v>22135.75</v>
      </c>
      <c r="AD306" s="5">
        <f t="shared" si="93"/>
        <v>25677.47</v>
      </c>
      <c r="AE306" s="5">
        <f t="shared" si="94"/>
        <v>0</v>
      </c>
      <c r="AF306" s="5"/>
      <c r="AG306" s="5" t="s">
        <v>73</v>
      </c>
      <c r="AH306" s="5">
        <v>4</v>
      </c>
      <c r="AI306" s="5">
        <v>1</v>
      </c>
      <c r="AJ306" s="5" t="s">
        <v>592</v>
      </c>
      <c r="AK306" s="5" t="s">
        <v>59</v>
      </c>
      <c r="AL306" s="4" t="s">
        <v>75</v>
      </c>
      <c r="AM306" s="6" t="s">
        <v>119</v>
      </c>
      <c r="AN306" s="46">
        <v>2188.5300000000002</v>
      </c>
      <c r="AO306" s="47" t="s">
        <v>593</v>
      </c>
      <c r="AP306" s="58">
        <v>1</v>
      </c>
      <c r="AQ306" s="58" t="s">
        <v>125</v>
      </c>
      <c r="AR306" s="23">
        <v>46048</v>
      </c>
      <c r="AS306" s="23">
        <v>46049</v>
      </c>
      <c r="AT306" s="4"/>
      <c r="AU306" s="4"/>
      <c r="AV306" s="4" t="s">
        <v>594</v>
      </c>
      <c r="AW306" s="4" t="s">
        <v>70</v>
      </c>
      <c r="AX306" s="9" t="s">
        <v>198</v>
      </c>
      <c r="AY306" s="9"/>
      <c r="AZ306" s="4"/>
      <c r="BA306" t="s">
        <v>595</v>
      </c>
      <c r="BB306" t="e">
        <f>VLOOKUP(B306,contactos!$A$1:$D$484,4,FALSE)</f>
        <v>#N/A</v>
      </c>
    </row>
    <row r="307" spans="2:54" customFormat="1" x14ac:dyDescent="0.25">
      <c r="B307" s="131">
        <v>387779</v>
      </c>
      <c r="C307" s="4" t="s">
        <v>596</v>
      </c>
      <c r="D307" s="5">
        <v>21516.455869416</v>
      </c>
      <c r="E307" s="5">
        <v>0</v>
      </c>
      <c r="F307" s="5">
        <v>3442.6329391065601</v>
      </c>
      <c r="G307" s="5">
        <v>24959.09</v>
      </c>
      <c r="H307" s="5">
        <v>24959.09</v>
      </c>
      <c r="I307" s="5">
        <f t="shared" si="86"/>
        <v>21516.455869416</v>
      </c>
      <c r="J307" s="5"/>
      <c r="K307" s="5">
        <f t="shared" si="87"/>
        <v>21516.455869416</v>
      </c>
      <c r="L307" s="5">
        <f t="shared" si="88"/>
        <v>24959.08880852256</v>
      </c>
      <c r="M307" s="5"/>
      <c r="N307" s="5">
        <f t="shared" si="89"/>
        <v>24959.08880852256</v>
      </c>
      <c r="O307" s="21"/>
      <c r="P307" s="21"/>
      <c r="Q307" s="21"/>
      <c r="R307" s="21">
        <f t="shared" si="95"/>
        <v>0</v>
      </c>
      <c r="S307" s="21">
        <v>21516.455869416</v>
      </c>
      <c r="T307" s="21">
        <f t="shared" si="96"/>
        <v>0</v>
      </c>
      <c r="U307" s="21">
        <f t="shared" si="97"/>
        <v>3442.6329391065601</v>
      </c>
      <c r="V307" s="21">
        <f t="shared" si="90"/>
        <v>24959.08880852256</v>
      </c>
      <c r="W307" s="21"/>
      <c r="X307" s="5"/>
      <c r="Y307" s="5"/>
      <c r="Z307" s="5">
        <f t="shared" si="91"/>
        <v>0</v>
      </c>
      <c r="AA307" s="5">
        <v>576833.03</v>
      </c>
      <c r="AB307" s="5" t="s">
        <v>258</v>
      </c>
      <c r="AC307" s="5">
        <f t="shared" si="92"/>
        <v>21516.455869416</v>
      </c>
      <c r="AD307" s="5">
        <f t="shared" si="93"/>
        <v>24959.08880852256</v>
      </c>
      <c r="AE307" s="5">
        <f t="shared" si="94"/>
        <v>1.1914774404431228E-3</v>
      </c>
      <c r="AF307" s="5"/>
      <c r="AG307" s="5" t="s">
        <v>73</v>
      </c>
      <c r="AH307" s="5">
        <v>4</v>
      </c>
      <c r="AI307" s="5">
        <v>0</v>
      </c>
      <c r="AJ307" s="5">
        <v>0</v>
      </c>
      <c r="AK307" s="5" t="s">
        <v>256</v>
      </c>
      <c r="AL307" s="4" t="s">
        <v>90</v>
      </c>
      <c r="AM307" s="6" t="s">
        <v>103</v>
      </c>
      <c r="AN307" s="21"/>
      <c r="AO307" s="4"/>
      <c r="AP307" s="58"/>
      <c r="AQ307" s="58"/>
      <c r="AR307" s="23"/>
      <c r="AS307" s="23"/>
      <c r="AT307" s="4"/>
      <c r="AU307" s="4"/>
      <c r="AV307" s="52"/>
      <c r="AW307" s="52"/>
      <c r="AX307" s="9"/>
      <c r="AY307" s="9"/>
      <c r="AZ307" s="4"/>
      <c r="BB307" t="e">
        <f>VLOOKUP(B307,contactos!$A$1:$D$484,4,FALSE)</f>
        <v>#N/A</v>
      </c>
    </row>
    <row r="308" spans="2:54" customFormat="1" x14ac:dyDescent="0.25">
      <c r="B308" s="100">
        <v>20845</v>
      </c>
      <c r="C308" s="4" t="s">
        <v>597</v>
      </c>
      <c r="D308" s="5">
        <v>21475.68</v>
      </c>
      <c r="E308" s="5">
        <v>0</v>
      </c>
      <c r="F308" s="5">
        <v>3436.1088</v>
      </c>
      <c r="G308" s="5">
        <v>24911.78</v>
      </c>
      <c r="H308" s="5">
        <v>24911.78</v>
      </c>
      <c r="I308" s="5">
        <f t="shared" si="86"/>
        <v>21475.68</v>
      </c>
      <c r="J308" s="5"/>
      <c r="K308" s="5">
        <f t="shared" si="87"/>
        <v>21475.68</v>
      </c>
      <c r="L308" s="5">
        <f t="shared" si="88"/>
        <v>24911.788800000002</v>
      </c>
      <c r="M308" s="5"/>
      <c r="N308" s="5">
        <f t="shared" si="89"/>
        <v>24911.788800000002</v>
      </c>
      <c r="O308" s="27"/>
      <c r="P308" s="27"/>
      <c r="Q308" s="27"/>
      <c r="R308" s="21">
        <f t="shared" si="95"/>
        <v>0</v>
      </c>
      <c r="S308" s="27">
        <v>21475.68</v>
      </c>
      <c r="T308" s="21">
        <f t="shared" si="96"/>
        <v>0</v>
      </c>
      <c r="U308" s="21">
        <f t="shared" si="97"/>
        <v>3436.1088</v>
      </c>
      <c r="V308" s="21">
        <f t="shared" si="90"/>
        <v>24911.788800000002</v>
      </c>
      <c r="W308" s="27"/>
      <c r="X308" s="5"/>
      <c r="Y308" s="5"/>
      <c r="Z308" s="5">
        <f t="shared" si="91"/>
        <v>0</v>
      </c>
      <c r="AA308" s="5">
        <v>18833.95</v>
      </c>
      <c r="AB308" s="5" t="s">
        <v>258</v>
      </c>
      <c r="AC308" s="5">
        <f t="shared" si="92"/>
        <v>21475.68</v>
      </c>
      <c r="AD308" s="5">
        <f t="shared" si="93"/>
        <v>24911.788800000002</v>
      </c>
      <c r="AE308" s="5">
        <f t="shared" si="94"/>
        <v>-8.8000000032479875E-3</v>
      </c>
      <c r="AF308" s="5"/>
      <c r="AG308" s="5" t="s">
        <v>73</v>
      </c>
      <c r="AH308" s="5">
        <v>4</v>
      </c>
      <c r="AI308" s="5">
        <v>0</v>
      </c>
      <c r="AJ308" s="5">
        <v>0</v>
      </c>
      <c r="AK308" s="5" t="s">
        <v>256</v>
      </c>
      <c r="AL308" s="4" t="s">
        <v>90</v>
      </c>
      <c r="AM308" s="4" t="s">
        <v>83</v>
      </c>
      <c r="AN308" s="27"/>
      <c r="AO308" s="4"/>
      <c r="AP308" s="58"/>
      <c r="AQ308" s="58"/>
      <c r="AR308" s="23"/>
      <c r="AS308" s="23"/>
      <c r="AT308" s="4"/>
      <c r="AU308" s="4"/>
      <c r="AV308" s="4"/>
      <c r="AW308" s="4"/>
      <c r="AX308" s="12"/>
      <c r="AY308" s="12"/>
      <c r="AZ308" s="12"/>
      <c r="BB308" t="e">
        <f>VLOOKUP(B308,contactos!$A$1:$D$484,4,FALSE)</f>
        <v>#N/A</v>
      </c>
    </row>
    <row r="309" spans="2:54" customFormat="1" x14ac:dyDescent="0.25">
      <c r="B309" s="100">
        <v>345983</v>
      </c>
      <c r="C309" s="4" t="s">
        <v>598</v>
      </c>
      <c r="D309" s="5">
        <v>24365.25</v>
      </c>
      <c r="E309" s="5">
        <v>0</v>
      </c>
      <c r="F309" s="5">
        <v>0</v>
      </c>
      <c r="G309" s="5">
        <v>24365.25</v>
      </c>
      <c r="H309" s="5">
        <v>24365.25</v>
      </c>
      <c r="I309" s="5">
        <f t="shared" si="86"/>
        <v>24365.25</v>
      </c>
      <c r="J309" s="5"/>
      <c r="K309" s="5">
        <f t="shared" si="87"/>
        <v>24365.25</v>
      </c>
      <c r="L309" s="5">
        <f t="shared" si="88"/>
        <v>24365.25</v>
      </c>
      <c r="M309" s="5"/>
      <c r="N309" s="5">
        <f t="shared" si="89"/>
        <v>24365.25</v>
      </c>
      <c r="O309" s="21"/>
      <c r="P309" s="21"/>
      <c r="Q309" s="21"/>
      <c r="R309" s="21">
        <f t="shared" si="95"/>
        <v>0</v>
      </c>
      <c r="S309" s="21">
        <v>24365.25</v>
      </c>
      <c r="T309" s="21">
        <f t="shared" si="96"/>
        <v>0</v>
      </c>
      <c r="U309" s="21">
        <f t="shared" si="97"/>
        <v>0</v>
      </c>
      <c r="V309" s="21">
        <f t="shared" si="90"/>
        <v>24365.25</v>
      </c>
      <c r="W309" s="21"/>
      <c r="X309" s="5"/>
      <c r="Y309" s="5"/>
      <c r="Z309" s="5">
        <f t="shared" si="91"/>
        <v>0</v>
      </c>
      <c r="AA309" s="5">
        <v>382112.52</v>
      </c>
      <c r="AB309" s="5" t="s">
        <v>258</v>
      </c>
      <c r="AC309" s="5">
        <f t="shared" si="92"/>
        <v>24365.25</v>
      </c>
      <c r="AD309" s="5">
        <f t="shared" si="93"/>
        <v>24365.25</v>
      </c>
      <c r="AE309" s="5">
        <f t="shared" si="94"/>
        <v>0</v>
      </c>
      <c r="AF309" s="5"/>
      <c r="AG309" s="5" t="s">
        <v>238</v>
      </c>
      <c r="AH309" s="5">
        <v>4</v>
      </c>
      <c r="AI309" s="5">
        <v>0</v>
      </c>
      <c r="AJ309" s="5" t="s">
        <v>212</v>
      </c>
      <c r="AK309" s="5" t="s">
        <v>256</v>
      </c>
      <c r="AL309" s="4" t="s">
        <v>90</v>
      </c>
      <c r="AM309" s="4" t="s">
        <v>148</v>
      </c>
      <c r="AN309" s="21"/>
      <c r="AO309" s="4"/>
      <c r="AP309" s="58"/>
      <c r="AQ309" s="58"/>
      <c r="AR309" s="23"/>
      <c r="AS309" s="23"/>
      <c r="AT309" s="4"/>
      <c r="AU309" s="4"/>
      <c r="AV309" s="4"/>
      <c r="AW309" s="4"/>
      <c r="AX309" s="9"/>
      <c r="AY309" s="9"/>
      <c r="AZ309" s="4"/>
      <c r="BB309" t="e">
        <f>VLOOKUP(B309,contactos!$A$1:$D$484,4,FALSE)</f>
        <v>#N/A</v>
      </c>
    </row>
    <row r="310" spans="2:54" customFormat="1" x14ac:dyDescent="0.25">
      <c r="B310" s="100">
        <v>16200</v>
      </c>
      <c r="C310" s="4" t="s">
        <v>599</v>
      </c>
      <c r="D310" s="5">
        <v>23143.370890109803</v>
      </c>
      <c r="E310" s="5">
        <v>0</v>
      </c>
      <c r="F310" s="5">
        <v>0</v>
      </c>
      <c r="G310" s="5">
        <v>23143.37</v>
      </c>
      <c r="H310" s="5">
        <v>23143.37</v>
      </c>
      <c r="I310" s="5">
        <f t="shared" si="86"/>
        <v>23143.370890109803</v>
      </c>
      <c r="J310" s="5"/>
      <c r="K310" s="5">
        <f t="shared" si="87"/>
        <v>23143.370890109803</v>
      </c>
      <c r="L310" s="5">
        <f t="shared" si="88"/>
        <v>23143.370890109803</v>
      </c>
      <c r="M310" s="5"/>
      <c r="N310" s="5">
        <f t="shared" si="89"/>
        <v>23143.370890109803</v>
      </c>
      <c r="O310" s="21"/>
      <c r="P310" s="21"/>
      <c r="Q310" s="21"/>
      <c r="R310" s="21">
        <f t="shared" si="95"/>
        <v>0</v>
      </c>
      <c r="S310" s="21">
        <v>23143.370890109803</v>
      </c>
      <c r="T310" s="21">
        <f t="shared" si="96"/>
        <v>0</v>
      </c>
      <c r="U310" s="21">
        <f t="shared" si="97"/>
        <v>0</v>
      </c>
      <c r="V310" s="21">
        <f t="shared" si="90"/>
        <v>23143.370890109803</v>
      </c>
      <c r="W310" s="21"/>
      <c r="X310" s="5"/>
      <c r="Y310" s="5"/>
      <c r="Z310" s="5">
        <f t="shared" si="91"/>
        <v>0</v>
      </c>
      <c r="AA310" s="5"/>
      <c r="AB310" s="5" t="s">
        <v>258</v>
      </c>
      <c r="AC310" s="5">
        <f t="shared" si="92"/>
        <v>23143.370890109803</v>
      </c>
      <c r="AD310" s="5">
        <f t="shared" si="93"/>
        <v>23143.370890109803</v>
      </c>
      <c r="AE310" s="5">
        <f t="shared" si="94"/>
        <v>-8.9010980445891619E-4</v>
      </c>
      <c r="AF310" s="5"/>
      <c r="AG310" s="5" t="s">
        <v>238</v>
      </c>
      <c r="AH310" s="5">
        <v>4</v>
      </c>
      <c r="AI310" s="5">
        <v>0</v>
      </c>
      <c r="AJ310" s="5">
        <v>0</v>
      </c>
      <c r="AK310" s="5" t="s">
        <v>256</v>
      </c>
      <c r="AL310" s="4" t="s">
        <v>90</v>
      </c>
      <c r="AM310" s="4" t="s">
        <v>112</v>
      </c>
      <c r="AN310" s="21"/>
      <c r="AO310" s="4"/>
      <c r="AP310" s="58"/>
      <c r="AQ310" s="58"/>
      <c r="AR310" s="23"/>
      <c r="AS310" s="23"/>
      <c r="AT310" s="4"/>
      <c r="AU310" s="4"/>
      <c r="AV310" s="4"/>
      <c r="AW310" s="4"/>
      <c r="AX310" s="9"/>
      <c r="AY310" s="9"/>
      <c r="AZ310" s="4"/>
      <c r="BB310" t="str">
        <f>VLOOKUP(B310,contactos!$A$1:$D$484,4,FALSE)</f>
        <v>erangel@alimentoscazerola.com</v>
      </c>
    </row>
    <row r="311" spans="2:54" customFormat="1" x14ac:dyDescent="0.25">
      <c r="B311" s="100">
        <v>314807</v>
      </c>
      <c r="C311" s="4" t="s">
        <v>600</v>
      </c>
      <c r="D311" s="5">
        <v>19790.580000000002</v>
      </c>
      <c r="E311" s="5">
        <v>0</v>
      </c>
      <c r="F311" s="5">
        <v>3166.4928</v>
      </c>
      <c r="G311" s="5">
        <v>22957.07</v>
      </c>
      <c r="H311" s="5">
        <v>0</v>
      </c>
      <c r="I311" s="5">
        <f t="shared" si="86"/>
        <v>19790.580000000002</v>
      </c>
      <c r="J311" s="5"/>
      <c r="K311" s="5">
        <f t="shared" si="87"/>
        <v>19790.580000000002</v>
      </c>
      <c r="L311" s="5">
        <f t="shared" si="88"/>
        <v>22957.072800000002</v>
      </c>
      <c r="M311" s="5"/>
      <c r="N311" s="5">
        <f t="shared" si="89"/>
        <v>22957.072800000002</v>
      </c>
      <c r="O311" s="21"/>
      <c r="P311" s="21"/>
      <c r="Q311" s="21"/>
      <c r="R311" s="21">
        <f t="shared" si="95"/>
        <v>0</v>
      </c>
      <c r="S311" s="21">
        <v>19790.580000000002</v>
      </c>
      <c r="T311" s="21">
        <f t="shared" si="96"/>
        <v>0</v>
      </c>
      <c r="U311" s="21">
        <f t="shared" si="97"/>
        <v>3166.4928</v>
      </c>
      <c r="V311" s="21">
        <f t="shared" si="90"/>
        <v>22957.072800000002</v>
      </c>
      <c r="W311" s="21"/>
      <c r="X311" s="5"/>
      <c r="Y311" s="5"/>
      <c r="Z311" s="5">
        <f t="shared" si="91"/>
        <v>0</v>
      </c>
      <c r="AA311" s="5">
        <v>478549.74</v>
      </c>
      <c r="AB311" s="5" t="s">
        <v>258</v>
      </c>
      <c r="AC311" s="5">
        <f t="shared" si="92"/>
        <v>19790.580000000002</v>
      </c>
      <c r="AD311" s="5">
        <f t="shared" si="93"/>
        <v>22957.072800000002</v>
      </c>
      <c r="AE311" s="5">
        <f t="shared" si="94"/>
        <v>-2.8000000020256266E-3</v>
      </c>
      <c r="AF311" s="5"/>
      <c r="AG311" s="5" t="s">
        <v>73</v>
      </c>
      <c r="AH311" s="5">
        <v>4</v>
      </c>
      <c r="AI311" s="5">
        <v>0</v>
      </c>
      <c r="AJ311" s="5" t="s">
        <v>212</v>
      </c>
      <c r="AK311" s="5" t="s">
        <v>256</v>
      </c>
      <c r="AL311" s="4" t="s">
        <v>90</v>
      </c>
      <c r="AM311" s="4" t="s">
        <v>94</v>
      </c>
      <c r="AN311" s="21"/>
      <c r="AO311" s="4"/>
      <c r="AP311" s="58"/>
      <c r="AQ311" s="58"/>
      <c r="AR311" s="23"/>
      <c r="AS311" s="23"/>
      <c r="AT311" s="4"/>
      <c r="AU311" s="4"/>
      <c r="AV311" s="4"/>
      <c r="AW311" s="4"/>
      <c r="AX311" s="9"/>
      <c r="AY311" s="9"/>
      <c r="AZ311" s="4"/>
      <c r="BB311" t="e">
        <f>VLOOKUP(B311,contactos!$A$1:$D$484,4,FALSE)</f>
        <v>#N/A</v>
      </c>
    </row>
    <row r="312" spans="2:54" customFormat="1" x14ac:dyDescent="0.25">
      <c r="B312" s="100">
        <v>385534</v>
      </c>
      <c r="C312" s="4" t="s">
        <v>601</v>
      </c>
      <c r="D312" s="5">
        <v>19153.807755703998</v>
      </c>
      <c r="E312" s="5">
        <v>0</v>
      </c>
      <c r="F312" s="5">
        <v>3064.6195409126403</v>
      </c>
      <c r="G312" s="5">
        <v>22218.41</v>
      </c>
      <c r="H312" s="5">
        <v>22218.41</v>
      </c>
      <c r="I312" s="5">
        <f t="shared" si="86"/>
        <v>19153.807755703998</v>
      </c>
      <c r="J312" s="5"/>
      <c r="K312" s="5">
        <f t="shared" si="87"/>
        <v>19153.807755703998</v>
      </c>
      <c r="L312" s="5">
        <f t="shared" si="88"/>
        <v>22218.427296616639</v>
      </c>
      <c r="M312" s="5"/>
      <c r="N312" s="5">
        <f t="shared" si="89"/>
        <v>22218.427296616639</v>
      </c>
      <c r="O312" s="21"/>
      <c r="P312" s="21"/>
      <c r="Q312" s="21"/>
      <c r="R312" s="21">
        <f t="shared" si="95"/>
        <v>0</v>
      </c>
      <c r="S312" s="21">
        <v>19153.807755703998</v>
      </c>
      <c r="T312" s="21">
        <f t="shared" si="96"/>
        <v>0</v>
      </c>
      <c r="U312" s="21">
        <f t="shared" si="97"/>
        <v>3064.6195409126403</v>
      </c>
      <c r="V312" s="21">
        <f t="shared" si="90"/>
        <v>22218.427296616639</v>
      </c>
      <c r="W312" s="21"/>
      <c r="X312" s="5"/>
      <c r="Y312" s="5"/>
      <c r="Z312" s="5">
        <f t="shared" si="91"/>
        <v>0</v>
      </c>
      <c r="AA312" s="5">
        <v>161114.23999999999</v>
      </c>
      <c r="AB312" s="5" t="s">
        <v>258</v>
      </c>
      <c r="AC312" s="5">
        <f t="shared" si="92"/>
        <v>19153.807755703998</v>
      </c>
      <c r="AD312" s="5">
        <f t="shared" si="93"/>
        <v>22218.427296616639</v>
      </c>
      <c r="AE312" s="5">
        <f t="shared" si="94"/>
        <v>-1.7296616639214335E-2</v>
      </c>
      <c r="AF312" s="5"/>
      <c r="AG312" s="5" t="s">
        <v>73</v>
      </c>
      <c r="AH312" s="5">
        <v>4</v>
      </c>
      <c r="AI312" s="5">
        <v>1</v>
      </c>
      <c r="AJ312" s="5" t="s">
        <v>602</v>
      </c>
      <c r="AK312" s="5" t="s">
        <v>59</v>
      </c>
      <c r="AL312" s="4" t="s">
        <v>75</v>
      </c>
      <c r="AM312" s="6" t="s">
        <v>141</v>
      </c>
      <c r="AN312" s="21">
        <v>22218.41</v>
      </c>
      <c r="AO312" s="4" t="s">
        <v>68</v>
      </c>
      <c r="AP312" s="58"/>
      <c r="AQ312" s="58"/>
      <c r="AR312" s="23">
        <v>46057</v>
      </c>
      <c r="AS312" s="23"/>
      <c r="AT312" s="4"/>
      <c r="AU312" s="4"/>
      <c r="AV312" s="4" t="s">
        <v>603</v>
      </c>
      <c r="AW312" s="4"/>
      <c r="AX312" s="9"/>
      <c r="AY312" s="9"/>
      <c r="AZ312" s="4"/>
      <c r="BB312" t="e">
        <f>VLOOKUP(B312,contactos!$A$1:$D$484,4,FALSE)</f>
        <v>#N/A</v>
      </c>
    </row>
    <row r="313" spans="2:54" customFormat="1" x14ac:dyDescent="0.25">
      <c r="B313" s="100">
        <v>322206</v>
      </c>
      <c r="C313" s="4" t="s">
        <v>604</v>
      </c>
      <c r="D313" s="5">
        <v>18692.240000000002</v>
      </c>
      <c r="E313" s="5">
        <v>0</v>
      </c>
      <c r="F313" s="5">
        <v>2990.739</v>
      </c>
      <c r="G313" s="5">
        <v>21682.9</v>
      </c>
      <c r="H313" s="5">
        <v>21682.9</v>
      </c>
      <c r="I313" s="5">
        <f t="shared" si="86"/>
        <v>18692.240000000002</v>
      </c>
      <c r="J313" s="5"/>
      <c r="K313" s="5">
        <f t="shared" si="87"/>
        <v>18692.240000000002</v>
      </c>
      <c r="L313" s="5">
        <f t="shared" si="88"/>
        <v>21682.979000000003</v>
      </c>
      <c r="M313" s="5"/>
      <c r="N313" s="5">
        <f t="shared" si="89"/>
        <v>21682.979000000003</v>
      </c>
      <c r="O313" s="21"/>
      <c r="P313" s="21"/>
      <c r="Q313" s="21"/>
      <c r="R313" s="21">
        <f t="shared" si="95"/>
        <v>0</v>
      </c>
      <c r="S313" s="21">
        <v>18692.240000000002</v>
      </c>
      <c r="T313" s="21">
        <f t="shared" si="96"/>
        <v>0</v>
      </c>
      <c r="U313" s="21">
        <f t="shared" si="97"/>
        <v>2990.739</v>
      </c>
      <c r="V313" s="21">
        <f t="shared" si="90"/>
        <v>21682.979000000003</v>
      </c>
      <c r="W313" s="21"/>
      <c r="X313" s="5"/>
      <c r="Y313" s="5"/>
      <c r="Z313" s="5">
        <f t="shared" si="91"/>
        <v>0</v>
      </c>
      <c r="AA313" s="5">
        <v>150383.42000000001</v>
      </c>
      <c r="AB313" s="5" t="s">
        <v>258</v>
      </c>
      <c r="AC313" s="5">
        <f t="shared" si="92"/>
        <v>18692.240000000002</v>
      </c>
      <c r="AD313" s="5">
        <f t="shared" si="93"/>
        <v>21682.979000000003</v>
      </c>
      <c r="AE313" s="5">
        <f t="shared" si="94"/>
        <v>-7.9000000001542503E-2</v>
      </c>
      <c r="AF313" s="5"/>
      <c r="AG313" s="5" t="s">
        <v>73</v>
      </c>
      <c r="AH313" s="5">
        <v>4</v>
      </c>
      <c r="AI313" s="5">
        <v>0</v>
      </c>
      <c r="AJ313" s="5">
        <v>0</v>
      </c>
      <c r="AK313" s="5" t="s">
        <v>256</v>
      </c>
      <c r="AL313" s="4" t="s">
        <v>90</v>
      </c>
      <c r="AM313" s="4" t="s">
        <v>107</v>
      </c>
      <c r="AN313" s="21"/>
      <c r="AO313" s="4"/>
      <c r="AP313" s="58"/>
      <c r="AQ313" s="58"/>
      <c r="AR313" s="23"/>
      <c r="AS313" s="23"/>
      <c r="AT313" s="4"/>
      <c r="AU313" s="4"/>
      <c r="AV313" s="4"/>
      <c r="AW313" s="4"/>
      <c r="AX313" s="9"/>
      <c r="AY313" s="9"/>
      <c r="AZ313" s="4"/>
      <c r="BB313" t="e">
        <f>VLOOKUP(B313,contactos!$A$1:$D$484,4,FALSE)</f>
        <v>#N/A</v>
      </c>
    </row>
    <row r="314" spans="2:54" customFormat="1" x14ac:dyDescent="0.25">
      <c r="B314" s="100">
        <v>101113</v>
      </c>
      <c r="C314" s="4" t="s">
        <v>605</v>
      </c>
      <c r="D314" s="5">
        <v>18530.670000000002</v>
      </c>
      <c r="E314" s="5">
        <v>0</v>
      </c>
      <c r="F314" s="5">
        <v>2964.9230000000007</v>
      </c>
      <c r="G314" s="5">
        <v>21495.589999999997</v>
      </c>
      <c r="H314" s="5">
        <v>21495.59</v>
      </c>
      <c r="I314" s="5">
        <f t="shared" si="86"/>
        <v>18530.670000000002</v>
      </c>
      <c r="J314" s="5"/>
      <c r="K314" s="5">
        <f t="shared" si="87"/>
        <v>18530.670000000002</v>
      </c>
      <c r="L314" s="5">
        <f t="shared" si="88"/>
        <v>21495.593000000001</v>
      </c>
      <c r="M314" s="5"/>
      <c r="N314" s="5">
        <f t="shared" si="89"/>
        <v>21495.593000000001</v>
      </c>
      <c r="O314" s="21"/>
      <c r="P314" s="21"/>
      <c r="Q314" s="21"/>
      <c r="R314" s="21">
        <f t="shared" si="95"/>
        <v>0</v>
      </c>
      <c r="S314" s="21">
        <v>18530.670000000002</v>
      </c>
      <c r="T314" s="21">
        <f t="shared" si="96"/>
        <v>0</v>
      </c>
      <c r="U314" s="21">
        <f t="shared" si="97"/>
        <v>2964.9230000000007</v>
      </c>
      <c r="V314" s="21">
        <f t="shared" si="90"/>
        <v>21495.593000000001</v>
      </c>
      <c r="W314" s="21"/>
      <c r="X314" s="5"/>
      <c r="Y314" s="5"/>
      <c r="Z314" s="5">
        <f t="shared" si="91"/>
        <v>0</v>
      </c>
      <c r="AA314" s="5"/>
      <c r="AB314" s="5" t="s">
        <v>258</v>
      </c>
      <c r="AC314" s="5">
        <f t="shared" si="92"/>
        <v>18530.670000000002</v>
      </c>
      <c r="AD314" s="5">
        <f t="shared" si="93"/>
        <v>21495.593000000001</v>
      </c>
      <c r="AE314" s="5">
        <f t="shared" si="94"/>
        <v>-3.0000000042491592E-3</v>
      </c>
      <c r="AF314" s="5"/>
      <c r="AG314" s="5" t="s">
        <v>238</v>
      </c>
      <c r="AH314" s="5">
        <v>4</v>
      </c>
      <c r="AI314" s="5">
        <v>0</v>
      </c>
      <c r="AJ314" s="5" t="s">
        <v>212</v>
      </c>
      <c r="AK314" s="5" t="s">
        <v>256</v>
      </c>
      <c r="AL314" s="4" t="s">
        <v>90</v>
      </c>
      <c r="AM314" s="4" t="s">
        <v>148</v>
      </c>
      <c r="AN314" s="21"/>
      <c r="AO314" s="4"/>
      <c r="AP314" s="58"/>
      <c r="AQ314" s="58"/>
      <c r="AR314" s="23"/>
      <c r="AS314" s="23"/>
      <c r="AT314" s="4"/>
      <c r="AU314" s="4"/>
      <c r="AV314" s="4"/>
      <c r="AW314" s="4"/>
      <c r="AX314" s="9"/>
      <c r="AY314" s="9"/>
      <c r="AZ314" s="4"/>
      <c r="BB314" t="e">
        <f>VLOOKUP(B314,contactos!$A$1:$D$484,4,FALSE)</f>
        <v>#N/A</v>
      </c>
    </row>
    <row r="315" spans="2:54" customFormat="1" x14ac:dyDescent="0.25">
      <c r="B315" s="100">
        <v>227439</v>
      </c>
      <c r="C315" s="4" t="s">
        <v>606</v>
      </c>
      <c r="D315" s="5">
        <v>18004.03</v>
      </c>
      <c r="E315" s="5">
        <v>0</v>
      </c>
      <c r="F315" s="5">
        <v>2880.6448</v>
      </c>
      <c r="G315" s="5">
        <v>20884.68</v>
      </c>
      <c r="H315" s="5">
        <v>20884.68</v>
      </c>
      <c r="I315" s="5">
        <f t="shared" si="86"/>
        <v>18004.03</v>
      </c>
      <c r="J315" s="5"/>
      <c r="K315" s="5">
        <f t="shared" si="87"/>
        <v>18004.03</v>
      </c>
      <c r="L315" s="5">
        <f t="shared" si="88"/>
        <v>20884.674800000001</v>
      </c>
      <c r="M315" s="5"/>
      <c r="N315" s="5">
        <f t="shared" si="89"/>
        <v>20884.674800000001</v>
      </c>
      <c r="O315" s="21"/>
      <c r="P315" s="21"/>
      <c r="Q315" s="21"/>
      <c r="R315" s="21">
        <f t="shared" si="95"/>
        <v>0</v>
      </c>
      <c r="S315" s="21">
        <v>18004.03</v>
      </c>
      <c r="T315" s="21">
        <f t="shared" si="96"/>
        <v>0</v>
      </c>
      <c r="U315" s="21">
        <f t="shared" si="97"/>
        <v>2880.6448</v>
      </c>
      <c r="V315" s="21">
        <f t="shared" si="90"/>
        <v>20884.674800000001</v>
      </c>
      <c r="W315" s="21"/>
      <c r="X315" s="5"/>
      <c r="Y315" s="5"/>
      <c r="Z315" s="5">
        <f t="shared" si="91"/>
        <v>0</v>
      </c>
      <c r="AA315" s="5">
        <v>27778.95</v>
      </c>
      <c r="AB315" s="5" t="s">
        <v>258</v>
      </c>
      <c r="AC315" s="5">
        <f t="shared" si="92"/>
        <v>18004.03</v>
      </c>
      <c r="AD315" s="5">
        <f t="shared" si="93"/>
        <v>20884.674800000001</v>
      </c>
      <c r="AE315" s="5">
        <f t="shared" si="94"/>
        <v>5.1999999996041879E-3</v>
      </c>
      <c r="AF315" s="5"/>
      <c r="AG315" s="5" t="s">
        <v>238</v>
      </c>
      <c r="AH315" s="5">
        <v>4</v>
      </c>
      <c r="AI315" s="5">
        <v>0</v>
      </c>
      <c r="AJ315" s="5"/>
      <c r="AK315" s="5" t="s">
        <v>256</v>
      </c>
      <c r="AL315" s="4" t="s">
        <v>90</v>
      </c>
      <c r="AM315" s="4" t="s">
        <v>94</v>
      </c>
      <c r="AN315" s="21"/>
      <c r="AO315" s="4"/>
      <c r="AP315" s="58"/>
      <c r="AQ315" s="58"/>
      <c r="AR315" s="23"/>
      <c r="AS315" s="23"/>
      <c r="AT315" s="4"/>
      <c r="AU315" s="4"/>
      <c r="AV315" s="4"/>
      <c r="AW315" s="4"/>
      <c r="AX315" s="9"/>
      <c r="AY315" s="9"/>
      <c r="AZ315" s="4"/>
      <c r="BB315" t="e">
        <f>VLOOKUP(B315,contactos!$A$1:$D$484,4,FALSE)</f>
        <v>#N/A</v>
      </c>
    </row>
    <row r="316" spans="2:54" customFormat="1" x14ac:dyDescent="0.25">
      <c r="B316" s="100">
        <v>1530</v>
      </c>
      <c r="C316" s="4" t="s">
        <v>607</v>
      </c>
      <c r="D316" s="5">
        <v>20017.239999999998</v>
      </c>
      <c r="E316" s="5">
        <v>0</v>
      </c>
      <c r="F316" s="5">
        <v>0</v>
      </c>
      <c r="G316" s="5">
        <v>20017.239999999998</v>
      </c>
      <c r="H316" s="5">
        <v>20017.240000000002</v>
      </c>
      <c r="I316" s="5">
        <f t="shared" si="86"/>
        <v>20017.239999999998</v>
      </c>
      <c r="J316" s="5"/>
      <c r="K316" s="5">
        <f t="shared" si="87"/>
        <v>20017.239999999998</v>
      </c>
      <c r="L316" s="5">
        <f t="shared" si="88"/>
        <v>20017.239999999998</v>
      </c>
      <c r="M316" s="5"/>
      <c r="N316" s="5">
        <f t="shared" si="89"/>
        <v>20017.239999999998</v>
      </c>
      <c r="O316" s="21"/>
      <c r="P316" s="21"/>
      <c r="Q316" s="21"/>
      <c r="R316" s="21">
        <f t="shared" si="95"/>
        <v>0</v>
      </c>
      <c r="S316" s="21">
        <v>20017.239999999998</v>
      </c>
      <c r="T316" s="21">
        <f t="shared" si="96"/>
        <v>0</v>
      </c>
      <c r="U316" s="21">
        <f t="shared" si="97"/>
        <v>0</v>
      </c>
      <c r="V316" s="21">
        <f t="shared" si="90"/>
        <v>20017.239999999998</v>
      </c>
      <c r="W316" s="21"/>
      <c r="X316" s="5"/>
      <c r="Y316" s="5"/>
      <c r="Z316" s="5">
        <f t="shared" si="91"/>
        <v>0</v>
      </c>
      <c r="AA316" s="5">
        <v>138816.87</v>
      </c>
      <c r="AB316" s="5" t="s">
        <v>258</v>
      </c>
      <c r="AC316" s="5">
        <f t="shared" si="92"/>
        <v>20017.239999999998</v>
      </c>
      <c r="AD316" s="5">
        <f t="shared" si="93"/>
        <v>20017.239999999998</v>
      </c>
      <c r="AE316" s="5">
        <f t="shared" si="94"/>
        <v>0</v>
      </c>
      <c r="AF316" s="5"/>
      <c r="AG316" s="5" t="s">
        <v>238</v>
      </c>
      <c r="AH316" s="5">
        <v>4</v>
      </c>
      <c r="AI316" s="5">
        <v>0</v>
      </c>
      <c r="AJ316" s="5">
        <v>0</v>
      </c>
      <c r="AK316" s="5" t="s">
        <v>256</v>
      </c>
      <c r="AL316" s="4" t="s">
        <v>90</v>
      </c>
      <c r="AM316" s="6" t="s">
        <v>137</v>
      </c>
      <c r="AN316" s="22"/>
      <c r="AO316" s="6"/>
      <c r="AP316" s="58"/>
      <c r="AQ316" s="58"/>
      <c r="AR316" s="24"/>
      <c r="AS316" s="23"/>
      <c r="AT316" s="6"/>
      <c r="AU316" s="6"/>
      <c r="AV316" s="6"/>
      <c r="AW316" s="4"/>
      <c r="AX316" s="9"/>
      <c r="AY316" s="9"/>
      <c r="AZ316" s="4"/>
      <c r="BB316" t="e">
        <f>VLOOKUP(B316,contactos!$A$1:$D$484,4,FALSE)</f>
        <v>#N/A</v>
      </c>
    </row>
    <row r="317" spans="2:54" customFormat="1" x14ac:dyDescent="0.25">
      <c r="B317" s="100">
        <v>309401</v>
      </c>
      <c r="C317" s="4" t="s">
        <v>608</v>
      </c>
      <c r="D317" s="5">
        <v>17148.760000000002</v>
      </c>
      <c r="E317" s="5">
        <v>0</v>
      </c>
      <c r="F317" s="5">
        <v>2743.8015999999998</v>
      </c>
      <c r="G317" s="5">
        <v>19892.57</v>
      </c>
      <c r="H317" s="5">
        <v>19892.57</v>
      </c>
      <c r="I317" s="5">
        <f t="shared" si="86"/>
        <v>17148.760000000002</v>
      </c>
      <c r="J317" s="5"/>
      <c r="K317" s="5">
        <f t="shared" si="87"/>
        <v>17148.760000000002</v>
      </c>
      <c r="L317" s="5">
        <f t="shared" si="88"/>
        <v>19892.561600000001</v>
      </c>
      <c r="M317" s="5"/>
      <c r="N317" s="5">
        <f t="shared" si="89"/>
        <v>19892.561600000001</v>
      </c>
      <c r="O317" s="27"/>
      <c r="P317" s="27"/>
      <c r="Q317" s="27"/>
      <c r="R317" s="21">
        <f t="shared" si="95"/>
        <v>0</v>
      </c>
      <c r="S317" s="27">
        <v>17148.760000000002</v>
      </c>
      <c r="T317" s="21">
        <f t="shared" si="96"/>
        <v>0</v>
      </c>
      <c r="U317" s="21">
        <f t="shared" si="97"/>
        <v>2743.8015999999998</v>
      </c>
      <c r="V317" s="21">
        <f t="shared" si="90"/>
        <v>19892.561600000001</v>
      </c>
      <c r="W317" s="27"/>
      <c r="X317" s="5"/>
      <c r="Y317" s="5"/>
      <c r="Z317" s="5">
        <f t="shared" si="91"/>
        <v>0</v>
      </c>
      <c r="AA317" s="5">
        <v>414252.67</v>
      </c>
      <c r="AB317" s="5" t="s">
        <v>258</v>
      </c>
      <c r="AC317" s="5">
        <f t="shared" si="92"/>
        <v>17148.760000000002</v>
      </c>
      <c r="AD317" s="5">
        <f t="shared" si="93"/>
        <v>19892.561600000001</v>
      </c>
      <c r="AE317" s="5">
        <f t="shared" si="94"/>
        <v>8.3999999988009222E-3</v>
      </c>
      <c r="AF317" s="5"/>
      <c r="AG317" s="5" t="s">
        <v>73</v>
      </c>
      <c r="AH317" s="5">
        <v>4</v>
      </c>
      <c r="AI317" s="5">
        <v>0</v>
      </c>
      <c r="AJ317" s="5">
        <v>0</v>
      </c>
      <c r="AK317" s="5" t="s">
        <v>256</v>
      </c>
      <c r="AL317" s="4" t="s">
        <v>90</v>
      </c>
      <c r="AM317" s="6" t="s">
        <v>83</v>
      </c>
      <c r="AN317" s="111"/>
      <c r="AO317" s="6"/>
      <c r="AP317" s="58"/>
      <c r="AQ317" s="58"/>
      <c r="AR317" s="24"/>
      <c r="AS317" s="23"/>
      <c r="AT317" s="6"/>
      <c r="AU317" s="6"/>
      <c r="AV317" s="6"/>
      <c r="AW317" s="4"/>
      <c r="AX317" s="12"/>
      <c r="AY317" s="12"/>
      <c r="AZ317" s="12"/>
      <c r="BB317" t="e">
        <f>VLOOKUP(B317,contactos!$A$1:$D$484,4,FALSE)</f>
        <v>#N/A</v>
      </c>
    </row>
    <row r="318" spans="2:54" customFormat="1" x14ac:dyDescent="0.25">
      <c r="B318" s="100">
        <v>388736</v>
      </c>
      <c r="C318" s="4" t="s">
        <v>609</v>
      </c>
      <c r="D318" s="5">
        <v>16761.09</v>
      </c>
      <c r="E318" s="5">
        <v>0</v>
      </c>
      <c r="F318" s="5">
        <v>2681.7743999999998</v>
      </c>
      <c r="G318" s="5">
        <v>19442.87</v>
      </c>
      <c r="H318" s="5">
        <v>0</v>
      </c>
      <c r="I318" s="5">
        <f t="shared" si="86"/>
        <v>16761.09</v>
      </c>
      <c r="J318" s="5"/>
      <c r="K318" s="5">
        <f t="shared" si="87"/>
        <v>16761.09</v>
      </c>
      <c r="L318" s="5">
        <f t="shared" si="88"/>
        <v>19442.864399999999</v>
      </c>
      <c r="M318" s="5"/>
      <c r="N318" s="5">
        <f t="shared" si="89"/>
        <v>19442.864399999999</v>
      </c>
      <c r="O318" s="27"/>
      <c r="P318" s="27"/>
      <c r="Q318" s="27"/>
      <c r="R318" s="21">
        <f t="shared" si="95"/>
        <v>0</v>
      </c>
      <c r="S318" s="27">
        <v>16761.09</v>
      </c>
      <c r="T318" s="21">
        <f t="shared" si="96"/>
        <v>0</v>
      </c>
      <c r="U318" s="21">
        <f t="shared" si="97"/>
        <v>2681.7743999999998</v>
      </c>
      <c r="V318" s="21">
        <f t="shared" si="90"/>
        <v>19442.864399999999</v>
      </c>
      <c r="W318" s="27"/>
      <c r="X318" s="5"/>
      <c r="Y318" s="5"/>
      <c r="Z318" s="5">
        <f t="shared" si="91"/>
        <v>0</v>
      </c>
      <c r="AA318" s="5">
        <v>785.48</v>
      </c>
      <c r="AB318" s="5" t="s">
        <v>258</v>
      </c>
      <c r="AC318" s="5">
        <f t="shared" si="92"/>
        <v>16761.09</v>
      </c>
      <c r="AD318" s="5">
        <f t="shared" si="93"/>
        <v>19442.864399999999</v>
      </c>
      <c r="AE318" s="5">
        <f t="shared" si="94"/>
        <v>5.6000000004132744E-3</v>
      </c>
      <c r="AF318" s="5"/>
      <c r="AG318" s="5" t="s">
        <v>238</v>
      </c>
      <c r="AH318" s="5">
        <v>4</v>
      </c>
      <c r="AI318" s="5">
        <v>0</v>
      </c>
      <c r="AJ318" s="5">
        <v>0</v>
      </c>
      <c r="AK318" s="5" t="s">
        <v>256</v>
      </c>
      <c r="AL318" s="4" t="s">
        <v>90</v>
      </c>
      <c r="AM318" s="6" t="s">
        <v>83</v>
      </c>
      <c r="AN318" s="111"/>
      <c r="AO318" s="6"/>
      <c r="AP318" s="58"/>
      <c r="AQ318" s="58"/>
      <c r="AR318" s="24"/>
      <c r="AS318" s="23"/>
      <c r="AT318" s="6"/>
      <c r="AU318" s="6"/>
      <c r="AV318" s="6"/>
      <c r="AW318" s="4"/>
      <c r="AX318" s="12"/>
      <c r="AY318" s="12"/>
      <c r="AZ318" s="12"/>
      <c r="BB318" t="e">
        <f>VLOOKUP(B318,contactos!$A$1:$D$484,4,FALSE)</f>
        <v>#N/A</v>
      </c>
    </row>
    <row r="319" spans="2:54" customFormat="1" x14ac:dyDescent="0.25">
      <c r="B319" s="100">
        <v>77289</v>
      </c>
      <c r="C319" s="4" t="s">
        <v>610</v>
      </c>
      <c r="D319" s="5">
        <v>16492.91</v>
      </c>
      <c r="E319" s="5">
        <v>0</v>
      </c>
      <c r="F319" s="5">
        <v>2638.8656000000001</v>
      </c>
      <c r="G319" s="5">
        <v>19131.77</v>
      </c>
      <c r="H319" s="5">
        <v>19131.77</v>
      </c>
      <c r="I319" s="5">
        <f t="shared" si="86"/>
        <v>16492.91</v>
      </c>
      <c r="J319" s="5"/>
      <c r="K319" s="5">
        <f t="shared" si="87"/>
        <v>16492.91</v>
      </c>
      <c r="L319" s="5">
        <f t="shared" si="88"/>
        <v>19131.775600000001</v>
      </c>
      <c r="M319" s="5"/>
      <c r="N319" s="5">
        <f t="shared" si="89"/>
        <v>19131.775600000001</v>
      </c>
      <c r="O319" s="21"/>
      <c r="P319" s="21"/>
      <c r="Q319" s="21"/>
      <c r="R319" s="21">
        <f t="shared" si="95"/>
        <v>0</v>
      </c>
      <c r="S319" s="21">
        <v>16492.91</v>
      </c>
      <c r="T319" s="21">
        <f t="shared" si="96"/>
        <v>0</v>
      </c>
      <c r="U319" s="21">
        <f t="shared" si="97"/>
        <v>2638.8656000000001</v>
      </c>
      <c r="V319" s="21">
        <f t="shared" si="90"/>
        <v>19131.775600000001</v>
      </c>
      <c r="W319" s="21"/>
      <c r="X319" s="5"/>
      <c r="Y319" s="5"/>
      <c r="Z319" s="5">
        <f t="shared" si="91"/>
        <v>0</v>
      </c>
      <c r="AA319" s="5">
        <v>43900.67</v>
      </c>
      <c r="AB319" s="5" t="s">
        <v>258</v>
      </c>
      <c r="AC319" s="5">
        <f t="shared" si="92"/>
        <v>16492.91</v>
      </c>
      <c r="AD319" s="5">
        <f t="shared" si="93"/>
        <v>19131.775600000001</v>
      </c>
      <c r="AE319" s="5">
        <f t="shared" si="94"/>
        <v>-5.6000000004132744E-3</v>
      </c>
      <c r="AF319" s="5"/>
      <c r="AG319" s="5" t="s">
        <v>238</v>
      </c>
      <c r="AH319" s="5">
        <v>4</v>
      </c>
      <c r="AI319" s="5">
        <v>0</v>
      </c>
      <c r="AJ319" s="5"/>
      <c r="AK319" s="5" t="s">
        <v>256</v>
      </c>
      <c r="AL319" s="4" t="s">
        <v>90</v>
      </c>
      <c r="AM319" s="4" t="s">
        <v>94</v>
      </c>
      <c r="AN319" s="21"/>
      <c r="AO319" s="4"/>
      <c r="AP319" s="58"/>
      <c r="AQ319" s="58"/>
      <c r="AR319" s="23"/>
      <c r="AS319" s="23"/>
      <c r="AT319" s="4"/>
      <c r="AU319" s="4"/>
      <c r="AV319" s="4"/>
      <c r="AW319" s="4"/>
      <c r="AX319" s="9"/>
      <c r="AY319" s="9"/>
      <c r="AZ319" s="4"/>
      <c r="BB319" t="str">
        <f>VLOOKUP(B319,contactos!$A$1:$D$484,4,FALSE)</f>
        <v>jorge.armando@pascual.com.mx</v>
      </c>
    </row>
    <row r="320" spans="2:54" customFormat="1" x14ac:dyDescent="0.25">
      <c r="B320" s="100">
        <v>4830</v>
      </c>
      <c r="C320" s="4" t="s">
        <v>611</v>
      </c>
      <c r="D320" s="5">
        <v>19128.419999999998</v>
      </c>
      <c r="E320" s="5">
        <v>0</v>
      </c>
      <c r="F320" s="5">
        <v>0</v>
      </c>
      <c r="G320" s="5">
        <v>19128.419999999998</v>
      </c>
      <c r="H320" s="5">
        <v>19128.419999999998</v>
      </c>
      <c r="I320" s="5">
        <f t="shared" si="86"/>
        <v>19128.419999999998</v>
      </c>
      <c r="J320" s="5"/>
      <c r="K320" s="5">
        <f t="shared" si="87"/>
        <v>19128.419999999998</v>
      </c>
      <c r="L320" s="5">
        <f t="shared" si="88"/>
        <v>19128.419999999998</v>
      </c>
      <c r="M320" s="5"/>
      <c r="N320" s="5">
        <f t="shared" si="89"/>
        <v>19128.419999999998</v>
      </c>
      <c r="O320" s="21"/>
      <c r="P320" s="21"/>
      <c r="Q320" s="21"/>
      <c r="R320" s="21">
        <f t="shared" si="95"/>
        <v>0</v>
      </c>
      <c r="S320" s="21">
        <v>19128.419999999998</v>
      </c>
      <c r="T320" s="21">
        <f t="shared" si="96"/>
        <v>0</v>
      </c>
      <c r="U320" s="21">
        <f t="shared" si="97"/>
        <v>0</v>
      </c>
      <c r="V320" s="21">
        <f t="shared" si="90"/>
        <v>19128.419999999998</v>
      </c>
      <c r="W320" s="21"/>
      <c r="X320" s="5"/>
      <c r="Y320" s="5"/>
      <c r="Z320" s="5">
        <f t="shared" si="91"/>
        <v>0</v>
      </c>
      <c r="AA320" s="5">
        <v>208566.13</v>
      </c>
      <c r="AB320" s="5" t="s">
        <v>258</v>
      </c>
      <c r="AC320" s="5">
        <f t="shared" si="92"/>
        <v>19128.419999999998</v>
      </c>
      <c r="AD320" s="5">
        <f t="shared" si="93"/>
        <v>19128.419999999998</v>
      </c>
      <c r="AE320" s="5">
        <f t="shared" si="94"/>
        <v>0</v>
      </c>
      <c r="AF320" s="5"/>
      <c r="AG320" s="5" t="s">
        <v>238</v>
      </c>
      <c r="AH320" s="5">
        <v>4</v>
      </c>
      <c r="AI320" s="5">
        <v>0</v>
      </c>
      <c r="AJ320" s="5">
        <v>0</v>
      </c>
      <c r="AK320" s="5" t="s">
        <v>256</v>
      </c>
      <c r="AL320" s="4" t="s">
        <v>90</v>
      </c>
      <c r="AM320" s="4" t="s">
        <v>91</v>
      </c>
      <c r="AN320" s="21"/>
      <c r="AO320" s="4"/>
      <c r="AP320" s="58"/>
      <c r="AQ320" s="58"/>
      <c r="AR320" s="23"/>
      <c r="AS320" s="23"/>
      <c r="AT320" s="4"/>
      <c r="AU320" s="4"/>
      <c r="AV320" s="4"/>
      <c r="AW320" s="4"/>
      <c r="AX320" s="9"/>
      <c r="AY320" s="9"/>
      <c r="AZ320" s="4"/>
      <c r="BB320" t="str">
        <f>VLOOKUP(B320,contactos!$A$1:$D$484,4,FALSE)</f>
        <v>JFGALMACEN@ILSAFRIGO.COM.MX</v>
      </c>
    </row>
    <row r="321" spans="2:54" customFormat="1" x14ac:dyDescent="0.25">
      <c r="B321" s="100">
        <v>15331</v>
      </c>
      <c r="C321" s="4" t="s">
        <v>612</v>
      </c>
      <c r="D321" s="5">
        <v>17942.349999999999</v>
      </c>
      <c r="E321" s="5">
        <v>343.84160000000003</v>
      </c>
      <c r="F321" s="5">
        <v>0</v>
      </c>
      <c r="G321" s="5">
        <v>18286.189999999999</v>
      </c>
      <c r="H321" s="5">
        <v>18286.189999999999</v>
      </c>
      <c r="I321" s="5">
        <f t="shared" si="86"/>
        <v>17942.349999999999</v>
      </c>
      <c r="J321" s="5"/>
      <c r="K321" s="5">
        <f t="shared" si="87"/>
        <v>17942.349999999999</v>
      </c>
      <c r="L321" s="5">
        <f t="shared" si="88"/>
        <v>18286.191599999998</v>
      </c>
      <c r="M321" s="5"/>
      <c r="N321" s="5">
        <f t="shared" si="89"/>
        <v>18286.191599999998</v>
      </c>
      <c r="O321" s="21"/>
      <c r="P321" s="21"/>
      <c r="Q321" s="21"/>
      <c r="R321" s="21">
        <f t="shared" si="95"/>
        <v>0</v>
      </c>
      <c r="S321" s="21">
        <v>17942.349999999999</v>
      </c>
      <c r="T321" s="21">
        <f t="shared" si="96"/>
        <v>343.84160000000003</v>
      </c>
      <c r="U321" s="21">
        <f t="shared" si="97"/>
        <v>0</v>
      </c>
      <c r="V321" s="21">
        <f t="shared" si="90"/>
        <v>18286.191599999998</v>
      </c>
      <c r="W321" s="21"/>
      <c r="X321" s="5"/>
      <c r="Y321" s="5"/>
      <c r="Z321" s="5">
        <f t="shared" si="91"/>
        <v>0</v>
      </c>
      <c r="AA321" s="5">
        <v>34573.879999999997</v>
      </c>
      <c r="AB321" s="5" t="s">
        <v>258</v>
      </c>
      <c r="AC321" s="5">
        <f t="shared" si="92"/>
        <v>17942.349999999999</v>
      </c>
      <c r="AD321" s="5">
        <f t="shared" si="93"/>
        <v>18286.191599999998</v>
      </c>
      <c r="AE321" s="5">
        <f t="shared" si="94"/>
        <v>-1.5999999995983671E-3</v>
      </c>
      <c r="AF321" s="5"/>
      <c r="AG321" s="5" t="s">
        <v>238</v>
      </c>
      <c r="AH321" s="5">
        <v>4</v>
      </c>
      <c r="AI321" s="5">
        <v>0</v>
      </c>
      <c r="AJ321" s="5">
        <v>0</v>
      </c>
      <c r="AK321" s="5" t="s">
        <v>256</v>
      </c>
      <c r="AL321" s="4" t="s">
        <v>90</v>
      </c>
      <c r="AM321" s="6" t="s">
        <v>141</v>
      </c>
      <c r="AN321" s="22"/>
      <c r="AO321" s="6"/>
      <c r="AP321" s="58"/>
      <c r="AQ321" s="58"/>
      <c r="AR321" s="24"/>
      <c r="AS321" s="23"/>
      <c r="AT321" s="6"/>
      <c r="AU321" s="6"/>
      <c r="AV321" s="6"/>
      <c r="AW321" s="4"/>
      <c r="AX321" s="9"/>
      <c r="AY321" s="9"/>
      <c r="AZ321" s="4"/>
      <c r="BB321" t="e">
        <f>VLOOKUP(B321,contactos!$A$1:$D$484,4,FALSE)</f>
        <v>#N/A</v>
      </c>
    </row>
    <row r="322" spans="2:54" customFormat="1" x14ac:dyDescent="0.25">
      <c r="B322" s="131">
        <v>666</v>
      </c>
      <c r="C322" s="4" t="s">
        <v>613</v>
      </c>
      <c r="D322" s="5">
        <v>15515.62</v>
      </c>
      <c r="E322" s="5">
        <v>0</v>
      </c>
      <c r="F322" s="5">
        <v>2482.4992000000002</v>
      </c>
      <c r="G322" s="5">
        <v>17998.11</v>
      </c>
      <c r="H322" s="5">
        <v>17998.11</v>
      </c>
      <c r="I322" s="5">
        <f t="shared" si="86"/>
        <v>15515.62</v>
      </c>
      <c r="J322" s="5"/>
      <c r="K322" s="5">
        <f t="shared" si="87"/>
        <v>15515.62</v>
      </c>
      <c r="L322" s="5">
        <f t="shared" si="88"/>
        <v>17998.119200000001</v>
      </c>
      <c r="M322" s="5"/>
      <c r="N322" s="5">
        <f t="shared" si="89"/>
        <v>17998.119200000001</v>
      </c>
      <c r="O322" s="21"/>
      <c r="P322" s="21"/>
      <c r="Q322" s="21"/>
      <c r="R322" s="21">
        <f t="shared" si="95"/>
        <v>0</v>
      </c>
      <c r="S322" s="21">
        <v>15515.62</v>
      </c>
      <c r="T322" s="21">
        <f t="shared" si="96"/>
        <v>0</v>
      </c>
      <c r="U322" s="21">
        <f t="shared" si="97"/>
        <v>2482.4992000000002</v>
      </c>
      <c r="V322" s="21">
        <f t="shared" si="90"/>
        <v>17998.119200000001</v>
      </c>
      <c r="W322" s="21"/>
      <c r="X322" s="5"/>
      <c r="Y322" s="5"/>
      <c r="Z322" s="5">
        <f t="shared" si="91"/>
        <v>0</v>
      </c>
      <c r="AA322" s="5">
        <v>71878.929999999993</v>
      </c>
      <c r="AB322" s="5" t="s">
        <v>258</v>
      </c>
      <c r="AC322" s="5">
        <f t="shared" si="92"/>
        <v>15515.62</v>
      </c>
      <c r="AD322" s="5">
        <f t="shared" si="93"/>
        <v>17998.119200000001</v>
      </c>
      <c r="AE322" s="5">
        <f t="shared" si="94"/>
        <v>-9.2000000004190952E-3</v>
      </c>
      <c r="AF322" s="5"/>
      <c r="AG322" s="5" t="s">
        <v>73</v>
      </c>
      <c r="AH322" s="5">
        <v>4</v>
      </c>
      <c r="AI322" s="5">
        <v>0</v>
      </c>
      <c r="AJ322" s="5">
        <v>0</v>
      </c>
      <c r="AK322" s="5" t="s">
        <v>256</v>
      </c>
      <c r="AL322" s="4" t="s">
        <v>90</v>
      </c>
      <c r="AM322" s="6" t="s">
        <v>103</v>
      </c>
      <c r="AN322" s="22"/>
      <c r="AO322" s="6"/>
      <c r="AP322" s="58"/>
      <c r="AQ322" s="58"/>
      <c r="AR322" s="24"/>
      <c r="AS322" s="23"/>
      <c r="AT322" s="6"/>
      <c r="AU322" s="6"/>
      <c r="AV322" s="54"/>
      <c r="AW322" s="52"/>
      <c r="AX322" s="9"/>
      <c r="AY322" s="9"/>
      <c r="AZ322" s="4"/>
      <c r="BB322" t="e">
        <f>VLOOKUP(B322,contactos!$A$1:$D$484,4,FALSE)</f>
        <v>#N/A</v>
      </c>
    </row>
    <row r="323" spans="2:54" customFormat="1" x14ac:dyDescent="0.25">
      <c r="B323" s="100">
        <v>342493</v>
      </c>
      <c r="C323" s="4" t="s">
        <v>614</v>
      </c>
      <c r="D323" s="5">
        <v>15461.130000000001</v>
      </c>
      <c r="E323" s="5">
        <v>0</v>
      </c>
      <c r="F323" s="5">
        <v>2473.7808</v>
      </c>
      <c r="G323" s="5">
        <v>17934.920000000002</v>
      </c>
      <c r="H323" s="5">
        <v>17934.919999999998</v>
      </c>
      <c r="I323" s="5">
        <f t="shared" si="86"/>
        <v>15461.130000000001</v>
      </c>
      <c r="J323" s="5"/>
      <c r="K323" s="5">
        <f t="shared" si="87"/>
        <v>15461.130000000001</v>
      </c>
      <c r="L323" s="5">
        <f t="shared" si="88"/>
        <v>17934.910800000001</v>
      </c>
      <c r="M323" s="5"/>
      <c r="N323" s="5">
        <f t="shared" si="89"/>
        <v>17934.910800000001</v>
      </c>
      <c r="O323" s="21"/>
      <c r="P323" s="21"/>
      <c r="Q323" s="21"/>
      <c r="R323" s="21">
        <f t="shared" si="95"/>
        <v>0</v>
      </c>
      <c r="S323" s="21">
        <v>15461.130000000001</v>
      </c>
      <c r="T323" s="21">
        <f t="shared" si="96"/>
        <v>0</v>
      </c>
      <c r="U323" s="21">
        <f t="shared" si="97"/>
        <v>2473.7808</v>
      </c>
      <c r="V323" s="21">
        <f t="shared" si="90"/>
        <v>17934.910800000001</v>
      </c>
      <c r="W323" s="21"/>
      <c r="X323" s="5"/>
      <c r="Y323" s="5"/>
      <c r="Z323" s="5">
        <f t="shared" si="91"/>
        <v>0</v>
      </c>
      <c r="AA323" s="5">
        <v>25299.74</v>
      </c>
      <c r="AB323" s="5" t="s">
        <v>258</v>
      </c>
      <c r="AC323" s="5">
        <f t="shared" si="92"/>
        <v>15461.130000000001</v>
      </c>
      <c r="AD323" s="5">
        <f t="shared" si="93"/>
        <v>17934.910800000001</v>
      </c>
      <c r="AE323" s="5">
        <f t="shared" si="94"/>
        <v>9.2000000004190952E-3</v>
      </c>
      <c r="AF323" s="5"/>
      <c r="AG323" s="5" t="s">
        <v>238</v>
      </c>
      <c r="AH323" s="5">
        <v>4</v>
      </c>
      <c r="AI323" s="5">
        <v>0</v>
      </c>
      <c r="AJ323" s="5"/>
      <c r="AK323" s="5" t="s">
        <v>256</v>
      </c>
      <c r="AL323" s="4" t="s">
        <v>90</v>
      </c>
      <c r="AM323" s="4" t="s">
        <v>94</v>
      </c>
      <c r="AN323" s="21"/>
      <c r="AO323" s="4"/>
      <c r="AP323" s="58"/>
      <c r="AQ323" s="58"/>
      <c r="AR323" s="23"/>
      <c r="AS323" s="23"/>
      <c r="AT323" s="4"/>
      <c r="AU323" s="4"/>
      <c r="AV323" s="4"/>
      <c r="AW323" s="4"/>
      <c r="AX323" s="9"/>
      <c r="AY323" s="9"/>
      <c r="AZ323" s="4"/>
      <c r="BB323" t="e">
        <f>VLOOKUP(B323,contactos!$A$1:$D$484,4,FALSE)</f>
        <v>#N/A</v>
      </c>
    </row>
    <row r="324" spans="2:54" customFormat="1" x14ac:dyDescent="0.25">
      <c r="B324" s="100">
        <v>312082</v>
      </c>
      <c r="C324" s="4" t="s">
        <v>615</v>
      </c>
      <c r="D324" s="5">
        <v>15342.73</v>
      </c>
      <c r="E324" s="5">
        <v>0</v>
      </c>
      <c r="F324" s="5">
        <v>2454.8630000000003</v>
      </c>
      <c r="G324" s="5">
        <v>17797.57</v>
      </c>
      <c r="H324" s="5">
        <v>17373.990000000002</v>
      </c>
      <c r="I324" s="5">
        <f t="shared" si="86"/>
        <v>14977.56</v>
      </c>
      <c r="J324" s="5"/>
      <c r="K324" s="5">
        <f t="shared" si="87"/>
        <v>14977.56</v>
      </c>
      <c r="L324" s="5">
        <f t="shared" si="88"/>
        <v>17373.992999999999</v>
      </c>
      <c r="M324" s="5"/>
      <c r="N324" s="5">
        <f t="shared" si="89"/>
        <v>17373.992999999999</v>
      </c>
      <c r="O324" s="21"/>
      <c r="P324" s="21"/>
      <c r="Q324" s="21"/>
      <c r="R324" s="21">
        <f t="shared" si="95"/>
        <v>0</v>
      </c>
      <c r="S324" s="128">
        <v>14977.56</v>
      </c>
      <c r="T324" s="21">
        <f t="shared" si="96"/>
        <v>0</v>
      </c>
      <c r="U324" s="21">
        <f t="shared" si="97"/>
        <v>2396.4330000000004</v>
      </c>
      <c r="V324" s="21">
        <f t="shared" si="90"/>
        <v>17373.992999999999</v>
      </c>
      <c r="W324" s="21">
        <v>365.17</v>
      </c>
      <c r="X324" s="5">
        <v>0</v>
      </c>
      <c r="Y324" s="5">
        <v>58.43</v>
      </c>
      <c r="Z324" s="5">
        <f t="shared" si="91"/>
        <v>423.6</v>
      </c>
      <c r="AA324" s="5">
        <v>40095.58</v>
      </c>
      <c r="AB324" s="5" t="s">
        <v>258</v>
      </c>
      <c r="AC324" s="5">
        <f t="shared" si="92"/>
        <v>15342.73</v>
      </c>
      <c r="AD324" s="5">
        <f t="shared" si="93"/>
        <v>17797.592999999997</v>
      </c>
      <c r="AE324" s="5">
        <f t="shared" si="94"/>
        <v>-2.2999999997409759E-2</v>
      </c>
      <c r="AF324" s="5"/>
      <c r="AG324" s="5" t="s">
        <v>57</v>
      </c>
      <c r="AH324" s="5">
        <v>4</v>
      </c>
      <c r="AI324" s="5">
        <v>2</v>
      </c>
      <c r="AJ324" s="120" t="s">
        <v>616</v>
      </c>
      <c r="AK324" s="5" t="s">
        <v>59</v>
      </c>
      <c r="AL324" s="4" t="s">
        <v>133</v>
      </c>
      <c r="AM324" s="6" t="s">
        <v>91</v>
      </c>
      <c r="AN324" s="21">
        <v>726.7</v>
      </c>
      <c r="AO324" s="4" t="s">
        <v>617</v>
      </c>
      <c r="AP324" s="58">
        <v>1</v>
      </c>
      <c r="AQ324" s="104"/>
      <c r="AR324" s="104">
        <v>46059</v>
      </c>
      <c r="AS324" s="23"/>
      <c r="AT324" s="4"/>
      <c r="AU324" s="4"/>
      <c r="AV324" s="4" t="s">
        <v>618</v>
      </c>
      <c r="AW324" s="4"/>
      <c r="AX324" s="9"/>
      <c r="AY324" s="9"/>
      <c r="AZ324" s="4"/>
      <c r="BB324" t="e">
        <f>VLOOKUP(B324,contactos!$A$1:$D$484,4,FALSE)</f>
        <v>#N/A</v>
      </c>
    </row>
    <row r="325" spans="2:54" customFormat="1" x14ac:dyDescent="0.25">
      <c r="B325" s="100">
        <v>385559</v>
      </c>
      <c r="C325" s="4" t="s">
        <v>619</v>
      </c>
      <c r="D325" s="5">
        <v>15129.05</v>
      </c>
      <c r="E325" s="5">
        <v>0</v>
      </c>
      <c r="F325" s="5">
        <v>2420.6480000000001</v>
      </c>
      <c r="G325" s="5">
        <v>17549.689999999999</v>
      </c>
      <c r="H325" s="5">
        <v>17549.689999999999</v>
      </c>
      <c r="I325" s="5">
        <f t="shared" si="86"/>
        <v>15129.05</v>
      </c>
      <c r="J325" s="5"/>
      <c r="K325" s="5">
        <f t="shared" si="87"/>
        <v>15129.05</v>
      </c>
      <c r="L325" s="5">
        <f t="shared" si="88"/>
        <v>17549.698</v>
      </c>
      <c r="M325" s="5"/>
      <c r="N325" s="5">
        <f t="shared" si="89"/>
        <v>17549.698</v>
      </c>
      <c r="O325" s="27">
        <v>15129.05</v>
      </c>
      <c r="P325" s="27">
        <v>0</v>
      </c>
      <c r="Q325" s="27">
        <v>2420.6480000000001</v>
      </c>
      <c r="R325" s="21">
        <f t="shared" si="95"/>
        <v>17549.698</v>
      </c>
      <c r="S325" s="27">
        <v>0</v>
      </c>
      <c r="T325" s="21">
        <f t="shared" si="96"/>
        <v>0</v>
      </c>
      <c r="U325" s="21">
        <f>F325-Q325-Y325</f>
        <v>0</v>
      </c>
      <c r="V325" s="21">
        <f t="shared" si="90"/>
        <v>0</v>
      </c>
      <c r="W325" s="27"/>
      <c r="X325" s="5"/>
      <c r="Y325" s="5"/>
      <c r="Z325" s="5">
        <f t="shared" si="91"/>
        <v>0</v>
      </c>
      <c r="AA325" s="5">
        <v>55991.95</v>
      </c>
      <c r="AB325" s="5" t="s">
        <v>258</v>
      </c>
      <c r="AC325" s="5">
        <f t="shared" si="92"/>
        <v>15129.05</v>
      </c>
      <c r="AD325" s="5">
        <f t="shared" si="93"/>
        <v>17549.698</v>
      </c>
      <c r="AE325" s="5">
        <f t="shared" si="94"/>
        <v>-8.0000000016298145E-3</v>
      </c>
      <c r="AF325" s="5"/>
      <c r="AG325" s="5" t="s">
        <v>238</v>
      </c>
      <c r="AH325" s="5">
        <v>4</v>
      </c>
      <c r="AI325" s="5">
        <v>0</v>
      </c>
      <c r="AJ325" s="5">
        <v>0</v>
      </c>
      <c r="AK325" s="5" t="s">
        <v>59</v>
      </c>
      <c r="AL325" s="4" t="s">
        <v>82</v>
      </c>
      <c r="AM325" s="4" t="s">
        <v>83</v>
      </c>
      <c r="AN325" s="27">
        <v>17549.689999999999</v>
      </c>
      <c r="AO325" s="13" t="s">
        <v>104</v>
      </c>
      <c r="AP325" s="58">
        <v>1</v>
      </c>
      <c r="AQ325" s="58"/>
      <c r="AR325" s="23">
        <v>46050</v>
      </c>
      <c r="AS325" s="23">
        <v>46050</v>
      </c>
      <c r="AT325" s="4"/>
      <c r="AU325" s="4"/>
      <c r="AV325" s="4" t="s">
        <v>620</v>
      </c>
      <c r="AW325" s="4" t="s">
        <v>85</v>
      </c>
      <c r="AX325" s="12" t="s">
        <v>71</v>
      </c>
      <c r="AY325" s="12"/>
      <c r="AZ325" s="12"/>
      <c r="BA325" t="s">
        <v>86</v>
      </c>
      <c r="BB325" t="e">
        <f>VLOOKUP(B325,contactos!$A$1:$D$484,4,FALSE)</f>
        <v>#N/A</v>
      </c>
    </row>
    <row r="326" spans="2:54" customFormat="1" x14ac:dyDescent="0.25">
      <c r="B326" s="131">
        <v>20870</v>
      </c>
      <c r="C326" s="4" t="s">
        <v>621</v>
      </c>
      <c r="D326" s="5">
        <v>15122.79</v>
      </c>
      <c r="E326" s="5">
        <v>0</v>
      </c>
      <c r="F326" s="5">
        <v>2419.6464000000001</v>
      </c>
      <c r="G326" s="5">
        <v>17542.43</v>
      </c>
      <c r="H326" s="5">
        <v>17542.43</v>
      </c>
      <c r="I326" s="5">
        <f t="shared" si="86"/>
        <v>15122.79</v>
      </c>
      <c r="J326" s="5"/>
      <c r="K326" s="5">
        <f t="shared" si="87"/>
        <v>15122.79</v>
      </c>
      <c r="L326" s="5">
        <f t="shared" si="88"/>
        <v>17542.436400000002</v>
      </c>
      <c r="M326" s="5"/>
      <c r="N326" s="5">
        <f t="shared" si="89"/>
        <v>17542.436400000002</v>
      </c>
      <c r="O326" s="21"/>
      <c r="P326" s="21"/>
      <c r="Q326" s="21"/>
      <c r="R326" s="21">
        <f t="shared" ref="R326:R327" si="98">SUM(O326:Q326)</f>
        <v>0</v>
      </c>
      <c r="S326" s="21">
        <v>15122.79</v>
      </c>
      <c r="T326" s="21">
        <f t="shared" ref="T326:T356" si="99">E326-X326</f>
        <v>0</v>
      </c>
      <c r="U326" s="21">
        <f t="shared" ref="U326:U357" si="100">F326-Y326</f>
        <v>2419.6464000000001</v>
      </c>
      <c r="V326" s="21">
        <f t="shared" ref="V326:V327" si="101">SUM(S326:U326)</f>
        <v>17542.436400000002</v>
      </c>
      <c r="W326" s="21"/>
      <c r="X326" s="5"/>
      <c r="Y326" s="5"/>
      <c r="Z326" s="5">
        <f t="shared" ref="Z326:Z327" si="102">SUM(W326:Y326)</f>
        <v>0</v>
      </c>
      <c r="AA326" s="5">
        <v>140745.88</v>
      </c>
      <c r="AB326" s="5" t="s">
        <v>258</v>
      </c>
      <c r="AC326" s="5">
        <f t="shared" ref="AC326" si="103">O326+S326+W326</f>
        <v>15122.79</v>
      </c>
      <c r="AD326" s="5">
        <f t="shared" ref="AD326:AD327" si="104">R326+V326+Z326</f>
        <v>17542.436400000002</v>
      </c>
      <c r="AE326" s="5">
        <f t="shared" ref="AE326:AE327" si="105">G326-AD326</f>
        <v>-6.4000000020314474E-3</v>
      </c>
      <c r="AF326" s="5"/>
      <c r="AG326" s="5" t="s">
        <v>238</v>
      </c>
      <c r="AH326" s="5">
        <v>4</v>
      </c>
      <c r="AI326" s="5">
        <v>0</v>
      </c>
      <c r="AJ326" s="5">
        <v>0</v>
      </c>
      <c r="AK326" s="5" t="s">
        <v>256</v>
      </c>
      <c r="AL326" s="4" t="s">
        <v>90</v>
      </c>
      <c r="AM326" s="6" t="s">
        <v>103</v>
      </c>
      <c r="AN326" s="21"/>
      <c r="AO326" s="4"/>
      <c r="AP326" s="58"/>
      <c r="AQ326" s="58"/>
      <c r="AR326" s="23"/>
      <c r="AS326" s="23"/>
      <c r="AT326" s="4"/>
      <c r="AU326" s="4"/>
      <c r="AV326" s="52"/>
      <c r="AW326" s="52"/>
      <c r="AX326" s="9"/>
      <c r="AY326" s="9"/>
      <c r="AZ326" s="4"/>
      <c r="BB326" t="e">
        <f>VLOOKUP(B326,contactos!$A$1:$D$484,4,FALSE)</f>
        <v>#N/A</v>
      </c>
    </row>
    <row r="327" spans="2:54" customFormat="1" x14ac:dyDescent="0.25">
      <c r="B327" s="100">
        <v>397547</v>
      </c>
      <c r="C327" s="4" t="s">
        <v>622</v>
      </c>
      <c r="D327" s="5">
        <v>15089.28</v>
      </c>
      <c r="E327" s="5">
        <v>0</v>
      </c>
      <c r="F327" s="5">
        <v>2414.2847999999999</v>
      </c>
      <c r="G327" s="5">
        <v>17503.57</v>
      </c>
      <c r="H327" s="5">
        <v>17503.57</v>
      </c>
      <c r="I327" s="5">
        <f t="shared" si="86"/>
        <v>15089.28</v>
      </c>
      <c r="J327" s="5"/>
      <c r="K327" s="5">
        <f t="shared" si="87"/>
        <v>15089.28</v>
      </c>
      <c r="L327" s="5">
        <f t="shared" si="88"/>
        <v>17503.5648</v>
      </c>
      <c r="M327" s="5"/>
      <c r="N327" s="5">
        <f t="shared" si="89"/>
        <v>17503.5648</v>
      </c>
      <c r="O327" s="21"/>
      <c r="P327" s="21"/>
      <c r="Q327" s="21"/>
      <c r="R327" s="21">
        <f t="shared" si="98"/>
        <v>0</v>
      </c>
      <c r="S327" s="21">
        <v>15089.28</v>
      </c>
      <c r="T327" s="21">
        <f t="shared" si="99"/>
        <v>0</v>
      </c>
      <c r="U327" s="21">
        <f t="shared" si="100"/>
        <v>2414.2847999999999</v>
      </c>
      <c r="V327" s="21">
        <f t="shared" si="101"/>
        <v>17503.5648</v>
      </c>
      <c r="W327" s="21"/>
      <c r="X327" s="5"/>
      <c r="Y327" s="5"/>
      <c r="Z327" s="5">
        <f t="shared" si="102"/>
        <v>0</v>
      </c>
      <c r="AA327" s="5">
        <v>44793.87</v>
      </c>
      <c r="AB327" s="5" t="s">
        <v>258</v>
      </c>
      <c r="AC327" s="5">
        <f t="shared" ref="AC327:AC390" si="106">O327+S327+W327</f>
        <v>15089.28</v>
      </c>
      <c r="AD327" s="5">
        <f t="shared" si="104"/>
        <v>17503.5648</v>
      </c>
      <c r="AE327" s="5">
        <f t="shared" si="105"/>
        <v>5.1999999996041879E-3</v>
      </c>
      <c r="AF327" s="5"/>
      <c r="AG327" s="5" t="s">
        <v>73</v>
      </c>
      <c r="AH327" s="5">
        <v>4</v>
      </c>
      <c r="AI327" s="5">
        <v>0</v>
      </c>
      <c r="AJ327" s="120" t="s">
        <v>296</v>
      </c>
      <c r="AK327" s="5" t="s">
        <v>256</v>
      </c>
      <c r="AL327" s="4" t="s">
        <v>90</v>
      </c>
      <c r="AM327" s="4" t="s">
        <v>216</v>
      </c>
      <c r="AN327" s="21"/>
      <c r="AO327" s="4"/>
      <c r="AP327" s="58"/>
      <c r="AQ327" s="58"/>
      <c r="AR327" s="23"/>
      <c r="AS327" s="23"/>
      <c r="AT327" s="4"/>
      <c r="AU327" s="4"/>
      <c r="AV327" s="4"/>
      <c r="AW327" s="4"/>
      <c r="AX327" s="9"/>
      <c r="AY327" s="9"/>
      <c r="AZ327" s="4"/>
      <c r="BB327" t="e">
        <f>VLOOKUP(B327,contactos!$A$1:$D$484,4,FALSE)</f>
        <v>#N/A</v>
      </c>
    </row>
    <row r="328" spans="2:54" customFormat="1" x14ac:dyDescent="0.25">
      <c r="B328" s="100">
        <v>391219</v>
      </c>
      <c r="C328" s="4" t="s">
        <v>623</v>
      </c>
      <c r="D328" s="5">
        <v>15086.306681131999</v>
      </c>
      <c r="E328" s="5">
        <v>0</v>
      </c>
      <c r="F328" s="5">
        <v>2413.8090689811197</v>
      </c>
      <c r="G328" s="5">
        <v>17500.13</v>
      </c>
      <c r="H328" s="5">
        <v>0</v>
      </c>
      <c r="I328" s="5">
        <f t="shared" ref="I328:I391" si="107">O328+S328</f>
        <v>15086.306681131999</v>
      </c>
      <c r="J328" s="5"/>
      <c r="K328" s="5">
        <f t="shared" ref="K328:K391" si="108">I328-J328</f>
        <v>15086.306681131999</v>
      </c>
      <c r="L328" s="5">
        <f t="shared" ref="L328:L391" si="109">R328+V328</f>
        <v>17500.115750113117</v>
      </c>
      <c r="M328" s="5"/>
      <c r="N328" s="5">
        <f t="shared" ref="N328:N391" si="110">L328-M328</f>
        <v>17500.115750113117</v>
      </c>
      <c r="O328" s="21"/>
      <c r="P328" s="21"/>
      <c r="Q328" s="21"/>
      <c r="R328" s="21">
        <f t="shared" ref="R328:R391" si="111">SUM(O328:Q328)</f>
        <v>0</v>
      </c>
      <c r="S328" s="21">
        <v>15086.306681131999</v>
      </c>
      <c r="T328" s="21">
        <f t="shared" si="99"/>
        <v>0</v>
      </c>
      <c r="U328" s="21">
        <f t="shared" si="100"/>
        <v>2413.8090689811197</v>
      </c>
      <c r="V328" s="21">
        <f t="shared" ref="V328:V391" si="112">SUM(S328:U328)</f>
        <v>17500.115750113117</v>
      </c>
      <c r="W328" s="21"/>
      <c r="X328" s="5"/>
      <c r="Y328" s="5"/>
      <c r="Z328" s="5">
        <f t="shared" ref="Z328:Z391" si="113">SUM(W328:Y328)</f>
        <v>0</v>
      </c>
      <c r="AA328" s="5">
        <v>62962.5</v>
      </c>
      <c r="AB328" s="5" t="s">
        <v>258</v>
      </c>
      <c r="AC328" s="5">
        <f t="shared" si="106"/>
        <v>15086.306681131999</v>
      </c>
      <c r="AD328" s="5">
        <f t="shared" ref="AD328:AD391" si="114">R328+V328+Z328</f>
        <v>17500.115750113117</v>
      </c>
      <c r="AE328" s="5">
        <f t="shared" ref="AE328:AE391" si="115">G328-AD328</f>
        <v>1.4249886884499574E-2</v>
      </c>
      <c r="AF328" s="5"/>
      <c r="AG328" s="5" t="s">
        <v>238</v>
      </c>
      <c r="AH328" s="5">
        <v>4</v>
      </c>
      <c r="AI328" s="5">
        <v>0</v>
      </c>
      <c r="AJ328" s="5">
        <v>0</v>
      </c>
      <c r="AK328" s="5" t="s">
        <v>256</v>
      </c>
      <c r="AL328" s="4" t="s">
        <v>90</v>
      </c>
      <c r="AM328" s="4" t="s">
        <v>141</v>
      </c>
      <c r="AN328" s="21"/>
      <c r="AO328" s="4"/>
      <c r="AP328" s="58"/>
      <c r="AQ328" s="58"/>
      <c r="AR328" s="23"/>
      <c r="AS328" s="23"/>
      <c r="AT328" s="4"/>
      <c r="AU328" s="4"/>
      <c r="AV328" s="4"/>
      <c r="AW328" s="4"/>
      <c r="AX328" s="9"/>
      <c r="AY328" s="9"/>
      <c r="AZ328" s="4"/>
      <c r="BB328" t="e">
        <f>VLOOKUP(B328,contactos!$A$1:$D$484,4,FALSE)</f>
        <v>#N/A</v>
      </c>
    </row>
    <row r="329" spans="2:54" customFormat="1" x14ac:dyDescent="0.25">
      <c r="B329" s="100">
        <v>339457</v>
      </c>
      <c r="C329" s="4" t="s">
        <v>624</v>
      </c>
      <c r="D329" s="5">
        <v>15067.04</v>
      </c>
      <c r="E329" s="5">
        <v>0</v>
      </c>
      <c r="F329" s="5">
        <v>2410.7264</v>
      </c>
      <c r="G329" s="5">
        <v>17477.759999999998</v>
      </c>
      <c r="H329" s="5">
        <v>17477.759999999998</v>
      </c>
      <c r="I329" s="5">
        <f t="shared" si="107"/>
        <v>15067.04</v>
      </c>
      <c r="J329" s="5"/>
      <c r="K329" s="5">
        <f t="shared" si="108"/>
        <v>15067.04</v>
      </c>
      <c r="L329" s="5">
        <f t="shared" si="109"/>
        <v>17477.7664</v>
      </c>
      <c r="M329" s="5"/>
      <c r="N329" s="5">
        <f t="shared" si="110"/>
        <v>17477.7664</v>
      </c>
      <c r="O329" s="21"/>
      <c r="P329" s="21"/>
      <c r="Q329" s="21"/>
      <c r="R329" s="21">
        <f t="shared" si="111"/>
        <v>0</v>
      </c>
      <c r="S329" s="21">
        <v>15067.04</v>
      </c>
      <c r="T329" s="21">
        <f t="shared" si="99"/>
        <v>0</v>
      </c>
      <c r="U329" s="21">
        <f t="shared" si="100"/>
        <v>2410.7264</v>
      </c>
      <c r="V329" s="21">
        <f t="shared" si="112"/>
        <v>17477.7664</v>
      </c>
      <c r="W329" s="21"/>
      <c r="X329" s="5"/>
      <c r="Y329" s="5"/>
      <c r="Z329" s="5">
        <f t="shared" si="113"/>
        <v>0</v>
      </c>
      <c r="AA329" s="5">
        <v>238248.02</v>
      </c>
      <c r="AB329" s="5" t="s">
        <v>258</v>
      </c>
      <c r="AC329" s="5">
        <f t="shared" si="106"/>
        <v>15067.04</v>
      </c>
      <c r="AD329" s="5">
        <f t="shared" si="114"/>
        <v>17477.7664</v>
      </c>
      <c r="AE329" s="5">
        <f t="shared" si="115"/>
        <v>-6.4000000020314474E-3</v>
      </c>
      <c r="AF329" s="5"/>
      <c r="AG329" s="5" t="s">
        <v>73</v>
      </c>
      <c r="AH329" s="5">
        <v>4</v>
      </c>
      <c r="AI329" s="5">
        <v>1</v>
      </c>
      <c r="AJ329" s="120" t="s">
        <v>625</v>
      </c>
      <c r="AK329" s="5" t="s">
        <v>59</v>
      </c>
      <c r="AL329" s="4" t="s">
        <v>75</v>
      </c>
      <c r="AM329" s="6" t="s">
        <v>91</v>
      </c>
      <c r="AN329" s="21">
        <v>17477.759999999998</v>
      </c>
      <c r="AO329" s="4" t="s">
        <v>68</v>
      </c>
      <c r="AP329" s="58">
        <v>1</v>
      </c>
      <c r="AQ329" s="58" t="s">
        <v>189</v>
      </c>
      <c r="AR329" s="23">
        <v>46042</v>
      </c>
      <c r="AS329" s="23">
        <v>46042</v>
      </c>
      <c r="AT329" s="4"/>
      <c r="AU329" s="4"/>
      <c r="AV329" s="7" t="s">
        <v>254</v>
      </c>
      <c r="AW329" s="4" t="s">
        <v>70</v>
      </c>
      <c r="AX329" s="9" t="s">
        <v>71</v>
      </c>
      <c r="AY329" s="9"/>
      <c r="AZ329" s="4"/>
      <c r="BA329" s="16" t="s">
        <v>626</v>
      </c>
      <c r="BB329" t="str">
        <f>VLOOKUP(B329,contactos!$A$1:$D$484,4,FALSE)</f>
        <v>sergio.alanis@papelsanfrancisco.com</v>
      </c>
    </row>
    <row r="330" spans="2:54" customFormat="1" x14ac:dyDescent="0.25">
      <c r="B330" s="100">
        <v>384958</v>
      </c>
      <c r="C330" s="4" t="s">
        <v>627</v>
      </c>
      <c r="D330" s="5">
        <v>16903.074899900002</v>
      </c>
      <c r="E330" s="5">
        <v>0</v>
      </c>
      <c r="F330" s="5">
        <v>0</v>
      </c>
      <c r="G330" s="5">
        <v>16903.0749</v>
      </c>
      <c r="H330" s="5">
        <v>16903.080000000002</v>
      </c>
      <c r="I330" s="5">
        <f t="shared" si="107"/>
        <v>16903.074899900002</v>
      </c>
      <c r="J330" s="5"/>
      <c r="K330" s="5">
        <f t="shared" si="108"/>
        <v>16903.074899900002</v>
      </c>
      <c r="L330" s="5">
        <f t="shared" si="109"/>
        <v>16903.074899900002</v>
      </c>
      <c r="M330" s="5"/>
      <c r="N330" s="5">
        <f t="shared" si="110"/>
        <v>16903.074899900002</v>
      </c>
      <c r="O330" s="21"/>
      <c r="P330" s="21"/>
      <c r="Q330" s="21"/>
      <c r="R330" s="21">
        <f t="shared" si="111"/>
        <v>0</v>
      </c>
      <c r="S330" s="21">
        <v>16903.074899900002</v>
      </c>
      <c r="T330" s="21">
        <f t="shared" si="99"/>
        <v>0</v>
      </c>
      <c r="U330" s="21">
        <f t="shared" si="100"/>
        <v>0</v>
      </c>
      <c r="V330" s="21">
        <f t="shared" si="112"/>
        <v>16903.074899900002</v>
      </c>
      <c r="W330" s="21"/>
      <c r="X330" s="5"/>
      <c r="Y330" s="5"/>
      <c r="Z330" s="5">
        <f t="shared" si="113"/>
        <v>0</v>
      </c>
      <c r="AA330" s="5">
        <v>46920.06</v>
      </c>
      <c r="AB330" s="5" t="s">
        <v>258</v>
      </c>
      <c r="AC330" s="5">
        <f t="shared" si="106"/>
        <v>16903.074899900002</v>
      </c>
      <c r="AD330" s="5">
        <f t="shared" si="114"/>
        <v>16903.074899900002</v>
      </c>
      <c r="AE330" s="5">
        <f t="shared" si="115"/>
        <v>9.9997123470529914E-8</v>
      </c>
      <c r="AF330" s="5"/>
      <c r="AG330" s="5" t="s">
        <v>238</v>
      </c>
      <c r="AH330" s="5">
        <v>4</v>
      </c>
      <c r="AI330" s="5">
        <v>0</v>
      </c>
      <c r="AJ330" s="5">
        <v>0</v>
      </c>
      <c r="AK330" s="5" t="s">
        <v>256</v>
      </c>
      <c r="AL330" s="4" t="s">
        <v>90</v>
      </c>
      <c r="AM330" s="4" t="s">
        <v>107</v>
      </c>
      <c r="AN330" s="21"/>
      <c r="AO330" s="4"/>
      <c r="AP330" s="58"/>
      <c r="AQ330" s="58"/>
      <c r="AR330" s="23"/>
      <c r="AS330" s="23"/>
      <c r="AT330" s="4"/>
      <c r="AU330" s="4"/>
      <c r="AV330" s="4"/>
      <c r="AW330" s="4"/>
      <c r="AX330" s="9"/>
      <c r="AY330" s="9"/>
      <c r="AZ330" s="4"/>
      <c r="BB330" t="e">
        <f>VLOOKUP(B330,contactos!$A$1:$D$484,4,FALSE)</f>
        <v>#N/A</v>
      </c>
    </row>
    <row r="331" spans="2:54" customFormat="1" x14ac:dyDescent="0.25">
      <c r="B331" s="100">
        <v>3566</v>
      </c>
      <c r="C331" s="4" t="s">
        <v>628</v>
      </c>
      <c r="D331" s="5">
        <v>16461.23</v>
      </c>
      <c r="E331" s="5">
        <v>0</v>
      </c>
      <c r="F331" s="5">
        <v>0</v>
      </c>
      <c r="G331" s="5">
        <v>16461.23</v>
      </c>
      <c r="H331" s="5">
        <v>16461.23</v>
      </c>
      <c r="I331" s="5">
        <f t="shared" si="107"/>
        <v>5297.04</v>
      </c>
      <c r="J331" s="5"/>
      <c r="K331" s="5">
        <f t="shared" si="108"/>
        <v>5297.04</v>
      </c>
      <c r="L331" s="5">
        <f t="shared" si="109"/>
        <v>5297.04</v>
      </c>
      <c r="M331" s="5"/>
      <c r="N331" s="5">
        <f t="shared" si="110"/>
        <v>5297.04</v>
      </c>
      <c r="O331" s="21">
        <v>5297.04</v>
      </c>
      <c r="P331" s="21"/>
      <c r="Q331" s="21"/>
      <c r="R331" s="21">
        <f t="shared" si="111"/>
        <v>5297.04</v>
      </c>
      <c r="S331" s="21">
        <v>0</v>
      </c>
      <c r="T331" s="21">
        <f t="shared" si="99"/>
        <v>0</v>
      </c>
      <c r="U331" s="21">
        <f t="shared" si="100"/>
        <v>0</v>
      </c>
      <c r="V331" s="21">
        <f t="shared" si="112"/>
        <v>0</v>
      </c>
      <c r="W331" s="21">
        <v>11164.19</v>
      </c>
      <c r="X331" s="5"/>
      <c r="Y331" s="5"/>
      <c r="Z331" s="5">
        <f t="shared" si="113"/>
        <v>11164.19</v>
      </c>
      <c r="AA331" s="5"/>
      <c r="AB331" s="5" t="s">
        <v>258</v>
      </c>
      <c r="AC331" s="5">
        <f t="shared" si="106"/>
        <v>16461.23</v>
      </c>
      <c r="AD331" s="5">
        <f t="shared" si="114"/>
        <v>16461.23</v>
      </c>
      <c r="AE331" s="5">
        <f t="shared" si="115"/>
        <v>0</v>
      </c>
      <c r="AF331" s="5"/>
      <c r="AG331" s="5" t="s">
        <v>238</v>
      </c>
      <c r="AH331" s="5">
        <v>4</v>
      </c>
      <c r="AI331" s="5">
        <v>0</v>
      </c>
      <c r="AJ331" s="5">
        <v>0</v>
      </c>
      <c r="AK331" s="5" t="s">
        <v>256</v>
      </c>
      <c r="AL331" s="4" t="s">
        <v>90</v>
      </c>
      <c r="AM331" s="4" t="s">
        <v>112</v>
      </c>
      <c r="AN331" s="21"/>
      <c r="AO331" s="4"/>
      <c r="AP331" s="58"/>
      <c r="AQ331" s="58"/>
      <c r="AR331" s="23"/>
      <c r="AS331" s="23"/>
      <c r="AT331" s="4"/>
      <c r="AU331" s="4"/>
      <c r="AV331" s="4"/>
      <c r="AW331" s="4"/>
      <c r="AX331" s="9"/>
      <c r="AY331" s="9"/>
      <c r="AZ331" s="4"/>
      <c r="BB331" t="str">
        <f>VLOOKUP(B331,contactos!$A$1:$D$484,4,FALSE)</f>
        <v>danielabrambila@mercantilmx.com</v>
      </c>
    </row>
    <row r="332" spans="2:54" customFormat="1" x14ac:dyDescent="0.25">
      <c r="B332" s="100">
        <v>309807</v>
      </c>
      <c r="C332" s="4" t="s">
        <v>629</v>
      </c>
      <c r="D332" s="5">
        <v>12985.57</v>
      </c>
      <c r="E332" s="5">
        <v>0</v>
      </c>
      <c r="F332" s="5">
        <v>2077.6912000000002</v>
      </c>
      <c r="G332" s="5">
        <v>15063.25</v>
      </c>
      <c r="H332" s="5">
        <v>15063.25</v>
      </c>
      <c r="I332" s="5">
        <f t="shared" si="107"/>
        <v>12985.57</v>
      </c>
      <c r="J332" s="5"/>
      <c r="K332" s="5">
        <f t="shared" si="108"/>
        <v>12985.57</v>
      </c>
      <c r="L332" s="5">
        <f t="shared" si="109"/>
        <v>15063.261200000001</v>
      </c>
      <c r="M332" s="5"/>
      <c r="N332" s="5">
        <f t="shared" si="110"/>
        <v>15063.261200000001</v>
      </c>
      <c r="O332" s="21"/>
      <c r="P332" s="21"/>
      <c r="Q332" s="21"/>
      <c r="R332" s="21">
        <f t="shared" si="111"/>
        <v>0</v>
      </c>
      <c r="S332" s="21">
        <v>12985.57</v>
      </c>
      <c r="T332" s="21">
        <f t="shared" si="99"/>
        <v>0</v>
      </c>
      <c r="U332" s="21">
        <f t="shared" si="100"/>
        <v>2077.6912000000002</v>
      </c>
      <c r="V332" s="21">
        <f t="shared" si="112"/>
        <v>15063.261200000001</v>
      </c>
      <c r="W332" s="21"/>
      <c r="X332" s="5"/>
      <c r="Y332" s="5"/>
      <c r="Z332" s="5">
        <f t="shared" si="113"/>
        <v>0</v>
      </c>
      <c r="AA332" s="5">
        <v>300432.64000000001</v>
      </c>
      <c r="AB332" s="5" t="s">
        <v>258</v>
      </c>
      <c r="AC332" s="5">
        <f t="shared" si="106"/>
        <v>12985.57</v>
      </c>
      <c r="AD332" s="5">
        <f t="shared" si="114"/>
        <v>15063.261200000001</v>
      </c>
      <c r="AE332" s="5">
        <f t="shared" si="115"/>
        <v>-1.1200000000826549E-2</v>
      </c>
      <c r="AF332" s="5"/>
      <c r="AG332" s="5" t="s">
        <v>73</v>
      </c>
      <c r="AH332" s="5">
        <v>4</v>
      </c>
      <c r="AI332" s="5">
        <v>0</v>
      </c>
      <c r="AJ332" s="5" t="s">
        <v>333</v>
      </c>
      <c r="AK332" s="5" t="s">
        <v>256</v>
      </c>
      <c r="AL332" s="4" t="s">
        <v>90</v>
      </c>
      <c r="AM332" s="4" t="s">
        <v>137</v>
      </c>
      <c r="AN332" s="21"/>
      <c r="AO332" s="4"/>
      <c r="AP332" s="58"/>
      <c r="AQ332" s="58"/>
      <c r="AR332" s="23"/>
      <c r="AS332" s="23"/>
      <c r="AT332" s="4"/>
      <c r="AU332" s="4"/>
      <c r="AV332" s="4"/>
      <c r="AW332" s="4"/>
      <c r="AX332" s="9"/>
      <c r="AY332" s="9"/>
      <c r="AZ332" s="4"/>
      <c r="BB332" t="e">
        <f>VLOOKUP(B332,contactos!$A$1:$D$484,4,FALSE)</f>
        <v>#N/A</v>
      </c>
    </row>
    <row r="333" spans="2:54" customFormat="1" x14ac:dyDescent="0.25">
      <c r="B333" s="100">
        <v>313908</v>
      </c>
      <c r="C333" s="4" t="s">
        <v>630</v>
      </c>
      <c r="D333" s="5">
        <v>12172.01</v>
      </c>
      <c r="E333" s="5">
        <v>0</v>
      </c>
      <c r="F333" s="5">
        <v>1947.5215999999998</v>
      </c>
      <c r="G333" s="5">
        <v>14119.53</v>
      </c>
      <c r="H333" s="5">
        <v>14119.53</v>
      </c>
      <c r="I333" s="5">
        <f t="shared" si="107"/>
        <v>12172.01</v>
      </c>
      <c r="J333" s="5"/>
      <c r="K333" s="5">
        <f t="shared" si="108"/>
        <v>12172.01</v>
      </c>
      <c r="L333" s="5">
        <f t="shared" si="109"/>
        <v>14119.5316</v>
      </c>
      <c r="M333" s="5"/>
      <c r="N333" s="5">
        <f t="shared" si="110"/>
        <v>14119.5316</v>
      </c>
      <c r="O333" s="21"/>
      <c r="P333" s="21"/>
      <c r="Q333" s="21"/>
      <c r="R333" s="21">
        <f t="shared" si="111"/>
        <v>0</v>
      </c>
      <c r="S333" s="21">
        <v>12172.01</v>
      </c>
      <c r="T333" s="21">
        <f t="shared" si="99"/>
        <v>0</v>
      </c>
      <c r="U333" s="21">
        <f t="shared" si="100"/>
        <v>1947.5215999999998</v>
      </c>
      <c r="V333" s="21">
        <f t="shared" si="112"/>
        <v>14119.5316</v>
      </c>
      <c r="W333" s="21"/>
      <c r="X333" s="5"/>
      <c r="Y333" s="5"/>
      <c r="Z333" s="5">
        <f t="shared" si="113"/>
        <v>0</v>
      </c>
      <c r="AA333" s="5">
        <v>27151.72</v>
      </c>
      <c r="AB333" s="5" t="s">
        <v>258</v>
      </c>
      <c r="AC333" s="5">
        <f t="shared" si="106"/>
        <v>12172.01</v>
      </c>
      <c r="AD333" s="5">
        <f t="shared" si="114"/>
        <v>14119.5316</v>
      </c>
      <c r="AE333" s="5">
        <f t="shared" si="115"/>
        <v>-1.5999999995983671E-3</v>
      </c>
      <c r="AF333" s="5"/>
      <c r="AG333" s="5" t="s">
        <v>238</v>
      </c>
      <c r="AH333" s="5">
        <v>4</v>
      </c>
      <c r="AI333" s="5">
        <v>0</v>
      </c>
      <c r="AJ333" s="5">
        <v>0</v>
      </c>
      <c r="AK333" s="5" t="s">
        <v>256</v>
      </c>
      <c r="AL333" s="4" t="s">
        <v>90</v>
      </c>
      <c r="AM333" s="4" t="s">
        <v>91</v>
      </c>
      <c r="AN333" s="21"/>
      <c r="AO333" s="4"/>
      <c r="AP333" s="58"/>
      <c r="AQ333" s="58"/>
      <c r="AR333" s="23"/>
      <c r="AS333" s="23"/>
      <c r="AT333" s="4"/>
      <c r="AU333" s="4"/>
      <c r="AV333" s="4"/>
      <c r="AW333" s="4"/>
      <c r="AX333" s="9"/>
      <c r="AY333" s="9"/>
      <c r="AZ333" s="4"/>
      <c r="BB333" t="e">
        <f>VLOOKUP(B333,contactos!$A$1:$D$484,4,FALSE)</f>
        <v>#N/A</v>
      </c>
    </row>
    <row r="334" spans="2:54" customFormat="1" x14ac:dyDescent="0.25">
      <c r="B334" s="100">
        <v>19398</v>
      </c>
      <c r="C334" s="4" t="s">
        <v>631</v>
      </c>
      <c r="D334" s="5">
        <v>11948.46</v>
      </c>
      <c r="E334" s="5">
        <v>0</v>
      </c>
      <c r="F334" s="5">
        <v>1911.7536</v>
      </c>
      <c r="G334" s="5">
        <v>13860.21</v>
      </c>
      <c r="H334" s="5">
        <v>13860.21</v>
      </c>
      <c r="I334" s="5">
        <f t="shared" si="107"/>
        <v>11948.46</v>
      </c>
      <c r="J334" s="5"/>
      <c r="K334" s="5">
        <f t="shared" si="108"/>
        <v>11948.46</v>
      </c>
      <c r="L334" s="5">
        <f t="shared" si="109"/>
        <v>13860.213599999999</v>
      </c>
      <c r="M334" s="5"/>
      <c r="N334" s="5">
        <f t="shared" si="110"/>
        <v>13860.213599999999</v>
      </c>
      <c r="O334" s="21"/>
      <c r="P334" s="21"/>
      <c r="Q334" s="21"/>
      <c r="R334" s="21">
        <f t="shared" si="111"/>
        <v>0</v>
      </c>
      <c r="S334" s="21">
        <v>11948.46</v>
      </c>
      <c r="T334" s="21">
        <f t="shared" si="99"/>
        <v>0</v>
      </c>
      <c r="U334" s="21">
        <f t="shared" si="100"/>
        <v>1911.7536</v>
      </c>
      <c r="V334" s="21">
        <f t="shared" si="112"/>
        <v>13860.213599999999</v>
      </c>
      <c r="W334" s="21"/>
      <c r="X334" s="5"/>
      <c r="Y334" s="5"/>
      <c r="Z334" s="5">
        <f t="shared" si="113"/>
        <v>0</v>
      </c>
      <c r="AA334" s="5">
        <v>7430.35</v>
      </c>
      <c r="AB334" s="5" t="s">
        <v>258</v>
      </c>
      <c r="AC334" s="5">
        <f t="shared" si="106"/>
        <v>11948.46</v>
      </c>
      <c r="AD334" s="5">
        <f t="shared" si="114"/>
        <v>13860.213599999999</v>
      </c>
      <c r="AE334" s="5">
        <f t="shared" si="115"/>
        <v>-3.6000000000058208E-3</v>
      </c>
      <c r="AF334" s="5"/>
      <c r="AG334" s="5" t="s">
        <v>73</v>
      </c>
      <c r="AH334" s="5">
        <v>4</v>
      </c>
      <c r="AI334" s="5">
        <v>0</v>
      </c>
      <c r="AJ334" s="5" t="s">
        <v>333</v>
      </c>
      <c r="AK334" s="5" t="s">
        <v>256</v>
      </c>
      <c r="AL334" s="4" t="s">
        <v>90</v>
      </c>
      <c r="AM334" s="4" t="s">
        <v>76</v>
      </c>
      <c r="AN334" s="21"/>
      <c r="AO334" s="4"/>
      <c r="AP334" s="58"/>
      <c r="AQ334" s="58"/>
      <c r="AR334" s="23"/>
      <c r="AS334" s="23"/>
      <c r="AT334" s="4"/>
      <c r="AU334" s="4"/>
      <c r="AV334" s="4"/>
      <c r="AW334" s="4"/>
      <c r="AX334" s="9"/>
      <c r="AY334" s="9"/>
      <c r="AZ334" s="4"/>
      <c r="BB334" t="e">
        <f>VLOOKUP(B334,contactos!$A$1:$D$484,4,FALSE)</f>
        <v>#N/A</v>
      </c>
    </row>
    <row r="335" spans="2:54" customFormat="1" x14ac:dyDescent="0.25">
      <c r="B335" s="100">
        <v>61325</v>
      </c>
      <c r="C335" s="4" t="s">
        <v>632</v>
      </c>
      <c r="D335" s="5">
        <v>11774.919999999998</v>
      </c>
      <c r="E335" s="5">
        <v>0</v>
      </c>
      <c r="F335" s="5">
        <v>1883.9786999999999</v>
      </c>
      <c r="G335" s="5">
        <v>13658.900000000001</v>
      </c>
      <c r="H335" s="5">
        <v>13658.9</v>
      </c>
      <c r="I335" s="5">
        <f t="shared" si="107"/>
        <v>11774.919999999998</v>
      </c>
      <c r="J335" s="5"/>
      <c r="K335" s="5">
        <f t="shared" si="108"/>
        <v>11774.919999999998</v>
      </c>
      <c r="L335" s="5">
        <f t="shared" si="109"/>
        <v>13658.898699999998</v>
      </c>
      <c r="M335" s="5"/>
      <c r="N335" s="5">
        <f t="shared" si="110"/>
        <v>13658.898699999998</v>
      </c>
      <c r="O335" s="21"/>
      <c r="P335" s="21"/>
      <c r="Q335" s="21"/>
      <c r="R335" s="21">
        <f t="shared" si="111"/>
        <v>0</v>
      </c>
      <c r="S335" s="21">
        <v>11774.919999999998</v>
      </c>
      <c r="T335" s="21">
        <f t="shared" si="99"/>
        <v>0</v>
      </c>
      <c r="U335" s="21">
        <f t="shared" si="100"/>
        <v>1883.9786999999999</v>
      </c>
      <c r="V335" s="21">
        <f t="shared" si="112"/>
        <v>13658.898699999998</v>
      </c>
      <c r="W335" s="21"/>
      <c r="X335" s="5"/>
      <c r="Y335" s="5"/>
      <c r="Z335" s="5">
        <f t="shared" si="113"/>
        <v>0</v>
      </c>
      <c r="AA335" s="5">
        <v>276074.38</v>
      </c>
      <c r="AB335" s="5" t="s">
        <v>258</v>
      </c>
      <c r="AC335" s="5">
        <f t="shared" si="106"/>
        <v>11774.919999999998</v>
      </c>
      <c r="AD335" s="5">
        <f t="shared" si="114"/>
        <v>13658.898699999998</v>
      </c>
      <c r="AE335" s="5">
        <f t="shared" si="115"/>
        <v>1.3000000035390258E-3</v>
      </c>
      <c r="AF335" s="5"/>
      <c r="AG335" s="5" t="s">
        <v>238</v>
      </c>
      <c r="AH335" s="5">
        <v>4</v>
      </c>
      <c r="AI335" s="5">
        <v>0</v>
      </c>
      <c r="AJ335" s="5">
        <v>0</v>
      </c>
      <c r="AK335" s="5" t="s">
        <v>256</v>
      </c>
      <c r="AL335" s="4" t="s">
        <v>90</v>
      </c>
      <c r="AM335" s="4" t="s">
        <v>162</v>
      </c>
      <c r="AN335" s="21"/>
      <c r="AO335" s="4"/>
      <c r="AP335" s="58"/>
      <c r="AQ335" s="58"/>
      <c r="AR335" s="23"/>
      <c r="AS335" s="23"/>
      <c r="AT335" s="4"/>
      <c r="AU335" s="4"/>
      <c r="AV335" s="4"/>
      <c r="AW335" s="4"/>
      <c r="AX335" s="9"/>
      <c r="AY335" s="9"/>
      <c r="AZ335" s="4"/>
      <c r="BB335" t="e">
        <f>VLOOKUP(B335,contactos!$A$1:$D$484,4,FALSE)</f>
        <v>#N/A</v>
      </c>
    </row>
    <row r="336" spans="2:54" customFormat="1" ht="30" x14ac:dyDescent="0.25">
      <c r="B336" s="100">
        <v>40949</v>
      </c>
      <c r="C336" s="4" t="s">
        <v>633</v>
      </c>
      <c r="D336" s="5">
        <v>13514.79</v>
      </c>
      <c r="E336" s="5">
        <v>0</v>
      </c>
      <c r="F336" s="5">
        <v>0</v>
      </c>
      <c r="G336" s="5">
        <v>13514.79</v>
      </c>
      <c r="H336" s="5">
        <v>0</v>
      </c>
      <c r="I336" s="5">
        <f t="shared" si="107"/>
        <v>0</v>
      </c>
      <c r="J336" s="5"/>
      <c r="K336" s="5">
        <f t="shared" si="108"/>
        <v>0</v>
      </c>
      <c r="L336" s="5">
        <f t="shared" si="109"/>
        <v>0</v>
      </c>
      <c r="M336" s="5"/>
      <c r="N336" s="5">
        <f t="shared" si="110"/>
        <v>0</v>
      </c>
      <c r="O336" s="21"/>
      <c r="P336" s="21"/>
      <c r="Q336" s="21"/>
      <c r="R336" s="21">
        <f t="shared" si="111"/>
        <v>0</v>
      </c>
      <c r="S336" s="21">
        <v>0</v>
      </c>
      <c r="T336" s="21">
        <f t="shared" si="99"/>
        <v>0</v>
      </c>
      <c r="U336" s="21">
        <f t="shared" si="100"/>
        <v>0</v>
      </c>
      <c r="V336" s="21">
        <v>0</v>
      </c>
      <c r="W336" s="21">
        <v>13514.79</v>
      </c>
      <c r="X336" s="5"/>
      <c r="Y336" s="5"/>
      <c r="Z336" s="5">
        <f t="shared" si="113"/>
        <v>13514.79</v>
      </c>
      <c r="AA336" s="5">
        <v>72441.990000000005</v>
      </c>
      <c r="AB336" s="5" t="s">
        <v>258</v>
      </c>
      <c r="AC336" s="5">
        <f t="shared" si="106"/>
        <v>13514.79</v>
      </c>
      <c r="AD336" s="5">
        <f t="shared" si="114"/>
        <v>13514.79</v>
      </c>
      <c r="AE336" s="5">
        <f t="shared" si="115"/>
        <v>0</v>
      </c>
      <c r="AF336" s="5"/>
      <c r="AG336" s="5" t="s">
        <v>634</v>
      </c>
      <c r="AH336" s="5">
        <v>4</v>
      </c>
      <c r="AI336" s="5">
        <v>3</v>
      </c>
      <c r="AJ336" s="5" t="s">
        <v>635</v>
      </c>
      <c r="AK336" s="5" t="s">
        <v>59</v>
      </c>
      <c r="AL336" s="4" t="s">
        <v>133</v>
      </c>
      <c r="AM336" s="6" t="s">
        <v>141</v>
      </c>
      <c r="AN336" s="21">
        <v>13514.79</v>
      </c>
      <c r="AO336" s="13" t="s">
        <v>392</v>
      </c>
      <c r="AP336" s="58">
        <v>1</v>
      </c>
      <c r="AQ336" s="58"/>
      <c r="AR336" s="23">
        <v>46056</v>
      </c>
      <c r="AS336" s="23"/>
      <c r="AT336" s="4"/>
      <c r="AU336" s="4"/>
      <c r="AV336" s="13" t="s">
        <v>636</v>
      </c>
      <c r="AW336" s="4"/>
      <c r="AX336" s="9"/>
      <c r="AY336" s="9"/>
      <c r="AZ336" s="4"/>
      <c r="BB336" t="e">
        <f>VLOOKUP(B336,contactos!$A$1:$D$484,4,FALSE)</f>
        <v>#N/A</v>
      </c>
    </row>
    <row r="337" spans="2:54" customFormat="1" x14ac:dyDescent="0.25">
      <c r="B337" s="100">
        <v>380402</v>
      </c>
      <c r="C337" s="4" t="s">
        <v>637</v>
      </c>
      <c r="D337" s="5">
        <v>11838.24</v>
      </c>
      <c r="E337" s="5">
        <v>947.05920000000003</v>
      </c>
      <c r="F337" s="5">
        <v>0</v>
      </c>
      <c r="G337" s="5">
        <v>12785.3</v>
      </c>
      <c r="H337" s="5">
        <v>12785.3</v>
      </c>
      <c r="I337" s="5">
        <f t="shared" si="107"/>
        <v>11838.24</v>
      </c>
      <c r="J337" s="5"/>
      <c r="K337" s="5">
        <f t="shared" si="108"/>
        <v>11838.24</v>
      </c>
      <c r="L337" s="5">
        <f t="shared" si="109"/>
        <v>12785.299199999999</v>
      </c>
      <c r="M337" s="5"/>
      <c r="N337" s="5">
        <f t="shared" si="110"/>
        <v>12785.299199999999</v>
      </c>
      <c r="O337" s="21"/>
      <c r="P337" s="21"/>
      <c r="Q337" s="21"/>
      <c r="R337" s="21">
        <f t="shared" si="111"/>
        <v>0</v>
      </c>
      <c r="S337" s="21">
        <v>11838.24</v>
      </c>
      <c r="T337" s="21">
        <f t="shared" si="99"/>
        <v>947.05920000000003</v>
      </c>
      <c r="U337" s="21">
        <f t="shared" si="100"/>
        <v>0</v>
      </c>
      <c r="V337" s="21">
        <f t="shared" si="112"/>
        <v>12785.299199999999</v>
      </c>
      <c r="W337" s="21"/>
      <c r="X337" s="5"/>
      <c r="Y337" s="5"/>
      <c r="Z337" s="5">
        <f t="shared" si="113"/>
        <v>0</v>
      </c>
      <c r="AA337" s="5">
        <v>14024.27</v>
      </c>
      <c r="AB337" s="5" t="s">
        <v>258</v>
      </c>
      <c r="AC337" s="5">
        <f t="shared" si="106"/>
        <v>11838.24</v>
      </c>
      <c r="AD337" s="5">
        <f t="shared" si="114"/>
        <v>12785.299199999999</v>
      </c>
      <c r="AE337" s="5">
        <f t="shared" si="115"/>
        <v>7.9999999979918357E-4</v>
      </c>
      <c r="AF337" s="5"/>
      <c r="AG337" s="5" t="s">
        <v>238</v>
      </c>
      <c r="AH337" s="5">
        <v>4</v>
      </c>
      <c r="AI337" s="5">
        <v>0</v>
      </c>
      <c r="AJ337" s="5"/>
      <c r="AK337" s="5" t="s">
        <v>256</v>
      </c>
      <c r="AL337" s="4" t="s">
        <v>90</v>
      </c>
      <c r="AM337" s="4" t="s">
        <v>94</v>
      </c>
      <c r="AN337" s="21"/>
      <c r="AO337" s="4"/>
      <c r="AP337" s="58"/>
      <c r="AQ337" s="58"/>
      <c r="AR337" s="23"/>
      <c r="AS337" s="23"/>
      <c r="AT337" s="4"/>
      <c r="AU337" s="4"/>
      <c r="AV337" s="4"/>
      <c r="AW337" s="4"/>
      <c r="AX337" s="9"/>
      <c r="AY337" s="9"/>
      <c r="AZ337" s="4"/>
      <c r="BB337" t="e">
        <f>VLOOKUP(B337,contactos!$A$1:$D$484,4,FALSE)</f>
        <v>#N/A</v>
      </c>
    </row>
    <row r="338" spans="2:54" customFormat="1" x14ac:dyDescent="0.25">
      <c r="B338" s="100">
        <v>21753</v>
      </c>
      <c r="C338" s="4" t="s">
        <v>638</v>
      </c>
      <c r="D338" s="5">
        <v>12620.7</v>
      </c>
      <c r="E338" s="5">
        <v>0</v>
      </c>
      <c r="F338" s="5">
        <v>0</v>
      </c>
      <c r="G338" s="5">
        <v>12620.7</v>
      </c>
      <c r="H338" s="5">
        <v>12620.69</v>
      </c>
      <c r="I338" s="5">
        <f t="shared" si="107"/>
        <v>12620.7</v>
      </c>
      <c r="J338" s="5"/>
      <c r="K338" s="5">
        <f t="shared" si="108"/>
        <v>12620.7</v>
      </c>
      <c r="L338" s="5">
        <f t="shared" si="109"/>
        <v>12620.7</v>
      </c>
      <c r="M338" s="5"/>
      <c r="N338" s="5">
        <f t="shared" si="110"/>
        <v>12620.7</v>
      </c>
      <c r="O338" s="21"/>
      <c r="P338" s="21"/>
      <c r="Q338" s="21"/>
      <c r="R338" s="21">
        <f t="shared" si="111"/>
        <v>0</v>
      </c>
      <c r="S338" s="21">
        <v>12620.7</v>
      </c>
      <c r="T338" s="21">
        <f t="shared" si="99"/>
        <v>0</v>
      </c>
      <c r="U338" s="21">
        <f t="shared" si="100"/>
        <v>0</v>
      </c>
      <c r="V338" s="21">
        <f t="shared" si="112"/>
        <v>12620.7</v>
      </c>
      <c r="W338" s="21"/>
      <c r="X338" s="5"/>
      <c r="Y338" s="5"/>
      <c r="Z338" s="5">
        <f t="shared" si="113"/>
        <v>0</v>
      </c>
      <c r="AA338" s="5">
        <v>630148.76</v>
      </c>
      <c r="AB338" s="5" t="s">
        <v>258</v>
      </c>
      <c r="AC338" s="5">
        <f t="shared" si="106"/>
        <v>12620.7</v>
      </c>
      <c r="AD338" s="5">
        <f t="shared" si="114"/>
        <v>12620.7</v>
      </c>
      <c r="AE338" s="5">
        <f t="shared" si="115"/>
        <v>0</v>
      </c>
      <c r="AF338" s="5"/>
      <c r="AG338" s="5" t="s">
        <v>73</v>
      </c>
      <c r="AH338" s="5">
        <v>4</v>
      </c>
      <c r="AI338" s="5">
        <v>0</v>
      </c>
      <c r="AJ338" s="5" t="s">
        <v>212</v>
      </c>
      <c r="AK338" s="5" t="s">
        <v>256</v>
      </c>
      <c r="AL338" s="4" t="s">
        <v>90</v>
      </c>
      <c r="AM338" s="4" t="s">
        <v>94</v>
      </c>
      <c r="AN338" s="21"/>
      <c r="AO338" s="4"/>
      <c r="AP338" s="58"/>
      <c r="AQ338" s="58"/>
      <c r="AR338" s="23"/>
      <c r="AS338" s="23"/>
      <c r="AT338" s="4"/>
      <c r="AU338" s="4"/>
      <c r="AV338" s="4"/>
      <c r="AW338" s="4"/>
      <c r="AX338" s="9"/>
      <c r="AY338" s="9"/>
      <c r="AZ338" s="4"/>
      <c r="BB338" t="e">
        <f>VLOOKUP(B338,contactos!$A$1:$D$484,4,FALSE)</f>
        <v>#N/A</v>
      </c>
    </row>
    <row r="339" spans="2:54" customFormat="1" x14ac:dyDescent="0.25">
      <c r="B339" s="100">
        <v>342584</v>
      </c>
      <c r="C339" s="4" t="s">
        <v>639</v>
      </c>
      <c r="D339" s="5">
        <v>10197.85</v>
      </c>
      <c r="E339" s="5">
        <v>0</v>
      </c>
      <c r="F339" s="5">
        <v>1631.6559999999999</v>
      </c>
      <c r="G339" s="5">
        <v>11829.5</v>
      </c>
      <c r="H339" s="5">
        <v>11829.5</v>
      </c>
      <c r="I339" s="5">
        <f t="shared" si="107"/>
        <v>10197.85</v>
      </c>
      <c r="J339" s="5"/>
      <c r="K339" s="5">
        <f t="shared" si="108"/>
        <v>10197.85</v>
      </c>
      <c r="L339" s="5">
        <f t="shared" si="109"/>
        <v>11829.506000000001</v>
      </c>
      <c r="M339" s="5"/>
      <c r="N339" s="5">
        <f t="shared" si="110"/>
        <v>11829.506000000001</v>
      </c>
      <c r="O339" s="21"/>
      <c r="P339" s="21"/>
      <c r="Q339" s="21"/>
      <c r="R339" s="21">
        <f t="shared" si="111"/>
        <v>0</v>
      </c>
      <c r="S339" s="21">
        <v>10197.85</v>
      </c>
      <c r="T339" s="21">
        <f t="shared" si="99"/>
        <v>0</v>
      </c>
      <c r="U339" s="21">
        <f t="shared" si="100"/>
        <v>1631.6559999999999</v>
      </c>
      <c r="V339" s="21">
        <f t="shared" si="112"/>
        <v>11829.506000000001</v>
      </c>
      <c r="W339" s="21"/>
      <c r="X339" s="5"/>
      <c r="Y339" s="5"/>
      <c r="Z339" s="5">
        <f t="shared" si="113"/>
        <v>0</v>
      </c>
      <c r="AA339" s="5">
        <v>54107.64</v>
      </c>
      <c r="AB339" s="5" t="s">
        <v>258</v>
      </c>
      <c r="AC339" s="5">
        <f t="shared" si="106"/>
        <v>10197.85</v>
      </c>
      <c r="AD339" s="5">
        <f t="shared" si="114"/>
        <v>11829.506000000001</v>
      </c>
      <c r="AE339" s="5">
        <f t="shared" si="115"/>
        <v>-6.0000000012223609E-3</v>
      </c>
      <c r="AF339" s="5"/>
      <c r="AG339" s="5" t="s">
        <v>238</v>
      </c>
      <c r="AH339" s="5">
        <v>4</v>
      </c>
      <c r="AI339" s="5">
        <v>0</v>
      </c>
      <c r="AJ339" s="5">
        <v>0</v>
      </c>
      <c r="AK339" s="5" t="s">
        <v>256</v>
      </c>
      <c r="AL339" s="4" t="s">
        <v>90</v>
      </c>
      <c r="AM339" s="4" t="s">
        <v>76</v>
      </c>
      <c r="AN339" s="21"/>
      <c r="AO339" s="4"/>
      <c r="AP339" s="58"/>
      <c r="AQ339" s="58"/>
      <c r="AR339" s="23"/>
      <c r="AS339" s="23"/>
      <c r="AT339" s="4"/>
      <c r="AU339" s="4"/>
      <c r="AV339" s="4"/>
      <c r="AW339" s="4"/>
      <c r="AX339" s="9"/>
      <c r="AY339" s="9"/>
      <c r="AZ339" s="4"/>
      <c r="BB339" t="e">
        <f>VLOOKUP(B339,contactos!$A$1:$D$484,4,FALSE)</f>
        <v>#N/A</v>
      </c>
    </row>
    <row r="340" spans="2:54" customFormat="1" x14ac:dyDescent="0.25">
      <c r="B340" s="100">
        <v>383711</v>
      </c>
      <c r="C340" s="4" t="s">
        <v>640</v>
      </c>
      <c r="D340" s="5">
        <v>9288.8632409579986</v>
      </c>
      <c r="E340" s="5">
        <v>0</v>
      </c>
      <c r="F340" s="5">
        <v>1486.2181185532802</v>
      </c>
      <c r="G340" s="5">
        <v>10775.07</v>
      </c>
      <c r="H340" s="5">
        <v>10775.07</v>
      </c>
      <c r="I340" s="5">
        <f t="shared" si="107"/>
        <v>9288.8632409579986</v>
      </c>
      <c r="J340" s="5"/>
      <c r="K340" s="5">
        <f t="shared" si="108"/>
        <v>9288.8632409579986</v>
      </c>
      <c r="L340" s="5">
        <f t="shared" si="109"/>
        <v>10775.08135951128</v>
      </c>
      <c r="M340" s="5"/>
      <c r="N340" s="5">
        <f t="shared" si="110"/>
        <v>10775.08135951128</v>
      </c>
      <c r="O340" s="21"/>
      <c r="P340" s="21"/>
      <c r="Q340" s="21"/>
      <c r="R340" s="21">
        <f t="shared" si="111"/>
        <v>0</v>
      </c>
      <c r="S340" s="21">
        <v>9288.8632409579986</v>
      </c>
      <c r="T340" s="21">
        <f t="shared" si="99"/>
        <v>0</v>
      </c>
      <c r="U340" s="21">
        <f t="shared" si="100"/>
        <v>1486.2181185532802</v>
      </c>
      <c r="V340" s="21">
        <f t="shared" si="112"/>
        <v>10775.08135951128</v>
      </c>
      <c r="W340" s="21"/>
      <c r="X340" s="5"/>
      <c r="Y340" s="5"/>
      <c r="Z340" s="5">
        <f t="shared" si="113"/>
        <v>0</v>
      </c>
      <c r="AA340" s="5"/>
      <c r="AB340" s="5" t="s">
        <v>258</v>
      </c>
      <c r="AC340" s="5">
        <f t="shared" si="106"/>
        <v>9288.8632409579986</v>
      </c>
      <c r="AD340" s="5">
        <f t="shared" si="114"/>
        <v>10775.08135951128</v>
      </c>
      <c r="AE340" s="5">
        <f t="shared" si="115"/>
        <v>-1.1359511279806611E-2</v>
      </c>
      <c r="AF340" s="5"/>
      <c r="AG340" s="5" t="s">
        <v>73</v>
      </c>
      <c r="AH340" s="5">
        <v>4</v>
      </c>
      <c r="AI340" s="5">
        <v>0</v>
      </c>
      <c r="AJ340" s="5" t="s">
        <v>212</v>
      </c>
      <c r="AK340" s="5" t="s">
        <v>256</v>
      </c>
      <c r="AL340" s="4" t="s">
        <v>90</v>
      </c>
      <c r="AM340" s="4" t="s">
        <v>94</v>
      </c>
      <c r="AN340" s="21"/>
      <c r="AO340" s="4"/>
      <c r="AP340" s="58"/>
      <c r="AQ340" s="58"/>
      <c r="AR340" s="23"/>
      <c r="AS340" s="23"/>
      <c r="AT340" s="4"/>
      <c r="AU340" s="4"/>
      <c r="AV340" s="4"/>
      <c r="AW340" s="4"/>
      <c r="AX340" s="9"/>
      <c r="AY340" s="9"/>
      <c r="AZ340" s="4"/>
      <c r="BB340" t="e">
        <f>VLOOKUP(B340,contactos!$A$1:$D$484,4,FALSE)</f>
        <v>#N/A</v>
      </c>
    </row>
    <row r="341" spans="2:54" customFormat="1" x14ac:dyDescent="0.25">
      <c r="B341" s="100">
        <v>38232</v>
      </c>
      <c r="C341" s="4" t="s">
        <v>641</v>
      </c>
      <c r="D341" s="5">
        <v>9975.3799999999992</v>
      </c>
      <c r="E341" s="5">
        <v>798.03039999999999</v>
      </c>
      <c r="F341" s="5">
        <v>0</v>
      </c>
      <c r="G341" s="5">
        <v>10773.41</v>
      </c>
      <c r="H341" s="5">
        <v>10773.41</v>
      </c>
      <c r="I341" s="5">
        <f t="shared" si="107"/>
        <v>9975.3799999999992</v>
      </c>
      <c r="J341" s="5"/>
      <c r="K341" s="5">
        <f t="shared" si="108"/>
        <v>9975.3799999999992</v>
      </c>
      <c r="L341" s="5">
        <f t="shared" si="109"/>
        <v>10773.410399999999</v>
      </c>
      <c r="M341" s="5"/>
      <c r="N341" s="5">
        <f t="shared" si="110"/>
        <v>10773.410399999999</v>
      </c>
      <c r="O341" s="21"/>
      <c r="P341" s="21"/>
      <c r="Q341" s="21"/>
      <c r="R341" s="21">
        <f t="shared" si="111"/>
        <v>0</v>
      </c>
      <c r="S341" s="21">
        <v>9975.3799999999992</v>
      </c>
      <c r="T341" s="21">
        <f t="shared" si="99"/>
        <v>798.03039999999999</v>
      </c>
      <c r="U341" s="21">
        <f t="shared" si="100"/>
        <v>0</v>
      </c>
      <c r="V341" s="21">
        <f t="shared" si="112"/>
        <v>10773.410399999999</v>
      </c>
      <c r="W341" s="21"/>
      <c r="X341" s="5"/>
      <c r="Y341" s="5"/>
      <c r="Z341" s="5">
        <f t="shared" si="113"/>
        <v>0</v>
      </c>
      <c r="AA341" s="5">
        <v>84985.35</v>
      </c>
      <c r="AB341" s="5" t="s">
        <v>258</v>
      </c>
      <c r="AC341" s="5">
        <f t="shared" si="106"/>
        <v>9975.3799999999992</v>
      </c>
      <c r="AD341" s="5">
        <f t="shared" si="114"/>
        <v>10773.410399999999</v>
      </c>
      <c r="AE341" s="5">
        <f t="shared" si="115"/>
        <v>-3.9999999899009708E-4</v>
      </c>
      <c r="AF341" s="5"/>
      <c r="AG341" s="5" t="s">
        <v>238</v>
      </c>
      <c r="AH341" s="5">
        <v>4</v>
      </c>
      <c r="AI341" s="5">
        <v>0</v>
      </c>
      <c r="AJ341" s="5">
        <v>0</v>
      </c>
      <c r="AK341" s="5" t="s">
        <v>256</v>
      </c>
      <c r="AL341" s="4" t="s">
        <v>90</v>
      </c>
      <c r="AM341" s="4" t="s">
        <v>91</v>
      </c>
      <c r="AN341" s="21"/>
      <c r="AO341" s="4"/>
      <c r="AP341" s="58"/>
      <c r="AQ341" s="58"/>
      <c r="AR341" s="23"/>
      <c r="AS341" s="23"/>
      <c r="AT341" s="4"/>
      <c r="AU341" s="4"/>
      <c r="AV341" s="4"/>
      <c r="AW341" s="4"/>
      <c r="AX341" s="9"/>
      <c r="AY341" s="9"/>
      <c r="AZ341" s="4"/>
      <c r="BB341" t="e">
        <f>VLOOKUP(B341,contactos!$A$1:$D$484,4,FALSE)</f>
        <v>#N/A</v>
      </c>
    </row>
    <row r="342" spans="2:54" customFormat="1" x14ac:dyDescent="0.25">
      <c r="B342" s="100">
        <v>394882</v>
      </c>
      <c r="C342" s="4" t="s">
        <v>642</v>
      </c>
      <c r="D342" s="5">
        <v>9123.4499999999989</v>
      </c>
      <c r="E342" s="5">
        <v>0</v>
      </c>
      <c r="F342" s="5">
        <v>1459.752</v>
      </c>
      <c r="G342" s="5">
        <v>10583.199999999999</v>
      </c>
      <c r="H342" s="5">
        <v>10583.2</v>
      </c>
      <c r="I342" s="5">
        <f t="shared" si="107"/>
        <v>9123.4499999999989</v>
      </c>
      <c r="J342" s="5"/>
      <c r="K342" s="5">
        <f t="shared" si="108"/>
        <v>9123.4499999999989</v>
      </c>
      <c r="L342" s="5">
        <f t="shared" si="109"/>
        <v>10583.201999999999</v>
      </c>
      <c r="M342" s="5"/>
      <c r="N342" s="5">
        <f t="shared" si="110"/>
        <v>10583.201999999999</v>
      </c>
      <c r="O342" s="27"/>
      <c r="P342" s="27"/>
      <c r="Q342" s="27"/>
      <c r="R342" s="21">
        <f t="shared" si="111"/>
        <v>0</v>
      </c>
      <c r="S342" s="27">
        <v>9123.4499999999989</v>
      </c>
      <c r="T342" s="21">
        <f t="shared" si="99"/>
        <v>0</v>
      </c>
      <c r="U342" s="21">
        <f t="shared" si="100"/>
        <v>1459.752</v>
      </c>
      <c r="V342" s="21">
        <f t="shared" si="112"/>
        <v>10583.201999999999</v>
      </c>
      <c r="W342" s="27"/>
      <c r="X342" s="5"/>
      <c r="Y342" s="5"/>
      <c r="Z342" s="5">
        <f t="shared" si="113"/>
        <v>0</v>
      </c>
      <c r="AA342" s="5">
        <v>65232.18</v>
      </c>
      <c r="AB342" s="5" t="s">
        <v>258</v>
      </c>
      <c r="AC342" s="5">
        <f t="shared" si="106"/>
        <v>9123.4499999999989</v>
      </c>
      <c r="AD342" s="5">
        <f t="shared" si="114"/>
        <v>10583.201999999999</v>
      </c>
      <c r="AE342" s="5">
        <f t="shared" si="115"/>
        <v>-2.0000000004074536E-3</v>
      </c>
      <c r="AF342" s="5"/>
      <c r="AG342" s="5" t="s">
        <v>238</v>
      </c>
      <c r="AH342" s="5">
        <v>4</v>
      </c>
      <c r="AI342" s="5">
        <v>0</v>
      </c>
      <c r="AJ342" s="5">
        <v>0</v>
      </c>
      <c r="AK342" s="5" t="s">
        <v>256</v>
      </c>
      <c r="AL342" s="4" t="s">
        <v>90</v>
      </c>
      <c r="AM342" s="4" t="s">
        <v>83</v>
      </c>
      <c r="AN342" s="27"/>
      <c r="AO342" s="4"/>
      <c r="AP342" s="58"/>
      <c r="AQ342" s="58"/>
      <c r="AR342" s="23"/>
      <c r="AS342" s="23"/>
      <c r="AT342" s="4"/>
      <c r="AU342" s="4"/>
      <c r="AV342" s="4"/>
      <c r="AW342" s="4"/>
      <c r="AX342" s="12"/>
      <c r="AY342" s="12"/>
      <c r="AZ342" s="12"/>
      <c r="BB342" t="e">
        <f>VLOOKUP(B342,contactos!$A$1:$D$484,4,FALSE)</f>
        <v>#N/A</v>
      </c>
    </row>
    <row r="343" spans="2:54" customFormat="1" x14ac:dyDescent="0.25">
      <c r="B343" s="131">
        <v>85449</v>
      </c>
      <c r="C343" s="4" t="s">
        <v>643</v>
      </c>
      <c r="D343" s="5">
        <v>10004.75</v>
      </c>
      <c r="E343" s="5">
        <v>0</v>
      </c>
      <c r="F343" s="5">
        <v>0</v>
      </c>
      <c r="G343" s="5">
        <v>10004.75</v>
      </c>
      <c r="H343" s="5">
        <v>10004.75</v>
      </c>
      <c r="I343" s="5">
        <f t="shared" si="107"/>
        <v>10004.75</v>
      </c>
      <c r="J343" s="5"/>
      <c r="K343" s="5">
        <f t="shared" si="108"/>
        <v>10004.75</v>
      </c>
      <c r="L343" s="5">
        <f t="shared" si="109"/>
        <v>10004.75</v>
      </c>
      <c r="M343" s="5"/>
      <c r="N343" s="5">
        <f t="shared" si="110"/>
        <v>10004.75</v>
      </c>
      <c r="O343" s="21"/>
      <c r="P343" s="21"/>
      <c r="Q343" s="21"/>
      <c r="R343" s="21">
        <f t="shared" si="111"/>
        <v>0</v>
      </c>
      <c r="S343" s="21">
        <v>10004.75</v>
      </c>
      <c r="T343" s="21">
        <f t="shared" si="99"/>
        <v>0</v>
      </c>
      <c r="U343" s="21">
        <f t="shared" si="100"/>
        <v>0</v>
      </c>
      <c r="V343" s="21">
        <f t="shared" si="112"/>
        <v>10004.75</v>
      </c>
      <c r="W343" s="21"/>
      <c r="X343" s="5"/>
      <c r="Y343" s="5"/>
      <c r="Z343" s="5">
        <f t="shared" si="113"/>
        <v>0</v>
      </c>
      <c r="AA343" s="5">
        <v>72429.929999999993</v>
      </c>
      <c r="AB343" s="5" t="s">
        <v>258</v>
      </c>
      <c r="AC343" s="5">
        <f t="shared" si="106"/>
        <v>10004.75</v>
      </c>
      <c r="AD343" s="5">
        <f t="shared" si="114"/>
        <v>10004.75</v>
      </c>
      <c r="AE343" s="5">
        <f t="shared" si="115"/>
        <v>0</v>
      </c>
      <c r="AF343" s="5"/>
      <c r="AG343" s="5" t="s">
        <v>238</v>
      </c>
      <c r="AH343" s="5">
        <v>4</v>
      </c>
      <c r="AI343" s="5">
        <v>0</v>
      </c>
      <c r="AJ343" s="5">
        <v>0</v>
      </c>
      <c r="AK343" s="5" t="s">
        <v>256</v>
      </c>
      <c r="AL343" s="4" t="s">
        <v>90</v>
      </c>
      <c r="AM343" s="6" t="s">
        <v>103</v>
      </c>
      <c r="AN343" s="21"/>
      <c r="AO343" s="4"/>
      <c r="AP343" s="58"/>
      <c r="AQ343" s="58"/>
      <c r="AR343" s="23"/>
      <c r="AS343" s="23"/>
      <c r="AT343" s="4"/>
      <c r="AU343" s="4"/>
      <c r="AV343" s="52"/>
      <c r="AW343" s="52"/>
      <c r="AX343" s="9"/>
      <c r="AY343" s="9"/>
      <c r="AZ343" s="4"/>
      <c r="BB343" t="e">
        <f>VLOOKUP(B343,contactos!$A$1:$D$484,4,FALSE)</f>
        <v>#N/A</v>
      </c>
    </row>
    <row r="344" spans="2:54" customFormat="1" x14ac:dyDescent="0.25">
      <c r="B344" s="100">
        <v>390278</v>
      </c>
      <c r="C344" s="4" t="s">
        <v>644</v>
      </c>
      <c r="D344" s="5">
        <v>8514.6711906639994</v>
      </c>
      <c r="E344" s="5">
        <v>0</v>
      </c>
      <c r="F344" s="5">
        <v>1362.3473905062401</v>
      </c>
      <c r="G344" s="5">
        <v>9877.02</v>
      </c>
      <c r="H344" s="5">
        <v>9877.02</v>
      </c>
      <c r="I344" s="5">
        <f t="shared" si="107"/>
        <v>8514.6711906639994</v>
      </c>
      <c r="J344" s="5"/>
      <c r="K344" s="5">
        <f t="shared" si="108"/>
        <v>8514.6711906639994</v>
      </c>
      <c r="L344" s="5">
        <f t="shared" si="109"/>
        <v>9877.0185811702395</v>
      </c>
      <c r="M344" s="5"/>
      <c r="N344" s="5">
        <f t="shared" si="110"/>
        <v>9877.0185811702395</v>
      </c>
      <c r="O344" s="21"/>
      <c r="P344" s="21"/>
      <c r="Q344" s="21"/>
      <c r="R344" s="21">
        <f t="shared" si="111"/>
        <v>0</v>
      </c>
      <c r="S344" s="21">
        <v>8514.6711906639994</v>
      </c>
      <c r="T344" s="21">
        <f t="shared" si="99"/>
        <v>0</v>
      </c>
      <c r="U344" s="21">
        <f t="shared" si="100"/>
        <v>1362.3473905062401</v>
      </c>
      <c r="V344" s="21">
        <f t="shared" si="112"/>
        <v>9877.0185811702395</v>
      </c>
      <c r="W344" s="21"/>
      <c r="X344" s="5"/>
      <c r="Y344" s="5"/>
      <c r="Z344" s="5">
        <f t="shared" si="113"/>
        <v>0</v>
      </c>
      <c r="AA344" s="5">
        <v>30599.27</v>
      </c>
      <c r="AB344" s="5" t="s">
        <v>258</v>
      </c>
      <c r="AC344" s="5">
        <f t="shared" si="106"/>
        <v>8514.6711906639994</v>
      </c>
      <c r="AD344" s="5">
        <f t="shared" si="114"/>
        <v>9877.0185811702395</v>
      </c>
      <c r="AE344" s="5">
        <f t="shared" si="115"/>
        <v>1.4188297609507572E-3</v>
      </c>
      <c r="AF344" s="5"/>
      <c r="AG344" s="5" t="s">
        <v>238</v>
      </c>
      <c r="AH344" s="5">
        <v>4</v>
      </c>
      <c r="AI344" s="5">
        <v>0</v>
      </c>
      <c r="AJ344" s="5">
        <v>0</v>
      </c>
      <c r="AK344" s="5" t="s">
        <v>256</v>
      </c>
      <c r="AL344" s="4" t="s">
        <v>90</v>
      </c>
      <c r="AM344" s="4" t="s">
        <v>216</v>
      </c>
      <c r="AN344" s="21"/>
      <c r="AO344" s="4"/>
      <c r="AP344" s="58"/>
      <c r="AQ344" s="58"/>
      <c r="AR344" s="23"/>
      <c r="AS344" s="23"/>
      <c r="AT344" s="4"/>
      <c r="AU344" s="4"/>
      <c r="AV344" s="4"/>
      <c r="AW344" s="4"/>
      <c r="AX344" s="9"/>
      <c r="AY344" s="9"/>
      <c r="AZ344" s="4"/>
      <c r="BB344" t="e">
        <f>VLOOKUP(B344,contactos!$A$1:$D$484,4,FALSE)</f>
        <v>#N/A</v>
      </c>
    </row>
    <row r="345" spans="2:54" customFormat="1" x14ac:dyDescent="0.25">
      <c r="B345" s="100">
        <v>40972</v>
      </c>
      <c r="C345" s="4" t="s">
        <v>645</v>
      </c>
      <c r="D345" s="5">
        <v>8422.165141000005</v>
      </c>
      <c r="E345" s="5">
        <v>0</v>
      </c>
      <c r="F345" s="5">
        <v>1347.5464225600001</v>
      </c>
      <c r="G345" s="5">
        <v>9769.7100000000009</v>
      </c>
      <c r="H345" s="5">
        <v>9769.7099999999991</v>
      </c>
      <c r="I345" s="5">
        <f t="shared" si="107"/>
        <v>8422.165141000005</v>
      </c>
      <c r="J345" s="5"/>
      <c r="K345" s="5">
        <f t="shared" si="108"/>
        <v>8422.165141000005</v>
      </c>
      <c r="L345" s="5">
        <f t="shared" si="109"/>
        <v>9769.7115635600057</v>
      </c>
      <c r="M345" s="5"/>
      <c r="N345" s="5">
        <f t="shared" si="110"/>
        <v>9769.7115635600057</v>
      </c>
      <c r="O345" s="21"/>
      <c r="P345" s="21"/>
      <c r="Q345" s="21"/>
      <c r="R345" s="21">
        <f t="shared" si="111"/>
        <v>0</v>
      </c>
      <c r="S345" s="21">
        <v>8422.165141000005</v>
      </c>
      <c r="T345" s="21">
        <f t="shared" si="99"/>
        <v>0</v>
      </c>
      <c r="U345" s="21">
        <f t="shared" si="100"/>
        <v>1347.5464225600001</v>
      </c>
      <c r="V345" s="21">
        <f t="shared" si="112"/>
        <v>9769.7115635600057</v>
      </c>
      <c r="W345" s="21"/>
      <c r="X345" s="5"/>
      <c r="Y345" s="5"/>
      <c r="Z345" s="5">
        <f t="shared" si="113"/>
        <v>0</v>
      </c>
      <c r="AA345" s="5">
        <v>322302.61</v>
      </c>
      <c r="AB345" s="5" t="s">
        <v>258</v>
      </c>
      <c r="AC345" s="5">
        <f t="shared" si="106"/>
        <v>8422.165141000005</v>
      </c>
      <c r="AD345" s="5">
        <f t="shared" si="114"/>
        <v>9769.7115635600057</v>
      </c>
      <c r="AE345" s="5">
        <f t="shared" si="115"/>
        <v>-1.563560004797182E-3</v>
      </c>
      <c r="AF345" s="5"/>
      <c r="AG345" s="5" t="s">
        <v>73</v>
      </c>
      <c r="AH345" s="5">
        <v>4</v>
      </c>
      <c r="AI345" s="5">
        <v>0</v>
      </c>
      <c r="AJ345" s="5" t="s">
        <v>212</v>
      </c>
      <c r="AK345" s="5" t="s">
        <v>256</v>
      </c>
      <c r="AL345" s="4" t="s">
        <v>90</v>
      </c>
      <c r="AM345" s="4" t="s">
        <v>148</v>
      </c>
      <c r="AN345" s="21"/>
      <c r="AO345" s="4"/>
      <c r="AP345" s="58"/>
      <c r="AQ345" s="58"/>
      <c r="AR345" s="23"/>
      <c r="AS345" s="23"/>
      <c r="AT345" s="4"/>
      <c r="AU345" s="4"/>
      <c r="AV345" s="4"/>
      <c r="AW345" s="4"/>
      <c r="AX345" s="9"/>
      <c r="AY345" s="9"/>
      <c r="AZ345" s="4"/>
      <c r="BB345" t="e">
        <f>VLOOKUP(B345,contactos!$A$1:$D$484,4,FALSE)</f>
        <v>#N/A</v>
      </c>
    </row>
    <row r="346" spans="2:54" customFormat="1" x14ac:dyDescent="0.25">
      <c r="B346" s="131">
        <v>390716</v>
      </c>
      <c r="C346" s="4" t="s">
        <v>646</v>
      </c>
      <c r="D346" s="5">
        <v>9651.3963480000002</v>
      </c>
      <c r="E346" s="5">
        <v>24.572800000000001</v>
      </c>
      <c r="F346" s="5">
        <v>0</v>
      </c>
      <c r="G346" s="5">
        <v>9675.9663</v>
      </c>
      <c r="H346" s="5">
        <v>9675.9699999999993</v>
      </c>
      <c r="I346" s="5">
        <f t="shared" si="107"/>
        <v>9651.3963480000002</v>
      </c>
      <c r="J346" s="5"/>
      <c r="K346" s="5">
        <f t="shared" si="108"/>
        <v>9651.3963480000002</v>
      </c>
      <c r="L346" s="5">
        <f t="shared" si="109"/>
        <v>9675.9691480000001</v>
      </c>
      <c r="M346" s="5"/>
      <c r="N346" s="5">
        <f t="shared" si="110"/>
        <v>9675.9691480000001</v>
      </c>
      <c r="O346" s="21"/>
      <c r="P346" s="21"/>
      <c r="Q346" s="21"/>
      <c r="R346" s="21">
        <f t="shared" si="111"/>
        <v>0</v>
      </c>
      <c r="S346" s="21">
        <v>9651.3963480000002</v>
      </c>
      <c r="T346" s="21">
        <f t="shared" si="99"/>
        <v>24.572800000000001</v>
      </c>
      <c r="U346" s="21">
        <f t="shared" si="100"/>
        <v>0</v>
      </c>
      <c r="V346" s="21">
        <f t="shared" si="112"/>
        <v>9675.9691480000001</v>
      </c>
      <c r="W346" s="21"/>
      <c r="X346" s="5"/>
      <c r="Y346" s="5"/>
      <c r="Z346" s="5">
        <f t="shared" si="113"/>
        <v>0</v>
      </c>
      <c r="AA346" s="5">
        <v>139374.14000000001</v>
      </c>
      <c r="AB346" s="5" t="s">
        <v>258</v>
      </c>
      <c r="AC346" s="5">
        <f t="shared" si="106"/>
        <v>9651.3963480000002</v>
      </c>
      <c r="AD346" s="5">
        <f t="shared" si="114"/>
        <v>9675.9691480000001</v>
      </c>
      <c r="AE346" s="5">
        <f t="shared" si="115"/>
        <v>-2.8480000000854488E-3</v>
      </c>
      <c r="AF346" s="5"/>
      <c r="AG346" s="5" t="s">
        <v>238</v>
      </c>
      <c r="AH346" s="5">
        <v>4</v>
      </c>
      <c r="AI346" s="5">
        <v>0</v>
      </c>
      <c r="AJ346" s="5">
        <v>0</v>
      </c>
      <c r="AK346" s="5" t="s">
        <v>256</v>
      </c>
      <c r="AL346" s="4" t="s">
        <v>90</v>
      </c>
      <c r="AM346" s="6" t="s">
        <v>103</v>
      </c>
      <c r="AN346" s="21"/>
      <c r="AO346" s="4"/>
      <c r="AP346" s="58"/>
      <c r="AQ346" s="58"/>
      <c r="AR346" s="23"/>
      <c r="AS346" s="23"/>
      <c r="AT346" s="4"/>
      <c r="AU346" s="4"/>
      <c r="AV346" s="52"/>
      <c r="AW346" s="52"/>
      <c r="AX346" s="9"/>
      <c r="AY346" s="9"/>
      <c r="AZ346" s="4"/>
      <c r="BB346" t="e">
        <f>VLOOKUP(B346,contactos!$A$1:$D$484,4,FALSE)</f>
        <v>#N/A</v>
      </c>
    </row>
    <row r="347" spans="2:54" customFormat="1" x14ac:dyDescent="0.25">
      <c r="B347" s="100">
        <v>9348</v>
      </c>
      <c r="C347" s="4" t="s">
        <v>647</v>
      </c>
      <c r="D347" s="5">
        <v>8220.14</v>
      </c>
      <c r="E347" s="5">
        <v>0</v>
      </c>
      <c r="F347" s="5">
        <v>1315.2224000000001</v>
      </c>
      <c r="G347" s="5">
        <v>9535.35</v>
      </c>
      <c r="H347" s="5">
        <v>9535.35</v>
      </c>
      <c r="I347" s="5">
        <f t="shared" si="107"/>
        <v>8220.14</v>
      </c>
      <c r="J347" s="5"/>
      <c r="K347" s="5">
        <f t="shared" si="108"/>
        <v>8220.14</v>
      </c>
      <c r="L347" s="5">
        <f t="shared" si="109"/>
        <v>9535.3624</v>
      </c>
      <c r="M347" s="5"/>
      <c r="N347" s="5">
        <f t="shared" si="110"/>
        <v>9535.3624</v>
      </c>
      <c r="O347" s="21"/>
      <c r="P347" s="21"/>
      <c r="Q347" s="21"/>
      <c r="R347" s="21">
        <f t="shared" si="111"/>
        <v>0</v>
      </c>
      <c r="S347" s="21">
        <v>8220.14</v>
      </c>
      <c r="T347" s="21">
        <f t="shared" si="99"/>
        <v>0</v>
      </c>
      <c r="U347" s="21">
        <f t="shared" si="100"/>
        <v>1315.2224000000001</v>
      </c>
      <c r="V347" s="21">
        <f t="shared" si="112"/>
        <v>9535.3624</v>
      </c>
      <c r="W347" s="21"/>
      <c r="X347" s="5"/>
      <c r="Y347" s="5"/>
      <c r="Z347" s="5">
        <f t="shared" si="113"/>
        <v>0</v>
      </c>
      <c r="AA347" s="5">
        <v>54350.5</v>
      </c>
      <c r="AB347" s="5" t="s">
        <v>258</v>
      </c>
      <c r="AC347" s="5">
        <f t="shared" si="106"/>
        <v>8220.14</v>
      </c>
      <c r="AD347" s="5">
        <f t="shared" si="114"/>
        <v>9535.3624</v>
      </c>
      <c r="AE347" s="5">
        <f t="shared" si="115"/>
        <v>-1.2399999999615829E-2</v>
      </c>
      <c r="AF347" s="5"/>
      <c r="AG347" s="5" t="s">
        <v>238</v>
      </c>
      <c r="AH347" s="5">
        <v>4</v>
      </c>
      <c r="AI347" s="5">
        <v>0</v>
      </c>
      <c r="AJ347" s="5">
        <v>0</v>
      </c>
      <c r="AK347" s="5" t="s">
        <v>256</v>
      </c>
      <c r="AL347" s="4" t="s">
        <v>90</v>
      </c>
      <c r="AM347" s="4" t="s">
        <v>137</v>
      </c>
      <c r="AN347" s="21"/>
      <c r="AO347" s="4"/>
      <c r="AP347" s="58"/>
      <c r="AQ347" s="58"/>
      <c r="AR347" s="23"/>
      <c r="AS347" s="23"/>
      <c r="AT347" s="4"/>
      <c r="AU347" s="4"/>
      <c r="AV347" s="4"/>
      <c r="AW347" s="4"/>
      <c r="AX347" s="9"/>
      <c r="AY347" s="9"/>
      <c r="AZ347" s="4"/>
      <c r="BB347" t="e">
        <f>VLOOKUP(B347,contactos!$A$1:$D$484,4,FALSE)</f>
        <v>#N/A</v>
      </c>
    </row>
    <row r="348" spans="2:54" customFormat="1" x14ac:dyDescent="0.25">
      <c r="B348" s="100">
        <v>6348</v>
      </c>
      <c r="C348" s="4" t="s">
        <v>648</v>
      </c>
      <c r="D348" s="5">
        <v>7929.86</v>
      </c>
      <c r="E348" s="5">
        <v>0</v>
      </c>
      <c r="F348" s="5">
        <v>1268.7775999999999</v>
      </c>
      <c r="G348" s="5">
        <v>9198.64</v>
      </c>
      <c r="H348" s="5">
        <v>9198.64</v>
      </c>
      <c r="I348" s="5">
        <f t="shared" si="107"/>
        <v>7929.86</v>
      </c>
      <c r="J348" s="5"/>
      <c r="K348" s="5">
        <f t="shared" si="108"/>
        <v>7929.86</v>
      </c>
      <c r="L348" s="5">
        <f t="shared" si="109"/>
        <v>9198.6376</v>
      </c>
      <c r="M348" s="5"/>
      <c r="N348" s="5">
        <f t="shared" si="110"/>
        <v>9198.6376</v>
      </c>
      <c r="O348" s="21"/>
      <c r="P348" s="21"/>
      <c r="Q348" s="21"/>
      <c r="R348" s="21">
        <f t="shared" si="111"/>
        <v>0</v>
      </c>
      <c r="S348" s="21">
        <v>7929.86</v>
      </c>
      <c r="T348" s="21">
        <f t="shared" si="99"/>
        <v>0</v>
      </c>
      <c r="U348" s="21">
        <f t="shared" si="100"/>
        <v>1268.7775999999999</v>
      </c>
      <c r="V348" s="21">
        <f t="shared" si="112"/>
        <v>9198.6376</v>
      </c>
      <c r="W348" s="21"/>
      <c r="X348" s="5"/>
      <c r="Y348" s="5"/>
      <c r="Z348" s="5">
        <f t="shared" si="113"/>
        <v>0</v>
      </c>
      <c r="AA348" s="5"/>
      <c r="AB348" s="5" t="s">
        <v>258</v>
      </c>
      <c r="AC348" s="5">
        <f t="shared" si="106"/>
        <v>7929.86</v>
      </c>
      <c r="AD348" s="5">
        <f t="shared" si="114"/>
        <v>9198.6376</v>
      </c>
      <c r="AE348" s="5">
        <f t="shared" si="115"/>
        <v>2.3999999993975507E-3</v>
      </c>
      <c r="AF348" s="5"/>
      <c r="AG348" s="5" t="s">
        <v>73</v>
      </c>
      <c r="AH348" s="5">
        <v>4</v>
      </c>
      <c r="AI348" s="5">
        <v>0</v>
      </c>
      <c r="AJ348" s="5" t="s">
        <v>333</v>
      </c>
      <c r="AK348" s="5" t="s">
        <v>256</v>
      </c>
      <c r="AL348" s="4" t="s">
        <v>90</v>
      </c>
      <c r="AM348" s="4" t="s">
        <v>137</v>
      </c>
      <c r="AN348" s="21"/>
      <c r="AO348" s="4"/>
      <c r="AP348" s="58"/>
      <c r="AQ348" s="58"/>
      <c r="AR348" s="23"/>
      <c r="AS348" s="23"/>
      <c r="AT348" s="4"/>
      <c r="AU348" s="4"/>
      <c r="AV348" s="4"/>
      <c r="AW348" s="4"/>
      <c r="AX348" s="9"/>
      <c r="AY348" s="9"/>
      <c r="AZ348" s="4"/>
      <c r="BB348" t="e">
        <f>VLOOKUP(B348,contactos!$A$1:$D$484,4,FALSE)</f>
        <v>#N/A</v>
      </c>
    </row>
    <row r="349" spans="2:54" customFormat="1" x14ac:dyDescent="0.25">
      <c r="B349" s="100">
        <v>327080</v>
      </c>
      <c r="C349" s="4" t="s">
        <v>649</v>
      </c>
      <c r="D349" s="5">
        <v>8467.02</v>
      </c>
      <c r="E349" s="5">
        <v>0</v>
      </c>
      <c r="F349" s="5">
        <v>0</v>
      </c>
      <c r="G349" s="5">
        <v>8467.02</v>
      </c>
      <c r="H349" s="5">
        <v>8467.02</v>
      </c>
      <c r="I349" s="5">
        <f t="shared" si="107"/>
        <v>8467.02</v>
      </c>
      <c r="J349" s="5"/>
      <c r="K349" s="5">
        <f t="shared" si="108"/>
        <v>8467.02</v>
      </c>
      <c r="L349" s="5">
        <f t="shared" si="109"/>
        <v>8467.02</v>
      </c>
      <c r="M349" s="5"/>
      <c r="N349" s="5">
        <f t="shared" si="110"/>
        <v>8467.02</v>
      </c>
      <c r="O349" s="21"/>
      <c r="P349" s="21"/>
      <c r="Q349" s="21"/>
      <c r="R349" s="21">
        <f t="shared" si="111"/>
        <v>0</v>
      </c>
      <c r="S349" s="21">
        <v>8467.02</v>
      </c>
      <c r="T349" s="21">
        <f t="shared" si="99"/>
        <v>0</v>
      </c>
      <c r="U349" s="21">
        <f t="shared" si="100"/>
        <v>0</v>
      </c>
      <c r="V349" s="21">
        <f t="shared" si="112"/>
        <v>8467.02</v>
      </c>
      <c r="W349" s="21"/>
      <c r="X349" s="5"/>
      <c r="Y349" s="5"/>
      <c r="Z349" s="5">
        <f t="shared" si="113"/>
        <v>0</v>
      </c>
      <c r="AA349" s="5">
        <v>403758.09</v>
      </c>
      <c r="AB349" s="5" t="s">
        <v>258</v>
      </c>
      <c r="AC349" s="5">
        <f t="shared" si="106"/>
        <v>8467.02</v>
      </c>
      <c r="AD349" s="5">
        <f t="shared" si="114"/>
        <v>8467.02</v>
      </c>
      <c r="AE349" s="5">
        <f t="shared" si="115"/>
        <v>0</v>
      </c>
      <c r="AF349" s="5"/>
      <c r="AG349" s="5" t="s">
        <v>238</v>
      </c>
      <c r="AH349" s="5">
        <v>4</v>
      </c>
      <c r="AI349" s="5">
        <v>0</v>
      </c>
      <c r="AJ349" s="5">
        <v>0</v>
      </c>
      <c r="AK349" s="5" t="s">
        <v>256</v>
      </c>
      <c r="AL349" s="4" t="s">
        <v>90</v>
      </c>
      <c r="AM349" s="4" t="s">
        <v>67</v>
      </c>
      <c r="AN349" s="21"/>
      <c r="AO349" s="4"/>
      <c r="AP349" s="58"/>
      <c r="AQ349" s="58"/>
      <c r="AR349" s="23"/>
      <c r="AS349" s="23"/>
      <c r="AT349" s="4"/>
      <c r="AU349" s="4"/>
      <c r="AV349" s="4"/>
      <c r="AW349" s="4"/>
      <c r="AX349" s="9"/>
      <c r="AY349" s="9"/>
      <c r="AZ349" s="4"/>
      <c r="BB349" t="e">
        <f>VLOOKUP(B349,contactos!$A$1:$D$484,4,FALSE)</f>
        <v>#N/A</v>
      </c>
    </row>
    <row r="350" spans="2:54" customFormat="1" x14ac:dyDescent="0.25">
      <c r="B350" s="100">
        <v>9888</v>
      </c>
      <c r="C350" s="4" t="s">
        <v>650</v>
      </c>
      <c r="D350" s="5">
        <v>7596.3799999999992</v>
      </c>
      <c r="E350" s="5">
        <v>581.70399999999995</v>
      </c>
      <c r="F350" s="5">
        <v>52.012799999999999</v>
      </c>
      <c r="G350" s="5">
        <v>8230.1</v>
      </c>
      <c r="H350" s="5">
        <v>8230.1</v>
      </c>
      <c r="I350" s="5">
        <f t="shared" si="107"/>
        <v>7596.3799999999992</v>
      </c>
      <c r="J350" s="5"/>
      <c r="K350" s="5">
        <f t="shared" si="108"/>
        <v>7596.3799999999992</v>
      </c>
      <c r="L350" s="5">
        <f t="shared" si="109"/>
        <v>8230.0967999999993</v>
      </c>
      <c r="M350" s="5"/>
      <c r="N350" s="5">
        <f t="shared" si="110"/>
        <v>8230.0967999999993</v>
      </c>
      <c r="O350" s="21"/>
      <c r="P350" s="21"/>
      <c r="Q350" s="21"/>
      <c r="R350" s="21">
        <f t="shared" si="111"/>
        <v>0</v>
      </c>
      <c r="S350" s="21">
        <v>7596.3799999999992</v>
      </c>
      <c r="T350" s="21">
        <f t="shared" si="99"/>
        <v>581.70399999999995</v>
      </c>
      <c r="U350" s="21">
        <f t="shared" si="100"/>
        <v>52.012799999999999</v>
      </c>
      <c r="V350" s="21">
        <f t="shared" si="112"/>
        <v>8230.0967999999993</v>
      </c>
      <c r="W350" s="21"/>
      <c r="X350" s="5"/>
      <c r="Y350" s="5"/>
      <c r="Z350" s="5">
        <f t="shared" si="113"/>
        <v>0</v>
      </c>
      <c r="AA350" s="5">
        <v>26092.84</v>
      </c>
      <c r="AB350" s="5" t="s">
        <v>258</v>
      </c>
      <c r="AC350" s="5">
        <f t="shared" si="106"/>
        <v>7596.3799999999992</v>
      </c>
      <c r="AD350" s="5">
        <f t="shared" si="114"/>
        <v>8230.0967999999993</v>
      </c>
      <c r="AE350" s="5">
        <f t="shared" si="115"/>
        <v>3.2000000010157237E-3</v>
      </c>
      <c r="AF350" s="5"/>
      <c r="AG350" s="5" t="s">
        <v>238</v>
      </c>
      <c r="AH350" s="5">
        <v>4</v>
      </c>
      <c r="AI350" s="5">
        <v>0</v>
      </c>
      <c r="AJ350" s="5">
        <v>0</v>
      </c>
      <c r="AK350" s="5" t="s">
        <v>256</v>
      </c>
      <c r="AL350" s="4" t="s">
        <v>90</v>
      </c>
      <c r="AM350" s="4" t="s">
        <v>162</v>
      </c>
      <c r="AN350" s="21"/>
      <c r="AO350" s="4"/>
      <c r="AP350" s="58"/>
      <c r="AQ350" s="58"/>
      <c r="AR350" s="23"/>
      <c r="AS350" s="23"/>
      <c r="AT350" s="4"/>
      <c r="AU350" s="4"/>
      <c r="AV350" s="4"/>
      <c r="AW350" s="4"/>
      <c r="AX350" s="9"/>
      <c r="AY350" s="9"/>
      <c r="AZ350" s="4"/>
      <c r="BB350" t="e">
        <f>VLOOKUP(B350,contactos!$A$1:$D$484,4,FALSE)</f>
        <v>#N/A</v>
      </c>
    </row>
    <row r="351" spans="2:54" customFormat="1" x14ac:dyDescent="0.25">
      <c r="B351" s="100">
        <v>93872</v>
      </c>
      <c r="C351" s="4" t="s">
        <v>651</v>
      </c>
      <c r="D351" s="5">
        <v>7799.25</v>
      </c>
      <c r="E351" s="5">
        <v>0</v>
      </c>
      <c r="F351" s="5">
        <v>31.514700000000001</v>
      </c>
      <c r="G351" s="5">
        <v>7830.76</v>
      </c>
      <c r="H351" s="5">
        <v>7830.76</v>
      </c>
      <c r="I351" s="5">
        <f t="shared" si="107"/>
        <v>7799.25</v>
      </c>
      <c r="J351" s="5"/>
      <c r="K351" s="5">
        <f t="shared" si="108"/>
        <v>7799.25</v>
      </c>
      <c r="L351" s="5">
        <f t="shared" si="109"/>
        <v>7830.7646999999997</v>
      </c>
      <c r="M351" s="5"/>
      <c r="N351" s="5">
        <f t="shared" si="110"/>
        <v>7830.7646999999997</v>
      </c>
      <c r="O351" s="21"/>
      <c r="P351" s="21"/>
      <c r="Q351" s="21"/>
      <c r="R351" s="21">
        <f t="shared" si="111"/>
        <v>0</v>
      </c>
      <c r="S351" s="21">
        <v>7799.25</v>
      </c>
      <c r="T351" s="21">
        <f t="shared" si="99"/>
        <v>0</v>
      </c>
      <c r="U351" s="21">
        <f t="shared" si="100"/>
        <v>31.514700000000001</v>
      </c>
      <c r="V351" s="21">
        <f t="shared" si="112"/>
        <v>7830.7646999999997</v>
      </c>
      <c r="W351" s="21"/>
      <c r="X351" s="5"/>
      <c r="Y351" s="5"/>
      <c r="Z351" s="5">
        <f t="shared" si="113"/>
        <v>0</v>
      </c>
      <c r="AA351" s="5">
        <v>94952.38</v>
      </c>
      <c r="AB351" s="5" t="s">
        <v>258</v>
      </c>
      <c r="AC351" s="5">
        <f t="shared" si="106"/>
        <v>7799.25</v>
      </c>
      <c r="AD351" s="5">
        <f t="shared" si="114"/>
        <v>7830.7646999999997</v>
      </c>
      <c r="AE351" s="5">
        <f t="shared" si="115"/>
        <v>-4.6999999995023245E-3</v>
      </c>
      <c r="AF351" s="5"/>
      <c r="AG351" s="5" t="s">
        <v>238</v>
      </c>
      <c r="AH351" s="5">
        <v>4</v>
      </c>
      <c r="AI351" s="5">
        <v>0</v>
      </c>
      <c r="AJ351" s="5">
        <v>0</v>
      </c>
      <c r="AK351" s="5" t="s">
        <v>256</v>
      </c>
      <c r="AL351" s="4" t="s">
        <v>90</v>
      </c>
      <c r="AM351" s="4" t="s">
        <v>107</v>
      </c>
      <c r="AN351" s="21"/>
      <c r="AO351" s="4"/>
      <c r="AP351" s="58"/>
      <c r="AQ351" s="58"/>
      <c r="AR351" s="23"/>
      <c r="AS351" s="23"/>
      <c r="AT351" s="4"/>
      <c r="AU351" s="4"/>
      <c r="AV351" s="4"/>
      <c r="AW351" s="4"/>
      <c r="AX351" s="9"/>
      <c r="AY351" s="9"/>
      <c r="AZ351" s="4"/>
      <c r="BB351" t="e">
        <f>VLOOKUP(B351,contactos!$A$1:$D$484,4,FALSE)</f>
        <v>#N/A</v>
      </c>
    </row>
    <row r="352" spans="2:54" customFormat="1" x14ac:dyDescent="0.25">
      <c r="B352" s="100">
        <v>74310</v>
      </c>
      <c r="C352" s="4" t="s">
        <v>652</v>
      </c>
      <c r="D352" s="5">
        <v>7116.38</v>
      </c>
      <c r="E352" s="5">
        <v>0</v>
      </c>
      <c r="F352" s="5">
        <v>0</v>
      </c>
      <c r="G352" s="5">
        <v>7116.38</v>
      </c>
      <c r="H352" s="5">
        <v>7116.38</v>
      </c>
      <c r="I352" s="5">
        <f t="shared" si="107"/>
        <v>7116.38</v>
      </c>
      <c r="J352" s="5"/>
      <c r="K352" s="5">
        <f t="shared" si="108"/>
        <v>7116.38</v>
      </c>
      <c r="L352" s="5">
        <f t="shared" si="109"/>
        <v>7116.38</v>
      </c>
      <c r="M352" s="5"/>
      <c r="N352" s="5">
        <f t="shared" si="110"/>
        <v>7116.38</v>
      </c>
      <c r="O352" s="21"/>
      <c r="P352" s="21"/>
      <c r="Q352" s="21"/>
      <c r="R352" s="21">
        <f t="shared" si="111"/>
        <v>0</v>
      </c>
      <c r="S352" s="21">
        <v>7116.38</v>
      </c>
      <c r="T352" s="21">
        <f t="shared" si="99"/>
        <v>0</v>
      </c>
      <c r="U352" s="21">
        <f t="shared" si="100"/>
        <v>0</v>
      </c>
      <c r="V352" s="21">
        <f t="shared" si="112"/>
        <v>7116.38</v>
      </c>
      <c r="W352" s="21"/>
      <c r="X352" s="5"/>
      <c r="Y352" s="5"/>
      <c r="Z352" s="5">
        <f t="shared" si="113"/>
        <v>0</v>
      </c>
      <c r="AA352" s="5"/>
      <c r="AB352" s="5" t="s">
        <v>258</v>
      </c>
      <c r="AC352" s="5">
        <f t="shared" si="106"/>
        <v>7116.38</v>
      </c>
      <c r="AD352" s="5">
        <f t="shared" si="114"/>
        <v>7116.38</v>
      </c>
      <c r="AE352" s="5">
        <f t="shared" si="115"/>
        <v>0</v>
      </c>
      <c r="AF352" s="5"/>
      <c r="AG352" s="5" t="s">
        <v>238</v>
      </c>
      <c r="AH352" s="5">
        <v>4</v>
      </c>
      <c r="AI352" s="5">
        <v>0</v>
      </c>
      <c r="AJ352" s="5">
        <v>0</v>
      </c>
      <c r="AK352" s="5" t="s">
        <v>256</v>
      </c>
      <c r="AL352" s="4" t="s">
        <v>90</v>
      </c>
      <c r="AM352" s="4" t="s">
        <v>107</v>
      </c>
      <c r="AN352" s="21"/>
      <c r="AO352" s="4"/>
      <c r="AP352" s="58"/>
      <c r="AQ352" s="58"/>
      <c r="AR352" s="23"/>
      <c r="AS352" s="23"/>
      <c r="AT352" s="4"/>
      <c r="AU352" s="4"/>
      <c r="AV352" s="4"/>
      <c r="AW352" s="4"/>
      <c r="AX352" s="9"/>
      <c r="AY352" s="9"/>
      <c r="AZ352" s="4"/>
      <c r="BB352" t="str">
        <f>VLOOKUP(B352,contactos!$A$1:$D$484,4,FALSE)</f>
        <v>CARLOS.VIDAURRI@VIDAURRI.MX</v>
      </c>
    </row>
    <row r="353" spans="2:54" customFormat="1" x14ac:dyDescent="0.25">
      <c r="B353" s="100">
        <v>11423</v>
      </c>
      <c r="C353" s="4" t="s">
        <v>653</v>
      </c>
      <c r="D353" s="5">
        <v>6635.91</v>
      </c>
      <c r="E353" s="5">
        <v>0</v>
      </c>
      <c r="F353" s="5">
        <v>434.0752</v>
      </c>
      <c r="G353" s="5">
        <v>7069.99</v>
      </c>
      <c r="H353" s="5">
        <v>7069.99</v>
      </c>
      <c r="I353" s="5">
        <f t="shared" si="107"/>
        <v>6635.91</v>
      </c>
      <c r="J353" s="5"/>
      <c r="K353" s="5">
        <f t="shared" si="108"/>
        <v>6635.91</v>
      </c>
      <c r="L353" s="5">
        <f t="shared" si="109"/>
        <v>7069.9852000000001</v>
      </c>
      <c r="M353" s="5"/>
      <c r="N353" s="5">
        <f t="shared" si="110"/>
        <v>7069.9852000000001</v>
      </c>
      <c r="O353" s="21"/>
      <c r="P353" s="21"/>
      <c r="Q353" s="21"/>
      <c r="R353" s="21">
        <f t="shared" si="111"/>
        <v>0</v>
      </c>
      <c r="S353" s="21">
        <v>6635.91</v>
      </c>
      <c r="T353" s="21">
        <f t="shared" si="99"/>
        <v>0</v>
      </c>
      <c r="U353" s="21">
        <f t="shared" si="100"/>
        <v>434.0752</v>
      </c>
      <c r="V353" s="21">
        <f t="shared" si="112"/>
        <v>7069.9852000000001</v>
      </c>
      <c r="W353" s="21"/>
      <c r="X353" s="5"/>
      <c r="Y353" s="5"/>
      <c r="Z353" s="5">
        <f t="shared" si="113"/>
        <v>0</v>
      </c>
      <c r="AA353" s="5">
        <v>51209.8</v>
      </c>
      <c r="AB353" s="5" t="s">
        <v>258</v>
      </c>
      <c r="AC353" s="5">
        <f t="shared" si="106"/>
        <v>6635.91</v>
      </c>
      <c r="AD353" s="5">
        <f t="shared" si="114"/>
        <v>7069.9852000000001</v>
      </c>
      <c r="AE353" s="5">
        <f t="shared" si="115"/>
        <v>4.7999999997045961E-3</v>
      </c>
      <c r="AF353" s="5"/>
      <c r="AG353" s="5" t="s">
        <v>238</v>
      </c>
      <c r="AH353" s="5">
        <v>4</v>
      </c>
      <c r="AI353" s="5">
        <v>0</v>
      </c>
      <c r="AJ353" s="5">
        <v>0</v>
      </c>
      <c r="AK353" s="5" t="s">
        <v>256</v>
      </c>
      <c r="AL353" s="4" t="s">
        <v>90</v>
      </c>
      <c r="AM353" s="4" t="s">
        <v>112</v>
      </c>
      <c r="AN353" s="21"/>
      <c r="AO353" s="4"/>
      <c r="AP353" s="58"/>
      <c r="AQ353" s="58"/>
      <c r="AR353" s="23"/>
      <c r="AS353" s="23"/>
      <c r="AT353" s="4"/>
      <c r="AU353" s="4"/>
      <c r="AV353" s="4"/>
      <c r="AW353" s="4"/>
      <c r="AX353" s="9"/>
      <c r="AY353" s="9"/>
      <c r="AZ353" s="4"/>
      <c r="BB353" t="e">
        <f>VLOOKUP(B353,contactos!$A$1:$D$484,4,FALSE)</f>
        <v>#N/A</v>
      </c>
    </row>
    <row r="354" spans="2:54" customFormat="1" x14ac:dyDescent="0.25">
      <c r="B354" s="100">
        <v>8474</v>
      </c>
      <c r="C354" s="4" t="s">
        <v>654</v>
      </c>
      <c r="D354" s="5">
        <v>5831.79</v>
      </c>
      <c r="E354" s="5">
        <v>0</v>
      </c>
      <c r="F354" s="5">
        <v>933.08640000000003</v>
      </c>
      <c r="G354" s="5">
        <v>6764.8700000000008</v>
      </c>
      <c r="H354" s="5">
        <v>0</v>
      </c>
      <c r="I354" s="5">
        <f t="shared" si="107"/>
        <v>5831.79</v>
      </c>
      <c r="J354" s="5"/>
      <c r="K354" s="5">
        <f t="shared" si="108"/>
        <v>5831.79</v>
      </c>
      <c r="L354" s="5">
        <f t="shared" si="109"/>
        <v>6764.8764000000001</v>
      </c>
      <c r="M354" s="5"/>
      <c r="N354" s="5">
        <f t="shared" si="110"/>
        <v>6764.8764000000001</v>
      </c>
      <c r="O354" s="21"/>
      <c r="P354" s="21"/>
      <c r="Q354" s="21"/>
      <c r="R354" s="21">
        <f t="shared" si="111"/>
        <v>0</v>
      </c>
      <c r="S354" s="21">
        <v>5831.79</v>
      </c>
      <c r="T354" s="21">
        <f t="shared" si="99"/>
        <v>0</v>
      </c>
      <c r="U354" s="21">
        <f t="shared" si="100"/>
        <v>933.08640000000003</v>
      </c>
      <c r="V354" s="21">
        <f t="shared" si="112"/>
        <v>6764.8764000000001</v>
      </c>
      <c r="W354" s="21"/>
      <c r="X354" s="5"/>
      <c r="Y354" s="5"/>
      <c r="Z354" s="5">
        <f t="shared" si="113"/>
        <v>0</v>
      </c>
      <c r="AA354" s="5">
        <v>596798.27</v>
      </c>
      <c r="AB354" s="5" t="s">
        <v>258</v>
      </c>
      <c r="AC354" s="5">
        <f t="shared" si="106"/>
        <v>5831.79</v>
      </c>
      <c r="AD354" s="5">
        <f t="shared" si="114"/>
        <v>6764.8764000000001</v>
      </c>
      <c r="AE354" s="5">
        <f t="shared" si="115"/>
        <v>-6.3999999993029633E-3</v>
      </c>
      <c r="AF354" s="5"/>
      <c r="AG354" s="5" t="s">
        <v>73</v>
      </c>
      <c r="AH354" s="5">
        <v>4</v>
      </c>
      <c r="AI354" s="5">
        <v>0</v>
      </c>
      <c r="AJ354" s="5" t="s">
        <v>655</v>
      </c>
      <c r="AK354" s="5" t="s">
        <v>256</v>
      </c>
      <c r="AL354" s="4" t="s">
        <v>90</v>
      </c>
      <c r="AM354" s="4" t="s">
        <v>91</v>
      </c>
      <c r="AN354" s="21"/>
      <c r="AO354" s="4"/>
      <c r="AP354" s="58"/>
      <c r="AQ354" s="58"/>
      <c r="AR354" s="23"/>
      <c r="AS354" s="23"/>
      <c r="AT354" s="4"/>
      <c r="AU354" s="4"/>
      <c r="AV354" s="4"/>
      <c r="AW354" s="4"/>
      <c r="AX354" s="9"/>
      <c r="AY354" s="9"/>
      <c r="AZ354" s="4"/>
      <c r="BB354" t="e">
        <f>VLOOKUP(B354,contactos!$A$1:$D$484,4,FALSE)</f>
        <v>#N/A</v>
      </c>
    </row>
    <row r="355" spans="2:54" customFormat="1" x14ac:dyDescent="0.25">
      <c r="B355" s="100">
        <v>3604</v>
      </c>
      <c r="C355" s="4" t="s">
        <v>452</v>
      </c>
      <c r="D355" s="5">
        <v>6694.96</v>
      </c>
      <c r="E355" s="5">
        <v>0</v>
      </c>
      <c r="F355" s="5">
        <v>0</v>
      </c>
      <c r="G355" s="5">
        <v>6694.96</v>
      </c>
      <c r="H355" s="5">
        <v>6694.96</v>
      </c>
      <c r="I355" s="5">
        <f t="shared" si="107"/>
        <v>6694.96</v>
      </c>
      <c r="J355" s="5"/>
      <c r="K355" s="5">
        <f t="shared" si="108"/>
        <v>6694.96</v>
      </c>
      <c r="L355" s="5">
        <f t="shared" si="109"/>
        <v>6694.96</v>
      </c>
      <c r="M355" s="5"/>
      <c r="N355" s="5">
        <f t="shared" si="110"/>
        <v>6694.96</v>
      </c>
      <c r="O355" s="21"/>
      <c r="P355" s="21"/>
      <c r="Q355" s="21"/>
      <c r="R355" s="21">
        <f t="shared" si="111"/>
        <v>0</v>
      </c>
      <c r="S355" s="21">
        <v>6694.96</v>
      </c>
      <c r="T355" s="21">
        <f t="shared" si="99"/>
        <v>0</v>
      </c>
      <c r="U355" s="21">
        <f t="shared" si="100"/>
        <v>0</v>
      </c>
      <c r="V355" s="21">
        <f t="shared" si="112"/>
        <v>6694.96</v>
      </c>
      <c r="W355" s="21"/>
      <c r="X355" s="5"/>
      <c r="Y355" s="5"/>
      <c r="Z355" s="5">
        <f t="shared" si="113"/>
        <v>0</v>
      </c>
      <c r="AA355" s="5">
        <v>148688.15</v>
      </c>
      <c r="AB355" s="5" t="s">
        <v>258</v>
      </c>
      <c r="AC355" s="5">
        <f t="shared" si="106"/>
        <v>6694.96</v>
      </c>
      <c r="AD355" s="5">
        <f t="shared" si="114"/>
        <v>6694.96</v>
      </c>
      <c r="AE355" s="5">
        <f t="shared" si="115"/>
        <v>0</v>
      </c>
      <c r="AF355" s="5"/>
      <c r="AG355" s="5" t="s">
        <v>238</v>
      </c>
      <c r="AH355" s="5">
        <v>4</v>
      </c>
      <c r="AI355" s="5">
        <v>0</v>
      </c>
      <c r="AJ355" s="5">
        <v>0</v>
      </c>
      <c r="AK355" s="5" t="s">
        <v>256</v>
      </c>
      <c r="AL355" s="4" t="s">
        <v>90</v>
      </c>
      <c r="AM355" s="4" t="s">
        <v>141</v>
      </c>
      <c r="AN355" s="21"/>
      <c r="AO355" s="4"/>
      <c r="AP355" s="58"/>
      <c r="AQ355" s="58"/>
      <c r="AR355" s="23"/>
      <c r="AS355" s="23"/>
      <c r="AT355" s="4"/>
      <c r="AU355" s="4"/>
      <c r="AV355" s="4"/>
      <c r="AW355" s="4"/>
      <c r="AX355" s="9"/>
      <c r="AY355" s="9"/>
      <c r="AZ355" s="4"/>
      <c r="BB355" t="e">
        <f>VLOOKUP(B355,contactos!$A$1:$D$484,4,FALSE)</f>
        <v>#N/A</v>
      </c>
    </row>
    <row r="356" spans="2:54" customFormat="1" x14ac:dyDescent="0.25">
      <c r="B356" s="100">
        <v>89383</v>
      </c>
      <c r="C356" s="4" t="s">
        <v>656</v>
      </c>
      <c r="D356" s="5">
        <v>5761.76</v>
      </c>
      <c r="E356" s="5">
        <v>0</v>
      </c>
      <c r="F356" s="5">
        <v>921.88260000000002</v>
      </c>
      <c r="G356" s="5">
        <v>6683.64</v>
      </c>
      <c r="H356" s="5">
        <v>6683.64</v>
      </c>
      <c r="I356" s="5">
        <f t="shared" si="107"/>
        <v>5761.76</v>
      </c>
      <c r="J356" s="5"/>
      <c r="K356" s="5">
        <f t="shared" si="108"/>
        <v>5761.76</v>
      </c>
      <c r="L356" s="5">
        <f t="shared" si="109"/>
        <v>6683.6426000000001</v>
      </c>
      <c r="M356" s="5"/>
      <c r="N356" s="5">
        <f t="shared" si="110"/>
        <v>6683.6426000000001</v>
      </c>
      <c r="O356" s="21"/>
      <c r="P356" s="21"/>
      <c r="Q356" s="21"/>
      <c r="R356" s="21">
        <f t="shared" si="111"/>
        <v>0</v>
      </c>
      <c r="S356" s="21">
        <v>5761.76</v>
      </c>
      <c r="T356" s="21">
        <f t="shared" si="99"/>
        <v>0</v>
      </c>
      <c r="U356" s="21">
        <f t="shared" si="100"/>
        <v>921.88260000000002</v>
      </c>
      <c r="V356" s="21">
        <f t="shared" si="112"/>
        <v>6683.6426000000001</v>
      </c>
      <c r="W356" s="21"/>
      <c r="X356" s="5"/>
      <c r="Y356" s="5"/>
      <c r="Z356" s="5">
        <f t="shared" si="113"/>
        <v>0</v>
      </c>
      <c r="AA356" s="5">
        <v>37112.699999999997</v>
      </c>
      <c r="AB356" s="5" t="s">
        <v>258</v>
      </c>
      <c r="AC356" s="5">
        <f t="shared" si="106"/>
        <v>5761.76</v>
      </c>
      <c r="AD356" s="5">
        <f t="shared" si="114"/>
        <v>6683.6426000000001</v>
      </c>
      <c r="AE356" s="5">
        <f t="shared" si="115"/>
        <v>-2.599999999802094E-3</v>
      </c>
      <c r="AF356" s="5"/>
      <c r="AG356" s="5" t="s">
        <v>238</v>
      </c>
      <c r="AH356" s="5">
        <v>4</v>
      </c>
      <c r="AI356" s="5">
        <v>0</v>
      </c>
      <c r="AJ356" s="5" t="s">
        <v>279</v>
      </c>
      <c r="AK356" s="5" t="s">
        <v>256</v>
      </c>
      <c r="AL356" s="4" t="s">
        <v>90</v>
      </c>
      <c r="AM356" s="4" t="s">
        <v>119</v>
      </c>
      <c r="AN356" s="21"/>
      <c r="AO356" s="4"/>
      <c r="AP356" s="58"/>
      <c r="AQ356" s="58"/>
      <c r="AR356" s="23"/>
      <c r="AS356" s="23"/>
      <c r="AT356" s="4"/>
      <c r="AU356" s="4"/>
      <c r="AV356" s="4"/>
      <c r="AW356" s="4"/>
      <c r="AX356" s="9"/>
      <c r="AY356" s="9"/>
      <c r="AZ356" s="4"/>
      <c r="BB356" t="e">
        <f>VLOOKUP(B356,contactos!$A$1:$D$484,4,FALSE)</f>
        <v>#N/A</v>
      </c>
    </row>
    <row r="357" spans="2:54" customFormat="1" x14ac:dyDescent="0.25">
      <c r="B357" s="131">
        <v>1402</v>
      </c>
      <c r="C357" s="4" t="s">
        <v>657</v>
      </c>
      <c r="D357" s="5">
        <v>6572.83</v>
      </c>
      <c r="E357" s="5">
        <v>0</v>
      </c>
      <c r="F357" s="5">
        <v>4.181</v>
      </c>
      <c r="G357" s="5">
        <v>6577.01</v>
      </c>
      <c r="H357" s="5">
        <v>0</v>
      </c>
      <c r="I357" s="5">
        <f t="shared" si="107"/>
        <v>6572.83</v>
      </c>
      <c r="J357" s="5"/>
      <c r="K357" s="5">
        <f t="shared" si="108"/>
        <v>6572.83</v>
      </c>
      <c r="L357" s="5">
        <f t="shared" si="109"/>
        <v>6577.0109999999995</v>
      </c>
      <c r="M357" s="5"/>
      <c r="N357" s="5">
        <f t="shared" si="110"/>
        <v>6577.0109999999995</v>
      </c>
      <c r="O357" s="21"/>
      <c r="P357" s="21"/>
      <c r="Q357" s="21"/>
      <c r="R357" s="21">
        <f t="shared" si="111"/>
        <v>0</v>
      </c>
      <c r="S357" s="21">
        <v>6572.83</v>
      </c>
      <c r="T357" s="21">
        <f t="shared" ref="T357:T388" si="116">E357-X357</f>
        <v>0</v>
      </c>
      <c r="U357" s="21">
        <f t="shared" si="100"/>
        <v>4.181</v>
      </c>
      <c r="V357" s="21">
        <f t="shared" si="112"/>
        <v>6577.0109999999995</v>
      </c>
      <c r="W357" s="21"/>
      <c r="X357" s="5"/>
      <c r="Y357" s="5"/>
      <c r="Z357" s="5">
        <f t="shared" si="113"/>
        <v>0</v>
      </c>
      <c r="AA357" s="5">
        <v>22535.03</v>
      </c>
      <c r="AB357" s="5" t="s">
        <v>258</v>
      </c>
      <c r="AC357" s="5">
        <f t="shared" si="106"/>
        <v>6572.83</v>
      </c>
      <c r="AD357" s="5">
        <f t="shared" si="114"/>
        <v>6577.0109999999995</v>
      </c>
      <c r="AE357" s="5">
        <f t="shared" si="115"/>
        <v>-9.9999999929423211E-4</v>
      </c>
      <c r="AF357" s="5"/>
      <c r="AG357" s="5" t="s">
        <v>73</v>
      </c>
      <c r="AH357" s="5">
        <v>4</v>
      </c>
      <c r="AI357" s="5">
        <v>0</v>
      </c>
      <c r="AJ357" s="5">
        <v>0</v>
      </c>
      <c r="AK357" s="5" t="s">
        <v>256</v>
      </c>
      <c r="AL357" s="4" t="s">
        <v>90</v>
      </c>
      <c r="AM357" s="6" t="s">
        <v>103</v>
      </c>
      <c r="AN357" s="21"/>
      <c r="AO357" s="4"/>
      <c r="AP357" s="58"/>
      <c r="AQ357" s="58"/>
      <c r="AR357" s="23"/>
      <c r="AS357" s="23"/>
      <c r="AT357" s="4"/>
      <c r="AU357" s="4"/>
      <c r="AV357" s="52"/>
      <c r="AW357" s="52"/>
      <c r="AX357" s="9"/>
      <c r="AY357" s="9"/>
      <c r="AZ357" s="4"/>
      <c r="BB357" t="e">
        <f>VLOOKUP(B357,contactos!$A$1:$D$484,4,FALSE)</f>
        <v>#N/A</v>
      </c>
    </row>
    <row r="358" spans="2:54" customFormat="1" x14ac:dyDescent="0.25">
      <c r="B358" s="100">
        <v>40477</v>
      </c>
      <c r="C358" s="4" t="s">
        <v>658</v>
      </c>
      <c r="D358" s="5">
        <v>6574.8300000000008</v>
      </c>
      <c r="E358" s="5">
        <v>0</v>
      </c>
      <c r="F358" s="5">
        <v>0</v>
      </c>
      <c r="G358" s="5">
        <v>6574.8300000000008</v>
      </c>
      <c r="H358" s="5">
        <v>6574.83</v>
      </c>
      <c r="I358" s="5">
        <f t="shared" si="107"/>
        <v>6574.8300000000008</v>
      </c>
      <c r="J358" s="5"/>
      <c r="K358" s="5">
        <f t="shared" si="108"/>
        <v>6574.8300000000008</v>
      </c>
      <c r="L358" s="5">
        <f t="shared" si="109"/>
        <v>6574.8300000000008</v>
      </c>
      <c r="M358" s="5"/>
      <c r="N358" s="5">
        <f t="shared" si="110"/>
        <v>6574.8300000000008</v>
      </c>
      <c r="O358" s="21"/>
      <c r="P358" s="21"/>
      <c r="Q358" s="21"/>
      <c r="R358" s="21">
        <f t="shared" si="111"/>
        <v>0</v>
      </c>
      <c r="S358" s="21">
        <v>6574.8300000000008</v>
      </c>
      <c r="T358" s="21">
        <f t="shared" si="116"/>
        <v>0</v>
      </c>
      <c r="U358" s="21">
        <f t="shared" ref="U358:U389" si="117">F358-Y358</f>
        <v>0</v>
      </c>
      <c r="V358" s="21">
        <f t="shared" si="112"/>
        <v>6574.8300000000008</v>
      </c>
      <c r="W358" s="21"/>
      <c r="X358" s="5"/>
      <c r="Y358" s="5"/>
      <c r="Z358" s="5">
        <f t="shared" si="113"/>
        <v>0</v>
      </c>
      <c r="AA358" s="5">
        <v>367338.21</v>
      </c>
      <c r="AB358" s="5" t="s">
        <v>258</v>
      </c>
      <c r="AC358" s="5">
        <f t="shared" si="106"/>
        <v>6574.8300000000008</v>
      </c>
      <c r="AD358" s="5">
        <f t="shared" si="114"/>
        <v>6574.8300000000008</v>
      </c>
      <c r="AE358" s="5">
        <f t="shared" si="115"/>
        <v>0</v>
      </c>
      <c r="AF358" s="5"/>
      <c r="AG358" s="5" t="s">
        <v>238</v>
      </c>
      <c r="AH358" s="5">
        <v>4</v>
      </c>
      <c r="AI358" s="5">
        <v>0</v>
      </c>
      <c r="AJ358" s="5">
        <v>0</v>
      </c>
      <c r="AK358" s="5" t="s">
        <v>256</v>
      </c>
      <c r="AL358" s="4" t="s">
        <v>90</v>
      </c>
      <c r="AM358" s="4" t="s">
        <v>76</v>
      </c>
      <c r="AN358" s="21"/>
      <c r="AO358" s="4"/>
      <c r="AP358" s="58"/>
      <c r="AQ358" s="58"/>
      <c r="AR358" s="23"/>
      <c r="AS358" s="23"/>
      <c r="AT358" s="4"/>
      <c r="AU358" s="4"/>
      <c r="AV358" s="4"/>
      <c r="AW358" s="4"/>
      <c r="AX358" s="9"/>
      <c r="AY358" s="9"/>
      <c r="AZ358" s="4"/>
      <c r="BB358" t="e">
        <f>VLOOKUP(B358,contactos!$A$1:$D$484,4,FALSE)</f>
        <v>#N/A</v>
      </c>
    </row>
    <row r="359" spans="2:54" customFormat="1" x14ac:dyDescent="0.25">
      <c r="B359" s="100">
        <v>13111</v>
      </c>
      <c r="C359" s="4" t="s">
        <v>659</v>
      </c>
      <c r="D359" s="5">
        <v>5628.22</v>
      </c>
      <c r="E359" s="5">
        <v>0</v>
      </c>
      <c r="F359" s="5">
        <v>900.51520000000005</v>
      </c>
      <c r="G359" s="5">
        <v>6528.73</v>
      </c>
      <c r="H359" s="5">
        <v>0</v>
      </c>
      <c r="I359" s="5">
        <f t="shared" si="107"/>
        <v>5628.22</v>
      </c>
      <c r="J359" s="5"/>
      <c r="K359" s="5">
        <f t="shared" si="108"/>
        <v>5628.22</v>
      </c>
      <c r="L359" s="5">
        <f t="shared" si="109"/>
        <v>6528.7352000000001</v>
      </c>
      <c r="M359" s="5"/>
      <c r="N359" s="5">
        <f t="shared" si="110"/>
        <v>6528.7352000000001</v>
      </c>
      <c r="O359" s="21"/>
      <c r="P359" s="21"/>
      <c r="Q359" s="21"/>
      <c r="R359" s="21">
        <f t="shared" si="111"/>
        <v>0</v>
      </c>
      <c r="S359" s="21">
        <v>5628.22</v>
      </c>
      <c r="T359" s="21">
        <f t="shared" si="116"/>
        <v>0</v>
      </c>
      <c r="U359" s="21">
        <f t="shared" si="117"/>
        <v>900.51520000000005</v>
      </c>
      <c r="V359" s="21">
        <f t="shared" si="112"/>
        <v>6528.7352000000001</v>
      </c>
      <c r="W359" s="21"/>
      <c r="X359" s="5"/>
      <c r="Y359" s="5"/>
      <c r="Z359" s="5">
        <f t="shared" si="113"/>
        <v>0</v>
      </c>
      <c r="AA359" s="5"/>
      <c r="AB359" s="5" t="s">
        <v>258</v>
      </c>
      <c r="AC359" s="5">
        <f t="shared" si="106"/>
        <v>5628.22</v>
      </c>
      <c r="AD359" s="5">
        <f t="shared" si="114"/>
        <v>6528.7352000000001</v>
      </c>
      <c r="AE359" s="5">
        <f t="shared" si="115"/>
        <v>-5.2000000005136826E-3</v>
      </c>
      <c r="AF359" s="5"/>
      <c r="AG359" s="5" t="s">
        <v>238</v>
      </c>
      <c r="AH359" s="5">
        <v>4</v>
      </c>
      <c r="AI359" s="5">
        <v>0</v>
      </c>
      <c r="AJ359" s="5">
        <v>0</v>
      </c>
      <c r="AK359" s="5" t="s">
        <v>256</v>
      </c>
      <c r="AL359" s="4" t="s">
        <v>90</v>
      </c>
      <c r="AM359" s="4" t="s">
        <v>162</v>
      </c>
      <c r="AN359" s="21"/>
      <c r="AO359" s="4"/>
      <c r="AP359" s="58"/>
      <c r="AQ359" s="58"/>
      <c r="AR359" s="23"/>
      <c r="AS359" s="23"/>
      <c r="AT359" s="4"/>
      <c r="AU359" s="4"/>
      <c r="AV359" s="4"/>
      <c r="AW359" s="4"/>
      <c r="AX359" s="9"/>
      <c r="AY359" s="9"/>
      <c r="AZ359" s="4"/>
      <c r="BB359" t="e">
        <f>VLOOKUP(B359,contactos!$A$1:$D$484,4,FALSE)</f>
        <v>#N/A</v>
      </c>
    </row>
    <row r="360" spans="2:54" customFormat="1" x14ac:dyDescent="0.25">
      <c r="B360" s="100">
        <v>17053</v>
      </c>
      <c r="C360" s="4" t="s">
        <v>660</v>
      </c>
      <c r="D360" s="5">
        <v>5956.76</v>
      </c>
      <c r="E360" s="5">
        <v>0</v>
      </c>
      <c r="F360" s="5">
        <v>0</v>
      </c>
      <c r="G360" s="5">
        <v>5956.76</v>
      </c>
      <c r="H360" s="5">
        <v>0</v>
      </c>
      <c r="I360" s="5">
        <f t="shared" si="107"/>
        <v>5956.76</v>
      </c>
      <c r="J360" s="5"/>
      <c r="K360" s="5">
        <f t="shared" si="108"/>
        <v>5956.76</v>
      </c>
      <c r="L360" s="5">
        <f t="shared" si="109"/>
        <v>5956.76</v>
      </c>
      <c r="M360" s="5"/>
      <c r="N360" s="5">
        <f t="shared" si="110"/>
        <v>5956.76</v>
      </c>
      <c r="O360" s="21"/>
      <c r="P360" s="21"/>
      <c r="Q360" s="21"/>
      <c r="R360" s="21">
        <f t="shared" si="111"/>
        <v>0</v>
      </c>
      <c r="S360" s="21">
        <v>5956.76</v>
      </c>
      <c r="T360" s="21">
        <f t="shared" si="116"/>
        <v>0</v>
      </c>
      <c r="U360" s="21">
        <f t="shared" si="117"/>
        <v>0</v>
      </c>
      <c r="V360" s="21">
        <f t="shared" si="112"/>
        <v>5956.76</v>
      </c>
      <c r="W360" s="21"/>
      <c r="X360" s="5"/>
      <c r="Y360" s="5"/>
      <c r="Z360" s="5">
        <f t="shared" si="113"/>
        <v>0</v>
      </c>
      <c r="AA360" s="5">
        <v>16420.990000000002</v>
      </c>
      <c r="AB360" s="5" t="s">
        <v>258</v>
      </c>
      <c r="AC360" s="5">
        <f t="shared" si="106"/>
        <v>5956.76</v>
      </c>
      <c r="AD360" s="5">
        <f t="shared" si="114"/>
        <v>5956.76</v>
      </c>
      <c r="AE360" s="5">
        <f t="shared" si="115"/>
        <v>0</v>
      </c>
      <c r="AF360" s="5"/>
      <c r="AG360" s="5" t="s">
        <v>73</v>
      </c>
      <c r="AH360" s="5">
        <v>4</v>
      </c>
      <c r="AI360" s="5">
        <v>0</v>
      </c>
      <c r="AJ360" s="120" t="s">
        <v>386</v>
      </c>
      <c r="AK360" s="5" t="s">
        <v>256</v>
      </c>
      <c r="AL360" s="4" t="s">
        <v>90</v>
      </c>
      <c r="AM360" s="4" t="s">
        <v>67</v>
      </c>
      <c r="AN360" s="21"/>
      <c r="AO360" s="4"/>
      <c r="AP360" s="58"/>
      <c r="AQ360" s="58"/>
      <c r="AR360" s="23"/>
      <c r="AS360" s="23"/>
      <c r="AT360" s="4"/>
      <c r="AU360" s="4"/>
      <c r="AV360" s="4"/>
      <c r="AW360" s="4"/>
      <c r="AX360" s="9"/>
      <c r="AY360" s="9"/>
      <c r="AZ360" s="4"/>
      <c r="BB360" t="e">
        <f>VLOOKUP(B360,contactos!$A$1:$D$484,4,FALSE)</f>
        <v>#N/A</v>
      </c>
    </row>
    <row r="361" spans="2:54" customFormat="1" x14ac:dyDescent="0.25">
      <c r="B361" s="100">
        <v>329680</v>
      </c>
      <c r="C361" s="4" t="s">
        <v>661</v>
      </c>
      <c r="D361" s="5">
        <v>5097.16</v>
      </c>
      <c r="E361" s="5">
        <v>0</v>
      </c>
      <c r="F361" s="5">
        <v>815.54560000000004</v>
      </c>
      <c r="G361" s="5">
        <v>5912.7</v>
      </c>
      <c r="H361" s="5">
        <v>5912.7</v>
      </c>
      <c r="I361" s="5">
        <f t="shared" si="107"/>
        <v>5097.16</v>
      </c>
      <c r="J361" s="5"/>
      <c r="K361" s="5">
        <f t="shared" si="108"/>
        <v>5097.16</v>
      </c>
      <c r="L361" s="5">
        <f t="shared" si="109"/>
        <v>5912.7056000000002</v>
      </c>
      <c r="M361" s="5"/>
      <c r="N361" s="5">
        <f t="shared" si="110"/>
        <v>5912.7056000000002</v>
      </c>
      <c r="O361" s="21"/>
      <c r="P361" s="21"/>
      <c r="Q361" s="21"/>
      <c r="R361" s="21">
        <f t="shared" si="111"/>
        <v>0</v>
      </c>
      <c r="S361" s="21">
        <v>5097.16</v>
      </c>
      <c r="T361" s="21">
        <f t="shared" si="116"/>
        <v>0</v>
      </c>
      <c r="U361" s="21">
        <f t="shared" si="117"/>
        <v>815.54560000000004</v>
      </c>
      <c r="V361" s="21">
        <f t="shared" si="112"/>
        <v>5912.7056000000002</v>
      </c>
      <c r="W361" s="21"/>
      <c r="X361" s="5"/>
      <c r="Y361" s="5"/>
      <c r="Z361" s="5">
        <f t="shared" si="113"/>
        <v>0</v>
      </c>
      <c r="AA361" s="5">
        <v>50367.22</v>
      </c>
      <c r="AB361" s="5" t="s">
        <v>258</v>
      </c>
      <c r="AC361" s="5">
        <f t="shared" si="106"/>
        <v>5097.16</v>
      </c>
      <c r="AD361" s="5">
        <f t="shared" si="114"/>
        <v>5912.7056000000002</v>
      </c>
      <c r="AE361" s="5">
        <f t="shared" si="115"/>
        <v>-5.6000000004132744E-3</v>
      </c>
      <c r="AF361" s="5"/>
      <c r="AG361" s="5" t="s">
        <v>238</v>
      </c>
      <c r="AH361" s="5">
        <v>4</v>
      </c>
      <c r="AI361" s="5">
        <v>0</v>
      </c>
      <c r="AJ361" s="5"/>
      <c r="AK361" s="5" t="s">
        <v>256</v>
      </c>
      <c r="AL361" s="4" t="s">
        <v>90</v>
      </c>
      <c r="AM361" s="4" t="s">
        <v>94</v>
      </c>
      <c r="AN361" s="21"/>
      <c r="AO361" s="4"/>
      <c r="AP361" s="58"/>
      <c r="AQ361" s="58"/>
      <c r="AR361" s="23"/>
      <c r="AS361" s="23"/>
      <c r="AT361" s="4"/>
      <c r="AU361" s="4"/>
      <c r="AV361" s="4"/>
      <c r="AW361" s="4"/>
      <c r="AX361" s="9"/>
      <c r="AY361" s="9"/>
      <c r="AZ361" s="4"/>
      <c r="BB361" t="e">
        <f>VLOOKUP(B361,contactos!$A$1:$D$484,4,FALSE)</f>
        <v>#N/A</v>
      </c>
    </row>
    <row r="362" spans="2:54" customFormat="1" x14ac:dyDescent="0.25">
      <c r="B362" s="100">
        <v>16985</v>
      </c>
      <c r="C362" s="4" t="s">
        <v>662</v>
      </c>
      <c r="D362" s="5">
        <v>5028.8899999999994</v>
      </c>
      <c r="E362" s="5">
        <v>0</v>
      </c>
      <c r="F362" s="5">
        <v>804.62240000000008</v>
      </c>
      <c r="G362" s="5">
        <v>5833.5</v>
      </c>
      <c r="H362" s="5">
        <v>5833.5</v>
      </c>
      <c r="I362" s="5">
        <f t="shared" si="107"/>
        <v>5028.8899999999994</v>
      </c>
      <c r="J362" s="5"/>
      <c r="K362" s="5">
        <f t="shared" si="108"/>
        <v>5028.8899999999994</v>
      </c>
      <c r="L362" s="5">
        <f t="shared" si="109"/>
        <v>5833.5123999999996</v>
      </c>
      <c r="M362" s="5"/>
      <c r="N362" s="5">
        <f t="shared" si="110"/>
        <v>5833.5123999999996</v>
      </c>
      <c r="O362" s="21"/>
      <c r="P362" s="21"/>
      <c r="Q362" s="21"/>
      <c r="R362" s="21">
        <f t="shared" si="111"/>
        <v>0</v>
      </c>
      <c r="S362" s="21">
        <v>5028.8899999999994</v>
      </c>
      <c r="T362" s="21">
        <f t="shared" si="116"/>
        <v>0</v>
      </c>
      <c r="U362" s="21">
        <f t="shared" si="117"/>
        <v>804.62240000000008</v>
      </c>
      <c r="V362" s="21">
        <f t="shared" si="112"/>
        <v>5833.5123999999996</v>
      </c>
      <c r="W362" s="21"/>
      <c r="X362" s="5"/>
      <c r="Y362" s="5"/>
      <c r="Z362" s="5">
        <f t="shared" si="113"/>
        <v>0</v>
      </c>
      <c r="AA362" s="5">
        <v>254011.19</v>
      </c>
      <c r="AB362" s="5" t="s">
        <v>258</v>
      </c>
      <c r="AC362" s="5">
        <f t="shared" si="106"/>
        <v>5028.8899999999994</v>
      </c>
      <c r="AD362" s="5">
        <f t="shared" si="114"/>
        <v>5833.5123999999996</v>
      </c>
      <c r="AE362" s="5">
        <f t="shared" si="115"/>
        <v>-1.2399999999615829E-2</v>
      </c>
      <c r="AF362" s="5"/>
      <c r="AG362" s="5" t="s">
        <v>238</v>
      </c>
      <c r="AH362" s="5">
        <v>4</v>
      </c>
      <c r="AI362" s="5">
        <v>0</v>
      </c>
      <c r="AJ362" s="5">
        <v>0</v>
      </c>
      <c r="AK362" s="5" t="s">
        <v>256</v>
      </c>
      <c r="AL362" s="4" t="s">
        <v>90</v>
      </c>
      <c r="AM362" s="4" t="s">
        <v>67</v>
      </c>
      <c r="AN362" s="21"/>
      <c r="AO362" s="4"/>
      <c r="AP362" s="58"/>
      <c r="AQ362" s="58"/>
      <c r="AR362" s="23"/>
      <c r="AS362" s="23"/>
      <c r="AT362" s="4"/>
      <c r="AU362" s="4"/>
      <c r="AV362" s="4"/>
      <c r="AW362" s="4"/>
      <c r="AX362" s="9"/>
      <c r="AY362" s="9"/>
      <c r="AZ362" s="4"/>
      <c r="BB362" t="e">
        <f>VLOOKUP(B362,contactos!$A$1:$D$484,4,FALSE)</f>
        <v>#N/A</v>
      </c>
    </row>
    <row r="363" spans="2:54" customFormat="1" x14ac:dyDescent="0.25">
      <c r="B363" s="100">
        <v>21597</v>
      </c>
      <c r="C363" s="4" t="s">
        <v>663</v>
      </c>
      <c r="D363" s="5">
        <v>5730.7</v>
      </c>
      <c r="E363" s="5">
        <v>0</v>
      </c>
      <c r="F363" s="5">
        <v>0</v>
      </c>
      <c r="G363" s="5">
        <v>5730.7</v>
      </c>
      <c r="H363" s="5">
        <v>5730.7</v>
      </c>
      <c r="I363" s="5">
        <f t="shared" si="107"/>
        <v>5730.7</v>
      </c>
      <c r="J363" s="5"/>
      <c r="K363" s="5">
        <f t="shared" si="108"/>
        <v>5730.7</v>
      </c>
      <c r="L363" s="5">
        <f t="shared" si="109"/>
        <v>5730.7</v>
      </c>
      <c r="M363" s="5"/>
      <c r="N363" s="5">
        <f t="shared" si="110"/>
        <v>5730.7</v>
      </c>
      <c r="O363" s="21"/>
      <c r="P363" s="21"/>
      <c r="Q363" s="21"/>
      <c r="R363" s="21">
        <f t="shared" si="111"/>
        <v>0</v>
      </c>
      <c r="S363" s="21">
        <v>5730.7</v>
      </c>
      <c r="T363" s="21">
        <f t="shared" si="116"/>
        <v>0</v>
      </c>
      <c r="U363" s="21">
        <f t="shared" si="117"/>
        <v>0</v>
      </c>
      <c r="V363" s="21">
        <f t="shared" si="112"/>
        <v>5730.7</v>
      </c>
      <c r="W363" s="21"/>
      <c r="X363" s="5"/>
      <c r="Y363" s="5"/>
      <c r="Z363" s="5">
        <f t="shared" si="113"/>
        <v>0</v>
      </c>
      <c r="AA363" s="5">
        <v>290473.27</v>
      </c>
      <c r="AB363" s="5" t="s">
        <v>258</v>
      </c>
      <c r="AC363" s="5">
        <f t="shared" si="106"/>
        <v>5730.7</v>
      </c>
      <c r="AD363" s="5">
        <f t="shared" si="114"/>
        <v>5730.7</v>
      </c>
      <c r="AE363" s="5">
        <f t="shared" si="115"/>
        <v>0</v>
      </c>
      <c r="AF363" s="5"/>
      <c r="AG363" s="5" t="s">
        <v>238</v>
      </c>
      <c r="AH363" s="5">
        <v>4</v>
      </c>
      <c r="AI363" s="5">
        <v>0</v>
      </c>
      <c r="AJ363" s="5" t="s">
        <v>279</v>
      </c>
      <c r="AK363" s="5" t="s">
        <v>256</v>
      </c>
      <c r="AL363" s="4" t="s">
        <v>90</v>
      </c>
      <c r="AM363" s="4" t="s">
        <v>119</v>
      </c>
      <c r="AN363" s="21"/>
      <c r="AO363" s="4"/>
      <c r="AP363" s="58"/>
      <c r="AQ363" s="58"/>
      <c r="AR363" s="23"/>
      <c r="AS363" s="23"/>
      <c r="AT363" s="4"/>
      <c r="AU363" s="4"/>
      <c r="AV363" s="4"/>
      <c r="AW363" s="4"/>
      <c r="AX363" s="9"/>
      <c r="AY363" s="9"/>
      <c r="AZ363" s="4"/>
      <c r="BB363" t="e">
        <f>VLOOKUP(B363,contactos!$A$1:$D$484,4,FALSE)</f>
        <v>#N/A</v>
      </c>
    </row>
    <row r="364" spans="2:54" customFormat="1" x14ac:dyDescent="0.25">
      <c r="B364" s="100">
        <v>62166</v>
      </c>
      <c r="C364" s="4" t="s">
        <v>664</v>
      </c>
      <c r="D364" s="5">
        <v>4911.18</v>
      </c>
      <c r="E364" s="5">
        <v>0</v>
      </c>
      <c r="F364" s="5">
        <v>785.78880000000004</v>
      </c>
      <c r="G364" s="5">
        <v>5696.98</v>
      </c>
      <c r="H364" s="5">
        <v>5696.98</v>
      </c>
      <c r="I364" s="5">
        <f t="shared" si="107"/>
        <v>4911.18</v>
      </c>
      <c r="J364" s="5"/>
      <c r="K364" s="5">
        <f t="shared" si="108"/>
        <v>4911.18</v>
      </c>
      <c r="L364" s="5">
        <f t="shared" si="109"/>
        <v>5696.9688000000006</v>
      </c>
      <c r="M364" s="5"/>
      <c r="N364" s="5">
        <f t="shared" si="110"/>
        <v>5696.9688000000006</v>
      </c>
      <c r="O364" s="21"/>
      <c r="P364" s="21"/>
      <c r="Q364" s="21"/>
      <c r="R364" s="21">
        <f t="shared" si="111"/>
        <v>0</v>
      </c>
      <c r="S364" s="21">
        <v>4911.18</v>
      </c>
      <c r="T364" s="21">
        <f t="shared" si="116"/>
        <v>0</v>
      </c>
      <c r="U364" s="21">
        <f t="shared" si="117"/>
        <v>785.78880000000004</v>
      </c>
      <c r="V364" s="21">
        <f t="shared" si="112"/>
        <v>5696.9688000000006</v>
      </c>
      <c r="W364" s="21"/>
      <c r="X364" s="5"/>
      <c r="Y364" s="5"/>
      <c r="Z364" s="5">
        <f t="shared" si="113"/>
        <v>0</v>
      </c>
      <c r="AA364" s="5">
        <v>37922.800000000003</v>
      </c>
      <c r="AB364" s="5" t="s">
        <v>258</v>
      </c>
      <c r="AC364" s="5">
        <f t="shared" si="106"/>
        <v>4911.18</v>
      </c>
      <c r="AD364" s="5">
        <f t="shared" si="114"/>
        <v>5696.9688000000006</v>
      </c>
      <c r="AE364" s="5">
        <f t="shared" si="115"/>
        <v>1.1199999999007559E-2</v>
      </c>
      <c r="AF364" s="5"/>
      <c r="AG364" s="5" t="s">
        <v>238</v>
      </c>
      <c r="AH364" s="5">
        <v>4</v>
      </c>
      <c r="AI364" s="5">
        <v>0</v>
      </c>
      <c r="AJ364" s="5">
        <v>0</v>
      </c>
      <c r="AK364" s="5" t="s">
        <v>256</v>
      </c>
      <c r="AL364" s="4" t="s">
        <v>90</v>
      </c>
      <c r="AM364" s="4" t="s">
        <v>216</v>
      </c>
      <c r="AN364" s="21"/>
      <c r="AO364" s="4"/>
      <c r="AP364" s="58"/>
      <c r="AQ364" s="58"/>
      <c r="AR364" s="23"/>
      <c r="AS364" s="23"/>
      <c r="AT364" s="4"/>
      <c r="AU364" s="4"/>
      <c r="AV364" s="4"/>
      <c r="AW364" s="4"/>
      <c r="AX364" s="9"/>
      <c r="AY364" s="9"/>
      <c r="AZ364" s="4"/>
      <c r="BB364" t="e">
        <f>VLOOKUP(B364,contactos!$A$1:$D$484,4,FALSE)</f>
        <v>#N/A</v>
      </c>
    </row>
    <row r="365" spans="2:54" customFormat="1" x14ac:dyDescent="0.25">
      <c r="B365" s="100">
        <v>92692</v>
      </c>
      <c r="C365" s="4" t="s">
        <v>665</v>
      </c>
      <c r="D365" s="5">
        <v>4872.4399999999996</v>
      </c>
      <c r="E365" s="5">
        <v>0</v>
      </c>
      <c r="F365" s="5">
        <v>779.59040000000005</v>
      </c>
      <c r="G365" s="5">
        <v>5652.03</v>
      </c>
      <c r="H365" s="5">
        <v>5652.03</v>
      </c>
      <c r="I365" s="5">
        <f t="shared" si="107"/>
        <v>4872.4399999999996</v>
      </c>
      <c r="J365" s="5"/>
      <c r="K365" s="5">
        <f t="shared" si="108"/>
        <v>4872.4399999999996</v>
      </c>
      <c r="L365" s="5">
        <f t="shared" si="109"/>
        <v>5652.0303999999996</v>
      </c>
      <c r="M365" s="5"/>
      <c r="N365" s="5">
        <f t="shared" si="110"/>
        <v>5652.0303999999996</v>
      </c>
      <c r="O365" s="21"/>
      <c r="P365" s="21"/>
      <c r="Q365" s="21"/>
      <c r="R365" s="21">
        <f t="shared" si="111"/>
        <v>0</v>
      </c>
      <c r="S365" s="21">
        <v>4872.4399999999996</v>
      </c>
      <c r="T365" s="21">
        <f t="shared" si="116"/>
        <v>0</v>
      </c>
      <c r="U365" s="21">
        <f t="shared" si="117"/>
        <v>779.59040000000005</v>
      </c>
      <c r="V365" s="21">
        <f t="shared" si="112"/>
        <v>5652.0303999999996</v>
      </c>
      <c r="W365" s="21"/>
      <c r="X365" s="5"/>
      <c r="Y365" s="5"/>
      <c r="Z365" s="5">
        <f t="shared" si="113"/>
        <v>0</v>
      </c>
      <c r="AA365" s="5">
        <v>80961.62</v>
      </c>
      <c r="AB365" s="5" t="s">
        <v>258</v>
      </c>
      <c r="AC365" s="5">
        <f t="shared" si="106"/>
        <v>4872.4399999999996</v>
      </c>
      <c r="AD365" s="5">
        <f t="shared" si="114"/>
        <v>5652.0303999999996</v>
      </c>
      <c r="AE365" s="5">
        <f t="shared" si="115"/>
        <v>-3.9999999989959178E-4</v>
      </c>
      <c r="AF365" s="5"/>
      <c r="AG365" s="5" t="s">
        <v>238</v>
      </c>
      <c r="AH365" s="5">
        <v>4</v>
      </c>
      <c r="AI365" s="5">
        <v>0</v>
      </c>
      <c r="AJ365" s="5">
        <v>0</v>
      </c>
      <c r="AK365" s="5" t="s">
        <v>256</v>
      </c>
      <c r="AL365" s="4" t="s">
        <v>90</v>
      </c>
      <c r="AM365" s="4" t="s">
        <v>137</v>
      </c>
      <c r="AN365" s="21"/>
      <c r="AO365" s="4"/>
      <c r="AP365" s="58"/>
      <c r="AQ365" s="58"/>
      <c r="AR365" s="23"/>
      <c r="AS365" s="23"/>
      <c r="AT365" s="4"/>
      <c r="AU365" s="4"/>
      <c r="AV365" s="4"/>
      <c r="AW365" s="4"/>
      <c r="AX365" s="9"/>
      <c r="AY365" s="9"/>
      <c r="AZ365" s="4"/>
      <c r="BB365" t="e">
        <f>VLOOKUP(B365,contactos!$A$1:$D$484,4,FALSE)</f>
        <v>#N/A</v>
      </c>
    </row>
    <row r="366" spans="2:54" customFormat="1" x14ac:dyDescent="0.25">
      <c r="B366" s="100">
        <v>35576</v>
      </c>
      <c r="C366" s="4" t="s">
        <v>666</v>
      </c>
      <c r="D366" s="5">
        <v>4648.2777487520007</v>
      </c>
      <c r="E366" s="5">
        <v>0</v>
      </c>
      <c r="F366" s="5">
        <v>743.72443980031994</v>
      </c>
      <c r="G366" s="5">
        <v>5392</v>
      </c>
      <c r="H366" s="5">
        <v>5392</v>
      </c>
      <c r="I366" s="5">
        <f t="shared" si="107"/>
        <v>4648.2777487520007</v>
      </c>
      <c r="J366" s="5"/>
      <c r="K366" s="5">
        <f t="shared" si="108"/>
        <v>4648.2777487520007</v>
      </c>
      <c r="L366" s="5">
        <f t="shared" si="109"/>
        <v>5392.0021885523201</v>
      </c>
      <c r="M366" s="5"/>
      <c r="N366" s="5">
        <f t="shared" si="110"/>
        <v>5392.0021885523201</v>
      </c>
      <c r="O366" s="21"/>
      <c r="P366" s="21"/>
      <c r="Q366" s="21"/>
      <c r="R366" s="21">
        <f t="shared" si="111"/>
        <v>0</v>
      </c>
      <c r="S366" s="21">
        <v>4648.2777487520007</v>
      </c>
      <c r="T366" s="21">
        <f t="shared" si="116"/>
        <v>0</v>
      </c>
      <c r="U366" s="21">
        <f t="shared" si="117"/>
        <v>743.72443980031994</v>
      </c>
      <c r="V366" s="21">
        <f t="shared" si="112"/>
        <v>5392.0021885523201</v>
      </c>
      <c r="W366" s="21"/>
      <c r="X366" s="5"/>
      <c r="Y366" s="5"/>
      <c r="Z366" s="5">
        <f t="shared" si="113"/>
        <v>0</v>
      </c>
      <c r="AA366" s="5">
        <v>44436.67</v>
      </c>
      <c r="AB366" s="5" t="s">
        <v>258</v>
      </c>
      <c r="AC366" s="5">
        <f t="shared" si="106"/>
        <v>4648.2777487520007</v>
      </c>
      <c r="AD366" s="5">
        <f t="shared" si="114"/>
        <v>5392.0021885523201</v>
      </c>
      <c r="AE366" s="5">
        <f t="shared" si="115"/>
        <v>-2.1885523201490287E-3</v>
      </c>
      <c r="AF366" s="5"/>
      <c r="AG366" s="5" t="s">
        <v>238</v>
      </c>
      <c r="AH366" s="5">
        <v>4</v>
      </c>
      <c r="AI366" s="5">
        <v>0</v>
      </c>
      <c r="AJ366" s="5">
        <v>0</v>
      </c>
      <c r="AK366" s="5" t="s">
        <v>256</v>
      </c>
      <c r="AL366" s="4" t="s">
        <v>90</v>
      </c>
      <c r="AM366" s="4" t="s">
        <v>67</v>
      </c>
      <c r="AN366" s="21"/>
      <c r="AO366" s="4"/>
      <c r="AP366" s="58"/>
      <c r="AQ366" s="58"/>
      <c r="AR366" s="23"/>
      <c r="AS366" s="23"/>
      <c r="AT366" s="4"/>
      <c r="AU366" s="4"/>
      <c r="AV366" s="4"/>
      <c r="AW366" s="4"/>
      <c r="AX366" s="9"/>
      <c r="AY366" s="9"/>
      <c r="AZ366" s="4"/>
      <c r="BB366" t="e">
        <f>VLOOKUP(B366,contactos!$A$1:$D$484,4,FALSE)</f>
        <v>#N/A</v>
      </c>
    </row>
    <row r="367" spans="2:54" customFormat="1" x14ac:dyDescent="0.25">
      <c r="B367" s="100">
        <v>20192</v>
      </c>
      <c r="C367" s="4" t="s">
        <v>667</v>
      </c>
      <c r="D367" s="5">
        <v>4606.03</v>
      </c>
      <c r="E367" s="5">
        <v>0</v>
      </c>
      <c r="F367" s="5">
        <v>736.96479999999997</v>
      </c>
      <c r="G367" s="5">
        <v>5343</v>
      </c>
      <c r="H367" s="5">
        <v>5343</v>
      </c>
      <c r="I367" s="5">
        <f t="shared" si="107"/>
        <v>4606.03</v>
      </c>
      <c r="J367" s="5"/>
      <c r="K367" s="5">
        <f t="shared" si="108"/>
        <v>4606.03</v>
      </c>
      <c r="L367" s="5">
        <f t="shared" si="109"/>
        <v>5342.9947999999995</v>
      </c>
      <c r="M367" s="5"/>
      <c r="N367" s="5">
        <f t="shared" si="110"/>
        <v>5342.9947999999995</v>
      </c>
      <c r="O367" s="21"/>
      <c r="P367" s="21"/>
      <c r="Q367" s="21"/>
      <c r="R367" s="21">
        <f t="shared" si="111"/>
        <v>0</v>
      </c>
      <c r="S367" s="21">
        <v>4606.03</v>
      </c>
      <c r="T367" s="21">
        <f t="shared" si="116"/>
        <v>0</v>
      </c>
      <c r="U367" s="21">
        <f t="shared" si="117"/>
        <v>736.96479999999997</v>
      </c>
      <c r="V367" s="21">
        <f t="shared" si="112"/>
        <v>5342.9947999999995</v>
      </c>
      <c r="W367" s="21"/>
      <c r="X367" s="5"/>
      <c r="Y367" s="5"/>
      <c r="Z367" s="5">
        <f t="shared" si="113"/>
        <v>0</v>
      </c>
      <c r="AA367" s="5">
        <v>553013.96</v>
      </c>
      <c r="AB367" s="5" t="s">
        <v>258</v>
      </c>
      <c r="AC367" s="5">
        <f t="shared" si="106"/>
        <v>4606.03</v>
      </c>
      <c r="AD367" s="5">
        <f t="shared" si="114"/>
        <v>5342.9947999999995</v>
      </c>
      <c r="AE367" s="5">
        <f t="shared" si="115"/>
        <v>5.2000000005136826E-3</v>
      </c>
      <c r="AF367" s="5"/>
      <c r="AG367" s="5" t="s">
        <v>238</v>
      </c>
      <c r="AH367" s="5">
        <v>4</v>
      </c>
      <c r="AI367" s="5">
        <v>0</v>
      </c>
      <c r="AJ367" s="5">
        <v>0</v>
      </c>
      <c r="AK367" s="5" t="s">
        <v>256</v>
      </c>
      <c r="AL367" s="4" t="s">
        <v>90</v>
      </c>
      <c r="AM367" s="4" t="s">
        <v>162</v>
      </c>
      <c r="AN367" s="21"/>
      <c r="AO367" s="4"/>
      <c r="AP367" s="58"/>
      <c r="AQ367" s="58"/>
      <c r="AR367" s="23"/>
      <c r="AS367" s="23"/>
      <c r="AT367" s="4"/>
      <c r="AU367" s="4"/>
      <c r="AV367" s="4"/>
      <c r="AW367" s="4"/>
      <c r="AX367" s="9"/>
      <c r="AY367" s="9"/>
      <c r="AZ367" s="4"/>
      <c r="BB367" t="e">
        <f>VLOOKUP(B367,contactos!$A$1:$D$484,4,FALSE)</f>
        <v>#N/A</v>
      </c>
    </row>
    <row r="368" spans="2:54" customFormat="1" x14ac:dyDescent="0.25">
      <c r="B368" s="100">
        <v>97378</v>
      </c>
      <c r="C368" s="4" t="s">
        <v>668</v>
      </c>
      <c r="D368" s="5">
        <v>5007.76</v>
      </c>
      <c r="E368" s="5">
        <v>0</v>
      </c>
      <c r="F368" s="5">
        <v>0</v>
      </c>
      <c r="G368" s="5">
        <v>5007.76</v>
      </c>
      <c r="H368" s="5">
        <v>5007.76</v>
      </c>
      <c r="I368" s="5">
        <f t="shared" si="107"/>
        <v>5007.76</v>
      </c>
      <c r="J368" s="5"/>
      <c r="K368" s="5">
        <f t="shared" si="108"/>
        <v>5007.76</v>
      </c>
      <c r="L368" s="5">
        <f t="shared" si="109"/>
        <v>5007.76</v>
      </c>
      <c r="M368" s="5"/>
      <c r="N368" s="5">
        <f t="shared" si="110"/>
        <v>5007.76</v>
      </c>
      <c r="O368" s="21"/>
      <c r="P368" s="21"/>
      <c r="Q368" s="21"/>
      <c r="R368" s="21">
        <f t="shared" si="111"/>
        <v>0</v>
      </c>
      <c r="S368" s="21">
        <v>5007.76</v>
      </c>
      <c r="T368" s="21">
        <f t="shared" si="116"/>
        <v>0</v>
      </c>
      <c r="U368" s="21">
        <f t="shared" si="117"/>
        <v>0</v>
      </c>
      <c r="V368" s="21">
        <f t="shared" si="112"/>
        <v>5007.76</v>
      </c>
      <c r="W368" s="21"/>
      <c r="X368" s="5"/>
      <c r="Y368" s="5"/>
      <c r="Z368" s="5">
        <f t="shared" si="113"/>
        <v>0</v>
      </c>
      <c r="AA368" s="5"/>
      <c r="AB368" s="5" t="s">
        <v>258</v>
      </c>
      <c r="AC368" s="5">
        <f t="shared" si="106"/>
        <v>5007.76</v>
      </c>
      <c r="AD368" s="5">
        <f t="shared" si="114"/>
        <v>5007.76</v>
      </c>
      <c r="AE368" s="5">
        <f t="shared" si="115"/>
        <v>0</v>
      </c>
      <c r="AF368" s="5"/>
      <c r="AG368" s="5" t="s">
        <v>238</v>
      </c>
      <c r="AH368" s="5">
        <v>4</v>
      </c>
      <c r="AI368" s="5">
        <v>0</v>
      </c>
      <c r="AJ368" s="5">
        <v>0</v>
      </c>
      <c r="AK368" s="5" t="s">
        <v>256</v>
      </c>
      <c r="AL368" s="4" t="s">
        <v>90</v>
      </c>
      <c r="AM368" s="4" t="s">
        <v>107</v>
      </c>
      <c r="AN368" s="21"/>
      <c r="AO368" s="4"/>
      <c r="AP368" s="58"/>
      <c r="AQ368" s="58"/>
      <c r="AR368" s="23"/>
      <c r="AS368" s="23"/>
      <c r="AT368" s="4"/>
      <c r="AU368" s="4"/>
      <c r="AV368" s="4"/>
      <c r="AW368" s="4"/>
      <c r="AX368" s="9"/>
      <c r="AY368" s="9"/>
      <c r="AZ368" s="4"/>
      <c r="BB368" t="e">
        <f>VLOOKUP(B368,contactos!$A$1:$D$484,4,FALSE)</f>
        <v>#N/A</v>
      </c>
    </row>
    <row r="369" spans="2:54" customFormat="1" x14ac:dyDescent="0.25">
      <c r="B369" s="100">
        <v>395210</v>
      </c>
      <c r="C369" s="4" t="s">
        <v>669</v>
      </c>
      <c r="D369" s="5">
        <v>4835.984840375997</v>
      </c>
      <c r="E369" s="5">
        <v>0</v>
      </c>
      <c r="F369" s="5">
        <v>0</v>
      </c>
      <c r="G369" s="5">
        <v>4835.9799999999996</v>
      </c>
      <c r="H369" s="5">
        <v>4835.9799999999996</v>
      </c>
      <c r="I369" s="5">
        <f t="shared" si="107"/>
        <v>4835.984840375997</v>
      </c>
      <c r="J369" s="5"/>
      <c r="K369" s="5">
        <f t="shared" si="108"/>
        <v>4835.984840375997</v>
      </c>
      <c r="L369" s="5">
        <f t="shared" si="109"/>
        <v>4835.984840375997</v>
      </c>
      <c r="M369" s="5"/>
      <c r="N369" s="5">
        <f t="shared" si="110"/>
        <v>4835.984840375997</v>
      </c>
      <c r="O369" s="21"/>
      <c r="P369" s="21"/>
      <c r="Q369" s="21"/>
      <c r="R369" s="21">
        <f t="shared" si="111"/>
        <v>0</v>
      </c>
      <c r="S369" s="21">
        <v>4835.984840375997</v>
      </c>
      <c r="T369" s="21">
        <f t="shared" si="116"/>
        <v>0</v>
      </c>
      <c r="U369" s="21">
        <f t="shared" si="117"/>
        <v>0</v>
      </c>
      <c r="V369" s="21">
        <f t="shared" si="112"/>
        <v>4835.984840375997</v>
      </c>
      <c r="W369" s="21"/>
      <c r="X369" s="5"/>
      <c r="Y369" s="5"/>
      <c r="Z369" s="5">
        <f t="shared" si="113"/>
        <v>0</v>
      </c>
      <c r="AA369" s="5">
        <v>619011.06000000006</v>
      </c>
      <c r="AB369" s="5" t="s">
        <v>258</v>
      </c>
      <c r="AC369" s="5">
        <f t="shared" si="106"/>
        <v>4835.984840375997</v>
      </c>
      <c r="AD369" s="5">
        <f t="shared" si="114"/>
        <v>4835.984840375997</v>
      </c>
      <c r="AE369" s="5">
        <f t="shared" si="115"/>
        <v>-4.8403759974462446E-3</v>
      </c>
      <c r="AF369" s="5"/>
      <c r="AG369" s="5" t="s">
        <v>73</v>
      </c>
      <c r="AH369" s="5">
        <v>4</v>
      </c>
      <c r="AI369" s="5">
        <v>0</v>
      </c>
      <c r="AJ369" s="5">
        <v>0</v>
      </c>
      <c r="AK369" s="5" t="s">
        <v>256</v>
      </c>
      <c r="AL369" s="4" t="s">
        <v>90</v>
      </c>
      <c r="AM369" s="4" t="s">
        <v>112</v>
      </c>
      <c r="AN369" s="21"/>
      <c r="AO369" s="4"/>
      <c r="AP369" s="58"/>
      <c r="AQ369" s="58"/>
      <c r="AR369" s="23"/>
      <c r="AS369" s="23"/>
      <c r="AT369" s="4"/>
      <c r="AU369" s="4"/>
      <c r="AV369" s="4"/>
      <c r="AW369" s="4"/>
      <c r="AX369" s="9"/>
      <c r="AY369" s="9"/>
      <c r="AZ369" s="4"/>
      <c r="BB369" t="e">
        <f>VLOOKUP(B369,contactos!$A$1:$D$484,4,FALSE)</f>
        <v>#N/A</v>
      </c>
    </row>
    <row r="370" spans="2:54" customFormat="1" x14ac:dyDescent="0.25">
      <c r="B370" s="100">
        <v>799</v>
      </c>
      <c r="C370" s="4" t="s">
        <v>670</v>
      </c>
      <c r="D370" s="5">
        <v>3860.56</v>
      </c>
      <c r="E370" s="5">
        <v>0</v>
      </c>
      <c r="F370" s="5">
        <v>617.68959999999993</v>
      </c>
      <c r="G370" s="5">
        <v>4478.26</v>
      </c>
      <c r="H370" s="5">
        <v>0</v>
      </c>
      <c r="I370" s="5">
        <f t="shared" si="107"/>
        <v>3860.56</v>
      </c>
      <c r="J370" s="5"/>
      <c r="K370" s="5">
        <f t="shared" si="108"/>
        <v>3860.56</v>
      </c>
      <c r="L370" s="5">
        <f t="shared" si="109"/>
        <v>4478.2496000000001</v>
      </c>
      <c r="M370" s="5"/>
      <c r="N370" s="5">
        <f t="shared" si="110"/>
        <v>4478.2496000000001</v>
      </c>
      <c r="O370" s="21"/>
      <c r="P370" s="21"/>
      <c r="Q370" s="21"/>
      <c r="R370" s="21">
        <f t="shared" si="111"/>
        <v>0</v>
      </c>
      <c r="S370" s="21">
        <v>3860.56</v>
      </c>
      <c r="T370" s="21">
        <f t="shared" si="116"/>
        <v>0</v>
      </c>
      <c r="U370" s="21">
        <f t="shared" si="117"/>
        <v>617.68959999999993</v>
      </c>
      <c r="V370" s="21">
        <f t="shared" si="112"/>
        <v>4478.2496000000001</v>
      </c>
      <c r="W370" s="21"/>
      <c r="X370" s="5"/>
      <c r="Y370" s="5"/>
      <c r="Z370" s="5">
        <f t="shared" si="113"/>
        <v>0</v>
      </c>
      <c r="AA370" s="5">
        <v>32086.98</v>
      </c>
      <c r="AB370" s="5" t="s">
        <v>258</v>
      </c>
      <c r="AC370" s="5">
        <f t="shared" si="106"/>
        <v>3860.56</v>
      </c>
      <c r="AD370" s="5">
        <f t="shared" si="114"/>
        <v>4478.2496000000001</v>
      </c>
      <c r="AE370" s="5">
        <f t="shared" si="115"/>
        <v>1.0400000000117871E-2</v>
      </c>
      <c r="AF370" s="5"/>
      <c r="AG370" s="5" t="s">
        <v>73</v>
      </c>
      <c r="AH370" s="5">
        <v>4</v>
      </c>
      <c r="AI370" s="5">
        <v>0</v>
      </c>
      <c r="AJ370" s="5" t="s">
        <v>655</v>
      </c>
      <c r="AK370" s="5" t="s">
        <v>256</v>
      </c>
      <c r="AL370" s="4" t="s">
        <v>90</v>
      </c>
      <c r="AM370" s="4" t="s">
        <v>91</v>
      </c>
      <c r="AN370" s="21"/>
      <c r="AO370" s="4"/>
      <c r="AP370" s="58"/>
      <c r="AQ370" s="58"/>
      <c r="AR370" s="23"/>
      <c r="AS370" s="23"/>
      <c r="AT370" s="4"/>
      <c r="AU370" s="4"/>
      <c r="AV370" s="4"/>
      <c r="AW370" s="4"/>
      <c r="AX370" s="9"/>
      <c r="AY370" s="9"/>
      <c r="AZ370" s="4"/>
      <c r="BB370" t="e">
        <f>VLOOKUP(B370,contactos!$A$1:$D$484,4,FALSE)</f>
        <v>#N/A</v>
      </c>
    </row>
    <row r="371" spans="2:54" customFormat="1" x14ac:dyDescent="0.25">
      <c r="B371" s="100">
        <v>63255</v>
      </c>
      <c r="C371" s="4" t="s">
        <v>671</v>
      </c>
      <c r="D371" s="5">
        <v>4292.37</v>
      </c>
      <c r="E371" s="5">
        <v>0</v>
      </c>
      <c r="F371" s="5">
        <v>0</v>
      </c>
      <c r="G371" s="5">
        <v>4292.37</v>
      </c>
      <c r="H371" s="5">
        <v>4292.37</v>
      </c>
      <c r="I371" s="5">
        <f t="shared" si="107"/>
        <v>4292.37</v>
      </c>
      <c r="J371" s="5"/>
      <c r="K371" s="5">
        <f t="shared" si="108"/>
        <v>4292.37</v>
      </c>
      <c r="L371" s="5">
        <f t="shared" si="109"/>
        <v>4292.37</v>
      </c>
      <c r="M371" s="5"/>
      <c r="N371" s="5">
        <f t="shared" si="110"/>
        <v>4292.37</v>
      </c>
      <c r="O371" s="27"/>
      <c r="P371" s="27"/>
      <c r="Q371" s="27"/>
      <c r="R371" s="21">
        <f t="shared" si="111"/>
        <v>0</v>
      </c>
      <c r="S371" s="27">
        <v>4292.37</v>
      </c>
      <c r="T371" s="21">
        <f t="shared" si="116"/>
        <v>0</v>
      </c>
      <c r="U371" s="21">
        <f t="shared" si="117"/>
        <v>0</v>
      </c>
      <c r="V371" s="21">
        <f t="shared" si="112"/>
        <v>4292.37</v>
      </c>
      <c r="W371" s="27"/>
      <c r="X371" s="5"/>
      <c r="Y371" s="5"/>
      <c r="Z371" s="5">
        <f t="shared" si="113"/>
        <v>0</v>
      </c>
      <c r="AA371" s="5">
        <v>20952.2</v>
      </c>
      <c r="AB371" s="5" t="s">
        <v>258</v>
      </c>
      <c r="AC371" s="5">
        <f t="shared" si="106"/>
        <v>4292.37</v>
      </c>
      <c r="AD371" s="5">
        <f t="shared" si="114"/>
        <v>4292.37</v>
      </c>
      <c r="AE371" s="5">
        <f t="shared" si="115"/>
        <v>0</v>
      </c>
      <c r="AF371" s="5"/>
      <c r="AG371" s="5" t="s">
        <v>238</v>
      </c>
      <c r="AH371" s="5">
        <v>4</v>
      </c>
      <c r="AI371" s="5">
        <v>0</v>
      </c>
      <c r="AJ371" s="5">
        <v>0</v>
      </c>
      <c r="AK371" s="5" t="s">
        <v>256</v>
      </c>
      <c r="AL371" s="4" t="s">
        <v>90</v>
      </c>
      <c r="AM371" s="4" t="s">
        <v>83</v>
      </c>
      <c r="AN371" s="27"/>
      <c r="AO371" s="4"/>
      <c r="AP371" s="58"/>
      <c r="AQ371" s="58"/>
      <c r="AR371" s="23"/>
      <c r="AS371" s="23"/>
      <c r="AT371" s="4"/>
      <c r="AU371" s="4"/>
      <c r="AV371" s="4"/>
      <c r="AW371" s="4"/>
      <c r="AX371" s="12"/>
      <c r="AY371" s="12"/>
      <c r="AZ371" s="12"/>
      <c r="BB371" t="e">
        <f>VLOOKUP(B371,contactos!$A$1:$D$484,4,FALSE)</f>
        <v>#N/A</v>
      </c>
    </row>
    <row r="372" spans="2:54" customFormat="1" x14ac:dyDescent="0.25">
      <c r="B372" s="131">
        <v>52449</v>
      </c>
      <c r="C372" s="4" t="s">
        <v>599</v>
      </c>
      <c r="D372" s="5">
        <v>4217.6200000000008</v>
      </c>
      <c r="E372" s="5">
        <v>0</v>
      </c>
      <c r="F372" s="5">
        <v>0</v>
      </c>
      <c r="G372" s="5">
        <v>4217.6200000000008</v>
      </c>
      <c r="H372" s="5">
        <v>4217.62</v>
      </c>
      <c r="I372" s="5">
        <f t="shared" si="107"/>
        <v>4217.6200000000008</v>
      </c>
      <c r="J372" s="5"/>
      <c r="K372" s="5">
        <f t="shared" si="108"/>
        <v>4217.6200000000008</v>
      </c>
      <c r="L372" s="5">
        <f t="shared" si="109"/>
        <v>4217.6200000000008</v>
      </c>
      <c r="M372" s="5"/>
      <c r="N372" s="5">
        <f t="shared" si="110"/>
        <v>4217.6200000000008</v>
      </c>
      <c r="O372" s="21"/>
      <c r="P372" s="21"/>
      <c r="Q372" s="21"/>
      <c r="R372" s="21">
        <f t="shared" si="111"/>
        <v>0</v>
      </c>
      <c r="S372" s="21">
        <v>4217.6200000000008</v>
      </c>
      <c r="T372" s="21">
        <f t="shared" si="116"/>
        <v>0</v>
      </c>
      <c r="U372" s="21">
        <f t="shared" si="117"/>
        <v>0</v>
      </c>
      <c r="V372" s="21">
        <f t="shared" si="112"/>
        <v>4217.6200000000008</v>
      </c>
      <c r="W372" s="21"/>
      <c r="X372" s="5"/>
      <c r="Y372" s="5"/>
      <c r="Z372" s="5">
        <f t="shared" si="113"/>
        <v>0</v>
      </c>
      <c r="AA372" s="5">
        <v>435477.85</v>
      </c>
      <c r="AB372" s="5" t="s">
        <v>258</v>
      </c>
      <c r="AC372" s="5">
        <f t="shared" si="106"/>
        <v>4217.6200000000008</v>
      </c>
      <c r="AD372" s="5">
        <f t="shared" si="114"/>
        <v>4217.6200000000008</v>
      </c>
      <c r="AE372" s="5">
        <f t="shared" si="115"/>
        <v>0</v>
      </c>
      <c r="AF372" s="5"/>
      <c r="AG372" s="5" t="s">
        <v>238</v>
      </c>
      <c r="AH372" s="5">
        <v>4</v>
      </c>
      <c r="AI372" s="5">
        <v>0</v>
      </c>
      <c r="AJ372" s="5">
        <v>0</v>
      </c>
      <c r="AK372" s="5" t="s">
        <v>256</v>
      </c>
      <c r="AL372" s="4" t="s">
        <v>90</v>
      </c>
      <c r="AM372" s="6" t="s">
        <v>103</v>
      </c>
      <c r="AN372" s="21"/>
      <c r="AO372" s="4"/>
      <c r="AP372" s="58"/>
      <c r="AQ372" s="58"/>
      <c r="AR372" s="23"/>
      <c r="AS372" s="23"/>
      <c r="AT372" s="4"/>
      <c r="AU372" s="4"/>
      <c r="AV372" s="52"/>
      <c r="AW372" s="52"/>
      <c r="AX372" s="9"/>
      <c r="AY372" s="9"/>
      <c r="AZ372" s="4"/>
      <c r="BB372" t="str">
        <f>VLOOKUP(B372,contactos!$A$1:$D$484,4,FALSE)</f>
        <v>erangel@alimentoscazerola.com.mx</v>
      </c>
    </row>
    <row r="373" spans="2:54" customFormat="1" x14ac:dyDescent="0.25">
      <c r="B373" s="100">
        <v>14535</v>
      </c>
      <c r="C373" s="4" t="s">
        <v>672</v>
      </c>
      <c r="D373" s="5">
        <v>3593.7425169819994</v>
      </c>
      <c r="E373" s="5">
        <v>0</v>
      </c>
      <c r="F373" s="5">
        <v>574.99880271711993</v>
      </c>
      <c r="G373" s="5">
        <v>4168.75</v>
      </c>
      <c r="H373" s="5">
        <v>4168.75</v>
      </c>
      <c r="I373" s="5">
        <f t="shared" si="107"/>
        <v>3593.7425169819994</v>
      </c>
      <c r="J373" s="5"/>
      <c r="K373" s="5">
        <f t="shared" si="108"/>
        <v>3593.7425169819994</v>
      </c>
      <c r="L373" s="5">
        <f t="shared" si="109"/>
        <v>4168.7413196991192</v>
      </c>
      <c r="M373" s="5"/>
      <c r="N373" s="5">
        <f t="shared" si="110"/>
        <v>4168.7413196991192</v>
      </c>
      <c r="O373" s="21"/>
      <c r="P373" s="21"/>
      <c r="Q373" s="21"/>
      <c r="R373" s="21">
        <f t="shared" si="111"/>
        <v>0</v>
      </c>
      <c r="S373" s="21">
        <v>3593.7425169819994</v>
      </c>
      <c r="T373" s="21">
        <f t="shared" si="116"/>
        <v>0</v>
      </c>
      <c r="U373" s="21">
        <f t="shared" si="117"/>
        <v>574.99880271711993</v>
      </c>
      <c r="V373" s="21">
        <f t="shared" si="112"/>
        <v>4168.7413196991192</v>
      </c>
      <c r="W373" s="21"/>
      <c r="X373" s="5"/>
      <c r="Y373" s="5"/>
      <c r="Z373" s="5">
        <f t="shared" si="113"/>
        <v>0</v>
      </c>
      <c r="AA373" s="5">
        <v>215425.5</v>
      </c>
      <c r="AB373" s="5" t="s">
        <v>258</v>
      </c>
      <c r="AC373" s="5">
        <f t="shared" si="106"/>
        <v>3593.7425169819994</v>
      </c>
      <c r="AD373" s="5">
        <f t="shared" si="114"/>
        <v>4168.7413196991192</v>
      </c>
      <c r="AE373" s="5">
        <f t="shared" si="115"/>
        <v>8.6803008807692095E-3</v>
      </c>
      <c r="AF373" s="5"/>
      <c r="AG373" s="5" t="s">
        <v>238</v>
      </c>
      <c r="AH373" s="5">
        <v>4</v>
      </c>
      <c r="AI373" s="5">
        <v>0</v>
      </c>
      <c r="AJ373" s="5">
        <v>0</v>
      </c>
      <c r="AK373" s="5" t="s">
        <v>256</v>
      </c>
      <c r="AL373" s="4" t="s">
        <v>90</v>
      </c>
      <c r="AM373" s="4" t="s">
        <v>67</v>
      </c>
      <c r="AN373" s="21"/>
      <c r="AO373" s="4"/>
      <c r="AP373" s="58"/>
      <c r="AQ373" s="58"/>
      <c r="AR373" s="23"/>
      <c r="AS373" s="23"/>
      <c r="AT373" s="4"/>
      <c r="AU373" s="4"/>
      <c r="AV373" s="4"/>
      <c r="AW373" s="4"/>
      <c r="AX373" s="9"/>
      <c r="AY373" s="9"/>
      <c r="AZ373" s="4"/>
      <c r="BB373" t="str">
        <f>VLOOKUP(B373,contactos!$A$1:$D$484,4,FALSE)</f>
        <v>AGC@ROYALKP.COM</v>
      </c>
    </row>
    <row r="374" spans="2:54" customFormat="1" x14ac:dyDescent="0.25">
      <c r="B374" s="100">
        <v>3570</v>
      </c>
      <c r="C374" s="4" t="s">
        <v>673</v>
      </c>
      <c r="D374" s="5">
        <v>3589.78</v>
      </c>
      <c r="E374" s="5">
        <v>0</v>
      </c>
      <c r="F374" s="5">
        <v>574.36479999999995</v>
      </c>
      <c r="G374" s="5">
        <v>4164.1400000000003</v>
      </c>
      <c r="H374" s="5">
        <v>4164.1400000000003</v>
      </c>
      <c r="I374" s="5">
        <f t="shared" si="107"/>
        <v>3589.78</v>
      </c>
      <c r="J374" s="5"/>
      <c r="K374" s="5">
        <f t="shared" si="108"/>
        <v>3589.78</v>
      </c>
      <c r="L374" s="5">
        <f t="shared" si="109"/>
        <v>4164.1448</v>
      </c>
      <c r="M374" s="5"/>
      <c r="N374" s="5">
        <f t="shared" si="110"/>
        <v>4164.1448</v>
      </c>
      <c r="O374" s="21"/>
      <c r="P374" s="21"/>
      <c r="Q374" s="21"/>
      <c r="R374" s="21">
        <f t="shared" si="111"/>
        <v>0</v>
      </c>
      <c r="S374" s="21">
        <v>3589.78</v>
      </c>
      <c r="T374" s="21">
        <f t="shared" si="116"/>
        <v>0</v>
      </c>
      <c r="U374" s="21">
        <f t="shared" si="117"/>
        <v>574.36479999999995</v>
      </c>
      <c r="V374" s="21">
        <f t="shared" si="112"/>
        <v>4164.1448</v>
      </c>
      <c r="W374" s="21"/>
      <c r="X374" s="5"/>
      <c r="Y374" s="5"/>
      <c r="Z374" s="5">
        <f t="shared" si="113"/>
        <v>0</v>
      </c>
      <c r="AA374" s="5">
        <v>380416.08</v>
      </c>
      <c r="AB374" s="5" t="s">
        <v>258</v>
      </c>
      <c r="AC374" s="5">
        <f t="shared" si="106"/>
        <v>3589.78</v>
      </c>
      <c r="AD374" s="5">
        <f t="shared" si="114"/>
        <v>4164.1448</v>
      </c>
      <c r="AE374" s="5">
        <f t="shared" si="115"/>
        <v>-4.7999999997045961E-3</v>
      </c>
      <c r="AF374" s="5"/>
      <c r="AG374" s="5" t="s">
        <v>238</v>
      </c>
      <c r="AH374" s="5">
        <v>4</v>
      </c>
      <c r="AI374" s="5">
        <v>0</v>
      </c>
      <c r="AJ374" s="5">
        <v>0</v>
      </c>
      <c r="AK374" s="5" t="s">
        <v>256</v>
      </c>
      <c r="AL374" s="4" t="s">
        <v>90</v>
      </c>
      <c r="AM374" s="4" t="s">
        <v>216</v>
      </c>
      <c r="AN374" s="21"/>
      <c r="AO374" s="4"/>
      <c r="AP374" s="58"/>
      <c r="AQ374" s="58"/>
      <c r="AR374" s="23"/>
      <c r="AS374" s="23"/>
      <c r="AT374" s="4"/>
      <c r="AU374" s="4"/>
      <c r="AV374" s="4"/>
      <c r="AW374" s="4"/>
      <c r="AX374" s="9"/>
      <c r="AY374" s="9"/>
      <c r="AZ374" s="4"/>
      <c r="BB374" t="e">
        <f>VLOOKUP(B374,contactos!$A$1:$D$484,4,FALSE)</f>
        <v>#N/A</v>
      </c>
    </row>
    <row r="375" spans="2:54" customFormat="1" x14ac:dyDescent="0.25">
      <c r="B375" s="100">
        <v>64311</v>
      </c>
      <c r="C375" s="4" t="s">
        <v>674</v>
      </c>
      <c r="D375" s="5">
        <v>3568.51</v>
      </c>
      <c r="E375" s="5">
        <v>0</v>
      </c>
      <c r="F375" s="5">
        <v>570.97169999999994</v>
      </c>
      <c r="G375" s="5">
        <v>4139.4800000000005</v>
      </c>
      <c r="H375" s="5">
        <v>4139.4799999999996</v>
      </c>
      <c r="I375" s="5">
        <f t="shared" si="107"/>
        <v>3568.51</v>
      </c>
      <c r="J375" s="5"/>
      <c r="K375" s="5">
        <f t="shared" si="108"/>
        <v>3568.51</v>
      </c>
      <c r="L375" s="5">
        <f t="shared" si="109"/>
        <v>4139.4817000000003</v>
      </c>
      <c r="M375" s="5"/>
      <c r="N375" s="5">
        <f t="shared" si="110"/>
        <v>4139.4817000000003</v>
      </c>
      <c r="O375" s="21"/>
      <c r="P375" s="21"/>
      <c r="Q375" s="21"/>
      <c r="R375" s="21">
        <f t="shared" si="111"/>
        <v>0</v>
      </c>
      <c r="S375" s="21">
        <v>3568.51</v>
      </c>
      <c r="T375" s="21">
        <f t="shared" si="116"/>
        <v>0</v>
      </c>
      <c r="U375" s="21">
        <f t="shared" si="117"/>
        <v>570.97169999999994</v>
      </c>
      <c r="V375" s="21">
        <f t="shared" si="112"/>
        <v>4139.4817000000003</v>
      </c>
      <c r="W375" s="21"/>
      <c r="X375" s="5"/>
      <c r="Y375" s="5"/>
      <c r="Z375" s="5">
        <f t="shared" si="113"/>
        <v>0</v>
      </c>
      <c r="AA375" s="5">
        <v>5399.57</v>
      </c>
      <c r="AB375" s="5" t="s">
        <v>258</v>
      </c>
      <c r="AC375" s="5">
        <f t="shared" si="106"/>
        <v>3568.51</v>
      </c>
      <c r="AD375" s="5">
        <f t="shared" si="114"/>
        <v>4139.4817000000003</v>
      </c>
      <c r="AE375" s="5">
        <f t="shared" si="115"/>
        <v>-1.6999999998006388E-3</v>
      </c>
      <c r="AF375" s="5"/>
      <c r="AG375" s="5" t="s">
        <v>238</v>
      </c>
      <c r="AH375" s="5">
        <v>4</v>
      </c>
      <c r="AI375" s="5">
        <v>0</v>
      </c>
      <c r="AJ375" s="5">
        <v>0</v>
      </c>
      <c r="AK375" s="5" t="s">
        <v>256</v>
      </c>
      <c r="AL375" s="4" t="s">
        <v>90</v>
      </c>
      <c r="AM375" s="4" t="s">
        <v>137</v>
      </c>
      <c r="AN375" s="21"/>
      <c r="AO375" s="4"/>
      <c r="AP375" s="58"/>
      <c r="AQ375" s="58"/>
      <c r="AR375" s="23"/>
      <c r="AS375" s="23"/>
      <c r="AT375" s="4"/>
      <c r="AU375" s="4"/>
      <c r="AV375" s="4"/>
      <c r="AW375" s="4"/>
      <c r="AX375" s="9"/>
      <c r="AY375" s="9"/>
      <c r="AZ375" s="4"/>
      <c r="BB375" t="e">
        <f>VLOOKUP(B375,contactos!$A$1:$D$484,4,FALSE)</f>
        <v>#N/A</v>
      </c>
    </row>
    <row r="376" spans="2:54" customFormat="1" x14ac:dyDescent="0.25">
      <c r="B376" s="100">
        <v>32821</v>
      </c>
      <c r="C376" s="4" t="s">
        <v>675</v>
      </c>
      <c r="D376" s="5">
        <v>3269.7799999999997</v>
      </c>
      <c r="E376" s="5">
        <v>0</v>
      </c>
      <c r="F376" s="5">
        <v>523.12469999999996</v>
      </c>
      <c r="G376" s="5">
        <v>3792.91</v>
      </c>
      <c r="H376" s="5">
        <v>3792.91</v>
      </c>
      <c r="I376" s="5">
        <f t="shared" si="107"/>
        <v>3269.7799999999997</v>
      </c>
      <c r="J376" s="5"/>
      <c r="K376" s="5">
        <f t="shared" si="108"/>
        <v>3269.7799999999997</v>
      </c>
      <c r="L376" s="5">
        <f t="shared" si="109"/>
        <v>3792.9046999999996</v>
      </c>
      <c r="M376" s="5"/>
      <c r="N376" s="5">
        <f t="shared" si="110"/>
        <v>3792.9046999999996</v>
      </c>
      <c r="O376" s="21"/>
      <c r="P376" s="21"/>
      <c r="Q376" s="21"/>
      <c r="R376" s="21">
        <f t="shared" si="111"/>
        <v>0</v>
      </c>
      <c r="S376" s="21">
        <v>3269.7799999999997</v>
      </c>
      <c r="T376" s="21">
        <f t="shared" si="116"/>
        <v>0</v>
      </c>
      <c r="U376" s="21">
        <f t="shared" si="117"/>
        <v>523.12469999999996</v>
      </c>
      <c r="V376" s="21">
        <f t="shared" si="112"/>
        <v>3792.9046999999996</v>
      </c>
      <c r="W376" s="21"/>
      <c r="X376" s="5"/>
      <c r="Y376" s="5"/>
      <c r="Z376" s="5">
        <f t="shared" si="113"/>
        <v>0</v>
      </c>
      <c r="AA376" s="5">
        <v>159654.22</v>
      </c>
      <c r="AB376" s="5" t="s">
        <v>258</v>
      </c>
      <c r="AC376" s="5">
        <f t="shared" si="106"/>
        <v>3269.7799999999997</v>
      </c>
      <c r="AD376" s="5">
        <f t="shared" si="114"/>
        <v>3792.9046999999996</v>
      </c>
      <c r="AE376" s="5">
        <f t="shared" si="115"/>
        <v>5.3000000002612069E-3</v>
      </c>
      <c r="AF376" s="5"/>
      <c r="AG376" s="5" t="s">
        <v>238</v>
      </c>
      <c r="AH376" s="5">
        <v>4</v>
      </c>
      <c r="AI376" s="5">
        <v>0</v>
      </c>
      <c r="AJ376" s="5">
        <v>0</v>
      </c>
      <c r="AK376" s="5" t="s">
        <v>256</v>
      </c>
      <c r="AL376" s="4" t="s">
        <v>90</v>
      </c>
      <c r="AM376" s="4" t="s">
        <v>67</v>
      </c>
      <c r="AN376" s="21"/>
      <c r="AO376" s="4"/>
      <c r="AP376" s="58"/>
      <c r="AQ376" s="58"/>
      <c r="AR376" s="23"/>
      <c r="AS376" s="23"/>
      <c r="AT376" s="4"/>
      <c r="AU376" s="4"/>
      <c r="AV376" s="4"/>
      <c r="AW376" s="4"/>
      <c r="AX376" s="9"/>
      <c r="AY376" s="9"/>
      <c r="AZ376" s="4"/>
      <c r="BB376" t="e">
        <f>VLOOKUP(B376,contactos!$A$1:$D$484,4,FALSE)</f>
        <v>#N/A</v>
      </c>
    </row>
    <row r="377" spans="2:54" customFormat="1" x14ac:dyDescent="0.25">
      <c r="B377" s="100">
        <v>16807</v>
      </c>
      <c r="C377" s="4" t="s">
        <v>676</v>
      </c>
      <c r="D377" s="5">
        <v>3075.9900000000002</v>
      </c>
      <c r="E377" s="5">
        <v>0</v>
      </c>
      <c r="F377" s="5">
        <v>492.15840000000003</v>
      </c>
      <c r="G377" s="5">
        <v>3568.14</v>
      </c>
      <c r="H377" s="5">
        <v>3568.14</v>
      </c>
      <c r="I377" s="5">
        <f t="shared" si="107"/>
        <v>3075.9900000000002</v>
      </c>
      <c r="J377" s="5"/>
      <c r="K377" s="5">
        <f t="shared" si="108"/>
        <v>3075.9900000000002</v>
      </c>
      <c r="L377" s="5">
        <f t="shared" si="109"/>
        <v>3568.1484</v>
      </c>
      <c r="M377" s="5"/>
      <c r="N377" s="5">
        <f t="shared" si="110"/>
        <v>3568.1484</v>
      </c>
      <c r="O377" s="21"/>
      <c r="P377" s="21"/>
      <c r="Q377" s="21"/>
      <c r="R377" s="21">
        <f t="shared" si="111"/>
        <v>0</v>
      </c>
      <c r="S377" s="21">
        <v>3075.9900000000002</v>
      </c>
      <c r="T377" s="21">
        <f t="shared" si="116"/>
        <v>0</v>
      </c>
      <c r="U377" s="21">
        <f t="shared" si="117"/>
        <v>492.15840000000003</v>
      </c>
      <c r="V377" s="21">
        <f t="shared" si="112"/>
        <v>3568.1484</v>
      </c>
      <c r="W377" s="21"/>
      <c r="X377" s="5"/>
      <c r="Y377" s="5"/>
      <c r="Z377" s="5">
        <f t="shared" si="113"/>
        <v>0</v>
      </c>
      <c r="AA377" s="5">
        <v>161713.56</v>
      </c>
      <c r="AB377" s="5" t="s">
        <v>258</v>
      </c>
      <c r="AC377" s="5">
        <f t="shared" si="106"/>
        <v>3075.9900000000002</v>
      </c>
      <c r="AD377" s="5">
        <f t="shared" si="114"/>
        <v>3568.1484</v>
      </c>
      <c r="AE377" s="5">
        <f t="shared" si="115"/>
        <v>-8.4000000001651642E-3</v>
      </c>
      <c r="AF377" s="5"/>
      <c r="AG377" s="5" t="s">
        <v>238</v>
      </c>
      <c r="AH377" s="5">
        <v>4</v>
      </c>
      <c r="AI377" s="5">
        <v>0</v>
      </c>
      <c r="AJ377" s="5">
        <v>0</v>
      </c>
      <c r="AK377" s="5" t="s">
        <v>256</v>
      </c>
      <c r="AL377" s="4" t="s">
        <v>90</v>
      </c>
      <c r="AM377" s="4" t="s">
        <v>162</v>
      </c>
      <c r="AN377" s="21"/>
      <c r="AO377" s="4"/>
      <c r="AP377" s="58"/>
      <c r="AQ377" s="58"/>
      <c r="AR377" s="23"/>
      <c r="AS377" s="23"/>
      <c r="AT377" s="4"/>
      <c r="AU377" s="4"/>
      <c r="AV377" s="4"/>
      <c r="AW377" s="4"/>
      <c r="AX377" s="9"/>
      <c r="AY377" s="9"/>
      <c r="AZ377" s="4"/>
      <c r="BB377" t="e">
        <f>VLOOKUP(B377,contactos!$A$1:$D$484,4,FALSE)</f>
        <v>#N/A</v>
      </c>
    </row>
    <row r="378" spans="2:54" customFormat="1" x14ac:dyDescent="0.25">
      <c r="B378" s="100">
        <v>44206</v>
      </c>
      <c r="C378" s="4" t="s">
        <v>677</v>
      </c>
      <c r="D378" s="5">
        <v>3057.15</v>
      </c>
      <c r="E378" s="5">
        <v>0</v>
      </c>
      <c r="F378" s="5">
        <v>489.12530000000004</v>
      </c>
      <c r="G378" s="5">
        <v>3546.2700000000004</v>
      </c>
      <c r="H378" s="5">
        <v>3546.27</v>
      </c>
      <c r="I378" s="5">
        <f t="shared" si="107"/>
        <v>3057.15</v>
      </c>
      <c r="J378" s="5"/>
      <c r="K378" s="5">
        <f t="shared" si="108"/>
        <v>3057.15</v>
      </c>
      <c r="L378" s="5">
        <f t="shared" si="109"/>
        <v>3546.2753000000002</v>
      </c>
      <c r="M378" s="5"/>
      <c r="N378" s="5">
        <f t="shared" si="110"/>
        <v>3546.2753000000002</v>
      </c>
      <c r="O378" s="21"/>
      <c r="P378" s="21"/>
      <c r="Q378" s="21"/>
      <c r="R378" s="21">
        <f t="shared" si="111"/>
        <v>0</v>
      </c>
      <c r="S378" s="21">
        <v>3057.15</v>
      </c>
      <c r="T378" s="21">
        <f t="shared" si="116"/>
        <v>0</v>
      </c>
      <c r="U378" s="21">
        <f t="shared" si="117"/>
        <v>489.12530000000004</v>
      </c>
      <c r="V378" s="21">
        <f t="shared" si="112"/>
        <v>3546.2753000000002</v>
      </c>
      <c r="W378" s="21"/>
      <c r="X378" s="5"/>
      <c r="Y378" s="5"/>
      <c r="Z378" s="5">
        <f t="shared" si="113"/>
        <v>0</v>
      </c>
      <c r="AA378" s="5">
        <v>22070.19</v>
      </c>
      <c r="AB378" s="5" t="s">
        <v>258</v>
      </c>
      <c r="AC378" s="5">
        <f t="shared" si="106"/>
        <v>3057.15</v>
      </c>
      <c r="AD378" s="5">
        <f t="shared" si="114"/>
        <v>3546.2753000000002</v>
      </c>
      <c r="AE378" s="5">
        <f t="shared" si="115"/>
        <v>-5.2999999998064595E-3</v>
      </c>
      <c r="AF378" s="5"/>
      <c r="AG378" s="5" t="s">
        <v>73</v>
      </c>
      <c r="AH378" s="5">
        <v>4</v>
      </c>
      <c r="AI378" s="5">
        <v>0</v>
      </c>
      <c r="AJ378" s="5">
        <v>0</v>
      </c>
      <c r="AK378" s="5" t="s">
        <v>256</v>
      </c>
      <c r="AL378" s="4" t="s">
        <v>90</v>
      </c>
      <c r="AM378" s="4" t="s">
        <v>107</v>
      </c>
      <c r="AN378" s="21"/>
      <c r="AO378" s="4"/>
      <c r="AP378" s="58"/>
      <c r="AQ378" s="58"/>
      <c r="AR378" s="23"/>
      <c r="AS378" s="23"/>
      <c r="AT378" s="4"/>
      <c r="AU378" s="4"/>
      <c r="AV378" s="4"/>
      <c r="AW378" s="4"/>
      <c r="AX378" s="9"/>
      <c r="AY378" s="9"/>
      <c r="AZ378" s="4"/>
      <c r="BB378" t="e">
        <f>VLOOKUP(B378,contactos!$A$1:$D$484,4,FALSE)</f>
        <v>#N/A</v>
      </c>
    </row>
    <row r="379" spans="2:54" customFormat="1" x14ac:dyDescent="0.25">
      <c r="B379" s="100">
        <v>167</v>
      </c>
      <c r="C379" s="4" t="s">
        <v>678</v>
      </c>
      <c r="D379" s="5">
        <v>3474.76</v>
      </c>
      <c r="E379" s="5">
        <v>47.519999999999996</v>
      </c>
      <c r="F379" s="5">
        <v>0</v>
      </c>
      <c r="G379" s="5">
        <v>3522.2799999999997</v>
      </c>
      <c r="H379" s="5">
        <v>3522.28</v>
      </c>
      <c r="I379" s="5">
        <f t="shared" si="107"/>
        <v>3474.76</v>
      </c>
      <c r="J379" s="5"/>
      <c r="K379" s="5">
        <f t="shared" si="108"/>
        <v>3474.76</v>
      </c>
      <c r="L379" s="5">
        <f t="shared" si="109"/>
        <v>3522.28</v>
      </c>
      <c r="M379" s="5"/>
      <c r="N379" s="5">
        <f t="shared" si="110"/>
        <v>3522.28</v>
      </c>
      <c r="O379" s="21"/>
      <c r="P379" s="21"/>
      <c r="Q379" s="21"/>
      <c r="R379" s="21">
        <f t="shared" si="111"/>
        <v>0</v>
      </c>
      <c r="S379" s="21">
        <v>3474.76</v>
      </c>
      <c r="T379" s="21">
        <f t="shared" si="116"/>
        <v>47.519999999999996</v>
      </c>
      <c r="U379" s="21">
        <f t="shared" si="117"/>
        <v>0</v>
      </c>
      <c r="V379" s="21">
        <f t="shared" si="112"/>
        <v>3522.28</v>
      </c>
      <c r="W379" s="21"/>
      <c r="X379" s="5"/>
      <c r="Y379" s="5"/>
      <c r="Z379" s="5">
        <f t="shared" si="113"/>
        <v>0</v>
      </c>
      <c r="AA379" s="5">
        <v>359488.83</v>
      </c>
      <c r="AB379" s="5" t="s">
        <v>258</v>
      </c>
      <c r="AC379" s="5">
        <f t="shared" si="106"/>
        <v>3474.76</v>
      </c>
      <c r="AD379" s="5">
        <f t="shared" si="114"/>
        <v>3522.28</v>
      </c>
      <c r="AE379" s="5">
        <f t="shared" si="115"/>
        <v>0</v>
      </c>
      <c r="AF379" s="5"/>
      <c r="AG379" s="5" t="s">
        <v>238</v>
      </c>
      <c r="AH379" s="5">
        <v>4</v>
      </c>
      <c r="AI379" s="5">
        <v>0</v>
      </c>
      <c r="AJ379" s="5">
        <v>0</v>
      </c>
      <c r="AK379" s="5" t="s">
        <v>256</v>
      </c>
      <c r="AL379" s="4" t="s">
        <v>90</v>
      </c>
      <c r="AM379" s="4" t="s">
        <v>112</v>
      </c>
      <c r="AN379" s="21"/>
      <c r="AO379" s="4"/>
      <c r="AP379" s="58"/>
      <c r="AQ379" s="58"/>
      <c r="AR379" s="23"/>
      <c r="AS379" s="23"/>
      <c r="AT379" s="4"/>
      <c r="AU379" s="4"/>
      <c r="AV379" s="4"/>
      <c r="AW379" s="4"/>
      <c r="AX379" s="9"/>
      <c r="AY379" s="9"/>
      <c r="AZ379" s="4"/>
      <c r="BB379" t="e">
        <f>VLOOKUP(B379,contactos!$A$1:$D$484,4,FALSE)</f>
        <v>#N/A</v>
      </c>
    </row>
    <row r="380" spans="2:54" customFormat="1" x14ac:dyDescent="0.25">
      <c r="B380" s="100">
        <v>10822</v>
      </c>
      <c r="C380" s="4" t="s">
        <v>679</v>
      </c>
      <c r="D380" s="5">
        <v>3018.43</v>
      </c>
      <c r="E380" s="5">
        <v>0</v>
      </c>
      <c r="F380" s="5">
        <v>482.94209999999998</v>
      </c>
      <c r="G380" s="5">
        <v>3501.37</v>
      </c>
      <c r="H380" s="5">
        <v>3501.37</v>
      </c>
      <c r="I380" s="5">
        <f t="shared" si="107"/>
        <v>3018.43</v>
      </c>
      <c r="J380" s="5"/>
      <c r="K380" s="5">
        <f t="shared" si="108"/>
        <v>3018.43</v>
      </c>
      <c r="L380" s="5">
        <f t="shared" si="109"/>
        <v>3501.3720999999996</v>
      </c>
      <c r="M380" s="5"/>
      <c r="N380" s="5">
        <f t="shared" si="110"/>
        <v>3501.3720999999996</v>
      </c>
      <c r="O380" s="21"/>
      <c r="P380" s="21"/>
      <c r="Q380" s="21"/>
      <c r="R380" s="21">
        <f t="shared" si="111"/>
        <v>0</v>
      </c>
      <c r="S380" s="21">
        <v>3018.43</v>
      </c>
      <c r="T380" s="21">
        <f t="shared" si="116"/>
        <v>0</v>
      </c>
      <c r="U380" s="21">
        <f t="shared" si="117"/>
        <v>482.94209999999998</v>
      </c>
      <c r="V380" s="21">
        <f t="shared" si="112"/>
        <v>3501.3720999999996</v>
      </c>
      <c r="W380" s="21"/>
      <c r="X380" s="5"/>
      <c r="Y380" s="5"/>
      <c r="Z380" s="5">
        <f t="shared" si="113"/>
        <v>0</v>
      </c>
      <c r="AA380" s="5">
        <v>111377.08</v>
      </c>
      <c r="AB380" s="5" t="s">
        <v>258</v>
      </c>
      <c r="AC380" s="5">
        <f t="shared" si="106"/>
        <v>3018.43</v>
      </c>
      <c r="AD380" s="5">
        <f t="shared" si="114"/>
        <v>3501.3720999999996</v>
      </c>
      <c r="AE380" s="5">
        <f t="shared" si="115"/>
        <v>-2.0999999997002305E-3</v>
      </c>
      <c r="AF380" s="5"/>
      <c r="AG380" s="5" t="s">
        <v>238</v>
      </c>
      <c r="AH380" s="5">
        <v>4</v>
      </c>
      <c r="AI380" s="5">
        <v>0</v>
      </c>
      <c r="AJ380" s="5">
        <v>0</v>
      </c>
      <c r="AK380" s="5" t="s">
        <v>256</v>
      </c>
      <c r="AL380" s="4" t="s">
        <v>90</v>
      </c>
      <c r="AM380" s="4" t="s">
        <v>91</v>
      </c>
      <c r="AN380" s="21"/>
      <c r="AO380" s="4"/>
      <c r="AP380" s="58"/>
      <c r="AQ380" s="58"/>
      <c r="AR380" s="23"/>
      <c r="AS380" s="23"/>
      <c r="AT380" s="4"/>
      <c r="AU380" s="4"/>
      <c r="AV380" s="4"/>
      <c r="AW380" s="4"/>
      <c r="AX380" s="9"/>
      <c r="AY380" s="9"/>
      <c r="AZ380" s="4"/>
      <c r="BB380" t="e">
        <f>VLOOKUP(B380,contactos!$A$1:$D$484,4,FALSE)</f>
        <v>#N/A</v>
      </c>
    </row>
    <row r="381" spans="2:54" customFormat="1" x14ac:dyDescent="0.25">
      <c r="B381" s="100">
        <v>319731</v>
      </c>
      <c r="C381" s="4" t="s">
        <v>680</v>
      </c>
      <c r="D381" s="5">
        <v>3447.7599999999993</v>
      </c>
      <c r="E381" s="5">
        <v>0</v>
      </c>
      <c r="F381" s="5">
        <v>0</v>
      </c>
      <c r="G381" s="5">
        <v>3447.7599999999993</v>
      </c>
      <c r="H381" s="5">
        <v>3447.76</v>
      </c>
      <c r="I381" s="5">
        <f t="shared" si="107"/>
        <v>3447.7599999999993</v>
      </c>
      <c r="J381" s="5"/>
      <c r="K381" s="5">
        <f t="shared" si="108"/>
        <v>3447.7599999999993</v>
      </c>
      <c r="L381" s="5">
        <f t="shared" si="109"/>
        <v>3447.7599999999993</v>
      </c>
      <c r="M381" s="5"/>
      <c r="N381" s="5">
        <f t="shared" si="110"/>
        <v>3447.7599999999993</v>
      </c>
      <c r="O381" s="21"/>
      <c r="P381" s="21"/>
      <c r="Q381" s="21"/>
      <c r="R381" s="21">
        <f t="shared" si="111"/>
        <v>0</v>
      </c>
      <c r="S381" s="21">
        <v>3447.7599999999993</v>
      </c>
      <c r="T381" s="21">
        <f t="shared" si="116"/>
        <v>0</v>
      </c>
      <c r="U381" s="21">
        <f t="shared" si="117"/>
        <v>0</v>
      </c>
      <c r="V381" s="21">
        <f t="shared" si="112"/>
        <v>3447.7599999999993</v>
      </c>
      <c r="W381" s="21"/>
      <c r="X381" s="5"/>
      <c r="Y381" s="5"/>
      <c r="Z381" s="5">
        <f t="shared" si="113"/>
        <v>0</v>
      </c>
      <c r="AA381" s="5">
        <v>106513.92</v>
      </c>
      <c r="AB381" s="5" t="s">
        <v>258</v>
      </c>
      <c r="AC381" s="5">
        <f t="shared" si="106"/>
        <v>3447.7599999999993</v>
      </c>
      <c r="AD381" s="5">
        <f t="shared" si="114"/>
        <v>3447.7599999999993</v>
      </c>
      <c r="AE381" s="5">
        <f t="shared" si="115"/>
        <v>0</v>
      </c>
      <c r="AF381" s="5"/>
      <c r="AG381" s="5" t="s">
        <v>238</v>
      </c>
      <c r="AH381" s="5">
        <v>4</v>
      </c>
      <c r="AI381" s="5">
        <v>0</v>
      </c>
      <c r="AJ381" s="5" t="s">
        <v>279</v>
      </c>
      <c r="AK381" s="5" t="s">
        <v>256</v>
      </c>
      <c r="AL381" s="4" t="s">
        <v>90</v>
      </c>
      <c r="AM381" s="4" t="s">
        <v>119</v>
      </c>
      <c r="AN381" s="21"/>
      <c r="AO381" s="4"/>
      <c r="AP381" s="58"/>
      <c r="AQ381" s="58"/>
      <c r="AR381" s="23"/>
      <c r="AS381" s="23"/>
      <c r="AT381" s="4"/>
      <c r="AU381" s="4"/>
      <c r="AV381" s="4"/>
      <c r="AW381" s="4"/>
      <c r="AX381" s="9"/>
      <c r="AY381" s="9"/>
      <c r="AZ381" s="4"/>
      <c r="BB381" t="e">
        <f>VLOOKUP(B381,contactos!$A$1:$D$484,4,FALSE)</f>
        <v>#N/A</v>
      </c>
    </row>
    <row r="382" spans="2:54" customFormat="1" x14ac:dyDescent="0.25">
      <c r="B382" s="131">
        <v>11657</v>
      </c>
      <c r="C382" s="4" t="s">
        <v>681</v>
      </c>
      <c r="D382" s="5">
        <v>2729.23</v>
      </c>
      <c r="E382" s="5">
        <v>0</v>
      </c>
      <c r="F382" s="5">
        <v>436.67679999999996</v>
      </c>
      <c r="G382" s="5">
        <v>3165.9</v>
      </c>
      <c r="H382" s="5">
        <v>3165.9</v>
      </c>
      <c r="I382" s="5">
        <f t="shared" si="107"/>
        <v>2729.23</v>
      </c>
      <c r="J382" s="5"/>
      <c r="K382" s="5">
        <f t="shared" si="108"/>
        <v>2729.23</v>
      </c>
      <c r="L382" s="5">
        <f t="shared" si="109"/>
        <v>3165.9067999999997</v>
      </c>
      <c r="M382" s="5"/>
      <c r="N382" s="5">
        <f t="shared" si="110"/>
        <v>3165.9067999999997</v>
      </c>
      <c r="O382" s="21"/>
      <c r="P382" s="21"/>
      <c r="Q382" s="21"/>
      <c r="R382" s="21">
        <f t="shared" si="111"/>
        <v>0</v>
      </c>
      <c r="S382" s="21">
        <v>2729.23</v>
      </c>
      <c r="T382" s="21">
        <f t="shared" si="116"/>
        <v>0</v>
      </c>
      <c r="U382" s="21">
        <f t="shared" si="117"/>
        <v>436.67679999999996</v>
      </c>
      <c r="V382" s="21">
        <f t="shared" si="112"/>
        <v>3165.9067999999997</v>
      </c>
      <c r="W382" s="21"/>
      <c r="X382" s="5"/>
      <c r="Y382" s="5"/>
      <c r="Z382" s="5">
        <f t="shared" si="113"/>
        <v>0</v>
      </c>
      <c r="AA382" s="5">
        <v>23072.33</v>
      </c>
      <c r="AB382" s="5" t="s">
        <v>258</v>
      </c>
      <c r="AC382" s="5">
        <f t="shared" si="106"/>
        <v>2729.23</v>
      </c>
      <c r="AD382" s="5">
        <f t="shared" si="114"/>
        <v>3165.9067999999997</v>
      </c>
      <c r="AE382" s="5">
        <f t="shared" si="115"/>
        <v>-6.7999999996573024E-3</v>
      </c>
      <c r="AF382" s="5"/>
      <c r="AG382" s="5" t="s">
        <v>238</v>
      </c>
      <c r="AH382" s="5">
        <v>4</v>
      </c>
      <c r="AI382" s="5">
        <v>0</v>
      </c>
      <c r="AJ382" s="5">
        <v>0</v>
      </c>
      <c r="AK382" s="5" t="s">
        <v>256</v>
      </c>
      <c r="AL382" s="4" t="s">
        <v>90</v>
      </c>
      <c r="AM382" s="6" t="s">
        <v>103</v>
      </c>
      <c r="AN382" s="21"/>
      <c r="AO382" s="4"/>
      <c r="AP382" s="58"/>
      <c r="AQ382" s="58"/>
      <c r="AR382" s="23"/>
      <c r="AS382" s="23"/>
      <c r="AT382" s="4"/>
      <c r="AU382" s="4"/>
      <c r="AV382" s="52"/>
      <c r="AW382" s="52"/>
      <c r="AX382" s="9"/>
      <c r="AY382" s="9"/>
      <c r="AZ382" s="4"/>
      <c r="BB382" t="e">
        <f>VLOOKUP(B382,contactos!$A$1:$D$484,4,FALSE)</f>
        <v>#N/A</v>
      </c>
    </row>
    <row r="383" spans="2:54" customFormat="1" x14ac:dyDescent="0.25">
      <c r="B383" s="3">
        <v>20793</v>
      </c>
      <c r="C383" s="4" t="s">
        <v>682</v>
      </c>
      <c r="D383" s="5">
        <v>2782.97</v>
      </c>
      <c r="E383" s="5">
        <v>222.63759999999999</v>
      </c>
      <c r="F383" s="5">
        <v>0</v>
      </c>
      <c r="G383" s="5">
        <v>3005.6099999999992</v>
      </c>
      <c r="H383" s="5">
        <v>0</v>
      </c>
      <c r="I383" s="5">
        <f t="shared" si="107"/>
        <v>2782.97</v>
      </c>
      <c r="J383" s="5"/>
      <c r="K383" s="5">
        <f t="shared" si="108"/>
        <v>2782.97</v>
      </c>
      <c r="L383" s="5">
        <f t="shared" si="109"/>
        <v>3005.6075999999998</v>
      </c>
      <c r="M383" s="5"/>
      <c r="N383" s="5">
        <f t="shared" si="110"/>
        <v>3005.6075999999998</v>
      </c>
      <c r="O383" s="21"/>
      <c r="P383" s="21"/>
      <c r="Q383" s="21"/>
      <c r="R383" s="21">
        <f t="shared" si="111"/>
        <v>0</v>
      </c>
      <c r="S383" s="21">
        <v>2782.97</v>
      </c>
      <c r="T383" s="21">
        <f t="shared" si="116"/>
        <v>222.63759999999999</v>
      </c>
      <c r="U383" s="21">
        <f t="shared" si="117"/>
        <v>0</v>
      </c>
      <c r="V383" s="21">
        <f t="shared" si="112"/>
        <v>3005.6075999999998</v>
      </c>
      <c r="W383" s="21"/>
      <c r="X383" s="5"/>
      <c r="Y383" s="5"/>
      <c r="Z383" s="5">
        <f t="shared" si="113"/>
        <v>0</v>
      </c>
      <c r="AA383" s="5">
        <v>70467.850000000006</v>
      </c>
      <c r="AB383" s="5" t="s">
        <v>258</v>
      </c>
      <c r="AC383" s="5">
        <f t="shared" si="106"/>
        <v>2782.97</v>
      </c>
      <c r="AD383" s="5">
        <f t="shared" si="114"/>
        <v>3005.6075999999998</v>
      </c>
      <c r="AE383" s="5">
        <f t="shared" si="115"/>
        <v>2.3999999993975507E-3</v>
      </c>
      <c r="AF383" s="5"/>
      <c r="AG383" s="5" t="s">
        <v>73</v>
      </c>
      <c r="AH383" s="5">
        <v>4</v>
      </c>
      <c r="AI383" s="5">
        <v>0</v>
      </c>
      <c r="AJ383" s="120" t="s">
        <v>386</v>
      </c>
      <c r="AK383" s="5" t="s">
        <v>256</v>
      </c>
      <c r="AL383" s="4" t="s">
        <v>90</v>
      </c>
      <c r="AM383" s="4" t="s">
        <v>67</v>
      </c>
      <c r="AN383" s="21"/>
      <c r="AO383" s="4"/>
      <c r="AP383" s="58"/>
      <c r="AQ383" s="58"/>
      <c r="AR383" s="23"/>
      <c r="AS383" s="23"/>
      <c r="AT383" s="4"/>
      <c r="AU383" s="4"/>
      <c r="AV383" s="4"/>
      <c r="AW383" s="4"/>
      <c r="AX383" s="9"/>
      <c r="AY383" s="9"/>
      <c r="AZ383" s="4"/>
      <c r="BB383" t="e">
        <f>VLOOKUP(B383,contactos!$A$1:$D$484,4,FALSE)</f>
        <v>#N/A</v>
      </c>
    </row>
    <row r="384" spans="2:54" customFormat="1" x14ac:dyDescent="0.25">
      <c r="B384" s="3">
        <v>4226</v>
      </c>
      <c r="C384" s="4" t="s">
        <v>683</v>
      </c>
      <c r="D384" s="5">
        <v>2521.66</v>
      </c>
      <c r="E384" s="5">
        <v>0</v>
      </c>
      <c r="F384" s="5">
        <v>403.46559999999999</v>
      </c>
      <c r="G384" s="5">
        <v>2925.13</v>
      </c>
      <c r="H384" s="5">
        <v>2925.13</v>
      </c>
      <c r="I384" s="5">
        <f t="shared" si="107"/>
        <v>2521.66</v>
      </c>
      <c r="J384" s="5"/>
      <c r="K384" s="5">
        <f t="shared" si="108"/>
        <v>2521.66</v>
      </c>
      <c r="L384" s="5">
        <f t="shared" si="109"/>
        <v>2925.1255999999998</v>
      </c>
      <c r="M384" s="5"/>
      <c r="N384" s="5">
        <f t="shared" si="110"/>
        <v>2925.1255999999998</v>
      </c>
      <c r="O384" s="21"/>
      <c r="P384" s="21"/>
      <c r="Q384" s="21"/>
      <c r="R384" s="21">
        <f t="shared" si="111"/>
        <v>0</v>
      </c>
      <c r="S384" s="21">
        <v>2521.66</v>
      </c>
      <c r="T384" s="21">
        <f t="shared" si="116"/>
        <v>0</v>
      </c>
      <c r="U384" s="21">
        <f t="shared" si="117"/>
        <v>403.46559999999999</v>
      </c>
      <c r="V384" s="21">
        <f t="shared" si="112"/>
        <v>2925.1255999999998</v>
      </c>
      <c r="W384" s="21"/>
      <c r="X384" s="5"/>
      <c r="Y384" s="5"/>
      <c r="Z384" s="5">
        <f t="shared" si="113"/>
        <v>0</v>
      </c>
      <c r="AA384" s="5">
        <v>244047.92</v>
      </c>
      <c r="AB384" s="5" t="s">
        <v>258</v>
      </c>
      <c r="AC384" s="5">
        <f t="shared" si="106"/>
        <v>2521.66</v>
      </c>
      <c r="AD384" s="5">
        <f t="shared" si="114"/>
        <v>2925.1255999999998</v>
      </c>
      <c r="AE384" s="5">
        <f t="shared" si="115"/>
        <v>4.4000000002597517E-3</v>
      </c>
      <c r="AF384" s="5"/>
      <c r="AG384" s="5" t="s">
        <v>238</v>
      </c>
      <c r="AH384" s="5">
        <v>4</v>
      </c>
      <c r="AI384" s="5">
        <v>0</v>
      </c>
      <c r="AJ384" s="5">
        <v>0</v>
      </c>
      <c r="AK384" s="5" t="s">
        <v>256</v>
      </c>
      <c r="AL384" s="4" t="s">
        <v>90</v>
      </c>
      <c r="AM384" s="4" t="s">
        <v>216</v>
      </c>
      <c r="AN384" s="21"/>
      <c r="AO384" s="4"/>
      <c r="AP384" s="58"/>
      <c r="AQ384" s="58"/>
      <c r="AR384" s="23"/>
      <c r="AS384" s="23"/>
      <c r="AT384" s="4"/>
      <c r="AU384" s="4"/>
      <c r="AV384" s="4"/>
      <c r="AW384" s="4"/>
      <c r="AX384" s="9"/>
      <c r="AY384" s="9"/>
      <c r="AZ384" s="4"/>
      <c r="BB384" t="e">
        <f>VLOOKUP(B384,contactos!$A$1:$D$484,4,FALSE)</f>
        <v>#N/A</v>
      </c>
    </row>
    <row r="385" spans="2:54" customFormat="1" x14ac:dyDescent="0.25">
      <c r="B385" s="3">
        <v>22007</v>
      </c>
      <c r="C385" s="4" t="s">
        <v>684</v>
      </c>
      <c r="D385" s="5">
        <v>2450</v>
      </c>
      <c r="E385" s="5">
        <v>0</v>
      </c>
      <c r="F385" s="5">
        <v>392</v>
      </c>
      <c r="G385" s="5">
        <v>2842</v>
      </c>
      <c r="H385" s="5">
        <v>2842</v>
      </c>
      <c r="I385" s="5">
        <f t="shared" si="107"/>
        <v>2450</v>
      </c>
      <c r="J385" s="5"/>
      <c r="K385" s="5">
        <f t="shared" si="108"/>
        <v>2450</v>
      </c>
      <c r="L385" s="5">
        <f t="shared" si="109"/>
        <v>2842</v>
      </c>
      <c r="M385" s="5"/>
      <c r="N385" s="5">
        <f t="shared" si="110"/>
        <v>2842</v>
      </c>
      <c r="O385" s="21"/>
      <c r="P385" s="21"/>
      <c r="Q385" s="21"/>
      <c r="R385" s="21">
        <f t="shared" si="111"/>
        <v>0</v>
      </c>
      <c r="S385" s="21">
        <v>2450</v>
      </c>
      <c r="T385" s="21">
        <f t="shared" si="116"/>
        <v>0</v>
      </c>
      <c r="U385" s="21">
        <f t="shared" si="117"/>
        <v>392</v>
      </c>
      <c r="V385" s="21">
        <f t="shared" si="112"/>
        <v>2842</v>
      </c>
      <c r="W385" s="21"/>
      <c r="X385" s="5"/>
      <c r="Y385" s="5"/>
      <c r="Z385" s="5">
        <f t="shared" si="113"/>
        <v>0</v>
      </c>
      <c r="AA385" s="5">
        <v>95934.06</v>
      </c>
      <c r="AB385" s="5" t="s">
        <v>258</v>
      </c>
      <c r="AC385" s="5">
        <f t="shared" si="106"/>
        <v>2450</v>
      </c>
      <c r="AD385" s="5">
        <f t="shared" si="114"/>
        <v>2842</v>
      </c>
      <c r="AE385" s="5">
        <f t="shared" si="115"/>
        <v>0</v>
      </c>
      <c r="AF385" s="5"/>
      <c r="AG385" s="5" t="s">
        <v>73</v>
      </c>
      <c r="AH385" s="5">
        <v>4</v>
      </c>
      <c r="AI385" s="5">
        <v>0</v>
      </c>
      <c r="AJ385" s="5" t="s">
        <v>333</v>
      </c>
      <c r="AK385" s="5" t="s">
        <v>256</v>
      </c>
      <c r="AL385" s="4" t="s">
        <v>90</v>
      </c>
      <c r="AM385" s="4" t="s">
        <v>137</v>
      </c>
      <c r="AN385" s="21"/>
      <c r="AO385" s="4"/>
      <c r="AP385" s="58"/>
      <c r="AQ385" s="58"/>
      <c r="AR385" s="23"/>
      <c r="AS385" s="23"/>
      <c r="AT385" s="4"/>
      <c r="AU385" s="4"/>
      <c r="AV385" s="4"/>
      <c r="AW385" s="4"/>
      <c r="AX385" s="9"/>
      <c r="AY385" s="9"/>
      <c r="AZ385" s="4"/>
      <c r="BB385" t="e">
        <f>VLOOKUP(B385,contactos!$A$1:$D$484,4,FALSE)</f>
        <v>#N/A</v>
      </c>
    </row>
    <row r="386" spans="2:54" customFormat="1" x14ac:dyDescent="0.25">
      <c r="B386" s="3">
        <v>345926</v>
      </c>
      <c r="C386" s="4" t="s">
        <v>685</v>
      </c>
      <c r="D386" s="5">
        <v>2392.7600000000002</v>
      </c>
      <c r="E386" s="5">
        <v>0</v>
      </c>
      <c r="F386" s="5">
        <v>382.84160000000003</v>
      </c>
      <c r="G386" s="5">
        <v>2775.6</v>
      </c>
      <c r="H386" s="5">
        <v>2775.6</v>
      </c>
      <c r="I386" s="5">
        <f t="shared" si="107"/>
        <v>2392.7600000000002</v>
      </c>
      <c r="J386" s="5"/>
      <c r="K386" s="5">
        <f t="shared" si="108"/>
        <v>2392.7600000000002</v>
      </c>
      <c r="L386" s="5">
        <f t="shared" si="109"/>
        <v>2775.6016000000004</v>
      </c>
      <c r="M386" s="5"/>
      <c r="N386" s="5">
        <f t="shared" si="110"/>
        <v>2775.6016000000004</v>
      </c>
      <c r="O386" s="21"/>
      <c r="P386" s="21"/>
      <c r="Q386" s="21"/>
      <c r="R386" s="21">
        <f t="shared" si="111"/>
        <v>0</v>
      </c>
      <c r="S386" s="21">
        <v>2392.7600000000002</v>
      </c>
      <c r="T386" s="21">
        <f t="shared" si="116"/>
        <v>0</v>
      </c>
      <c r="U386" s="21">
        <f t="shared" si="117"/>
        <v>382.84160000000003</v>
      </c>
      <c r="V386" s="21">
        <f t="shared" si="112"/>
        <v>2775.6016000000004</v>
      </c>
      <c r="W386" s="21"/>
      <c r="X386" s="5"/>
      <c r="Y386" s="5"/>
      <c r="Z386" s="5">
        <f t="shared" si="113"/>
        <v>0</v>
      </c>
      <c r="AA386" s="5">
        <v>22055.27</v>
      </c>
      <c r="AB386" s="5" t="s">
        <v>258</v>
      </c>
      <c r="AC386" s="5">
        <f t="shared" si="106"/>
        <v>2392.7600000000002</v>
      </c>
      <c r="AD386" s="5">
        <f t="shared" si="114"/>
        <v>2775.6016000000004</v>
      </c>
      <c r="AE386" s="5">
        <f t="shared" si="115"/>
        <v>-1.6000000005078618E-3</v>
      </c>
      <c r="AF386" s="5"/>
      <c r="AG386" s="5" t="s">
        <v>73</v>
      </c>
      <c r="AH386" s="5">
        <v>4</v>
      </c>
      <c r="AI386" s="5">
        <v>0</v>
      </c>
      <c r="AJ386" s="120" t="s">
        <v>386</v>
      </c>
      <c r="AK386" s="5" t="s">
        <v>256</v>
      </c>
      <c r="AL386" s="4" t="s">
        <v>90</v>
      </c>
      <c r="AM386" s="4" t="s">
        <v>67</v>
      </c>
      <c r="AN386" s="21"/>
      <c r="AO386" s="4"/>
      <c r="AP386" s="58"/>
      <c r="AQ386" s="58"/>
      <c r="AR386" s="23"/>
      <c r="AS386" s="23"/>
      <c r="AT386" s="4"/>
      <c r="AU386" s="4"/>
      <c r="AV386" s="4"/>
      <c r="AW386" s="4"/>
      <c r="AX386" s="9"/>
      <c r="AY386" s="9"/>
      <c r="AZ386" s="4"/>
      <c r="BB386" t="e">
        <f>VLOOKUP(B386,contactos!$A$1:$D$484,4,FALSE)</f>
        <v>#N/A</v>
      </c>
    </row>
    <row r="387" spans="2:54" customFormat="1" x14ac:dyDescent="0.25">
      <c r="B387" s="3">
        <v>44586</v>
      </c>
      <c r="C387" s="4" t="s">
        <v>686</v>
      </c>
      <c r="D387" s="5">
        <v>2761.5</v>
      </c>
      <c r="E387" s="5">
        <v>0</v>
      </c>
      <c r="F387" s="5">
        <v>0</v>
      </c>
      <c r="G387" s="5">
        <v>2761.5</v>
      </c>
      <c r="H387" s="5">
        <v>2761.5</v>
      </c>
      <c r="I387" s="5">
        <f t="shared" si="107"/>
        <v>2761.5</v>
      </c>
      <c r="J387" s="5"/>
      <c r="K387" s="5">
        <f t="shared" si="108"/>
        <v>2761.5</v>
      </c>
      <c r="L387" s="5">
        <f t="shared" si="109"/>
        <v>2761.5</v>
      </c>
      <c r="M387" s="5"/>
      <c r="N387" s="5">
        <f t="shared" si="110"/>
        <v>2761.5</v>
      </c>
      <c r="O387" s="21"/>
      <c r="P387" s="21"/>
      <c r="Q387" s="21"/>
      <c r="R387" s="21">
        <f t="shared" si="111"/>
        <v>0</v>
      </c>
      <c r="S387" s="21">
        <v>2761.5</v>
      </c>
      <c r="T387" s="21">
        <f t="shared" si="116"/>
        <v>0</v>
      </c>
      <c r="U387" s="21">
        <f t="shared" si="117"/>
        <v>0</v>
      </c>
      <c r="V387" s="21">
        <f t="shared" si="112"/>
        <v>2761.5</v>
      </c>
      <c r="W387" s="21"/>
      <c r="X387" s="5"/>
      <c r="Y387" s="5"/>
      <c r="Z387" s="5">
        <f t="shared" si="113"/>
        <v>0</v>
      </c>
      <c r="AA387" s="5">
        <v>62028.81</v>
      </c>
      <c r="AB387" s="5" t="s">
        <v>258</v>
      </c>
      <c r="AC387" s="5">
        <f t="shared" si="106"/>
        <v>2761.5</v>
      </c>
      <c r="AD387" s="5">
        <f t="shared" si="114"/>
        <v>2761.5</v>
      </c>
      <c r="AE387" s="5">
        <f t="shared" si="115"/>
        <v>0</v>
      </c>
      <c r="AF387" s="5"/>
      <c r="AG387" s="5" t="s">
        <v>73</v>
      </c>
      <c r="AH387" s="5">
        <v>4</v>
      </c>
      <c r="AI387" s="5">
        <v>0</v>
      </c>
      <c r="AJ387" s="5">
        <v>0</v>
      </c>
      <c r="AK387" s="5" t="s">
        <v>256</v>
      </c>
      <c r="AL387" s="4" t="s">
        <v>90</v>
      </c>
      <c r="AM387" s="4" t="s">
        <v>162</v>
      </c>
      <c r="AN387" s="21"/>
      <c r="AO387" s="4"/>
      <c r="AP387" s="58"/>
      <c r="AQ387" s="58"/>
      <c r="AR387" s="23"/>
      <c r="AS387" s="23"/>
      <c r="AT387" s="4"/>
      <c r="AU387" s="4"/>
      <c r="AV387" s="4"/>
      <c r="AW387" s="4"/>
      <c r="AX387" s="9"/>
      <c r="AY387" s="9"/>
      <c r="AZ387" s="4"/>
      <c r="BB387" t="e">
        <f>VLOOKUP(B387,contactos!$A$1:$D$484,4,FALSE)</f>
        <v>#N/A</v>
      </c>
    </row>
    <row r="388" spans="2:54" customFormat="1" x14ac:dyDescent="0.25">
      <c r="B388" s="3">
        <v>72231</v>
      </c>
      <c r="C388" s="4" t="s">
        <v>687</v>
      </c>
      <c r="D388" s="5">
        <v>2133.4499999999998</v>
      </c>
      <c r="E388" s="5">
        <v>0</v>
      </c>
      <c r="F388" s="5">
        <v>341.35199999999998</v>
      </c>
      <c r="G388" s="5">
        <v>2474.8000000000002</v>
      </c>
      <c r="H388" s="5">
        <v>2474.8000000000002</v>
      </c>
      <c r="I388" s="5">
        <f t="shared" si="107"/>
        <v>2133.4499999999998</v>
      </c>
      <c r="J388" s="5"/>
      <c r="K388" s="5">
        <f t="shared" si="108"/>
        <v>2133.4499999999998</v>
      </c>
      <c r="L388" s="5">
        <f t="shared" si="109"/>
        <v>2474.8019999999997</v>
      </c>
      <c r="M388" s="5"/>
      <c r="N388" s="5">
        <f t="shared" si="110"/>
        <v>2474.8019999999997</v>
      </c>
      <c r="O388" s="21"/>
      <c r="P388" s="21"/>
      <c r="Q388" s="21"/>
      <c r="R388" s="21">
        <f t="shared" si="111"/>
        <v>0</v>
      </c>
      <c r="S388" s="21">
        <v>2133.4499999999998</v>
      </c>
      <c r="T388" s="21">
        <f t="shared" si="116"/>
        <v>0</v>
      </c>
      <c r="U388" s="21">
        <f t="shared" si="117"/>
        <v>341.35199999999998</v>
      </c>
      <c r="V388" s="21">
        <f t="shared" si="112"/>
        <v>2474.8019999999997</v>
      </c>
      <c r="W388" s="21"/>
      <c r="X388" s="5"/>
      <c r="Y388" s="5"/>
      <c r="Z388" s="5">
        <f t="shared" si="113"/>
        <v>0</v>
      </c>
      <c r="AA388" s="5"/>
      <c r="AB388" s="5" t="s">
        <v>258</v>
      </c>
      <c r="AC388" s="5">
        <f t="shared" si="106"/>
        <v>2133.4499999999998</v>
      </c>
      <c r="AD388" s="5">
        <f t="shared" si="114"/>
        <v>2474.8019999999997</v>
      </c>
      <c r="AE388" s="5">
        <f t="shared" si="115"/>
        <v>-1.9999999994979589E-3</v>
      </c>
      <c r="AF388" s="5"/>
      <c r="AG388" s="5" t="s">
        <v>238</v>
      </c>
      <c r="AH388" s="5">
        <v>4</v>
      </c>
      <c r="AI388" s="5">
        <v>0</v>
      </c>
      <c r="AJ388" s="5">
        <v>0</v>
      </c>
      <c r="AK388" s="5" t="s">
        <v>256</v>
      </c>
      <c r="AL388" s="4" t="s">
        <v>90</v>
      </c>
      <c r="AM388" s="4" t="s">
        <v>107</v>
      </c>
      <c r="AN388" s="21"/>
      <c r="AO388" s="4"/>
      <c r="AP388" s="58"/>
      <c r="AQ388" s="58"/>
      <c r="AR388" s="23"/>
      <c r="AS388" s="23"/>
      <c r="AT388" s="4"/>
      <c r="AU388" s="4"/>
      <c r="AV388" s="4"/>
      <c r="AW388" s="4"/>
      <c r="AX388" s="9"/>
      <c r="AY388" s="9"/>
      <c r="AZ388" s="4"/>
      <c r="BB388" t="e">
        <f>VLOOKUP(B388,contactos!$A$1:$D$484,4,FALSE)</f>
        <v>#N/A</v>
      </c>
    </row>
    <row r="389" spans="2:54" customFormat="1" x14ac:dyDescent="0.25">
      <c r="B389" s="3">
        <v>306431</v>
      </c>
      <c r="C389" s="4" t="s">
        <v>688</v>
      </c>
      <c r="D389" s="5">
        <v>2428.41</v>
      </c>
      <c r="E389" s="5">
        <v>0</v>
      </c>
      <c r="F389" s="5">
        <v>0</v>
      </c>
      <c r="G389" s="5">
        <v>2428.41</v>
      </c>
      <c r="H389" s="5">
        <v>2428.41</v>
      </c>
      <c r="I389" s="5">
        <f t="shared" si="107"/>
        <v>2428.41</v>
      </c>
      <c r="J389" s="5"/>
      <c r="K389" s="5">
        <f t="shared" si="108"/>
        <v>2428.41</v>
      </c>
      <c r="L389" s="5">
        <f t="shared" si="109"/>
        <v>2428.41</v>
      </c>
      <c r="M389" s="5"/>
      <c r="N389" s="5">
        <f t="shared" si="110"/>
        <v>2428.41</v>
      </c>
      <c r="O389" s="21"/>
      <c r="P389" s="21"/>
      <c r="Q389" s="21"/>
      <c r="R389" s="21">
        <f t="shared" si="111"/>
        <v>0</v>
      </c>
      <c r="S389" s="21">
        <v>2428.41</v>
      </c>
      <c r="T389" s="21">
        <f t="shared" ref="T389:T420" si="118">E389-X389</f>
        <v>0</v>
      </c>
      <c r="U389" s="21">
        <f t="shared" si="117"/>
        <v>0</v>
      </c>
      <c r="V389" s="21">
        <f t="shared" si="112"/>
        <v>2428.41</v>
      </c>
      <c r="W389" s="21"/>
      <c r="X389" s="5"/>
      <c r="Y389" s="5"/>
      <c r="Z389" s="5">
        <f t="shared" si="113"/>
        <v>0</v>
      </c>
      <c r="AA389" s="5">
        <v>36224.01</v>
      </c>
      <c r="AB389" s="5" t="s">
        <v>258</v>
      </c>
      <c r="AC389" s="5">
        <f t="shared" si="106"/>
        <v>2428.41</v>
      </c>
      <c r="AD389" s="5">
        <f t="shared" si="114"/>
        <v>2428.41</v>
      </c>
      <c r="AE389" s="5">
        <f t="shared" si="115"/>
        <v>0</v>
      </c>
      <c r="AF389" s="5"/>
      <c r="AG389" s="5" t="s">
        <v>238</v>
      </c>
      <c r="AH389" s="5">
        <v>4</v>
      </c>
      <c r="AI389" s="5">
        <v>0</v>
      </c>
      <c r="AJ389" s="5">
        <v>0</v>
      </c>
      <c r="AK389" s="5" t="s">
        <v>256</v>
      </c>
      <c r="AL389" s="4" t="s">
        <v>90</v>
      </c>
      <c r="AM389" s="4" t="s">
        <v>112</v>
      </c>
      <c r="AN389" s="21"/>
      <c r="AO389" s="4"/>
      <c r="AP389" s="58"/>
      <c r="AQ389" s="58"/>
      <c r="AR389" s="23"/>
      <c r="AS389" s="23"/>
      <c r="AT389" s="4"/>
      <c r="AU389" s="4"/>
      <c r="AV389" s="4"/>
      <c r="AW389" s="4"/>
      <c r="AX389" s="9"/>
      <c r="AY389" s="9"/>
      <c r="AZ389" s="4"/>
      <c r="BB389" t="e">
        <f>VLOOKUP(B389,contactos!$A$1:$D$484,4,FALSE)</f>
        <v>#N/A</v>
      </c>
    </row>
    <row r="390" spans="2:54" customFormat="1" x14ac:dyDescent="0.25">
      <c r="B390" s="3">
        <v>21914</v>
      </c>
      <c r="C390" s="4" t="s">
        <v>689</v>
      </c>
      <c r="D390" s="5">
        <v>2379.5849784319994</v>
      </c>
      <c r="E390" s="5">
        <v>0</v>
      </c>
      <c r="F390" s="5">
        <v>0</v>
      </c>
      <c r="G390" s="5">
        <v>2379.58</v>
      </c>
      <c r="H390" s="5">
        <v>2379.58</v>
      </c>
      <c r="I390" s="5">
        <f t="shared" si="107"/>
        <v>2379.5849784319994</v>
      </c>
      <c r="J390" s="5"/>
      <c r="K390" s="5">
        <f t="shared" si="108"/>
        <v>2379.5849784319994</v>
      </c>
      <c r="L390" s="5">
        <f t="shared" si="109"/>
        <v>2379.5849784319994</v>
      </c>
      <c r="M390" s="5"/>
      <c r="N390" s="5">
        <f t="shared" si="110"/>
        <v>2379.5849784319994</v>
      </c>
      <c r="O390" s="21"/>
      <c r="P390" s="21"/>
      <c r="Q390" s="21"/>
      <c r="R390" s="21">
        <f t="shared" si="111"/>
        <v>0</v>
      </c>
      <c r="S390" s="21">
        <v>2379.5849784319994</v>
      </c>
      <c r="T390" s="21">
        <f t="shared" si="118"/>
        <v>0</v>
      </c>
      <c r="U390" s="21">
        <f t="shared" ref="U390:U421" si="119">F390-Y390</f>
        <v>0</v>
      </c>
      <c r="V390" s="21">
        <f t="shared" si="112"/>
        <v>2379.5849784319994</v>
      </c>
      <c r="W390" s="21"/>
      <c r="X390" s="5"/>
      <c r="Y390" s="5"/>
      <c r="Z390" s="5">
        <f t="shared" si="113"/>
        <v>0</v>
      </c>
      <c r="AA390" s="5">
        <v>22569.31</v>
      </c>
      <c r="AB390" s="5" t="s">
        <v>258</v>
      </c>
      <c r="AC390" s="5">
        <f t="shared" si="106"/>
        <v>2379.5849784319994</v>
      </c>
      <c r="AD390" s="5">
        <f t="shared" si="114"/>
        <v>2379.5849784319994</v>
      </c>
      <c r="AE390" s="5">
        <f t="shared" si="115"/>
        <v>-4.9784319994614634E-3</v>
      </c>
      <c r="AF390" s="5"/>
      <c r="AG390" s="5" t="s">
        <v>238</v>
      </c>
      <c r="AH390" s="5">
        <v>4</v>
      </c>
      <c r="AI390" s="5">
        <v>0</v>
      </c>
      <c r="AJ390" s="5">
        <v>0</v>
      </c>
      <c r="AK390" s="5" t="s">
        <v>256</v>
      </c>
      <c r="AL390" s="4" t="s">
        <v>90</v>
      </c>
      <c r="AM390" s="4" t="s">
        <v>91</v>
      </c>
      <c r="AN390" s="21"/>
      <c r="AO390" s="4"/>
      <c r="AP390" s="58"/>
      <c r="AQ390" s="58"/>
      <c r="AR390" s="23"/>
      <c r="AS390" s="23"/>
      <c r="AT390" s="4"/>
      <c r="AU390" s="4"/>
      <c r="AV390" s="4"/>
      <c r="AW390" s="4"/>
      <c r="AX390" s="9"/>
      <c r="AY390" s="9"/>
      <c r="AZ390" s="4"/>
      <c r="BB390" t="e">
        <f>VLOOKUP(B390,contactos!$A$1:$D$484,4,FALSE)</f>
        <v>#N/A</v>
      </c>
    </row>
    <row r="391" spans="2:54" customFormat="1" x14ac:dyDescent="0.25">
      <c r="B391" s="3">
        <v>86421</v>
      </c>
      <c r="C391" s="4" t="s">
        <v>690</v>
      </c>
      <c r="D391" s="5">
        <v>2167.2399999999998</v>
      </c>
      <c r="E391" s="5">
        <v>173.3792</v>
      </c>
      <c r="F391" s="5">
        <v>0</v>
      </c>
      <c r="G391" s="5">
        <v>2340.6</v>
      </c>
      <c r="H391" s="5">
        <v>2340.6</v>
      </c>
      <c r="I391" s="5">
        <f t="shared" si="107"/>
        <v>2167.2399999999998</v>
      </c>
      <c r="J391" s="5"/>
      <c r="K391" s="5">
        <f t="shared" si="108"/>
        <v>2167.2399999999998</v>
      </c>
      <c r="L391" s="5">
        <f t="shared" si="109"/>
        <v>2340.6191999999996</v>
      </c>
      <c r="M391" s="5"/>
      <c r="N391" s="5">
        <f t="shared" si="110"/>
        <v>2340.6191999999996</v>
      </c>
      <c r="O391" s="21"/>
      <c r="P391" s="21"/>
      <c r="Q391" s="21"/>
      <c r="R391" s="21">
        <f t="shared" si="111"/>
        <v>0</v>
      </c>
      <c r="S391" s="21">
        <v>2167.2399999999998</v>
      </c>
      <c r="T391" s="21">
        <f t="shared" si="118"/>
        <v>173.3792</v>
      </c>
      <c r="U391" s="21">
        <f t="shared" si="119"/>
        <v>0</v>
      </c>
      <c r="V391" s="21">
        <f t="shared" si="112"/>
        <v>2340.6191999999996</v>
      </c>
      <c r="W391" s="21"/>
      <c r="X391" s="5"/>
      <c r="Y391" s="5"/>
      <c r="Z391" s="5">
        <f t="shared" si="113"/>
        <v>0</v>
      </c>
      <c r="AA391" s="5">
        <v>27849.919999999998</v>
      </c>
      <c r="AB391" s="5" t="s">
        <v>258</v>
      </c>
      <c r="AC391" s="5">
        <f t="shared" ref="AC391:AC438" si="120">O391+S391+W391</f>
        <v>2167.2399999999998</v>
      </c>
      <c r="AD391" s="5">
        <f t="shared" si="114"/>
        <v>2340.6191999999996</v>
      </c>
      <c r="AE391" s="5">
        <f t="shared" si="115"/>
        <v>-1.9199999999727879E-2</v>
      </c>
      <c r="AF391" s="5"/>
      <c r="AG391" s="5" t="s">
        <v>238</v>
      </c>
      <c r="AH391" s="5">
        <v>4</v>
      </c>
      <c r="AI391" s="5">
        <v>0</v>
      </c>
      <c r="AJ391" s="5" t="s">
        <v>279</v>
      </c>
      <c r="AK391" s="5" t="s">
        <v>256</v>
      </c>
      <c r="AL391" s="4" t="s">
        <v>90</v>
      </c>
      <c r="AM391" s="4" t="s">
        <v>119</v>
      </c>
      <c r="AN391" s="21"/>
      <c r="AO391" s="4"/>
      <c r="AP391" s="58"/>
      <c r="AQ391" s="58"/>
      <c r="AR391" s="23"/>
      <c r="AS391" s="23"/>
      <c r="AT391" s="4"/>
      <c r="AU391" s="4"/>
      <c r="AV391" s="4"/>
      <c r="AW391" s="4"/>
      <c r="AX391" s="9"/>
      <c r="AY391" s="9"/>
      <c r="AZ391" s="4"/>
      <c r="BB391" t="e">
        <f>VLOOKUP(B391,contactos!$A$1:$D$484,4,FALSE)</f>
        <v>#N/A</v>
      </c>
    </row>
    <row r="392" spans="2:54" customFormat="1" x14ac:dyDescent="0.25">
      <c r="B392" s="131">
        <v>349019</v>
      </c>
      <c r="C392" s="4" t="s">
        <v>691</v>
      </c>
      <c r="D392" s="5">
        <v>2078.48</v>
      </c>
      <c r="E392" s="5">
        <v>0</v>
      </c>
      <c r="F392" s="5">
        <v>0</v>
      </c>
      <c r="G392" s="5">
        <v>2078.48</v>
      </c>
      <c r="H392" s="5">
        <v>2078.48</v>
      </c>
      <c r="I392" s="5">
        <f t="shared" ref="I392:I438" si="121">O392+S392</f>
        <v>2078.48</v>
      </c>
      <c r="J392" s="5"/>
      <c r="K392" s="5">
        <f t="shared" ref="K392:K438" si="122">I392-J392</f>
        <v>2078.48</v>
      </c>
      <c r="L392" s="5">
        <f t="shared" ref="L392:L438" si="123">R392+V392</f>
        <v>2078.48</v>
      </c>
      <c r="M392" s="5"/>
      <c r="N392" s="5">
        <f t="shared" ref="N392:N438" si="124">L392-M392</f>
        <v>2078.48</v>
      </c>
      <c r="O392" s="21"/>
      <c r="P392" s="21"/>
      <c r="Q392" s="21"/>
      <c r="R392" s="21">
        <f t="shared" ref="R392:R438" si="125">SUM(O392:Q392)</f>
        <v>0</v>
      </c>
      <c r="S392" s="21">
        <v>2078.48</v>
      </c>
      <c r="T392" s="21">
        <f t="shared" si="118"/>
        <v>0</v>
      </c>
      <c r="U392" s="21">
        <f t="shared" si="119"/>
        <v>0</v>
      </c>
      <c r="V392" s="21">
        <f t="shared" ref="V392:V438" si="126">SUM(S392:U392)</f>
        <v>2078.48</v>
      </c>
      <c r="W392" s="21"/>
      <c r="X392" s="5"/>
      <c r="Y392" s="5"/>
      <c r="Z392" s="5">
        <f t="shared" ref="Z392:Z438" si="127">SUM(W392:Y392)</f>
        <v>0</v>
      </c>
      <c r="AA392" s="5">
        <v>129263.89</v>
      </c>
      <c r="AB392" s="5" t="s">
        <v>258</v>
      </c>
      <c r="AC392" s="5">
        <f t="shared" si="120"/>
        <v>2078.48</v>
      </c>
      <c r="AD392" s="5">
        <f t="shared" ref="AD392:AD438" si="128">R392+V392+Z392</f>
        <v>2078.48</v>
      </c>
      <c r="AE392" s="5">
        <f t="shared" ref="AE392:AE438" si="129">G392-AD392</f>
        <v>0</v>
      </c>
      <c r="AF392" s="5"/>
      <c r="AG392" s="5" t="s">
        <v>238</v>
      </c>
      <c r="AH392" s="5">
        <v>4</v>
      </c>
      <c r="AI392" s="5">
        <v>0</v>
      </c>
      <c r="AJ392" s="5">
        <v>0</v>
      </c>
      <c r="AK392" s="5" t="s">
        <v>256</v>
      </c>
      <c r="AL392" s="4" t="s">
        <v>90</v>
      </c>
      <c r="AM392" s="6" t="s">
        <v>103</v>
      </c>
      <c r="AN392" s="21"/>
      <c r="AO392" s="4"/>
      <c r="AP392" s="58"/>
      <c r="AQ392" s="58"/>
      <c r="AR392" s="23"/>
      <c r="AS392" s="23"/>
      <c r="AT392" s="4"/>
      <c r="AU392" s="4"/>
      <c r="AV392" s="52"/>
      <c r="AW392" s="52"/>
      <c r="AX392" s="9"/>
      <c r="AY392" s="9"/>
      <c r="AZ392" s="4"/>
      <c r="BB392" t="e">
        <f>VLOOKUP(B392,contactos!$A$1:$D$484,4,FALSE)</f>
        <v>#N/A</v>
      </c>
    </row>
    <row r="393" spans="2:54" customFormat="1" x14ac:dyDescent="0.25">
      <c r="B393" s="3">
        <v>21109</v>
      </c>
      <c r="C393" s="4" t="s">
        <v>692</v>
      </c>
      <c r="D393" s="5">
        <v>1349.39</v>
      </c>
      <c r="E393" s="5">
        <v>357.58850000000001</v>
      </c>
      <c r="F393" s="5">
        <v>273.11650000000003</v>
      </c>
      <c r="G393" s="5">
        <v>1980.1</v>
      </c>
      <c r="H393" s="5">
        <v>1980.1</v>
      </c>
      <c r="I393" s="5">
        <f t="shared" si="121"/>
        <v>1349.39</v>
      </c>
      <c r="J393" s="5"/>
      <c r="K393" s="5">
        <f t="shared" si="122"/>
        <v>1349.39</v>
      </c>
      <c r="L393" s="5">
        <f t="shared" si="123"/>
        <v>1980.0950000000003</v>
      </c>
      <c r="M393" s="5"/>
      <c r="N393" s="5">
        <f t="shared" si="124"/>
        <v>1980.0950000000003</v>
      </c>
      <c r="O393" s="21"/>
      <c r="P393" s="21"/>
      <c r="Q393" s="21"/>
      <c r="R393" s="21">
        <f t="shared" si="125"/>
        <v>0</v>
      </c>
      <c r="S393" s="21">
        <v>1349.39</v>
      </c>
      <c r="T393" s="21">
        <f t="shared" si="118"/>
        <v>357.58850000000001</v>
      </c>
      <c r="U393" s="21">
        <f t="shared" si="119"/>
        <v>273.11650000000003</v>
      </c>
      <c r="V393" s="21">
        <f t="shared" si="126"/>
        <v>1980.0950000000003</v>
      </c>
      <c r="W393" s="21"/>
      <c r="X393" s="5"/>
      <c r="Y393" s="5"/>
      <c r="Z393" s="5">
        <f t="shared" si="127"/>
        <v>0</v>
      </c>
      <c r="AA393" s="5">
        <v>8768.65</v>
      </c>
      <c r="AB393" s="5" t="s">
        <v>258</v>
      </c>
      <c r="AC393" s="5">
        <f t="shared" si="120"/>
        <v>1349.39</v>
      </c>
      <c r="AD393" s="5">
        <f t="shared" si="128"/>
        <v>1980.0950000000003</v>
      </c>
      <c r="AE393" s="5">
        <f t="shared" si="129"/>
        <v>4.999999999654392E-3</v>
      </c>
      <c r="AF393" s="5"/>
      <c r="AG393" s="5" t="s">
        <v>238</v>
      </c>
      <c r="AH393" s="5">
        <v>4</v>
      </c>
      <c r="AI393" s="5">
        <v>0</v>
      </c>
      <c r="AJ393" s="5">
        <v>0</v>
      </c>
      <c r="AK393" s="5" t="s">
        <v>256</v>
      </c>
      <c r="AL393" s="4" t="s">
        <v>90</v>
      </c>
      <c r="AM393" s="4" t="s">
        <v>67</v>
      </c>
      <c r="AN393" s="21"/>
      <c r="AO393" s="4"/>
      <c r="AP393" s="58"/>
      <c r="AQ393" s="58"/>
      <c r="AR393" s="23"/>
      <c r="AS393" s="23"/>
      <c r="AT393" s="4"/>
      <c r="AU393" s="4"/>
      <c r="AV393" s="4"/>
      <c r="AW393" s="4"/>
      <c r="AX393" s="9"/>
      <c r="AY393" s="9"/>
      <c r="AZ393" s="4"/>
      <c r="BB393" t="e">
        <f>VLOOKUP(B393,contactos!$A$1:$D$484,4,FALSE)</f>
        <v>#N/A</v>
      </c>
    </row>
    <row r="394" spans="2:54" customFormat="1" x14ac:dyDescent="0.25">
      <c r="B394" s="3">
        <v>20949</v>
      </c>
      <c r="C394" s="4" t="s">
        <v>693</v>
      </c>
      <c r="D394" s="5">
        <v>1690.3704882540069</v>
      </c>
      <c r="E394" s="5">
        <v>0</v>
      </c>
      <c r="F394" s="5">
        <v>270.45927812064002</v>
      </c>
      <c r="G394" s="5">
        <v>1960.83</v>
      </c>
      <c r="H394" s="5">
        <v>1960.83</v>
      </c>
      <c r="I394" s="5">
        <f t="shared" si="121"/>
        <v>1690.3704882540069</v>
      </c>
      <c r="J394" s="5"/>
      <c r="K394" s="5">
        <f t="shared" si="122"/>
        <v>1690.3704882540069</v>
      </c>
      <c r="L394" s="5">
        <f t="shared" si="123"/>
        <v>1960.8297663746469</v>
      </c>
      <c r="M394" s="5"/>
      <c r="N394" s="5">
        <f t="shared" si="124"/>
        <v>1960.8297663746469</v>
      </c>
      <c r="O394" s="21"/>
      <c r="P394" s="21"/>
      <c r="Q394" s="21"/>
      <c r="R394" s="21">
        <f t="shared" si="125"/>
        <v>0</v>
      </c>
      <c r="S394" s="21">
        <v>1690.3704882540069</v>
      </c>
      <c r="T394" s="21">
        <f t="shared" si="118"/>
        <v>0</v>
      </c>
      <c r="U394" s="21">
        <f t="shared" si="119"/>
        <v>270.45927812064002</v>
      </c>
      <c r="V394" s="21">
        <f t="shared" si="126"/>
        <v>1960.8297663746469</v>
      </c>
      <c r="W394" s="21"/>
      <c r="X394" s="5"/>
      <c r="Y394" s="5"/>
      <c r="Z394" s="5">
        <f t="shared" si="127"/>
        <v>0</v>
      </c>
      <c r="AA394" s="5"/>
      <c r="AB394" s="5" t="s">
        <v>258</v>
      </c>
      <c r="AC394" s="5">
        <f t="shared" si="120"/>
        <v>1690.3704882540069</v>
      </c>
      <c r="AD394" s="5">
        <f t="shared" si="128"/>
        <v>1960.8297663746469</v>
      </c>
      <c r="AE394" s="5">
        <f t="shared" si="129"/>
        <v>2.3362535307569487E-4</v>
      </c>
      <c r="AF394" s="5"/>
      <c r="AG394" s="5" t="s">
        <v>73</v>
      </c>
      <c r="AH394" s="5">
        <v>4</v>
      </c>
      <c r="AI394" s="5">
        <v>0</v>
      </c>
      <c r="AJ394" s="120" t="s">
        <v>296</v>
      </c>
      <c r="AK394" s="5" t="s">
        <v>256</v>
      </c>
      <c r="AL394" s="4" t="s">
        <v>90</v>
      </c>
      <c r="AM394" s="4" t="s">
        <v>216</v>
      </c>
      <c r="AN394" s="21"/>
      <c r="AO394" s="4"/>
      <c r="AP394" s="58"/>
      <c r="AQ394" s="58"/>
      <c r="AR394" s="23"/>
      <c r="AS394" s="23"/>
      <c r="AT394" s="4"/>
      <c r="AU394" s="4"/>
      <c r="AV394" s="4"/>
      <c r="AW394" s="4"/>
      <c r="AX394" s="9"/>
      <c r="AY394" s="9"/>
      <c r="AZ394" s="4"/>
      <c r="BB394" t="str">
        <f>VLOOKUP(B394,contactos!$A$1:$D$484,4,FALSE)</f>
        <v>chuyroga@gmail.com</v>
      </c>
    </row>
    <row r="395" spans="2:54" customFormat="1" x14ac:dyDescent="0.25">
      <c r="B395" s="3">
        <v>682</v>
      </c>
      <c r="C395" s="4" t="s">
        <v>694</v>
      </c>
      <c r="D395" s="5">
        <v>1914.7600000000002</v>
      </c>
      <c r="E395" s="5">
        <v>0</v>
      </c>
      <c r="F395" s="5">
        <v>0</v>
      </c>
      <c r="G395" s="5">
        <v>1914.7600000000002</v>
      </c>
      <c r="H395" s="5">
        <v>1914.76</v>
      </c>
      <c r="I395" s="5">
        <f t="shared" si="121"/>
        <v>1914.7600000000002</v>
      </c>
      <c r="J395" s="5"/>
      <c r="K395" s="5">
        <f t="shared" si="122"/>
        <v>1914.7600000000002</v>
      </c>
      <c r="L395" s="5">
        <f t="shared" si="123"/>
        <v>1914.7600000000002</v>
      </c>
      <c r="M395" s="5"/>
      <c r="N395" s="5">
        <f t="shared" si="124"/>
        <v>1914.7600000000002</v>
      </c>
      <c r="O395" s="21"/>
      <c r="P395" s="21"/>
      <c r="Q395" s="21"/>
      <c r="R395" s="21">
        <f t="shared" si="125"/>
        <v>0</v>
      </c>
      <c r="S395" s="21">
        <v>1914.7600000000002</v>
      </c>
      <c r="T395" s="21">
        <f t="shared" si="118"/>
        <v>0</v>
      </c>
      <c r="U395" s="21">
        <f t="shared" si="119"/>
        <v>0</v>
      </c>
      <c r="V395" s="21">
        <f t="shared" si="126"/>
        <v>1914.7600000000002</v>
      </c>
      <c r="W395" s="21"/>
      <c r="X395" s="5"/>
      <c r="Y395" s="5"/>
      <c r="Z395" s="5">
        <f t="shared" si="127"/>
        <v>0</v>
      </c>
      <c r="AA395" s="5">
        <v>7976.35</v>
      </c>
      <c r="AB395" s="5" t="s">
        <v>258</v>
      </c>
      <c r="AC395" s="5">
        <f t="shared" si="120"/>
        <v>1914.7600000000002</v>
      </c>
      <c r="AD395" s="5">
        <f t="shared" si="128"/>
        <v>1914.7600000000002</v>
      </c>
      <c r="AE395" s="5">
        <f t="shared" si="129"/>
        <v>0</v>
      </c>
      <c r="AF395" s="5"/>
      <c r="AG395" s="5" t="s">
        <v>238</v>
      </c>
      <c r="AH395" s="5">
        <v>4</v>
      </c>
      <c r="AI395" s="5">
        <v>0</v>
      </c>
      <c r="AJ395" s="5">
        <v>0</v>
      </c>
      <c r="AK395" s="5" t="s">
        <v>256</v>
      </c>
      <c r="AL395" s="4" t="s">
        <v>90</v>
      </c>
      <c r="AM395" s="4" t="s">
        <v>137</v>
      </c>
      <c r="AN395" s="21"/>
      <c r="AO395" s="4"/>
      <c r="AP395" s="58"/>
      <c r="AQ395" s="58"/>
      <c r="AR395" s="23"/>
      <c r="AS395" s="23"/>
      <c r="AT395" s="4"/>
      <c r="AU395" s="4"/>
      <c r="AV395" s="4"/>
      <c r="AW395" s="4"/>
      <c r="AX395" s="9"/>
      <c r="AY395" s="9"/>
      <c r="AZ395" s="4"/>
      <c r="BB395" t="e">
        <f>VLOOKUP(B395,contactos!$A$1:$D$484,4,FALSE)</f>
        <v>#N/A</v>
      </c>
    </row>
    <row r="396" spans="2:54" customFormat="1" x14ac:dyDescent="0.25">
      <c r="B396" s="3">
        <v>21783</v>
      </c>
      <c r="C396" s="4" t="s">
        <v>695</v>
      </c>
      <c r="D396" s="5">
        <v>1338.3</v>
      </c>
      <c r="E396" s="5">
        <v>0</v>
      </c>
      <c r="F396" s="5">
        <v>214.12799999999999</v>
      </c>
      <c r="G396" s="5">
        <v>1552.43</v>
      </c>
      <c r="H396" s="5">
        <v>0</v>
      </c>
      <c r="I396" s="5">
        <f t="shared" si="121"/>
        <v>1338.3</v>
      </c>
      <c r="J396" s="5"/>
      <c r="K396" s="5">
        <f t="shared" si="122"/>
        <v>1338.3</v>
      </c>
      <c r="L396" s="5">
        <f t="shared" si="123"/>
        <v>1552.4279999999999</v>
      </c>
      <c r="M396" s="5"/>
      <c r="N396" s="5">
        <f t="shared" si="124"/>
        <v>1552.4279999999999</v>
      </c>
      <c r="O396" s="21"/>
      <c r="P396" s="21"/>
      <c r="Q396" s="21"/>
      <c r="R396" s="21">
        <f t="shared" si="125"/>
        <v>0</v>
      </c>
      <c r="S396" s="21">
        <v>1338.3</v>
      </c>
      <c r="T396" s="21">
        <f t="shared" si="118"/>
        <v>0</v>
      </c>
      <c r="U396" s="21">
        <f t="shared" si="119"/>
        <v>214.12799999999999</v>
      </c>
      <c r="V396" s="21">
        <f t="shared" si="126"/>
        <v>1552.4279999999999</v>
      </c>
      <c r="W396" s="21"/>
      <c r="X396" s="5"/>
      <c r="Y396" s="5"/>
      <c r="Z396" s="5">
        <f t="shared" si="127"/>
        <v>0</v>
      </c>
      <c r="AA396" s="5">
        <v>87.6</v>
      </c>
      <c r="AB396" s="5" t="s">
        <v>258</v>
      </c>
      <c r="AC396" s="5">
        <f t="shared" si="120"/>
        <v>1338.3</v>
      </c>
      <c r="AD396" s="5">
        <f t="shared" si="128"/>
        <v>1552.4279999999999</v>
      </c>
      <c r="AE396" s="5">
        <f t="shared" si="129"/>
        <v>2.00000000018008E-3</v>
      </c>
      <c r="AF396" s="5"/>
      <c r="AG396" s="5" t="s">
        <v>73</v>
      </c>
      <c r="AH396" s="5">
        <v>4</v>
      </c>
      <c r="AI396" s="5">
        <v>0</v>
      </c>
      <c r="AJ396" s="120" t="s">
        <v>386</v>
      </c>
      <c r="AK396" s="5" t="s">
        <v>256</v>
      </c>
      <c r="AL396" s="4" t="s">
        <v>90</v>
      </c>
      <c r="AM396" s="4" t="s">
        <v>67</v>
      </c>
      <c r="AN396" s="21"/>
      <c r="AO396" s="4"/>
      <c r="AP396" s="58"/>
      <c r="AQ396" s="58"/>
      <c r="AR396" s="23"/>
      <c r="AS396" s="23"/>
      <c r="AT396" s="4"/>
      <c r="AU396" s="4"/>
      <c r="AV396" s="4"/>
      <c r="AW396" s="4"/>
      <c r="AX396" s="9"/>
      <c r="AY396" s="9"/>
      <c r="AZ396" s="4"/>
      <c r="BB396" t="e">
        <f>VLOOKUP(B396,contactos!$A$1:$D$484,4,FALSE)</f>
        <v>#N/A</v>
      </c>
    </row>
    <row r="397" spans="2:54" customFormat="1" x14ac:dyDescent="0.25">
      <c r="B397" s="3">
        <v>10426</v>
      </c>
      <c r="C397" s="4" t="s">
        <v>696</v>
      </c>
      <c r="D397" s="5">
        <v>1330.04</v>
      </c>
      <c r="E397" s="5">
        <v>0</v>
      </c>
      <c r="F397" s="5">
        <v>212.8064</v>
      </c>
      <c r="G397" s="5">
        <v>1542.85</v>
      </c>
      <c r="H397" s="5">
        <v>1542.85</v>
      </c>
      <c r="I397" s="5">
        <f t="shared" si="121"/>
        <v>1330.04</v>
      </c>
      <c r="J397" s="5"/>
      <c r="K397" s="5">
        <f t="shared" si="122"/>
        <v>1330.04</v>
      </c>
      <c r="L397" s="5">
        <f t="shared" si="123"/>
        <v>1542.8463999999999</v>
      </c>
      <c r="M397" s="5"/>
      <c r="N397" s="5">
        <f t="shared" si="124"/>
        <v>1542.8463999999999</v>
      </c>
      <c r="O397" s="21"/>
      <c r="P397" s="21"/>
      <c r="Q397" s="21"/>
      <c r="R397" s="21">
        <f t="shared" si="125"/>
        <v>0</v>
      </c>
      <c r="S397" s="21">
        <v>1330.04</v>
      </c>
      <c r="T397" s="21">
        <f t="shared" si="118"/>
        <v>0</v>
      </c>
      <c r="U397" s="21">
        <f t="shared" si="119"/>
        <v>212.8064</v>
      </c>
      <c r="V397" s="21">
        <f t="shared" si="126"/>
        <v>1542.8463999999999</v>
      </c>
      <c r="W397" s="21"/>
      <c r="X397" s="5"/>
      <c r="Y397" s="5"/>
      <c r="Z397" s="5">
        <f t="shared" si="127"/>
        <v>0</v>
      </c>
      <c r="AA397" s="5"/>
      <c r="AB397" s="5" t="s">
        <v>258</v>
      </c>
      <c r="AC397" s="5">
        <f t="shared" si="120"/>
        <v>1330.04</v>
      </c>
      <c r="AD397" s="5">
        <f t="shared" si="128"/>
        <v>1542.8463999999999</v>
      </c>
      <c r="AE397" s="5">
        <f t="shared" si="129"/>
        <v>3.6000000000058208E-3</v>
      </c>
      <c r="AF397" s="5"/>
      <c r="AG397" s="5" t="s">
        <v>238</v>
      </c>
      <c r="AH397" s="5">
        <v>4</v>
      </c>
      <c r="AI397" s="5">
        <v>0</v>
      </c>
      <c r="AJ397" s="5">
        <v>0</v>
      </c>
      <c r="AK397" s="5" t="s">
        <v>256</v>
      </c>
      <c r="AL397" s="4" t="s">
        <v>90</v>
      </c>
      <c r="AM397" s="4" t="s">
        <v>162</v>
      </c>
      <c r="AN397" s="21"/>
      <c r="AO397" s="4"/>
      <c r="AP397" s="58"/>
      <c r="AQ397" s="58"/>
      <c r="AR397" s="23"/>
      <c r="AS397" s="23"/>
      <c r="AT397" s="4"/>
      <c r="AU397" s="4"/>
      <c r="AV397" s="4"/>
      <c r="AW397" s="4"/>
      <c r="AX397" s="9"/>
      <c r="AY397" s="9"/>
      <c r="AZ397" s="4"/>
      <c r="BB397" t="e">
        <f>VLOOKUP(B397,contactos!$A$1:$D$484,4,FALSE)</f>
        <v>#N/A</v>
      </c>
    </row>
    <row r="398" spans="2:54" customFormat="1" x14ac:dyDescent="0.25">
      <c r="B398" s="3">
        <v>34280</v>
      </c>
      <c r="C398" s="4" t="s">
        <v>697</v>
      </c>
      <c r="D398" s="5">
        <v>1192.7179900620001</v>
      </c>
      <c r="E398" s="5">
        <v>0</v>
      </c>
      <c r="F398" s="5">
        <v>190.83487840991998</v>
      </c>
      <c r="G398" s="5">
        <v>1383.5600000000002</v>
      </c>
      <c r="H398" s="5">
        <v>0</v>
      </c>
      <c r="I398" s="5">
        <f t="shared" si="121"/>
        <v>1192.7179900620001</v>
      </c>
      <c r="J398" s="5"/>
      <c r="K398" s="5">
        <f t="shared" si="122"/>
        <v>1192.7179900620001</v>
      </c>
      <c r="L398" s="5">
        <f t="shared" si="123"/>
        <v>1383.5528684719202</v>
      </c>
      <c r="M398" s="5"/>
      <c r="N398" s="5">
        <f t="shared" si="124"/>
        <v>1383.5528684719202</v>
      </c>
      <c r="O398" s="21"/>
      <c r="P398" s="21"/>
      <c r="Q398" s="21"/>
      <c r="R398" s="21">
        <f t="shared" si="125"/>
        <v>0</v>
      </c>
      <c r="S398" s="21">
        <v>1192.7179900620001</v>
      </c>
      <c r="T398" s="21">
        <f t="shared" si="118"/>
        <v>0</v>
      </c>
      <c r="U398" s="21">
        <f t="shared" si="119"/>
        <v>190.83487840991998</v>
      </c>
      <c r="V398" s="21">
        <f t="shared" si="126"/>
        <v>1383.5528684719202</v>
      </c>
      <c r="W398" s="21"/>
      <c r="X398" s="5"/>
      <c r="Y398" s="5"/>
      <c r="Z398" s="5">
        <f t="shared" si="127"/>
        <v>0</v>
      </c>
      <c r="AA398" s="5">
        <v>138445.45000000001</v>
      </c>
      <c r="AB398" s="5" t="s">
        <v>258</v>
      </c>
      <c r="AC398" s="5">
        <f t="shared" si="120"/>
        <v>1192.7179900620001</v>
      </c>
      <c r="AD398" s="5">
        <f t="shared" si="128"/>
        <v>1383.5528684719202</v>
      </c>
      <c r="AE398" s="5">
        <f t="shared" si="129"/>
        <v>7.1315280799808534E-3</v>
      </c>
      <c r="AF398" s="5"/>
      <c r="AG398" s="5" t="s">
        <v>73</v>
      </c>
      <c r="AH398" s="5">
        <v>4</v>
      </c>
      <c r="AI398" s="5">
        <v>0</v>
      </c>
      <c r="AJ398" s="5">
        <v>0</v>
      </c>
      <c r="AK398" s="5" t="s">
        <v>256</v>
      </c>
      <c r="AL398" s="4" t="s">
        <v>90</v>
      </c>
      <c r="AM398" s="4" t="s">
        <v>107</v>
      </c>
      <c r="AN398" s="21"/>
      <c r="AO398" s="4"/>
      <c r="AP398" s="58"/>
      <c r="AQ398" s="58"/>
      <c r="AR398" s="23"/>
      <c r="AS398" s="23"/>
      <c r="AT398" s="4"/>
      <c r="AU398" s="4"/>
      <c r="AV398" s="4"/>
      <c r="AW398" s="4"/>
      <c r="AX398" s="9"/>
      <c r="AY398" s="9"/>
      <c r="AZ398" s="4"/>
      <c r="BB398" t="str">
        <f>VLOOKUP(B398,contactos!$A$1:$D$484,4,FALSE)</f>
        <v>clientes.principales@gcalco.com.mx</v>
      </c>
    </row>
    <row r="399" spans="2:54" customFormat="1" x14ac:dyDescent="0.25">
      <c r="B399" s="3">
        <v>19196</v>
      </c>
      <c r="C399" s="4" t="s">
        <v>698</v>
      </c>
      <c r="D399" s="5">
        <v>1187.3200000000002</v>
      </c>
      <c r="E399" s="5">
        <v>0</v>
      </c>
      <c r="F399" s="5">
        <v>189.9588</v>
      </c>
      <c r="G399" s="5">
        <v>1377.27</v>
      </c>
      <c r="H399" s="5">
        <v>1377.27</v>
      </c>
      <c r="I399" s="5">
        <f t="shared" si="121"/>
        <v>1187.3200000000002</v>
      </c>
      <c r="J399" s="5"/>
      <c r="K399" s="5">
        <f t="shared" si="122"/>
        <v>1187.3200000000002</v>
      </c>
      <c r="L399" s="5">
        <f t="shared" si="123"/>
        <v>1377.2788</v>
      </c>
      <c r="M399" s="5"/>
      <c r="N399" s="5">
        <f t="shared" si="124"/>
        <v>1377.2788</v>
      </c>
      <c r="O399" s="21"/>
      <c r="P399" s="21"/>
      <c r="Q399" s="21"/>
      <c r="R399" s="21">
        <f t="shared" si="125"/>
        <v>0</v>
      </c>
      <c r="S399" s="21">
        <v>1187.3200000000002</v>
      </c>
      <c r="T399" s="21">
        <f t="shared" si="118"/>
        <v>0</v>
      </c>
      <c r="U399" s="21">
        <f t="shared" si="119"/>
        <v>189.9588</v>
      </c>
      <c r="V399" s="21">
        <f t="shared" si="126"/>
        <v>1377.2788</v>
      </c>
      <c r="W399" s="21"/>
      <c r="X399" s="5"/>
      <c r="Y399" s="5"/>
      <c r="Z399" s="5">
        <f t="shared" si="127"/>
        <v>0</v>
      </c>
      <c r="AA399" s="5">
        <v>60787.42</v>
      </c>
      <c r="AB399" s="5" t="s">
        <v>258</v>
      </c>
      <c r="AC399" s="5">
        <f t="shared" si="120"/>
        <v>1187.3200000000002</v>
      </c>
      <c r="AD399" s="5">
        <f t="shared" si="128"/>
        <v>1377.2788</v>
      </c>
      <c r="AE399" s="5">
        <f t="shared" si="129"/>
        <v>-8.800000000064756E-3</v>
      </c>
      <c r="AF399" s="5"/>
      <c r="AG399" s="5" t="s">
        <v>73</v>
      </c>
      <c r="AH399" s="5">
        <v>4</v>
      </c>
      <c r="AI399" s="5">
        <v>0</v>
      </c>
      <c r="AJ399" s="5">
        <v>0</v>
      </c>
      <c r="AK399" s="5" t="s">
        <v>256</v>
      </c>
      <c r="AL399" s="4" t="s">
        <v>90</v>
      </c>
      <c r="AM399" s="4" t="s">
        <v>112</v>
      </c>
      <c r="AN399" s="21"/>
      <c r="AO399" s="4"/>
      <c r="AP399" s="58"/>
      <c r="AQ399" s="58"/>
      <c r="AR399" s="23"/>
      <c r="AS399" s="23"/>
      <c r="AT399" s="4"/>
      <c r="AU399" s="4"/>
      <c r="AV399" s="4"/>
      <c r="AW399" s="4"/>
      <c r="AX399" s="9"/>
      <c r="AY399" s="9"/>
      <c r="AZ399" s="4"/>
      <c r="BB399" t="e">
        <f>VLOOKUP(B399,contactos!$A$1:$D$484,4,FALSE)</f>
        <v>#N/A</v>
      </c>
    </row>
    <row r="400" spans="2:54" customFormat="1" x14ac:dyDescent="0.25">
      <c r="B400" s="3">
        <v>2717</v>
      </c>
      <c r="C400" s="4" t="s">
        <v>699</v>
      </c>
      <c r="D400" s="5">
        <v>1011.61</v>
      </c>
      <c r="E400" s="5">
        <v>0</v>
      </c>
      <c r="F400" s="5">
        <v>161.85759999999999</v>
      </c>
      <c r="G400" s="5">
        <v>1173.48</v>
      </c>
      <c r="H400" s="5">
        <v>1173.48</v>
      </c>
      <c r="I400" s="5">
        <f t="shared" si="121"/>
        <v>1011.61</v>
      </c>
      <c r="J400" s="5"/>
      <c r="K400" s="5">
        <f t="shared" si="122"/>
        <v>1011.61</v>
      </c>
      <c r="L400" s="5">
        <f t="shared" si="123"/>
        <v>1173.4675999999999</v>
      </c>
      <c r="M400" s="5"/>
      <c r="N400" s="5">
        <f t="shared" si="124"/>
        <v>1173.4675999999999</v>
      </c>
      <c r="O400" s="21"/>
      <c r="P400" s="21"/>
      <c r="Q400" s="21"/>
      <c r="R400" s="21">
        <f t="shared" si="125"/>
        <v>0</v>
      </c>
      <c r="S400" s="21">
        <v>1011.61</v>
      </c>
      <c r="T400" s="21">
        <f t="shared" si="118"/>
        <v>0</v>
      </c>
      <c r="U400" s="21">
        <f t="shared" si="119"/>
        <v>161.85759999999999</v>
      </c>
      <c r="V400" s="21">
        <f t="shared" si="126"/>
        <v>1173.4675999999999</v>
      </c>
      <c r="W400" s="21"/>
      <c r="X400" s="5"/>
      <c r="Y400" s="5"/>
      <c r="Z400" s="5">
        <f t="shared" si="127"/>
        <v>0</v>
      </c>
      <c r="AA400" s="5">
        <v>180.59</v>
      </c>
      <c r="AB400" s="5" t="s">
        <v>258</v>
      </c>
      <c r="AC400" s="5">
        <f t="shared" si="120"/>
        <v>1011.61</v>
      </c>
      <c r="AD400" s="5">
        <f t="shared" si="128"/>
        <v>1173.4675999999999</v>
      </c>
      <c r="AE400" s="5">
        <f t="shared" si="129"/>
        <v>1.2400000000070577E-2</v>
      </c>
      <c r="AF400" s="5"/>
      <c r="AG400" s="5" t="s">
        <v>238</v>
      </c>
      <c r="AH400" s="5">
        <v>4</v>
      </c>
      <c r="AI400" s="5">
        <v>0</v>
      </c>
      <c r="AJ400" s="5">
        <v>0</v>
      </c>
      <c r="AK400" s="5" t="s">
        <v>256</v>
      </c>
      <c r="AL400" s="4" t="s">
        <v>90</v>
      </c>
      <c r="AM400" s="4" t="s">
        <v>91</v>
      </c>
      <c r="AN400" s="21"/>
      <c r="AO400" s="4"/>
      <c r="AP400" s="58"/>
      <c r="AQ400" s="58"/>
      <c r="AR400" s="23"/>
      <c r="AS400" s="23"/>
      <c r="AT400" s="4"/>
      <c r="AU400" s="4"/>
      <c r="AV400" s="4"/>
      <c r="AW400" s="4"/>
      <c r="AX400" s="9"/>
      <c r="AY400" s="9"/>
      <c r="AZ400" s="4"/>
      <c r="BB400" t="e">
        <f>VLOOKUP(B400,contactos!$A$1:$D$484,4,FALSE)</f>
        <v>#N/A</v>
      </c>
    </row>
    <row r="401" spans="2:54" customFormat="1" x14ac:dyDescent="0.25">
      <c r="B401" s="3">
        <v>26211</v>
      </c>
      <c r="C401" s="4" t="s">
        <v>700</v>
      </c>
      <c r="D401" s="5">
        <v>936.18000000000006</v>
      </c>
      <c r="E401" s="5">
        <v>0</v>
      </c>
      <c r="F401" s="5">
        <v>149.78880000000001</v>
      </c>
      <c r="G401" s="5">
        <v>1085.97</v>
      </c>
      <c r="H401" s="5">
        <v>0</v>
      </c>
      <c r="I401" s="5">
        <f t="shared" si="121"/>
        <v>936.18000000000006</v>
      </c>
      <c r="J401" s="5"/>
      <c r="K401" s="5">
        <f t="shared" si="122"/>
        <v>936.18000000000006</v>
      </c>
      <c r="L401" s="5">
        <f t="shared" si="123"/>
        <v>1085.9688000000001</v>
      </c>
      <c r="M401" s="5"/>
      <c r="N401" s="5">
        <f t="shared" si="124"/>
        <v>1085.9688000000001</v>
      </c>
      <c r="O401" s="21"/>
      <c r="P401" s="21"/>
      <c r="Q401" s="21"/>
      <c r="R401" s="21">
        <f t="shared" si="125"/>
        <v>0</v>
      </c>
      <c r="S401" s="21">
        <v>936.18000000000006</v>
      </c>
      <c r="T401" s="21">
        <f t="shared" si="118"/>
        <v>0</v>
      </c>
      <c r="U401" s="21">
        <f t="shared" si="119"/>
        <v>149.78880000000001</v>
      </c>
      <c r="V401" s="21">
        <f t="shared" si="126"/>
        <v>1085.9688000000001</v>
      </c>
      <c r="W401" s="21"/>
      <c r="X401" s="5"/>
      <c r="Y401" s="5"/>
      <c r="Z401" s="5">
        <f t="shared" si="127"/>
        <v>0</v>
      </c>
      <c r="AA401" s="5">
        <v>7340.51</v>
      </c>
      <c r="AB401" s="5" t="s">
        <v>258</v>
      </c>
      <c r="AC401" s="5">
        <f t="shared" si="120"/>
        <v>936.18000000000006</v>
      </c>
      <c r="AD401" s="5">
        <f t="shared" si="128"/>
        <v>1085.9688000000001</v>
      </c>
      <c r="AE401" s="5">
        <f t="shared" si="129"/>
        <v>1.199999999926149E-3</v>
      </c>
      <c r="AF401" s="5"/>
      <c r="AG401" s="5" t="s">
        <v>238</v>
      </c>
      <c r="AH401" s="5">
        <v>4</v>
      </c>
      <c r="AI401" s="5">
        <v>0</v>
      </c>
      <c r="AJ401" s="5" t="s">
        <v>279</v>
      </c>
      <c r="AK401" s="5" t="s">
        <v>256</v>
      </c>
      <c r="AL401" s="4" t="s">
        <v>90</v>
      </c>
      <c r="AM401" s="4" t="s">
        <v>119</v>
      </c>
      <c r="AN401" s="21"/>
      <c r="AO401" s="4"/>
      <c r="AP401" s="58"/>
      <c r="AQ401" s="58"/>
      <c r="AR401" s="23"/>
      <c r="AS401" s="23"/>
      <c r="AT401" s="4"/>
      <c r="AU401" s="4"/>
      <c r="AV401" s="4"/>
      <c r="AW401" s="4"/>
      <c r="AX401" s="9"/>
      <c r="AY401" s="9"/>
      <c r="AZ401" s="4"/>
      <c r="BB401" t="e">
        <f>VLOOKUP(B401,contactos!$A$1:$D$484,4,FALSE)</f>
        <v>#N/A</v>
      </c>
    </row>
    <row r="402" spans="2:54" customFormat="1" x14ac:dyDescent="0.25">
      <c r="B402" s="3">
        <v>20257</v>
      </c>
      <c r="C402" s="4" t="s">
        <v>701</v>
      </c>
      <c r="D402" s="5">
        <v>959.77</v>
      </c>
      <c r="E402" s="5">
        <v>76.781599999999997</v>
      </c>
      <c r="F402" s="5">
        <v>0</v>
      </c>
      <c r="G402" s="5">
        <v>1036.56</v>
      </c>
      <c r="H402" s="5">
        <v>1036.56</v>
      </c>
      <c r="I402" s="5">
        <f t="shared" si="121"/>
        <v>959.77</v>
      </c>
      <c r="J402" s="5"/>
      <c r="K402" s="5">
        <f t="shared" si="122"/>
        <v>959.77</v>
      </c>
      <c r="L402" s="5">
        <f t="shared" si="123"/>
        <v>1036.5516</v>
      </c>
      <c r="M402" s="5"/>
      <c r="N402" s="5">
        <f t="shared" si="124"/>
        <v>1036.5516</v>
      </c>
      <c r="O402" s="21"/>
      <c r="P402" s="21"/>
      <c r="Q402" s="21"/>
      <c r="R402" s="21">
        <f t="shared" si="125"/>
        <v>0</v>
      </c>
      <c r="S402" s="21">
        <v>959.77</v>
      </c>
      <c r="T402" s="21">
        <f t="shared" si="118"/>
        <v>76.781599999999997</v>
      </c>
      <c r="U402" s="21">
        <f t="shared" si="119"/>
        <v>0</v>
      </c>
      <c r="V402" s="21">
        <f t="shared" si="126"/>
        <v>1036.5516</v>
      </c>
      <c r="W402" s="21"/>
      <c r="X402" s="5"/>
      <c r="Y402" s="5"/>
      <c r="Z402" s="5">
        <f t="shared" si="127"/>
        <v>0</v>
      </c>
      <c r="AA402" s="5">
        <v>234165.2</v>
      </c>
      <c r="AB402" s="5" t="s">
        <v>258</v>
      </c>
      <c r="AC402" s="5">
        <f t="shared" si="120"/>
        <v>959.77</v>
      </c>
      <c r="AD402" s="5">
        <f t="shared" si="128"/>
        <v>1036.5516</v>
      </c>
      <c r="AE402" s="5">
        <f t="shared" si="129"/>
        <v>8.3999999999377906E-3</v>
      </c>
      <c r="AF402" s="5"/>
      <c r="AG402" s="5" t="s">
        <v>238</v>
      </c>
      <c r="AH402" s="5">
        <v>4</v>
      </c>
      <c r="AI402" s="5">
        <v>0</v>
      </c>
      <c r="AJ402" s="5">
        <v>0</v>
      </c>
      <c r="AK402" s="5" t="s">
        <v>256</v>
      </c>
      <c r="AL402" s="4" t="s">
        <v>90</v>
      </c>
      <c r="AM402" s="4" t="s">
        <v>76</v>
      </c>
      <c r="AN402" s="21"/>
      <c r="AO402" s="4"/>
      <c r="AP402" s="58"/>
      <c r="AQ402" s="58"/>
      <c r="AR402" s="23"/>
      <c r="AS402" s="23"/>
      <c r="AT402" s="4"/>
      <c r="AU402" s="4"/>
      <c r="AV402" s="4"/>
      <c r="AW402" s="4"/>
      <c r="AX402" s="9"/>
      <c r="AY402" s="9"/>
      <c r="AZ402" s="4"/>
      <c r="BB402" t="e">
        <f>VLOOKUP(B402,contactos!$A$1:$D$484,4,FALSE)</f>
        <v>#N/A</v>
      </c>
    </row>
    <row r="403" spans="2:54" customFormat="1" x14ac:dyDescent="0.25">
      <c r="B403" s="3">
        <v>329516</v>
      </c>
      <c r="C403" s="4" t="s">
        <v>702</v>
      </c>
      <c r="D403" s="5">
        <v>825.24</v>
      </c>
      <c r="E403" s="5">
        <v>0</v>
      </c>
      <c r="F403" s="5">
        <v>132.03139999999999</v>
      </c>
      <c r="G403" s="5">
        <v>957.27</v>
      </c>
      <c r="H403" s="5">
        <v>957.27</v>
      </c>
      <c r="I403" s="5">
        <f t="shared" si="121"/>
        <v>825.24</v>
      </c>
      <c r="J403" s="5"/>
      <c r="K403" s="5">
        <f t="shared" si="122"/>
        <v>825.24</v>
      </c>
      <c r="L403" s="5">
        <f t="shared" si="123"/>
        <v>957.27139999999997</v>
      </c>
      <c r="M403" s="5"/>
      <c r="N403" s="5">
        <f t="shared" si="124"/>
        <v>957.27139999999997</v>
      </c>
      <c r="O403" s="21"/>
      <c r="P403" s="21"/>
      <c r="Q403" s="21"/>
      <c r="R403" s="21">
        <f t="shared" si="125"/>
        <v>0</v>
      </c>
      <c r="S403" s="21">
        <v>825.24</v>
      </c>
      <c r="T403" s="21">
        <f t="shared" si="118"/>
        <v>0</v>
      </c>
      <c r="U403" s="21">
        <f t="shared" si="119"/>
        <v>132.03139999999999</v>
      </c>
      <c r="V403" s="21">
        <f t="shared" si="126"/>
        <v>957.27139999999997</v>
      </c>
      <c r="W403" s="21"/>
      <c r="X403" s="5"/>
      <c r="Y403" s="5"/>
      <c r="Z403" s="5">
        <f t="shared" si="127"/>
        <v>0</v>
      </c>
      <c r="AA403" s="5">
        <v>26451.73</v>
      </c>
      <c r="AB403" s="5" t="s">
        <v>258</v>
      </c>
      <c r="AC403" s="5">
        <f t="shared" si="120"/>
        <v>825.24</v>
      </c>
      <c r="AD403" s="5">
        <f t="shared" si="128"/>
        <v>957.27139999999997</v>
      </c>
      <c r="AE403" s="5">
        <f t="shared" si="129"/>
        <v>-1.3999999999896318E-3</v>
      </c>
      <c r="AF403" s="5"/>
      <c r="AG403" s="5" t="s">
        <v>73</v>
      </c>
      <c r="AH403" s="5">
        <v>4</v>
      </c>
      <c r="AI403" s="5">
        <v>0</v>
      </c>
      <c r="AJ403" s="120" t="s">
        <v>386</v>
      </c>
      <c r="AK403" s="5" t="s">
        <v>256</v>
      </c>
      <c r="AL403" s="4" t="s">
        <v>90</v>
      </c>
      <c r="AM403" s="4" t="s">
        <v>67</v>
      </c>
      <c r="AN403" s="21"/>
      <c r="AO403" s="4"/>
      <c r="AP403" s="58"/>
      <c r="AQ403" s="58"/>
      <c r="AR403" s="23"/>
      <c r="AS403" s="23"/>
      <c r="AT403" s="4"/>
      <c r="AU403" s="4"/>
      <c r="AV403" s="4"/>
      <c r="AW403" s="4"/>
      <c r="AX403" s="9"/>
      <c r="AY403" s="9"/>
      <c r="AZ403" s="4"/>
      <c r="BB403" t="e">
        <f>VLOOKUP(B403,contactos!$A$1:$D$484,4,FALSE)</f>
        <v>#N/A</v>
      </c>
    </row>
    <row r="404" spans="2:54" customFormat="1" x14ac:dyDescent="0.25">
      <c r="B404" s="3">
        <v>28399</v>
      </c>
      <c r="C404" s="4" t="s">
        <v>703</v>
      </c>
      <c r="D404" s="5">
        <v>805.21</v>
      </c>
      <c r="E404" s="5">
        <v>0</v>
      </c>
      <c r="F404" s="5">
        <v>128.83359999999999</v>
      </c>
      <c r="G404" s="5">
        <v>934.04</v>
      </c>
      <c r="H404" s="5">
        <v>934.04</v>
      </c>
      <c r="I404" s="5">
        <f t="shared" si="121"/>
        <v>805.21</v>
      </c>
      <c r="J404" s="5"/>
      <c r="K404" s="5">
        <f t="shared" si="122"/>
        <v>805.21</v>
      </c>
      <c r="L404" s="5">
        <f t="shared" si="123"/>
        <v>934.04359999999997</v>
      </c>
      <c r="M404" s="5"/>
      <c r="N404" s="5">
        <f t="shared" si="124"/>
        <v>934.04359999999997</v>
      </c>
      <c r="O404" s="21"/>
      <c r="P404" s="21"/>
      <c r="Q404" s="21"/>
      <c r="R404" s="21">
        <f t="shared" si="125"/>
        <v>0</v>
      </c>
      <c r="S404" s="21">
        <v>805.21</v>
      </c>
      <c r="T404" s="21">
        <f t="shared" si="118"/>
        <v>0</v>
      </c>
      <c r="U404" s="21">
        <f t="shared" si="119"/>
        <v>128.83359999999999</v>
      </c>
      <c r="V404" s="21">
        <f t="shared" si="126"/>
        <v>934.04359999999997</v>
      </c>
      <c r="W404" s="21"/>
      <c r="X404" s="5"/>
      <c r="Y404" s="5"/>
      <c r="Z404" s="5">
        <f t="shared" si="127"/>
        <v>0</v>
      </c>
      <c r="AA404" s="5">
        <v>10119.709999999999</v>
      </c>
      <c r="AB404" s="5" t="s">
        <v>258</v>
      </c>
      <c r="AC404" s="5">
        <f t="shared" si="120"/>
        <v>805.21</v>
      </c>
      <c r="AD404" s="5">
        <f t="shared" si="128"/>
        <v>934.04359999999997</v>
      </c>
      <c r="AE404" s="5">
        <f t="shared" si="129"/>
        <v>-3.6000000000058208E-3</v>
      </c>
      <c r="AF404" s="5"/>
      <c r="AG404" s="5" t="s">
        <v>238</v>
      </c>
      <c r="AH404" s="5">
        <v>4</v>
      </c>
      <c r="AI404" s="5">
        <v>0</v>
      </c>
      <c r="AJ404" s="5">
        <v>0</v>
      </c>
      <c r="AK404" s="5" t="s">
        <v>256</v>
      </c>
      <c r="AL404" s="4" t="s">
        <v>90</v>
      </c>
      <c r="AM404" s="4" t="s">
        <v>216</v>
      </c>
      <c r="AN404" s="21"/>
      <c r="AO404" s="4"/>
      <c r="AP404" s="58"/>
      <c r="AQ404" s="58"/>
      <c r="AR404" s="23"/>
      <c r="AS404" s="23"/>
      <c r="AT404" s="4"/>
      <c r="AU404" s="4"/>
      <c r="AV404" s="4"/>
      <c r="AW404" s="4"/>
      <c r="AX404" s="9"/>
      <c r="AY404" s="9"/>
      <c r="AZ404" s="4"/>
      <c r="BB404" t="e">
        <f>VLOOKUP(B404,contactos!$A$1:$D$484,4,FALSE)</f>
        <v>#N/A</v>
      </c>
    </row>
    <row r="405" spans="2:54" customFormat="1" x14ac:dyDescent="0.25">
      <c r="B405" s="3">
        <v>206706</v>
      </c>
      <c r="C405" s="4" t="s">
        <v>704</v>
      </c>
      <c r="D405" s="5">
        <v>877.71</v>
      </c>
      <c r="E405" s="5">
        <v>0</v>
      </c>
      <c r="F405" s="5">
        <v>0</v>
      </c>
      <c r="G405" s="5">
        <v>877.71</v>
      </c>
      <c r="H405" s="5">
        <v>877.71</v>
      </c>
      <c r="I405" s="5">
        <f t="shared" si="121"/>
        <v>877.71</v>
      </c>
      <c r="J405" s="5"/>
      <c r="K405" s="5">
        <f t="shared" si="122"/>
        <v>877.71</v>
      </c>
      <c r="L405" s="5">
        <f t="shared" si="123"/>
        <v>877.71</v>
      </c>
      <c r="M405" s="5"/>
      <c r="N405" s="5">
        <f t="shared" si="124"/>
        <v>877.71</v>
      </c>
      <c r="O405" s="21"/>
      <c r="P405" s="21"/>
      <c r="Q405" s="21"/>
      <c r="R405" s="21">
        <f t="shared" si="125"/>
        <v>0</v>
      </c>
      <c r="S405" s="21">
        <v>877.71</v>
      </c>
      <c r="T405" s="21">
        <f t="shared" si="118"/>
        <v>0</v>
      </c>
      <c r="U405" s="21">
        <f t="shared" si="119"/>
        <v>0</v>
      </c>
      <c r="V405" s="21">
        <f t="shared" si="126"/>
        <v>877.71</v>
      </c>
      <c r="W405" s="21"/>
      <c r="X405" s="5"/>
      <c r="Y405" s="5"/>
      <c r="Z405" s="5">
        <f t="shared" si="127"/>
        <v>0</v>
      </c>
      <c r="AA405" s="5">
        <v>93180.74</v>
      </c>
      <c r="AB405" s="5" t="s">
        <v>258</v>
      </c>
      <c r="AC405" s="5">
        <f t="shared" si="120"/>
        <v>877.71</v>
      </c>
      <c r="AD405" s="5">
        <f t="shared" si="128"/>
        <v>877.71</v>
      </c>
      <c r="AE405" s="5">
        <f t="shared" si="129"/>
        <v>0</v>
      </c>
      <c r="AF405" s="5"/>
      <c r="AG405" s="5" t="s">
        <v>238</v>
      </c>
      <c r="AH405" s="5">
        <v>4</v>
      </c>
      <c r="AI405" s="5">
        <v>0</v>
      </c>
      <c r="AJ405" s="5">
        <v>0</v>
      </c>
      <c r="AK405" s="5" t="s">
        <v>256</v>
      </c>
      <c r="AL405" s="4" t="s">
        <v>90</v>
      </c>
      <c r="AM405" s="4" t="s">
        <v>137</v>
      </c>
      <c r="AN405" s="21"/>
      <c r="AO405" s="4"/>
      <c r="AP405" s="58"/>
      <c r="AQ405" s="58"/>
      <c r="AR405" s="23"/>
      <c r="AS405" s="23"/>
      <c r="AT405" s="4"/>
      <c r="AU405" s="4"/>
      <c r="AV405" s="4"/>
      <c r="AW405" s="4"/>
      <c r="AX405" s="9"/>
      <c r="AY405" s="9"/>
      <c r="AZ405" s="4"/>
      <c r="BB405" t="e">
        <f>VLOOKUP(B405,contactos!$A$1:$D$484,4,FALSE)</f>
        <v>#N/A</v>
      </c>
    </row>
    <row r="406" spans="2:54" customFormat="1" x14ac:dyDescent="0.25">
      <c r="B406" s="3">
        <v>32961</v>
      </c>
      <c r="C406" s="4" t="s">
        <v>705</v>
      </c>
      <c r="D406" s="5">
        <v>675.36</v>
      </c>
      <c r="E406" s="5">
        <v>0</v>
      </c>
      <c r="F406" s="5">
        <v>108.05759999999999</v>
      </c>
      <c r="G406" s="5">
        <v>783.42</v>
      </c>
      <c r="H406" s="5">
        <v>783.42</v>
      </c>
      <c r="I406" s="5">
        <f t="shared" si="121"/>
        <v>675.36</v>
      </c>
      <c r="J406" s="5"/>
      <c r="K406" s="5">
        <f t="shared" si="122"/>
        <v>675.36</v>
      </c>
      <c r="L406" s="5">
        <f t="shared" si="123"/>
        <v>783.41759999999999</v>
      </c>
      <c r="M406" s="5"/>
      <c r="N406" s="5">
        <f t="shared" si="124"/>
        <v>783.41759999999999</v>
      </c>
      <c r="O406" s="21"/>
      <c r="P406" s="21"/>
      <c r="Q406" s="21"/>
      <c r="R406" s="21">
        <f t="shared" si="125"/>
        <v>0</v>
      </c>
      <c r="S406" s="21">
        <v>675.36</v>
      </c>
      <c r="T406" s="21">
        <f t="shared" si="118"/>
        <v>0</v>
      </c>
      <c r="U406" s="21">
        <f t="shared" si="119"/>
        <v>108.05759999999999</v>
      </c>
      <c r="V406" s="21">
        <f t="shared" si="126"/>
        <v>783.41759999999999</v>
      </c>
      <c r="W406" s="21"/>
      <c r="X406" s="5"/>
      <c r="Y406" s="5"/>
      <c r="Z406" s="5">
        <f t="shared" si="127"/>
        <v>0</v>
      </c>
      <c r="AA406" s="5">
        <v>53589.65</v>
      </c>
      <c r="AB406" s="5" t="s">
        <v>258</v>
      </c>
      <c r="AC406" s="5">
        <f t="shared" si="120"/>
        <v>675.36</v>
      </c>
      <c r="AD406" s="5">
        <f t="shared" si="128"/>
        <v>783.41759999999999</v>
      </c>
      <c r="AE406" s="5">
        <f t="shared" si="129"/>
        <v>2.3999999999659849E-3</v>
      </c>
      <c r="AF406" s="5"/>
      <c r="AG406" s="5" t="s">
        <v>238</v>
      </c>
      <c r="AH406" s="5">
        <v>4</v>
      </c>
      <c r="AI406" s="5">
        <v>0</v>
      </c>
      <c r="AJ406" s="5">
        <v>0</v>
      </c>
      <c r="AK406" s="5" t="s">
        <v>256</v>
      </c>
      <c r="AL406" s="4" t="s">
        <v>90</v>
      </c>
      <c r="AM406" s="4" t="s">
        <v>67</v>
      </c>
      <c r="AN406" s="21"/>
      <c r="AO406" s="4"/>
      <c r="AP406" s="58"/>
      <c r="AQ406" s="58"/>
      <c r="AR406" s="23"/>
      <c r="AS406" s="23"/>
      <c r="AT406" s="4"/>
      <c r="AU406" s="4"/>
      <c r="AV406" s="4"/>
      <c r="AW406" s="4"/>
      <c r="AX406" s="9"/>
      <c r="AY406" s="9"/>
      <c r="AZ406" s="4"/>
      <c r="BB406" t="e">
        <f>VLOOKUP(B406,contactos!$A$1:$D$484,4,FALSE)</f>
        <v>#N/A</v>
      </c>
    </row>
    <row r="407" spans="2:54" customFormat="1" x14ac:dyDescent="0.25">
      <c r="B407" s="3">
        <v>16006</v>
      </c>
      <c r="C407" s="4" t="s">
        <v>706</v>
      </c>
      <c r="D407" s="5">
        <v>706.29367554249995</v>
      </c>
      <c r="E407" s="5">
        <v>30.115957814280002</v>
      </c>
      <c r="F407" s="5">
        <v>0</v>
      </c>
      <c r="G407" s="5">
        <v>736.39</v>
      </c>
      <c r="H407" s="5">
        <v>736.39</v>
      </c>
      <c r="I407" s="5">
        <f t="shared" si="121"/>
        <v>706.29367554249995</v>
      </c>
      <c r="J407" s="5"/>
      <c r="K407" s="5">
        <f t="shared" si="122"/>
        <v>706.29367554249995</v>
      </c>
      <c r="L407" s="5">
        <f t="shared" si="123"/>
        <v>736.40963335677998</v>
      </c>
      <c r="M407" s="5"/>
      <c r="N407" s="5">
        <f t="shared" si="124"/>
        <v>736.40963335677998</v>
      </c>
      <c r="O407" s="21"/>
      <c r="P407" s="21"/>
      <c r="Q407" s="21"/>
      <c r="R407" s="21">
        <f t="shared" si="125"/>
        <v>0</v>
      </c>
      <c r="S407" s="21">
        <v>706.29367554249995</v>
      </c>
      <c r="T407" s="21">
        <f t="shared" si="118"/>
        <v>30.115957814280002</v>
      </c>
      <c r="U407" s="21">
        <f t="shared" si="119"/>
        <v>0</v>
      </c>
      <c r="V407" s="21">
        <f t="shared" si="126"/>
        <v>736.40963335677998</v>
      </c>
      <c r="W407" s="21"/>
      <c r="X407" s="5"/>
      <c r="Y407" s="5"/>
      <c r="Z407" s="5">
        <f t="shared" si="127"/>
        <v>0</v>
      </c>
      <c r="AA407" s="5"/>
      <c r="AB407" s="5" t="s">
        <v>258</v>
      </c>
      <c r="AC407" s="5">
        <f t="shared" si="120"/>
        <v>706.29367554249995</v>
      </c>
      <c r="AD407" s="5">
        <f t="shared" si="128"/>
        <v>736.40963335677998</v>
      </c>
      <c r="AE407" s="5">
        <f t="shared" si="129"/>
        <v>-1.9633356779991118E-2</v>
      </c>
      <c r="AF407" s="5"/>
      <c r="AG407" s="5" t="s">
        <v>238</v>
      </c>
      <c r="AH407" s="5">
        <v>4</v>
      </c>
      <c r="AI407" s="5">
        <v>0</v>
      </c>
      <c r="AJ407" s="5">
        <v>0</v>
      </c>
      <c r="AK407" s="5" t="s">
        <v>256</v>
      </c>
      <c r="AL407" s="4" t="s">
        <v>90</v>
      </c>
      <c r="AM407" s="4" t="s">
        <v>162</v>
      </c>
      <c r="AN407" s="21"/>
      <c r="AO407" s="4"/>
      <c r="AP407" s="58"/>
      <c r="AQ407" s="58"/>
      <c r="AR407" s="23"/>
      <c r="AS407" s="23"/>
      <c r="AT407" s="4"/>
      <c r="AU407" s="4"/>
      <c r="AV407" s="4"/>
      <c r="AW407" s="4"/>
      <c r="AX407" s="9"/>
      <c r="AY407" s="9"/>
      <c r="AZ407" s="4"/>
      <c r="BB407" t="e">
        <f>VLOOKUP(B407,contactos!$A$1:$D$484,4,FALSE)</f>
        <v>#N/A</v>
      </c>
    </row>
    <row r="408" spans="2:54" customFormat="1" x14ac:dyDescent="0.25">
      <c r="B408" s="3">
        <v>382523</v>
      </c>
      <c r="C408" s="4" t="s">
        <v>707</v>
      </c>
      <c r="D408" s="5">
        <v>602.02312305600856</v>
      </c>
      <c r="E408" s="5">
        <v>0</v>
      </c>
      <c r="F408" s="5">
        <v>96.323699688960005</v>
      </c>
      <c r="G408" s="5">
        <v>698.35</v>
      </c>
      <c r="H408" s="5">
        <v>698.35</v>
      </c>
      <c r="I408" s="5">
        <f t="shared" si="121"/>
        <v>602.02312305600856</v>
      </c>
      <c r="J408" s="5"/>
      <c r="K408" s="5">
        <f t="shared" si="122"/>
        <v>602.02312305600856</v>
      </c>
      <c r="L408" s="5">
        <f t="shared" si="123"/>
        <v>698.34682274496856</v>
      </c>
      <c r="M408" s="5"/>
      <c r="N408" s="5">
        <f t="shared" si="124"/>
        <v>698.34682274496856</v>
      </c>
      <c r="O408" s="21"/>
      <c r="P408" s="21"/>
      <c r="Q408" s="21"/>
      <c r="R408" s="21">
        <f t="shared" si="125"/>
        <v>0</v>
      </c>
      <c r="S408" s="21">
        <v>602.02312305600856</v>
      </c>
      <c r="T408" s="21">
        <f t="shared" si="118"/>
        <v>0</v>
      </c>
      <c r="U408" s="21">
        <f t="shared" si="119"/>
        <v>96.323699688960005</v>
      </c>
      <c r="V408" s="21">
        <f t="shared" si="126"/>
        <v>698.34682274496856</v>
      </c>
      <c r="W408" s="21"/>
      <c r="X408" s="5"/>
      <c r="Y408" s="5"/>
      <c r="Z408" s="5">
        <f t="shared" si="127"/>
        <v>0</v>
      </c>
      <c r="AA408" s="5">
        <v>282041.03000000003</v>
      </c>
      <c r="AB408" s="5" t="s">
        <v>258</v>
      </c>
      <c r="AC408" s="5">
        <f t="shared" si="120"/>
        <v>602.02312305600856</v>
      </c>
      <c r="AD408" s="5">
        <f t="shared" si="128"/>
        <v>698.34682274496856</v>
      </c>
      <c r="AE408" s="5">
        <f t="shared" si="129"/>
        <v>3.1772550314599357E-3</v>
      </c>
      <c r="AF408" s="5"/>
      <c r="AG408" s="5" t="s">
        <v>73</v>
      </c>
      <c r="AH408" s="5">
        <v>4</v>
      </c>
      <c r="AI408" s="5">
        <v>0</v>
      </c>
      <c r="AJ408" s="5">
        <v>0</v>
      </c>
      <c r="AK408" s="5" t="s">
        <v>256</v>
      </c>
      <c r="AL408" s="4" t="s">
        <v>90</v>
      </c>
      <c r="AM408" s="4" t="s">
        <v>112</v>
      </c>
      <c r="AN408" s="21"/>
      <c r="AO408" s="4"/>
      <c r="AP408" s="58"/>
      <c r="AQ408" s="58"/>
      <c r="AR408" s="23"/>
      <c r="AS408" s="23"/>
      <c r="AT408" s="4"/>
      <c r="AU408" s="4"/>
      <c r="AV408" s="4"/>
      <c r="AW408" s="4"/>
      <c r="AX408" s="9"/>
      <c r="AY408" s="9"/>
      <c r="AZ408" s="4"/>
      <c r="BB408" t="str">
        <f>VLOOKUP(B408,contactos!$A$1:$D$484,4,FALSE)</f>
        <v>jc@bbl.mx</v>
      </c>
    </row>
    <row r="409" spans="2:54" customFormat="1" x14ac:dyDescent="0.25">
      <c r="B409" s="3">
        <v>208678</v>
      </c>
      <c r="C409" s="4" t="s">
        <v>708</v>
      </c>
      <c r="D409" s="5">
        <v>631.47682532800025</v>
      </c>
      <c r="E409" s="5">
        <v>50.518146026240004</v>
      </c>
      <c r="F409" s="5">
        <v>0</v>
      </c>
      <c r="G409" s="5">
        <v>681.99</v>
      </c>
      <c r="H409" s="5">
        <v>681.99</v>
      </c>
      <c r="I409" s="5">
        <f t="shared" si="121"/>
        <v>631.47682532800025</v>
      </c>
      <c r="J409" s="5"/>
      <c r="K409" s="5">
        <f t="shared" si="122"/>
        <v>631.47682532800025</v>
      </c>
      <c r="L409" s="5">
        <f t="shared" si="123"/>
        <v>681.99497135424031</v>
      </c>
      <c r="M409" s="5"/>
      <c r="N409" s="5">
        <f t="shared" si="124"/>
        <v>681.99497135424031</v>
      </c>
      <c r="O409" s="21"/>
      <c r="P409" s="21"/>
      <c r="Q409" s="21"/>
      <c r="R409" s="21">
        <f t="shared" si="125"/>
        <v>0</v>
      </c>
      <c r="S409" s="21">
        <v>631.47682532800025</v>
      </c>
      <c r="T409" s="21">
        <f t="shared" si="118"/>
        <v>50.518146026240004</v>
      </c>
      <c r="U409" s="21">
        <f t="shared" si="119"/>
        <v>0</v>
      </c>
      <c r="V409" s="21">
        <f t="shared" si="126"/>
        <v>681.99497135424031</v>
      </c>
      <c r="W409" s="21"/>
      <c r="X409" s="5"/>
      <c r="Y409" s="5"/>
      <c r="Z409" s="5">
        <f t="shared" si="127"/>
        <v>0</v>
      </c>
      <c r="AA409" s="5">
        <v>212723.19</v>
      </c>
      <c r="AB409" s="5" t="s">
        <v>258</v>
      </c>
      <c r="AC409" s="5">
        <f t="shared" si="120"/>
        <v>631.47682532800025</v>
      </c>
      <c r="AD409" s="5">
        <f t="shared" si="128"/>
        <v>681.99497135424031</v>
      </c>
      <c r="AE409" s="5">
        <f t="shared" si="129"/>
        <v>-4.9713542402969324E-3</v>
      </c>
      <c r="AF409" s="5"/>
      <c r="AG409" s="5" t="s">
        <v>238</v>
      </c>
      <c r="AH409" s="5">
        <v>4</v>
      </c>
      <c r="AI409" s="5">
        <v>0</v>
      </c>
      <c r="AJ409" s="5">
        <v>0</v>
      </c>
      <c r="AK409" s="5" t="s">
        <v>256</v>
      </c>
      <c r="AL409" s="4" t="s">
        <v>90</v>
      </c>
      <c r="AM409" s="4" t="s">
        <v>107</v>
      </c>
      <c r="AN409" s="21"/>
      <c r="AO409" s="4"/>
      <c r="AP409" s="58"/>
      <c r="AQ409" s="58"/>
      <c r="AR409" s="23"/>
      <c r="AS409" s="23"/>
      <c r="AT409" s="4"/>
      <c r="AU409" s="4"/>
      <c r="AV409" s="4"/>
      <c r="AW409" s="4"/>
      <c r="AX409" s="9"/>
      <c r="AY409" s="9"/>
      <c r="AZ409" s="4"/>
      <c r="BB409" t="e">
        <f>VLOOKUP(B409,contactos!$A$1:$D$484,4,FALSE)</f>
        <v>#N/A</v>
      </c>
    </row>
    <row r="410" spans="2:54" customFormat="1" x14ac:dyDescent="0.25">
      <c r="B410" s="3">
        <v>327478</v>
      </c>
      <c r="C410" s="4" t="s">
        <v>709</v>
      </c>
      <c r="D410" s="5">
        <v>581.05999999999995</v>
      </c>
      <c r="E410" s="5">
        <v>0</v>
      </c>
      <c r="F410" s="5">
        <v>92.9696</v>
      </c>
      <c r="G410" s="5">
        <v>674.02</v>
      </c>
      <c r="H410" s="5">
        <v>674.02</v>
      </c>
      <c r="I410" s="5">
        <f t="shared" si="121"/>
        <v>581.05999999999995</v>
      </c>
      <c r="J410" s="5"/>
      <c r="K410" s="5">
        <f t="shared" si="122"/>
        <v>581.05999999999995</v>
      </c>
      <c r="L410" s="5">
        <f t="shared" si="123"/>
        <v>674.02959999999996</v>
      </c>
      <c r="M410" s="5"/>
      <c r="N410" s="5">
        <f t="shared" si="124"/>
        <v>674.02959999999996</v>
      </c>
      <c r="O410" s="21"/>
      <c r="P410" s="21"/>
      <c r="Q410" s="21"/>
      <c r="R410" s="21">
        <f t="shared" si="125"/>
        <v>0</v>
      </c>
      <c r="S410" s="21">
        <v>581.05999999999995</v>
      </c>
      <c r="T410" s="21">
        <f t="shared" si="118"/>
        <v>0</v>
      </c>
      <c r="U410" s="21">
        <f t="shared" si="119"/>
        <v>92.9696</v>
      </c>
      <c r="V410" s="21">
        <f t="shared" si="126"/>
        <v>674.02959999999996</v>
      </c>
      <c r="W410" s="21"/>
      <c r="X410" s="5"/>
      <c r="Y410" s="5"/>
      <c r="Z410" s="5">
        <f t="shared" si="127"/>
        <v>0</v>
      </c>
      <c r="AA410" s="5">
        <v>7362.36</v>
      </c>
      <c r="AB410" s="5" t="s">
        <v>258</v>
      </c>
      <c r="AC410" s="5">
        <f t="shared" si="120"/>
        <v>581.05999999999995</v>
      </c>
      <c r="AD410" s="5">
        <f t="shared" si="128"/>
        <v>674.02959999999996</v>
      </c>
      <c r="AE410" s="5">
        <f t="shared" si="129"/>
        <v>-9.5999999999776264E-3</v>
      </c>
      <c r="AF410" s="5"/>
      <c r="AG410" s="5" t="s">
        <v>238</v>
      </c>
      <c r="AH410" s="5">
        <v>4</v>
      </c>
      <c r="AI410" s="5">
        <v>0</v>
      </c>
      <c r="AJ410" s="5">
        <v>0</v>
      </c>
      <c r="AK410" s="5" t="s">
        <v>256</v>
      </c>
      <c r="AL410" s="4" t="s">
        <v>90</v>
      </c>
      <c r="AM410" s="4" t="s">
        <v>91</v>
      </c>
      <c r="AN410" s="21"/>
      <c r="AO410" s="4"/>
      <c r="AP410" s="58"/>
      <c r="AQ410" s="58"/>
      <c r="AR410" s="23"/>
      <c r="AS410" s="23"/>
      <c r="AT410" s="4"/>
      <c r="AU410" s="4"/>
      <c r="AV410" s="4"/>
      <c r="AW410" s="4"/>
      <c r="AX410" s="9"/>
      <c r="AY410" s="9"/>
      <c r="AZ410" s="4"/>
      <c r="BB410" t="e">
        <f>VLOOKUP(B410,contactos!$A$1:$D$484,4,FALSE)</f>
        <v>#N/A</v>
      </c>
    </row>
    <row r="411" spans="2:54" customFormat="1" x14ac:dyDescent="0.25">
      <c r="B411" s="3">
        <v>391672</v>
      </c>
      <c r="C411" s="4" t="s">
        <v>710</v>
      </c>
      <c r="D411" s="5">
        <v>577.57000000000005</v>
      </c>
      <c r="E411" s="5">
        <v>0</v>
      </c>
      <c r="F411" s="5">
        <v>92.411199999999994</v>
      </c>
      <c r="G411" s="5">
        <v>669.99</v>
      </c>
      <c r="H411" s="5">
        <v>669.99</v>
      </c>
      <c r="I411" s="5">
        <f t="shared" si="121"/>
        <v>577.57000000000005</v>
      </c>
      <c r="J411" s="5"/>
      <c r="K411" s="5">
        <f t="shared" si="122"/>
        <v>577.57000000000005</v>
      </c>
      <c r="L411" s="5">
        <f t="shared" si="123"/>
        <v>669.98120000000006</v>
      </c>
      <c r="M411" s="5"/>
      <c r="N411" s="5">
        <f t="shared" si="124"/>
        <v>669.98120000000006</v>
      </c>
      <c r="O411" s="21"/>
      <c r="P411" s="21"/>
      <c r="Q411" s="21"/>
      <c r="R411" s="21">
        <f t="shared" si="125"/>
        <v>0</v>
      </c>
      <c r="S411" s="21">
        <v>577.57000000000005</v>
      </c>
      <c r="T411" s="21">
        <f t="shared" si="118"/>
        <v>0</v>
      </c>
      <c r="U411" s="21">
        <f t="shared" si="119"/>
        <v>92.411199999999994</v>
      </c>
      <c r="V411" s="21">
        <f t="shared" si="126"/>
        <v>669.98120000000006</v>
      </c>
      <c r="W411" s="21"/>
      <c r="X411" s="5"/>
      <c r="Y411" s="5"/>
      <c r="Z411" s="5">
        <f t="shared" si="127"/>
        <v>0</v>
      </c>
      <c r="AA411" s="5">
        <v>58113.04</v>
      </c>
      <c r="AB411" s="5" t="s">
        <v>258</v>
      </c>
      <c r="AC411" s="5">
        <f t="shared" si="120"/>
        <v>577.57000000000005</v>
      </c>
      <c r="AD411" s="5">
        <f t="shared" si="128"/>
        <v>669.98120000000006</v>
      </c>
      <c r="AE411" s="5">
        <f t="shared" si="129"/>
        <v>8.7999999999510692E-3</v>
      </c>
      <c r="AF411" s="5"/>
      <c r="AG411" s="5" t="s">
        <v>238</v>
      </c>
      <c r="AH411" s="5">
        <v>4</v>
      </c>
      <c r="AI411" s="5">
        <v>0</v>
      </c>
      <c r="AJ411" s="5" t="s">
        <v>279</v>
      </c>
      <c r="AK411" s="5" t="s">
        <v>256</v>
      </c>
      <c r="AL411" s="4" t="s">
        <v>90</v>
      </c>
      <c r="AM411" s="4" t="s">
        <v>119</v>
      </c>
      <c r="AN411" s="21"/>
      <c r="AO411" s="4"/>
      <c r="AP411" s="58"/>
      <c r="AQ411" s="58"/>
      <c r="AR411" s="23"/>
      <c r="AS411" s="23"/>
      <c r="AT411" s="4"/>
      <c r="AU411" s="4"/>
      <c r="AV411" s="4"/>
      <c r="AW411" s="4"/>
      <c r="AX411" s="9"/>
      <c r="AY411" s="9"/>
      <c r="AZ411" s="4"/>
      <c r="BB411" t="e">
        <f>VLOOKUP(B411,contactos!$A$1:$D$484,4,FALSE)</f>
        <v>#N/A</v>
      </c>
    </row>
    <row r="412" spans="2:54" customFormat="1" x14ac:dyDescent="0.25">
      <c r="B412" s="131">
        <v>335240</v>
      </c>
      <c r="C412" s="4" t="s">
        <v>711</v>
      </c>
      <c r="D412" s="5">
        <v>465.46978239999999</v>
      </c>
      <c r="E412" s="5">
        <v>0</v>
      </c>
      <c r="F412" s="5">
        <v>74.466899999999995</v>
      </c>
      <c r="G412" s="5">
        <v>539.93669999999997</v>
      </c>
      <c r="H412" s="5">
        <v>539.92999999999995</v>
      </c>
      <c r="I412" s="5">
        <f t="shared" si="121"/>
        <v>465.46978239999999</v>
      </c>
      <c r="J412" s="5"/>
      <c r="K412" s="5">
        <f t="shared" si="122"/>
        <v>465.46978239999999</v>
      </c>
      <c r="L412" s="5">
        <f t="shared" si="123"/>
        <v>539.9366824</v>
      </c>
      <c r="M412" s="5"/>
      <c r="N412" s="5">
        <f t="shared" si="124"/>
        <v>539.9366824</v>
      </c>
      <c r="O412" s="21"/>
      <c r="P412" s="21"/>
      <c r="Q412" s="21"/>
      <c r="R412" s="21">
        <f t="shared" si="125"/>
        <v>0</v>
      </c>
      <c r="S412" s="21">
        <v>465.46978239999999</v>
      </c>
      <c r="T412" s="21">
        <f t="shared" si="118"/>
        <v>0</v>
      </c>
      <c r="U412" s="21">
        <f t="shared" si="119"/>
        <v>74.466899999999995</v>
      </c>
      <c r="V412" s="21">
        <f t="shared" si="126"/>
        <v>539.9366824</v>
      </c>
      <c r="W412" s="21"/>
      <c r="X412" s="5"/>
      <c r="Y412" s="5"/>
      <c r="Z412" s="5">
        <f t="shared" si="127"/>
        <v>0</v>
      </c>
      <c r="AA412" s="5">
        <v>424662.38</v>
      </c>
      <c r="AB412" s="5" t="s">
        <v>258</v>
      </c>
      <c r="AC412" s="5">
        <f t="shared" si="120"/>
        <v>465.46978239999999</v>
      </c>
      <c r="AD412" s="5">
        <f t="shared" si="128"/>
        <v>539.9366824</v>
      </c>
      <c r="AE412" s="5">
        <f t="shared" si="129"/>
        <v>1.7599999978301639E-5</v>
      </c>
      <c r="AF412" s="5"/>
      <c r="AG412" s="5" t="s">
        <v>238</v>
      </c>
      <c r="AH412" s="5">
        <v>4</v>
      </c>
      <c r="AI412" s="5">
        <v>0</v>
      </c>
      <c r="AJ412" s="5">
        <v>0</v>
      </c>
      <c r="AK412" s="5" t="s">
        <v>256</v>
      </c>
      <c r="AL412" s="4" t="s">
        <v>90</v>
      </c>
      <c r="AM412" s="6" t="s">
        <v>103</v>
      </c>
      <c r="AN412" s="21"/>
      <c r="AO412" s="4"/>
      <c r="AP412" s="58"/>
      <c r="AQ412" s="58"/>
      <c r="AR412" s="23"/>
      <c r="AS412" s="23"/>
      <c r="AT412" s="4"/>
      <c r="AU412" s="4"/>
      <c r="AV412" s="52"/>
      <c r="AW412" s="52"/>
      <c r="AX412" s="9"/>
      <c r="AY412" s="9"/>
      <c r="AZ412" s="4"/>
      <c r="BB412" t="e">
        <f>VLOOKUP(B412,contactos!$A$1:$D$484,4,FALSE)</f>
        <v>#N/A</v>
      </c>
    </row>
    <row r="413" spans="2:54" customFormat="1" x14ac:dyDescent="0.25">
      <c r="B413" s="3">
        <v>24125</v>
      </c>
      <c r="C413" s="4" t="s">
        <v>712</v>
      </c>
      <c r="D413" s="5">
        <v>427.02</v>
      </c>
      <c r="E413" s="5">
        <v>0</v>
      </c>
      <c r="F413" s="5">
        <v>68.3232</v>
      </c>
      <c r="G413" s="5">
        <v>495.34</v>
      </c>
      <c r="H413" s="5">
        <v>495.34</v>
      </c>
      <c r="I413" s="5">
        <f t="shared" si="121"/>
        <v>427.02</v>
      </c>
      <c r="J413" s="5"/>
      <c r="K413" s="5">
        <f t="shared" si="122"/>
        <v>427.02</v>
      </c>
      <c r="L413" s="5">
        <f t="shared" si="123"/>
        <v>495.34319999999997</v>
      </c>
      <c r="M413" s="5"/>
      <c r="N413" s="5">
        <f t="shared" si="124"/>
        <v>495.34319999999997</v>
      </c>
      <c r="O413" s="21"/>
      <c r="P413" s="21"/>
      <c r="Q413" s="21"/>
      <c r="R413" s="21">
        <f t="shared" si="125"/>
        <v>0</v>
      </c>
      <c r="S413" s="21">
        <v>427.02</v>
      </c>
      <c r="T413" s="21">
        <f t="shared" si="118"/>
        <v>0</v>
      </c>
      <c r="U413" s="21">
        <f t="shared" si="119"/>
        <v>68.3232</v>
      </c>
      <c r="V413" s="21">
        <f t="shared" si="126"/>
        <v>495.34319999999997</v>
      </c>
      <c r="W413" s="21"/>
      <c r="X413" s="5"/>
      <c r="Y413" s="5"/>
      <c r="Z413" s="5">
        <f t="shared" si="127"/>
        <v>0</v>
      </c>
      <c r="AA413" s="5"/>
      <c r="AB413" s="5" t="s">
        <v>258</v>
      </c>
      <c r="AC413" s="5">
        <f t="shared" si="120"/>
        <v>427.02</v>
      </c>
      <c r="AD413" s="5">
        <f t="shared" si="128"/>
        <v>495.34319999999997</v>
      </c>
      <c r="AE413" s="5">
        <f t="shared" si="129"/>
        <v>-3.1999999999925421E-3</v>
      </c>
      <c r="AF413" s="5"/>
      <c r="AG413" s="5" t="s">
        <v>238</v>
      </c>
      <c r="AH413" s="5">
        <v>4</v>
      </c>
      <c r="AI413" s="5">
        <v>0</v>
      </c>
      <c r="AJ413" s="5">
        <v>0</v>
      </c>
      <c r="AK413" s="5" t="s">
        <v>256</v>
      </c>
      <c r="AL413" s="4" t="s">
        <v>90</v>
      </c>
      <c r="AM413" s="4" t="s">
        <v>67</v>
      </c>
      <c r="AN413" s="21"/>
      <c r="AO413" s="4"/>
      <c r="AP413" s="58"/>
      <c r="AQ413" s="58"/>
      <c r="AR413" s="23"/>
      <c r="AS413" s="23"/>
      <c r="AT413" s="4"/>
      <c r="AU413" s="4"/>
      <c r="AV413" s="4"/>
      <c r="AW413" s="4"/>
      <c r="AX413" s="9"/>
      <c r="AY413" s="9"/>
      <c r="AZ413" s="4"/>
      <c r="BB413" t="e">
        <f>VLOOKUP(B413,contactos!$A$1:$D$484,4,FALSE)</f>
        <v>#N/A</v>
      </c>
    </row>
    <row r="414" spans="2:54" customFormat="1" x14ac:dyDescent="0.25">
      <c r="B414" s="3">
        <v>3774</v>
      </c>
      <c r="C414" s="4" t="s">
        <v>713</v>
      </c>
      <c r="D414" s="5">
        <v>477.45</v>
      </c>
      <c r="E414" s="5">
        <v>0</v>
      </c>
      <c r="F414" s="5">
        <v>0</v>
      </c>
      <c r="G414" s="5">
        <v>477.45</v>
      </c>
      <c r="H414" s="5">
        <v>477.45</v>
      </c>
      <c r="I414" s="5">
        <f t="shared" si="121"/>
        <v>477.45</v>
      </c>
      <c r="J414" s="5"/>
      <c r="K414" s="5">
        <f t="shared" si="122"/>
        <v>477.45</v>
      </c>
      <c r="L414" s="5">
        <f t="shared" si="123"/>
        <v>477.45</v>
      </c>
      <c r="M414" s="5"/>
      <c r="N414" s="5">
        <f t="shared" si="124"/>
        <v>477.45</v>
      </c>
      <c r="O414" s="21"/>
      <c r="P414" s="21"/>
      <c r="Q414" s="21"/>
      <c r="R414" s="21">
        <f t="shared" si="125"/>
        <v>0</v>
      </c>
      <c r="S414" s="21">
        <v>477.45</v>
      </c>
      <c r="T414" s="21">
        <f t="shared" si="118"/>
        <v>0</v>
      </c>
      <c r="U414" s="21">
        <f t="shared" si="119"/>
        <v>0</v>
      </c>
      <c r="V414" s="21">
        <f t="shared" si="126"/>
        <v>477.45</v>
      </c>
      <c r="W414" s="21"/>
      <c r="X414" s="5"/>
      <c r="Y414" s="5"/>
      <c r="Z414" s="5">
        <f t="shared" si="127"/>
        <v>0</v>
      </c>
      <c r="AA414" s="5">
        <v>283975.15000000002</v>
      </c>
      <c r="AB414" s="5" t="s">
        <v>258</v>
      </c>
      <c r="AC414" s="5">
        <f t="shared" si="120"/>
        <v>477.45</v>
      </c>
      <c r="AD414" s="5">
        <f t="shared" si="128"/>
        <v>477.45</v>
      </c>
      <c r="AE414" s="5">
        <f t="shared" si="129"/>
        <v>0</v>
      </c>
      <c r="AF414" s="5"/>
      <c r="AG414" s="5" t="s">
        <v>238</v>
      </c>
      <c r="AH414" s="5">
        <v>4</v>
      </c>
      <c r="AI414" s="5">
        <v>0</v>
      </c>
      <c r="AJ414" s="5">
        <v>0</v>
      </c>
      <c r="AK414" s="5" t="s">
        <v>256</v>
      </c>
      <c r="AL414" s="4" t="s">
        <v>90</v>
      </c>
      <c r="AM414" s="4" t="s">
        <v>216</v>
      </c>
      <c r="AN414" s="21"/>
      <c r="AO414" s="4"/>
      <c r="AP414" s="58"/>
      <c r="AQ414" s="58"/>
      <c r="AR414" s="23"/>
      <c r="AS414" s="23"/>
      <c r="AT414" s="4"/>
      <c r="AU414" s="4"/>
      <c r="AV414" s="4"/>
      <c r="AW414" s="4"/>
      <c r="AX414" s="9"/>
      <c r="AY414" s="9"/>
      <c r="AZ414" s="4"/>
      <c r="BB414" t="e">
        <f>VLOOKUP(B414,contactos!$A$1:$D$484,4,FALSE)</f>
        <v>#N/A</v>
      </c>
    </row>
    <row r="415" spans="2:54" customFormat="1" x14ac:dyDescent="0.25">
      <c r="B415" s="3">
        <v>98137</v>
      </c>
      <c r="C415" s="4" t="s">
        <v>714</v>
      </c>
      <c r="D415" s="5">
        <v>341.28999999999996</v>
      </c>
      <c r="E415" s="5">
        <v>0</v>
      </c>
      <c r="F415" s="5">
        <v>54.606400000000001</v>
      </c>
      <c r="G415" s="5">
        <v>395.9</v>
      </c>
      <c r="H415" s="5">
        <v>395.9</v>
      </c>
      <c r="I415" s="5">
        <f t="shared" si="121"/>
        <v>341.28999999999996</v>
      </c>
      <c r="J415" s="5"/>
      <c r="K415" s="5">
        <f t="shared" si="122"/>
        <v>341.28999999999996</v>
      </c>
      <c r="L415" s="5">
        <f t="shared" si="123"/>
        <v>395.89639999999997</v>
      </c>
      <c r="M415" s="5"/>
      <c r="N415" s="5">
        <f t="shared" si="124"/>
        <v>395.89639999999997</v>
      </c>
      <c r="O415" s="21"/>
      <c r="P415" s="21"/>
      <c r="Q415" s="21"/>
      <c r="R415" s="21">
        <f t="shared" si="125"/>
        <v>0</v>
      </c>
      <c r="S415" s="21">
        <v>341.28999999999996</v>
      </c>
      <c r="T415" s="21">
        <f t="shared" si="118"/>
        <v>0</v>
      </c>
      <c r="U415" s="21">
        <f t="shared" si="119"/>
        <v>54.606400000000001</v>
      </c>
      <c r="V415" s="21">
        <f t="shared" si="126"/>
        <v>395.89639999999997</v>
      </c>
      <c r="W415" s="21"/>
      <c r="X415" s="5"/>
      <c r="Y415" s="5"/>
      <c r="Z415" s="5">
        <f t="shared" si="127"/>
        <v>0</v>
      </c>
      <c r="AA415" s="5">
        <v>1491.54</v>
      </c>
      <c r="AB415" s="5" t="s">
        <v>258</v>
      </c>
      <c r="AC415" s="5">
        <f t="shared" si="120"/>
        <v>341.28999999999996</v>
      </c>
      <c r="AD415" s="5">
        <f t="shared" si="128"/>
        <v>395.89639999999997</v>
      </c>
      <c r="AE415" s="5">
        <f t="shared" si="129"/>
        <v>3.6000000000058208E-3</v>
      </c>
      <c r="AF415" s="5"/>
      <c r="AG415" s="5" t="s">
        <v>73</v>
      </c>
      <c r="AH415" s="5">
        <v>4</v>
      </c>
      <c r="AI415" s="5">
        <v>0</v>
      </c>
      <c r="AJ415" s="5" t="s">
        <v>333</v>
      </c>
      <c r="AK415" s="5" t="s">
        <v>256</v>
      </c>
      <c r="AL415" s="4" t="s">
        <v>90</v>
      </c>
      <c r="AM415" s="4" t="s">
        <v>137</v>
      </c>
      <c r="AN415" s="21"/>
      <c r="AO415" s="4"/>
      <c r="AP415" s="58"/>
      <c r="AQ415" s="58"/>
      <c r="AR415" s="23"/>
      <c r="AS415" s="23"/>
      <c r="AT415" s="4"/>
      <c r="AU415" s="4"/>
      <c r="AV415" s="4"/>
      <c r="AW415" s="4"/>
      <c r="AX415" s="9"/>
      <c r="AY415" s="9"/>
      <c r="AZ415" s="4"/>
      <c r="BB415" t="e">
        <f>VLOOKUP(B415,contactos!$A$1:$D$484,4,FALSE)</f>
        <v>#N/A</v>
      </c>
    </row>
    <row r="416" spans="2:54" customFormat="1" x14ac:dyDescent="0.25">
      <c r="B416" s="3">
        <v>22795</v>
      </c>
      <c r="C416" s="4" t="s">
        <v>715</v>
      </c>
      <c r="D416" s="5">
        <v>386.21</v>
      </c>
      <c r="E416" s="5">
        <v>0</v>
      </c>
      <c r="F416" s="5">
        <v>0</v>
      </c>
      <c r="G416" s="5">
        <v>386.21</v>
      </c>
      <c r="H416" s="5">
        <v>386.21</v>
      </c>
      <c r="I416" s="5">
        <f t="shared" si="121"/>
        <v>386.21</v>
      </c>
      <c r="J416" s="5"/>
      <c r="K416" s="5">
        <f t="shared" si="122"/>
        <v>386.21</v>
      </c>
      <c r="L416" s="5">
        <f t="shared" si="123"/>
        <v>386.21</v>
      </c>
      <c r="M416" s="5"/>
      <c r="N416" s="5">
        <f t="shared" si="124"/>
        <v>386.21</v>
      </c>
      <c r="O416" s="21"/>
      <c r="P416" s="21"/>
      <c r="Q416" s="21"/>
      <c r="R416" s="21">
        <f t="shared" si="125"/>
        <v>0</v>
      </c>
      <c r="S416" s="21">
        <v>386.21</v>
      </c>
      <c r="T416" s="21">
        <f t="shared" si="118"/>
        <v>0</v>
      </c>
      <c r="U416" s="21">
        <f t="shared" si="119"/>
        <v>0</v>
      </c>
      <c r="V416" s="21">
        <f t="shared" si="126"/>
        <v>386.21</v>
      </c>
      <c r="W416" s="21"/>
      <c r="X416" s="5"/>
      <c r="Y416" s="5"/>
      <c r="Z416" s="5">
        <f t="shared" si="127"/>
        <v>0</v>
      </c>
      <c r="AA416" s="5"/>
      <c r="AB416" s="5" t="s">
        <v>258</v>
      </c>
      <c r="AC416" s="5">
        <f t="shared" si="120"/>
        <v>386.21</v>
      </c>
      <c r="AD416" s="5">
        <f t="shared" si="128"/>
        <v>386.21</v>
      </c>
      <c r="AE416" s="5">
        <f t="shared" si="129"/>
        <v>0</v>
      </c>
      <c r="AF416" s="5"/>
      <c r="AG416" s="5" t="s">
        <v>238</v>
      </c>
      <c r="AH416" s="5">
        <v>4</v>
      </c>
      <c r="AI416" s="5">
        <v>0</v>
      </c>
      <c r="AJ416" s="5">
        <v>0</v>
      </c>
      <c r="AK416" s="5" t="s">
        <v>256</v>
      </c>
      <c r="AL416" s="4" t="s">
        <v>90</v>
      </c>
      <c r="AM416" s="4" t="s">
        <v>67</v>
      </c>
      <c r="AN416" s="21"/>
      <c r="AO416" s="4"/>
      <c r="AP416" s="58"/>
      <c r="AQ416" s="58"/>
      <c r="AR416" s="23"/>
      <c r="AS416" s="23"/>
      <c r="AT416" s="4"/>
      <c r="AU416" s="4"/>
      <c r="AV416" s="4"/>
      <c r="AW416" s="4"/>
      <c r="AX416" s="9"/>
      <c r="AY416" s="9"/>
      <c r="AZ416" s="4"/>
      <c r="BB416" t="e">
        <f>VLOOKUP(B416,contactos!$A$1:$D$484,4,FALSE)</f>
        <v>#N/A</v>
      </c>
    </row>
    <row r="417" spans="2:54" customFormat="1" x14ac:dyDescent="0.25">
      <c r="B417" s="3">
        <v>25874</v>
      </c>
      <c r="C417" s="4" t="s">
        <v>647</v>
      </c>
      <c r="D417" s="5">
        <v>324.88</v>
      </c>
      <c r="E417" s="5">
        <v>0</v>
      </c>
      <c r="F417" s="5">
        <v>51.980799999999995</v>
      </c>
      <c r="G417" s="5">
        <v>376.86</v>
      </c>
      <c r="H417" s="5">
        <v>376.86</v>
      </c>
      <c r="I417" s="5">
        <f t="shared" si="121"/>
        <v>324.88</v>
      </c>
      <c r="J417" s="5"/>
      <c r="K417" s="5">
        <f t="shared" si="122"/>
        <v>324.88</v>
      </c>
      <c r="L417" s="5">
        <f t="shared" si="123"/>
        <v>376.86079999999998</v>
      </c>
      <c r="M417" s="5"/>
      <c r="N417" s="5">
        <f t="shared" si="124"/>
        <v>376.86079999999998</v>
      </c>
      <c r="O417" s="21"/>
      <c r="P417" s="21"/>
      <c r="Q417" s="21"/>
      <c r="R417" s="21">
        <f t="shared" si="125"/>
        <v>0</v>
      </c>
      <c r="S417" s="21">
        <v>324.88</v>
      </c>
      <c r="T417" s="21">
        <f t="shared" si="118"/>
        <v>0</v>
      </c>
      <c r="U417" s="21">
        <f t="shared" si="119"/>
        <v>51.980799999999995</v>
      </c>
      <c r="V417" s="21">
        <f t="shared" si="126"/>
        <v>376.86079999999998</v>
      </c>
      <c r="W417" s="21"/>
      <c r="X417" s="5"/>
      <c r="Y417" s="5"/>
      <c r="Z417" s="5">
        <f t="shared" si="127"/>
        <v>0</v>
      </c>
      <c r="AA417" s="5">
        <v>21366.79</v>
      </c>
      <c r="AB417" s="5" t="s">
        <v>258</v>
      </c>
      <c r="AC417" s="5">
        <f t="shared" si="120"/>
        <v>324.88</v>
      </c>
      <c r="AD417" s="5">
        <f t="shared" si="128"/>
        <v>376.86079999999998</v>
      </c>
      <c r="AE417" s="5">
        <f t="shared" si="129"/>
        <v>-7.9999999996971383E-4</v>
      </c>
      <c r="AF417" s="5"/>
      <c r="AG417" s="5" t="s">
        <v>73</v>
      </c>
      <c r="AH417" s="5">
        <v>4</v>
      </c>
      <c r="AI417" s="5">
        <v>0</v>
      </c>
      <c r="AJ417" s="5">
        <v>0</v>
      </c>
      <c r="AK417" s="5" t="s">
        <v>256</v>
      </c>
      <c r="AL417" s="4" t="s">
        <v>90</v>
      </c>
      <c r="AM417" s="4" t="s">
        <v>162</v>
      </c>
      <c r="AN417" s="21"/>
      <c r="AO417" s="4"/>
      <c r="AP417" s="58"/>
      <c r="AQ417" s="58"/>
      <c r="AR417" s="23"/>
      <c r="AS417" s="23"/>
      <c r="AT417" s="4"/>
      <c r="AU417" s="4"/>
      <c r="AV417" s="4"/>
      <c r="AW417" s="4"/>
      <c r="AX417" s="9"/>
      <c r="AY417" s="9"/>
      <c r="AZ417" s="4"/>
      <c r="BB417" t="e">
        <f>VLOOKUP(B417,contactos!$A$1:$D$484,4,FALSE)</f>
        <v>#N/A</v>
      </c>
    </row>
    <row r="418" spans="2:54" customFormat="1" x14ac:dyDescent="0.25">
      <c r="B418" s="3">
        <v>327049</v>
      </c>
      <c r="C418" s="4" t="s">
        <v>716</v>
      </c>
      <c r="D418" s="5">
        <v>326.166165229</v>
      </c>
      <c r="E418" s="5">
        <v>26.093293218319999</v>
      </c>
      <c r="F418" s="5">
        <v>0</v>
      </c>
      <c r="G418" s="5">
        <v>352.26</v>
      </c>
      <c r="H418" s="5">
        <v>352.26</v>
      </c>
      <c r="I418" s="5">
        <f t="shared" si="121"/>
        <v>326.166165229</v>
      </c>
      <c r="J418" s="5"/>
      <c r="K418" s="5">
        <f t="shared" si="122"/>
        <v>326.166165229</v>
      </c>
      <c r="L418" s="5">
        <f t="shared" si="123"/>
        <v>352.25945844732001</v>
      </c>
      <c r="M418" s="5"/>
      <c r="N418" s="5">
        <f t="shared" si="124"/>
        <v>352.25945844732001</v>
      </c>
      <c r="O418" s="21"/>
      <c r="P418" s="21"/>
      <c r="Q418" s="21"/>
      <c r="R418" s="21">
        <f t="shared" si="125"/>
        <v>0</v>
      </c>
      <c r="S418" s="21">
        <v>326.166165229</v>
      </c>
      <c r="T418" s="21">
        <f t="shared" si="118"/>
        <v>26.093293218319999</v>
      </c>
      <c r="U418" s="21">
        <f t="shared" si="119"/>
        <v>0</v>
      </c>
      <c r="V418" s="21">
        <f t="shared" si="126"/>
        <v>352.25945844732001</v>
      </c>
      <c r="W418" s="21"/>
      <c r="X418" s="5"/>
      <c r="Y418" s="5"/>
      <c r="Z418" s="5">
        <f t="shared" si="127"/>
        <v>0</v>
      </c>
      <c r="AA418" s="5">
        <v>34686.589999999997</v>
      </c>
      <c r="AB418" s="5" t="s">
        <v>258</v>
      </c>
      <c r="AC418" s="5">
        <f t="shared" si="120"/>
        <v>326.166165229</v>
      </c>
      <c r="AD418" s="5">
        <f t="shared" si="128"/>
        <v>352.25945844732001</v>
      </c>
      <c r="AE418" s="5">
        <f t="shared" si="129"/>
        <v>5.4155267997657575E-4</v>
      </c>
      <c r="AF418" s="5"/>
      <c r="AG418" s="5" t="s">
        <v>238</v>
      </c>
      <c r="AH418" s="5">
        <v>4</v>
      </c>
      <c r="AI418" s="5">
        <v>0</v>
      </c>
      <c r="AJ418" s="5">
        <v>0</v>
      </c>
      <c r="AK418" s="5" t="s">
        <v>256</v>
      </c>
      <c r="AL418" s="4" t="s">
        <v>90</v>
      </c>
      <c r="AM418" s="4" t="s">
        <v>107</v>
      </c>
      <c r="AN418" s="21"/>
      <c r="AO418" s="4"/>
      <c r="AP418" s="58"/>
      <c r="AQ418" s="58"/>
      <c r="AR418" s="23"/>
      <c r="AS418" s="23"/>
      <c r="AT418" s="4"/>
      <c r="AU418" s="4"/>
      <c r="AV418" s="4"/>
      <c r="AW418" s="4"/>
      <c r="AX418" s="9"/>
      <c r="AY418" s="9"/>
      <c r="AZ418" s="4"/>
      <c r="BB418" t="e">
        <f>VLOOKUP(B418,contactos!$A$1:$D$484,4,FALSE)</f>
        <v>#N/A</v>
      </c>
    </row>
    <row r="419" spans="2:54" customFormat="1" x14ac:dyDescent="0.25">
      <c r="B419" s="3">
        <v>10678</v>
      </c>
      <c r="C419" s="4" t="s">
        <v>717</v>
      </c>
      <c r="D419" s="5">
        <v>264.87</v>
      </c>
      <c r="E419" s="5">
        <v>0</v>
      </c>
      <c r="F419" s="5">
        <v>42.399299999999997</v>
      </c>
      <c r="G419" s="5">
        <v>307.27</v>
      </c>
      <c r="H419" s="5">
        <v>307.27</v>
      </c>
      <c r="I419" s="5">
        <f t="shared" si="121"/>
        <v>264.87</v>
      </c>
      <c r="J419" s="5"/>
      <c r="K419" s="5">
        <f t="shared" si="122"/>
        <v>264.87</v>
      </c>
      <c r="L419" s="5">
        <f t="shared" si="123"/>
        <v>307.26929999999999</v>
      </c>
      <c r="M419" s="5"/>
      <c r="N419" s="5">
        <f t="shared" si="124"/>
        <v>307.26929999999999</v>
      </c>
      <c r="O419" s="21"/>
      <c r="P419" s="21"/>
      <c r="Q419" s="21"/>
      <c r="R419" s="21">
        <f t="shared" si="125"/>
        <v>0</v>
      </c>
      <c r="S419" s="21">
        <v>264.87</v>
      </c>
      <c r="T419" s="21">
        <f t="shared" si="118"/>
        <v>0</v>
      </c>
      <c r="U419" s="21">
        <f t="shared" si="119"/>
        <v>42.399299999999997</v>
      </c>
      <c r="V419" s="21">
        <f t="shared" si="126"/>
        <v>307.26929999999999</v>
      </c>
      <c r="W419" s="21"/>
      <c r="X419" s="5"/>
      <c r="Y419" s="5"/>
      <c r="Z419" s="5">
        <f t="shared" si="127"/>
        <v>0</v>
      </c>
      <c r="AA419" s="5">
        <v>604.44000000000005</v>
      </c>
      <c r="AB419" s="5" t="s">
        <v>258</v>
      </c>
      <c r="AC419" s="5">
        <f t="shared" si="120"/>
        <v>264.87</v>
      </c>
      <c r="AD419" s="5">
        <f t="shared" si="128"/>
        <v>307.26929999999999</v>
      </c>
      <c r="AE419" s="5">
        <f t="shared" si="129"/>
        <v>6.9999999999481588E-4</v>
      </c>
      <c r="AF419" s="5"/>
      <c r="AG419" s="5" t="s">
        <v>238</v>
      </c>
      <c r="AH419" s="5">
        <v>4</v>
      </c>
      <c r="AI419" s="5">
        <v>0</v>
      </c>
      <c r="AJ419" s="5">
        <v>0</v>
      </c>
      <c r="AK419" s="5" t="s">
        <v>256</v>
      </c>
      <c r="AL419" s="4" t="s">
        <v>90</v>
      </c>
      <c r="AM419" s="4" t="s">
        <v>112</v>
      </c>
      <c r="AN419" s="21"/>
      <c r="AO419" s="4"/>
      <c r="AP419" s="58"/>
      <c r="AQ419" s="58"/>
      <c r="AR419" s="23"/>
      <c r="AS419" s="23"/>
      <c r="AT419" s="4"/>
      <c r="AU419" s="4"/>
      <c r="AV419" s="4"/>
      <c r="AW419" s="4"/>
      <c r="AX419" s="9"/>
      <c r="AY419" s="9"/>
      <c r="AZ419" s="4"/>
      <c r="BB419" t="e">
        <f>VLOOKUP(B419,contactos!$A$1:$D$484,4,FALSE)</f>
        <v>#N/A</v>
      </c>
    </row>
    <row r="420" spans="2:54" customFormat="1" x14ac:dyDescent="0.25">
      <c r="B420" s="3">
        <v>20168</v>
      </c>
      <c r="C420" s="4" t="s">
        <v>718</v>
      </c>
      <c r="D420" s="5">
        <v>230.40505619999999</v>
      </c>
      <c r="E420" s="5">
        <v>0</v>
      </c>
      <c r="F420" s="5">
        <v>36.864808992</v>
      </c>
      <c r="G420" s="5">
        <v>267.27</v>
      </c>
      <c r="H420" s="5">
        <v>267.27</v>
      </c>
      <c r="I420" s="5">
        <f t="shared" si="121"/>
        <v>230.40505619999999</v>
      </c>
      <c r="J420" s="5"/>
      <c r="K420" s="5">
        <f t="shared" si="122"/>
        <v>230.40505619999999</v>
      </c>
      <c r="L420" s="5">
        <f t="shared" si="123"/>
        <v>267.269865192</v>
      </c>
      <c r="M420" s="5"/>
      <c r="N420" s="5">
        <f t="shared" si="124"/>
        <v>267.269865192</v>
      </c>
      <c r="O420" s="21"/>
      <c r="P420" s="21"/>
      <c r="Q420" s="21"/>
      <c r="R420" s="21">
        <f t="shared" si="125"/>
        <v>0</v>
      </c>
      <c r="S420" s="21">
        <v>230.40505619999999</v>
      </c>
      <c r="T420" s="21">
        <f t="shared" si="118"/>
        <v>0</v>
      </c>
      <c r="U420" s="21">
        <f t="shared" si="119"/>
        <v>36.864808992</v>
      </c>
      <c r="V420" s="21">
        <f t="shared" si="126"/>
        <v>267.269865192</v>
      </c>
      <c r="W420" s="21"/>
      <c r="X420" s="5"/>
      <c r="Y420" s="5"/>
      <c r="Z420" s="5">
        <f t="shared" si="127"/>
        <v>0</v>
      </c>
      <c r="AA420" s="5"/>
      <c r="AB420" s="5" t="s">
        <v>258</v>
      </c>
      <c r="AC420" s="5">
        <f t="shared" si="120"/>
        <v>230.40505619999999</v>
      </c>
      <c r="AD420" s="5">
        <f t="shared" si="128"/>
        <v>267.269865192</v>
      </c>
      <c r="AE420" s="5">
        <f t="shared" si="129"/>
        <v>1.3480799998433213E-4</v>
      </c>
      <c r="AF420" s="5"/>
      <c r="AG420" s="5" t="s">
        <v>238</v>
      </c>
      <c r="AH420" s="5">
        <v>4</v>
      </c>
      <c r="AI420" s="5">
        <v>0</v>
      </c>
      <c r="AJ420" s="5">
        <v>0</v>
      </c>
      <c r="AK420" s="5" t="s">
        <v>256</v>
      </c>
      <c r="AL420" s="4" t="s">
        <v>90</v>
      </c>
      <c r="AM420" s="4" t="s">
        <v>91</v>
      </c>
      <c r="AN420" s="21"/>
      <c r="AO420" s="4"/>
      <c r="AP420" s="58"/>
      <c r="AQ420" s="58"/>
      <c r="AR420" s="23"/>
      <c r="AS420" s="23"/>
      <c r="AT420" s="4"/>
      <c r="AU420" s="4"/>
      <c r="AV420" s="4"/>
      <c r="AW420" s="4"/>
      <c r="AX420" s="9"/>
      <c r="AY420" s="9"/>
      <c r="AZ420" s="4"/>
      <c r="BB420" t="e">
        <f>VLOOKUP(B420,contactos!$A$1:$D$484,4,FALSE)</f>
        <v>#N/A</v>
      </c>
    </row>
    <row r="421" spans="2:54" customFormat="1" x14ac:dyDescent="0.25">
      <c r="B421" s="3">
        <v>28209</v>
      </c>
      <c r="C421" s="4" t="s">
        <v>719</v>
      </c>
      <c r="D421" s="5">
        <v>217.68</v>
      </c>
      <c r="E421" s="5">
        <v>0</v>
      </c>
      <c r="F421" s="5">
        <v>34.826300000000003</v>
      </c>
      <c r="G421" s="5">
        <v>252.51</v>
      </c>
      <c r="H421" s="5">
        <v>252.51</v>
      </c>
      <c r="I421" s="5">
        <f t="shared" si="121"/>
        <v>217.68</v>
      </c>
      <c r="J421" s="5"/>
      <c r="K421" s="5">
        <f t="shared" si="122"/>
        <v>217.68</v>
      </c>
      <c r="L421" s="5">
        <f t="shared" si="123"/>
        <v>252.50630000000001</v>
      </c>
      <c r="M421" s="5"/>
      <c r="N421" s="5">
        <f t="shared" si="124"/>
        <v>252.50630000000001</v>
      </c>
      <c r="O421" s="21"/>
      <c r="P421" s="21"/>
      <c r="Q421" s="21"/>
      <c r="R421" s="21">
        <f t="shared" si="125"/>
        <v>0</v>
      </c>
      <c r="S421" s="21">
        <v>217.68</v>
      </c>
      <c r="T421" s="21">
        <f t="shared" ref="T421:T438" si="130">E421-X421</f>
        <v>0</v>
      </c>
      <c r="U421" s="21">
        <f t="shared" si="119"/>
        <v>34.826300000000003</v>
      </c>
      <c r="V421" s="21">
        <f t="shared" si="126"/>
        <v>252.50630000000001</v>
      </c>
      <c r="W421" s="21"/>
      <c r="X421" s="5"/>
      <c r="Y421" s="5"/>
      <c r="Z421" s="5">
        <f t="shared" si="127"/>
        <v>0</v>
      </c>
      <c r="AA421" s="5">
        <v>46825.2</v>
      </c>
      <c r="AB421" s="5" t="s">
        <v>258</v>
      </c>
      <c r="AC421" s="5">
        <f t="shared" si="120"/>
        <v>217.68</v>
      </c>
      <c r="AD421" s="5">
        <f t="shared" si="128"/>
        <v>252.50630000000001</v>
      </c>
      <c r="AE421" s="5">
        <f t="shared" si="129"/>
        <v>3.6999999999807187E-3</v>
      </c>
      <c r="AF421" s="5"/>
      <c r="AG421" s="5" t="s">
        <v>238</v>
      </c>
      <c r="AH421" s="5">
        <v>4</v>
      </c>
      <c r="AI421" s="5">
        <v>0</v>
      </c>
      <c r="AJ421" s="5" t="s">
        <v>279</v>
      </c>
      <c r="AK421" s="5" t="s">
        <v>256</v>
      </c>
      <c r="AL421" s="4" t="s">
        <v>90</v>
      </c>
      <c r="AM421" s="4" t="s">
        <v>119</v>
      </c>
      <c r="AN421" s="21"/>
      <c r="AO421" s="4"/>
      <c r="AP421" s="58"/>
      <c r="AQ421" s="58"/>
      <c r="AR421" s="23"/>
      <c r="AS421" s="23"/>
      <c r="AT421" s="4"/>
      <c r="AU421" s="4"/>
      <c r="AV421" s="4"/>
      <c r="AW421" s="4"/>
      <c r="AX421" s="9"/>
      <c r="AY421" s="9"/>
      <c r="AZ421" s="4"/>
      <c r="BB421" t="e">
        <f>VLOOKUP(B421,contactos!$A$1:$D$484,4,FALSE)</f>
        <v>#N/A</v>
      </c>
    </row>
    <row r="422" spans="2:54" customFormat="1" x14ac:dyDescent="0.25">
      <c r="B422" s="131">
        <v>11160</v>
      </c>
      <c r="C422" s="4" t="s">
        <v>720</v>
      </c>
      <c r="D422" s="5">
        <v>231.82</v>
      </c>
      <c r="E422" s="5">
        <v>18.5486</v>
      </c>
      <c r="F422" s="5">
        <v>0</v>
      </c>
      <c r="G422" s="5">
        <v>250.37</v>
      </c>
      <c r="H422" s="5">
        <v>250.37</v>
      </c>
      <c r="I422" s="5">
        <f t="shared" si="121"/>
        <v>231.82</v>
      </c>
      <c r="J422" s="5"/>
      <c r="K422" s="5">
        <f t="shared" si="122"/>
        <v>231.82</v>
      </c>
      <c r="L422" s="5">
        <f t="shared" si="123"/>
        <v>250.36859999999999</v>
      </c>
      <c r="M422" s="5"/>
      <c r="N422" s="5">
        <f t="shared" si="124"/>
        <v>250.36859999999999</v>
      </c>
      <c r="O422" s="21"/>
      <c r="P422" s="21"/>
      <c r="Q422" s="21"/>
      <c r="R422" s="21">
        <f t="shared" si="125"/>
        <v>0</v>
      </c>
      <c r="S422" s="21">
        <v>231.82</v>
      </c>
      <c r="T422" s="21">
        <f t="shared" si="130"/>
        <v>18.5486</v>
      </c>
      <c r="U422" s="21">
        <f t="shared" ref="U422:U438" si="131">F422-Y422</f>
        <v>0</v>
      </c>
      <c r="V422" s="21">
        <f t="shared" si="126"/>
        <v>250.36859999999999</v>
      </c>
      <c r="W422" s="21"/>
      <c r="X422" s="5"/>
      <c r="Y422" s="5"/>
      <c r="Z422" s="5">
        <f t="shared" si="127"/>
        <v>0</v>
      </c>
      <c r="AA422" s="5">
        <v>65673.81</v>
      </c>
      <c r="AB422" s="5" t="s">
        <v>258</v>
      </c>
      <c r="AC422" s="5">
        <f t="shared" si="120"/>
        <v>231.82</v>
      </c>
      <c r="AD422" s="5">
        <f t="shared" si="128"/>
        <v>250.36859999999999</v>
      </c>
      <c r="AE422" s="5">
        <f t="shared" si="129"/>
        <v>1.4000000000180535E-3</v>
      </c>
      <c r="AF422" s="5"/>
      <c r="AG422" s="5" t="s">
        <v>238</v>
      </c>
      <c r="AH422" s="5">
        <v>4</v>
      </c>
      <c r="AI422" s="5">
        <v>0</v>
      </c>
      <c r="AJ422" s="5">
        <v>0</v>
      </c>
      <c r="AK422" s="5" t="s">
        <v>256</v>
      </c>
      <c r="AL422" s="4" t="s">
        <v>90</v>
      </c>
      <c r="AM422" s="6" t="s">
        <v>103</v>
      </c>
      <c r="AN422" s="21"/>
      <c r="AO422" s="4"/>
      <c r="AP422" s="58"/>
      <c r="AQ422" s="58"/>
      <c r="AR422" s="23"/>
      <c r="AS422" s="23"/>
      <c r="AT422" s="4"/>
      <c r="AU422" s="4"/>
      <c r="AV422" s="52"/>
      <c r="AW422" s="52"/>
      <c r="AX422" s="9"/>
      <c r="AY422" s="9"/>
      <c r="AZ422" s="4"/>
      <c r="BB422" t="e">
        <f>VLOOKUP(B422,contactos!$A$1:$D$484,4,FALSE)</f>
        <v>#N/A</v>
      </c>
    </row>
    <row r="423" spans="2:54" customFormat="1" x14ac:dyDescent="0.25">
      <c r="B423" s="3">
        <v>28407</v>
      </c>
      <c r="C423" s="4" t="s">
        <v>721</v>
      </c>
      <c r="D423" s="5">
        <v>205.57329379999999</v>
      </c>
      <c r="E423" s="5">
        <v>0</v>
      </c>
      <c r="F423" s="5">
        <v>32.891727007999997</v>
      </c>
      <c r="G423" s="5">
        <v>238.47</v>
      </c>
      <c r="H423" s="5">
        <v>238.47</v>
      </c>
      <c r="I423" s="5">
        <f t="shared" si="121"/>
        <v>205.57329379999999</v>
      </c>
      <c r="J423" s="5"/>
      <c r="K423" s="5">
        <f t="shared" si="122"/>
        <v>205.57329379999999</v>
      </c>
      <c r="L423" s="5">
        <f t="shared" si="123"/>
        <v>238.46502080799999</v>
      </c>
      <c r="M423" s="5"/>
      <c r="N423" s="5">
        <f t="shared" si="124"/>
        <v>238.46502080799999</v>
      </c>
      <c r="O423" s="21"/>
      <c r="P423" s="21"/>
      <c r="Q423" s="21"/>
      <c r="R423" s="21">
        <f t="shared" si="125"/>
        <v>0</v>
      </c>
      <c r="S423" s="21">
        <v>205.57329379999999</v>
      </c>
      <c r="T423" s="21">
        <f t="shared" si="130"/>
        <v>0</v>
      </c>
      <c r="U423" s="21">
        <f t="shared" si="131"/>
        <v>32.891727007999997</v>
      </c>
      <c r="V423" s="21">
        <f t="shared" si="126"/>
        <v>238.46502080799999</v>
      </c>
      <c r="W423" s="21"/>
      <c r="X423" s="5"/>
      <c r="Y423" s="5"/>
      <c r="Z423" s="5">
        <f t="shared" si="127"/>
        <v>0</v>
      </c>
      <c r="AA423" s="5">
        <v>34156.71</v>
      </c>
      <c r="AB423" s="5" t="s">
        <v>258</v>
      </c>
      <c r="AC423" s="5">
        <f t="shared" si="120"/>
        <v>205.57329379999999</v>
      </c>
      <c r="AD423" s="5">
        <f t="shared" si="128"/>
        <v>238.46502080799999</v>
      </c>
      <c r="AE423" s="5">
        <f t="shared" si="129"/>
        <v>4.9791920000075152E-3</v>
      </c>
      <c r="AF423" s="5"/>
      <c r="AG423" s="5" t="s">
        <v>73</v>
      </c>
      <c r="AH423" s="5">
        <v>4</v>
      </c>
      <c r="AI423" s="5">
        <v>0</v>
      </c>
      <c r="AJ423" s="120" t="s">
        <v>386</v>
      </c>
      <c r="AK423" s="5" t="s">
        <v>256</v>
      </c>
      <c r="AL423" s="4" t="s">
        <v>90</v>
      </c>
      <c r="AM423" s="4" t="s">
        <v>67</v>
      </c>
      <c r="AN423" s="21"/>
      <c r="AO423" s="4"/>
      <c r="AP423" s="58"/>
      <c r="AQ423" s="58"/>
      <c r="AR423" s="23"/>
      <c r="AS423" s="23"/>
      <c r="AT423" s="4"/>
      <c r="AU423" s="4"/>
      <c r="AV423" s="4"/>
      <c r="AW423" s="4"/>
      <c r="AX423" s="9"/>
      <c r="AY423" s="9"/>
      <c r="AZ423" s="4"/>
      <c r="BB423" t="e">
        <f>VLOOKUP(B423,contactos!$A$1:$D$484,4,FALSE)</f>
        <v>#N/A</v>
      </c>
    </row>
    <row r="424" spans="2:54" customFormat="1" x14ac:dyDescent="0.25">
      <c r="B424" s="3">
        <v>2013</v>
      </c>
      <c r="C424" s="4" t="s">
        <v>722</v>
      </c>
      <c r="D424" s="5">
        <v>200.56</v>
      </c>
      <c r="E424" s="5">
        <v>0</v>
      </c>
      <c r="F424" s="5">
        <v>32.089599999999997</v>
      </c>
      <c r="G424" s="5">
        <v>232.65</v>
      </c>
      <c r="H424" s="5">
        <v>0</v>
      </c>
      <c r="I424" s="5">
        <f t="shared" si="121"/>
        <v>200.56</v>
      </c>
      <c r="J424" s="5"/>
      <c r="K424" s="5">
        <f t="shared" si="122"/>
        <v>200.56</v>
      </c>
      <c r="L424" s="5">
        <f t="shared" si="123"/>
        <v>232.64959999999999</v>
      </c>
      <c r="M424" s="5"/>
      <c r="N424" s="5">
        <f t="shared" si="124"/>
        <v>232.64959999999999</v>
      </c>
      <c r="O424" s="21"/>
      <c r="P424" s="21"/>
      <c r="Q424" s="21"/>
      <c r="R424" s="21">
        <f t="shared" si="125"/>
        <v>0</v>
      </c>
      <c r="S424" s="21">
        <v>200.56</v>
      </c>
      <c r="T424" s="21">
        <f t="shared" si="130"/>
        <v>0</v>
      </c>
      <c r="U424" s="21">
        <f t="shared" si="131"/>
        <v>32.089599999999997</v>
      </c>
      <c r="V424" s="21">
        <f t="shared" si="126"/>
        <v>232.64959999999999</v>
      </c>
      <c r="W424" s="21"/>
      <c r="X424" s="5"/>
      <c r="Y424" s="5"/>
      <c r="Z424" s="5">
        <f t="shared" si="127"/>
        <v>0</v>
      </c>
      <c r="AA424" s="5">
        <v>14992.39</v>
      </c>
      <c r="AB424" s="5" t="s">
        <v>258</v>
      </c>
      <c r="AC424" s="5">
        <f t="shared" si="120"/>
        <v>200.56</v>
      </c>
      <c r="AD424" s="5">
        <f t="shared" si="128"/>
        <v>232.64959999999999</v>
      </c>
      <c r="AE424" s="5">
        <f t="shared" si="129"/>
        <v>4.0000000001327862E-4</v>
      </c>
      <c r="AF424" s="5"/>
      <c r="AG424" s="5" t="s">
        <v>73</v>
      </c>
      <c r="AH424" s="5">
        <v>4</v>
      </c>
      <c r="AI424" s="5">
        <v>0</v>
      </c>
      <c r="AJ424" s="120" t="s">
        <v>296</v>
      </c>
      <c r="AK424" s="5" t="s">
        <v>256</v>
      </c>
      <c r="AL424" s="4" t="s">
        <v>90</v>
      </c>
      <c r="AM424" s="4" t="s">
        <v>216</v>
      </c>
      <c r="AN424" s="21"/>
      <c r="AO424" s="4"/>
      <c r="AP424" s="58"/>
      <c r="AQ424" s="58"/>
      <c r="AR424" s="23"/>
      <c r="AS424" s="23"/>
      <c r="AT424" s="4"/>
      <c r="AU424" s="4"/>
      <c r="AV424" s="4"/>
      <c r="AW424" s="4"/>
      <c r="AX424" s="9"/>
      <c r="AY424" s="9"/>
      <c r="AZ424" s="4"/>
      <c r="BB424" t="e">
        <f>VLOOKUP(B424,contactos!$A$1:$D$484,4,FALSE)</f>
        <v>#N/A</v>
      </c>
    </row>
    <row r="425" spans="2:54" customFormat="1" x14ac:dyDescent="0.25">
      <c r="B425" s="3">
        <v>339069</v>
      </c>
      <c r="C425" s="4" t="s">
        <v>723</v>
      </c>
      <c r="D425" s="5">
        <v>215.13</v>
      </c>
      <c r="E425" s="5">
        <v>17.2104</v>
      </c>
      <c r="F425" s="5">
        <v>0</v>
      </c>
      <c r="G425" s="5">
        <v>232.34</v>
      </c>
      <c r="H425" s="5">
        <v>232.34</v>
      </c>
      <c r="I425" s="5">
        <f t="shared" si="121"/>
        <v>215.13</v>
      </c>
      <c r="J425" s="5"/>
      <c r="K425" s="5">
        <f t="shared" si="122"/>
        <v>215.13</v>
      </c>
      <c r="L425" s="5">
        <f t="shared" si="123"/>
        <v>232.34039999999999</v>
      </c>
      <c r="M425" s="5"/>
      <c r="N425" s="5">
        <f t="shared" si="124"/>
        <v>232.34039999999999</v>
      </c>
      <c r="O425" s="21"/>
      <c r="P425" s="21"/>
      <c r="Q425" s="21"/>
      <c r="R425" s="21">
        <f t="shared" si="125"/>
        <v>0</v>
      </c>
      <c r="S425" s="21">
        <v>215.13</v>
      </c>
      <c r="T425" s="21">
        <f t="shared" si="130"/>
        <v>17.2104</v>
      </c>
      <c r="U425" s="21">
        <f t="shared" si="131"/>
        <v>0</v>
      </c>
      <c r="V425" s="21">
        <f t="shared" si="126"/>
        <v>232.34039999999999</v>
      </c>
      <c r="W425" s="21"/>
      <c r="X425" s="5"/>
      <c r="Y425" s="5"/>
      <c r="Z425" s="5">
        <f t="shared" si="127"/>
        <v>0</v>
      </c>
      <c r="AA425" s="5">
        <v>11949.15</v>
      </c>
      <c r="AB425" s="5" t="s">
        <v>258</v>
      </c>
      <c r="AC425" s="5">
        <f t="shared" si="120"/>
        <v>215.13</v>
      </c>
      <c r="AD425" s="5">
        <f t="shared" si="128"/>
        <v>232.34039999999999</v>
      </c>
      <c r="AE425" s="5">
        <f t="shared" si="129"/>
        <v>-3.9999999998485691E-4</v>
      </c>
      <c r="AF425" s="5"/>
      <c r="AG425" s="5" t="s">
        <v>238</v>
      </c>
      <c r="AH425" s="5">
        <v>4</v>
      </c>
      <c r="AI425" s="5">
        <v>0</v>
      </c>
      <c r="AJ425" s="5">
        <v>0</v>
      </c>
      <c r="AK425" s="5" t="s">
        <v>256</v>
      </c>
      <c r="AL425" s="4" t="s">
        <v>90</v>
      </c>
      <c r="AM425" s="4" t="s">
        <v>137</v>
      </c>
      <c r="AN425" s="21"/>
      <c r="AO425" s="4"/>
      <c r="AP425" s="58"/>
      <c r="AQ425" s="58"/>
      <c r="AR425" s="23"/>
      <c r="AS425" s="23"/>
      <c r="AT425" s="4"/>
      <c r="AU425" s="4"/>
      <c r="AV425" s="4"/>
      <c r="AW425" s="4"/>
      <c r="AX425" s="9"/>
      <c r="AY425" s="9"/>
      <c r="AZ425" s="4"/>
      <c r="BB425" t="e">
        <f>VLOOKUP(B425,contactos!$A$1:$D$484,4,FALSE)</f>
        <v>#N/A</v>
      </c>
    </row>
    <row r="426" spans="2:54" customFormat="1" x14ac:dyDescent="0.25">
      <c r="B426" s="3">
        <v>18087</v>
      </c>
      <c r="C426" s="4" t="s">
        <v>724</v>
      </c>
      <c r="D426" s="5">
        <v>180.74</v>
      </c>
      <c r="E426" s="5">
        <v>0</v>
      </c>
      <c r="F426" s="5">
        <v>28.918399999999998</v>
      </c>
      <c r="G426" s="5">
        <v>209.66</v>
      </c>
      <c r="H426" s="5">
        <v>209.66</v>
      </c>
      <c r="I426" s="5">
        <f t="shared" si="121"/>
        <v>180.74</v>
      </c>
      <c r="J426" s="5"/>
      <c r="K426" s="5">
        <f t="shared" si="122"/>
        <v>180.74</v>
      </c>
      <c r="L426" s="5">
        <f t="shared" si="123"/>
        <v>209.6584</v>
      </c>
      <c r="M426" s="5"/>
      <c r="N426" s="5">
        <f t="shared" si="124"/>
        <v>209.6584</v>
      </c>
      <c r="O426" s="21"/>
      <c r="P426" s="21"/>
      <c r="Q426" s="21"/>
      <c r="R426" s="21">
        <f t="shared" si="125"/>
        <v>0</v>
      </c>
      <c r="S426" s="21">
        <v>180.74</v>
      </c>
      <c r="T426" s="21">
        <f t="shared" si="130"/>
        <v>0</v>
      </c>
      <c r="U426" s="21">
        <f t="shared" si="131"/>
        <v>28.918399999999998</v>
      </c>
      <c r="V426" s="21">
        <f t="shared" si="126"/>
        <v>209.6584</v>
      </c>
      <c r="W426" s="21"/>
      <c r="X426" s="5"/>
      <c r="Y426" s="5"/>
      <c r="Z426" s="5">
        <f t="shared" si="127"/>
        <v>0</v>
      </c>
      <c r="AA426" s="5">
        <v>448.02</v>
      </c>
      <c r="AB426" s="5" t="s">
        <v>258</v>
      </c>
      <c r="AC426" s="5">
        <f t="shared" si="120"/>
        <v>180.74</v>
      </c>
      <c r="AD426" s="5">
        <f t="shared" si="128"/>
        <v>209.6584</v>
      </c>
      <c r="AE426" s="5">
        <f t="shared" si="129"/>
        <v>1.5999999999962711E-3</v>
      </c>
      <c r="AF426" s="5"/>
      <c r="AG426" s="5" t="s">
        <v>238</v>
      </c>
      <c r="AH426" s="5">
        <v>4</v>
      </c>
      <c r="AI426" s="5">
        <v>0</v>
      </c>
      <c r="AJ426" s="5">
        <v>0</v>
      </c>
      <c r="AK426" s="5" t="s">
        <v>256</v>
      </c>
      <c r="AL426" s="4" t="s">
        <v>90</v>
      </c>
      <c r="AM426" s="4" t="s">
        <v>67</v>
      </c>
      <c r="AN426" s="21"/>
      <c r="AO426" s="4"/>
      <c r="AP426" s="58"/>
      <c r="AQ426" s="58"/>
      <c r="AR426" s="23"/>
      <c r="AS426" s="23"/>
      <c r="AT426" s="4"/>
      <c r="AU426" s="4"/>
      <c r="AV426" s="4"/>
      <c r="AW426" s="4"/>
      <c r="AX426" s="9"/>
      <c r="AY426" s="9"/>
      <c r="AZ426" s="4"/>
      <c r="BB426" t="e">
        <f>VLOOKUP(B426,contactos!$A$1:$D$484,4,FALSE)</f>
        <v>#N/A</v>
      </c>
    </row>
    <row r="427" spans="2:54" customFormat="1" x14ac:dyDescent="0.25">
      <c r="B427" s="3">
        <v>228163</v>
      </c>
      <c r="C427" s="4" t="s">
        <v>725</v>
      </c>
      <c r="D427" s="5">
        <v>202.75999999999996</v>
      </c>
      <c r="E427" s="5">
        <v>0</v>
      </c>
      <c r="F427" s="5">
        <v>0</v>
      </c>
      <c r="G427" s="5">
        <v>202.75999999999996</v>
      </c>
      <c r="H427" s="5">
        <v>202.76</v>
      </c>
      <c r="I427" s="5">
        <f t="shared" si="121"/>
        <v>202.75999999999996</v>
      </c>
      <c r="J427" s="5"/>
      <c r="K427" s="5">
        <f t="shared" si="122"/>
        <v>202.75999999999996</v>
      </c>
      <c r="L427" s="5">
        <f t="shared" si="123"/>
        <v>202.75999999999996</v>
      </c>
      <c r="M427" s="5"/>
      <c r="N427" s="5">
        <f t="shared" si="124"/>
        <v>202.75999999999996</v>
      </c>
      <c r="O427" s="21"/>
      <c r="P427" s="21"/>
      <c r="Q427" s="21"/>
      <c r="R427" s="21">
        <f t="shared" si="125"/>
        <v>0</v>
      </c>
      <c r="S427" s="21">
        <v>202.75999999999996</v>
      </c>
      <c r="T427" s="21">
        <f t="shared" si="130"/>
        <v>0</v>
      </c>
      <c r="U427" s="21">
        <f t="shared" si="131"/>
        <v>0</v>
      </c>
      <c r="V427" s="21">
        <f t="shared" si="126"/>
        <v>202.75999999999996</v>
      </c>
      <c r="W427" s="21"/>
      <c r="X427" s="5"/>
      <c r="Y427" s="5"/>
      <c r="Z427" s="5">
        <f t="shared" si="127"/>
        <v>0</v>
      </c>
      <c r="AA427" s="5">
        <v>250.24</v>
      </c>
      <c r="AB427" s="5" t="s">
        <v>258</v>
      </c>
      <c r="AC427" s="5">
        <f t="shared" si="120"/>
        <v>202.75999999999996</v>
      </c>
      <c r="AD427" s="5">
        <f t="shared" si="128"/>
        <v>202.75999999999996</v>
      </c>
      <c r="AE427" s="5">
        <f t="shared" si="129"/>
        <v>0</v>
      </c>
      <c r="AF427" s="5"/>
      <c r="AG427" s="5" t="s">
        <v>238</v>
      </c>
      <c r="AH427" s="5">
        <v>4</v>
      </c>
      <c r="AI427" s="5">
        <v>0</v>
      </c>
      <c r="AJ427" s="5">
        <v>0</v>
      </c>
      <c r="AK427" s="5" t="s">
        <v>256</v>
      </c>
      <c r="AL427" s="4" t="s">
        <v>90</v>
      </c>
      <c r="AM427" s="4" t="s">
        <v>162</v>
      </c>
      <c r="AN427" s="21"/>
      <c r="AO427" s="4"/>
      <c r="AP427" s="58"/>
      <c r="AQ427" s="58"/>
      <c r="AR427" s="23"/>
      <c r="AS427" s="23"/>
      <c r="AT427" s="4"/>
      <c r="AU427" s="4"/>
      <c r="AV427" s="4"/>
      <c r="AW427" s="4"/>
      <c r="AX427" s="9"/>
      <c r="AY427" s="9"/>
      <c r="AZ427" s="4"/>
      <c r="BB427" t="str">
        <f>VLOOKUP(B427,contactos!$A$1:$D$484,4,FALSE)</f>
        <v>marco.cordero@lyncott.mx</v>
      </c>
    </row>
    <row r="428" spans="2:54" customFormat="1" x14ac:dyDescent="0.25">
      <c r="B428" s="3">
        <v>308592</v>
      </c>
      <c r="C428" s="4" t="s">
        <v>726</v>
      </c>
      <c r="D428" s="5">
        <v>168.15</v>
      </c>
      <c r="E428" s="5">
        <v>13.4688</v>
      </c>
      <c r="F428" s="5">
        <v>0</v>
      </c>
      <c r="G428" s="5">
        <v>181.62</v>
      </c>
      <c r="H428" s="5">
        <v>0</v>
      </c>
      <c r="I428" s="5">
        <f t="shared" si="121"/>
        <v>168.15</v>
      </c>
      <c r="J428" s="5"/>
      <c r="K428" s="5">
        <f t="shared" si="122"/>
        <v>168.15</v>
      </c>
      <c r="L428" s="5">
        <f t="shared" si="123"/>
        <v>181.61879999999999</v>
      </c>
      <c r="M428" s="5"/>
      <c r="N428" s="5">
        <f t="shared" si="124"/>
        <v>181.61879999999999</v>
      </c>
      <c r="O428" s="21"/>
      <c r="P428" s="21"/>
      <c r="Q428" s="21"/>
      <c r="R428" s="21">
        <f t="shared" si="125"/>
        <v>0</v>
      </c>
      <c r="S428" s="21">
        <v>168.15</v>
      </c>
      <c r="T428" s="21">
        <f t="shared" si="130"/>
        <v>13.4688</v>
      </c>
      <c r="U428" s="21">
        <f t="shared" si="131"/>
        <v>0</v>
      </c>
      <c r="V428" s="21">
        <f t="shared" si="126"/>
        <v>181.61879999999999</v>
      </c>
      <c r="W428" s="21"/>
      <c r="X428" s="5"/>
      <c r="Y428" s="5"/>
      <c r="Z428" s="5">
        <f t="shared" si="127"/>
        <v>0</v>
      </c>
      <c r="AA428" s="5">
        <v>47190.43</v>
      </c>
      <c r="AB428" s="5" t="s">
        <v>258</v>
      </c>
      <c r="AC428" s="5">
        <f t="shared" si="120"/>
        <v>168.15</v>
      </c>
      <c r="AD428" s="5">
        <f t="shared" si="128"/>
        <v>181.61879999999999</v>
      </c>
      <c r="AE428" s="5">
        <f t="shared" si="129"/>
        <v>1.2000000000114142E-3</v>
      </c>
      <c r="AF428" s="5"/>
      <c r="AG428" s="5" t="s">
        <v>73</v>
      </c>
      <c r="AH428" s="5">
        <v>4</v>
      </c>
      <c r="AI428" s="5">
        <v>0</v>
      </c>
      <c r="AJ428" s="5">
        <v>0</v>
      </c>
      <c r="AK428" s="5" t="s">
        <v>256</v>
      </c>
      <c r="AL428" s="4" t="s">
        <v>90</v>
      </c>
      <c r="AM428" s="4" t="s">
        <v>162</v>
      </c>
      <c r="AN428" s="21"/>
      <c r="AO428" s="4"/>
      <c r="AP428" s="58"/>
      <c r="AQ428" s="58"/>
      <c r="AR428" s="23"/>
      <c r="AS428" s="23"/>
      <c r="AT428" s="4"/>
      <c r="AU428" s="4"/>
      <c r="AV428" s="4"/>
      <c r="AW428" s="4"/>
      <c r="AX428" s="9"/>
      <c r="AY428" s="9"/>
      <c r="AZ428" s="4"/>
      <c r="BB428" t="e">
        <f>VLOOKUP(B428,contactos!$A$1:$D$484,4,FALSE)</f>
        <v>#N/A</v>
      </c>
    </row>
    <row r="429" spans="2:54" customFormat="1" x14ac:dyDescent="0.25">
      <c r="B429" s="3">
        <v>21090</v>
      </c>
      <c r="C429" s="4" t="s">
        <v>727</v>
      </c>
      <c r="D429" s="5">
        <v>147.4</v>
      </c>
      <c r="E429" s="5">
        <v>0</v>
      </c>
      <c r="F429" s="5">
        <v>23.584</v>
      </c>
      <c r="G429" s="5">
        <v>170.98</v>
      </c>
      <c r="H429" s="5">
        <v>170.98</v>
      </c>
      <c r="I429" s="5">
        <f t="shared" si="121"/>
        <v>147.4</v>
      </c>
      <c r="J429" s="5"/>
      <c r="K429" s="5">
        <f t="shared" si="122"/>
        <v>147.4</v>
      </c>
      <c r="L429" s="5">
        <f t="shared" si="123"/>
        <v>170.98400000000001</v>
      </c>
      <c r="M429" s="5"/>
      <c r="N429" s="5">
        <f t="shared" si="124"/>
        <v>170.98400000000001</v>
      </c>
      <c r="O429" s="21"/>
      <c r="P429" s="21"/>
      <c r="Q429" s="21"/>
      <c r="R429" s="21">
        <f t="shared" si="125"/>
        <v>0</v>
      </c>
      <c r="S429" s="21">
        <v>147.4</v>
      </c>
      <c r="T429" s="21">
        <f t="shared" si="130"/>
        <v>0</v>
      </c>
      <c r="U429" s="21">
        <f t="shared" si="131"/>
        <v>23.584</v>
      </c>
      <c r="V429" s="21">
        <f t="shared" si="126"/>
        <v>170.98400000000001</v>
      </c>
      <c r="W429" s="21"/>
      <c r="X429" s="5"/>
      <c r="Y429" s="5"/>
      <c r="Z429" s="5">
        <f t="shared" si="127"/>
        <v>0</v>
      </c>
      <c r="AA429" s="5">
        <v>13028.86</v>
      </c>
      <c r="AB429" s="5" t="s">
        <v>258</v>
      </c>
      <c r="AC429" s="5">
        <f t="shared" si="120"/>
        <v>147.4</v>
      </c>
      <c r="AD429" s="5">
        <f t="shared" si="128"/>
        <v>170.98400000000001</v>
      </c>
      <c r="AE429" s="5">
        <f t="shared" si="129"/>
        <v>-4.0000000000190994E-3</v>
      </c>
      <c r="AF429" s="5"/>
      <c r="AG429" s="5" t="s">
        <v>238</v>
      </c>
      <c r="AH429" s="5">
        <v>4</v>
      </c>
      <c r="AI429" s="5">
        <v>0</v>
      </c>
      <c r="AJ429" s="5">
        <v>0</v>
      </c>
      <c r="AK429" s="5" t="s">
        <v>256</v>
      </c>
      <c r="AL429" s="4" t="s">
        <v>90</v>
      </c>
      <c r="AM429" s="4" t="s">
        <v>107</v>
      </c>
      <c r="AN429" s="21"/>
      <c r="AO429" s="4"/>
      <c r="AP429" s="58"/>
      <c r="AQ429" s="58"/>
      <c r="AR429" s="23"/>
      <c r="AS429" s="23"/>
      <c r="AT429" s="4"/>
      <c r="AU429" s="4"/>
      <c r="AV429" s="4"/>
      <c r="AW429" s="4"/>
      <c r="AX429" s="9"/>
      <c r="AY429" s="9"/>
      <c r="AZ429" s="4"/>
      <c r="BB429" t="e">
        <f>VLOOKUP(B429,contactos!$A$1:$D$484,4,FALSE)</f>
        <v>#N/A</v>
      </c>
    </row>
    <row r="430" spans="2:54" customFormat="1" x14ac:dyDescent="0.25">
      <c r="B430" s="3">
        <v>2949</v>
      </c>
      <c r="C430" s="4" t="s">
        <v>728</v>
      </c>
      <c r="D430" s="5">
        <v>134.06</v>
      </c>
      <c r="E430" s="5">
        <v>0</v>
      </c>
      <c r="F430" s="5">
        <v>21.4496</v>
      </c>
      <c r="G430" s="5">
        <v>155.51</v>
      </c>
      <c r="H430" s="5">
        <v>155.51</v>
      </c>
      <c r="I430" s="5">
        <f t="shared" si="121"/>
        <v>134.06</v>
      </c>
      <c r="J430" s="5"/>
      <c r="K430" s="5">
        <f t="shared" si="122"/>
        <v>134.06</v>
      </c>
      <c r="L430" s="5">
        <f t="shared" si="123"/>
        <v>155.50960000000001</v>
      </c>
      <c r="M430" s="5"/>
      <c r="N430" s="5">
        <f t="shared" si="124"/>
        <v>155.50960000000001</v>
      </c>
      <c r="O430" s="21"/>
      <c r="P430" s="21"/>
      <c r="Q430" s="21"/>
      <c r="R430" s="21">
        <f t="shared" si="125"/>
        <v>0</v>
      </c>
      <c r="S430" s="21">
        <v>134.06</v>
      </c>
      <c r="T430" s="21">
        <f t="shared" si="130"/>
        <v>0</v>
      </c>
      <c r="U430" s="21">
        <f t="shared" si="131"/>
        <v>21.4496</v>
      </c>
      <c r="V430" s="21">
        <f t="shared" si="126"/>
        <v>155.50960000000001</v>
      </c>
      <c r="W430" s="21"/>
      <c r="X430" s="5"/>
      <c r="Y430" s="5"/>
      <c r="Z430" s="5">
        <f t="shared" si="127"/>
        <v>0</v>
      </c>
      <c r="AA430" s="5"/>
      <c r="AB430" s="5" t="s">
        <v>258</v>
      </c>
      <c r="AC430" s="5">
        <f t="shared" si="120"/>
        <v>134.06</v>
      </c>
      <c r="AD430" s="5">
        <f t="shared" si="128"/>
        <v>155.50960000000001</v>
      </c>
      <c r="AE430" s="5">
        <f t="shared" si="129"/>
        <v>3.9999999998485691E-4</v>
      </c>
      <c r="AF430" s="5"/>
      <c r="AG430" s="5" t="s">
        <v>73</v>
      </c>
      <c r="AH430" s="5">
        <v>4</v>
      </c>
      <c r="AI430" s="5">
        <v>0</v>
      </c>
      <c r="AJ430" s="5" t="s">
        <v>655</v>
      </c>
      <c r="AK430" s="5" t="s">
        <v>256</v>
      </c>
      <c r="AL430" s="4" t="s">
        <v>90</v>
      </c>
      <c r="AM430" s="4" t="s">
        <v>91</v>
      </c>
      <c r="AN430" s="21"/>
      <c r="AO430" s="4"/>
      <c r="AP430" s="58"/>
      <c r="AQ430" s="58"/>
      <c r="AR430" s="23"/>
      <c r="AS430" s="23"/>
      <c r="AT430" s="4"/>
      <c r="AU430" s="4"/>
      <c r="AV430" s="4"/>
      <c r="AW430" s="4"/>
      <c r="AX430" s="9"/>
      <c r="AY430" s="9"/>
      <c r="AZ430" s="4"/>
      <c r="BB430" t="str">
        <f>VLOOKUP(B430,contactos!$A$1:$D$484,4,FALSE)</f>
        <v>verena.aguilar@kontoorbrands.com</v>
      </c>
    </row>
    <row r="431" spans="2:54" customFormat="1" x14ac:dyDescent="0.25">
      <c r="B431" s="3">
        <v>13611</v>
      </c>
      <c r="C431" s="4" t="s">
        <v>729</v>
      </c>
      <c r="D431" s="5">
        <v>148.08250924999999</v>
      </c>
      <c r="E431" s="5">
        <v>0</v>
      </c>
      <c r="F431" s="5">
        <v>0</v>
      </c>
      <c r="G431" s="5">
        <v>148.08000000000001</v>
      </c>
      <c r="H431" s="5">
        <v>148.08000000000001</v>
      </c>
      <c r="I431" s="5">
        <f t="shared" si="121"/>
        <v>148.08250924999999</v>
      </c>
      <c r="J431" s="5"/>
      <c r="K431" s="5">
        <f t="shared" si="122"/>
        <v>148.08250924999999</v>
      </c>
      <c r="L431" s="5">
        <f t="shared" si="123"/>
        <v>148.08250924999999</v>
      </c>
      <c r="M431" s="5"/>
      <c r="N431" s="5">
        <f t="shared" si="124"/>
        <v>148.08250924999999</v>
      </c>
      <c r="O431" s="21"/>
      <c r="P431" s="21"/>
      <c r="Q431" s="21"/>
      <c r="R431" s="21">
        <f t="shared" si="125"/>
        <v>0</v>
      </c>
      <c r="S431" s="21">
        <v>148.08250924999999</v>
      </c>
      <c r="T431" s="21">
        <f t="shared" si="130"/>
        <v>0</v>
      </c>
      <c r="U431" s="21">
        <f t="shared" si="131"/>
        <v>0</v>
      </c>
      <c r="V431" s="21">
        <f t="shared" si="126"/>
        <v>148.08250924999999</v>
      </c>
      <c r="W431" s="21"/>
      <c r="X431" s="5"/>
      <c r="Y431" s="5"/>
      <c r="Z431" s="5">
        <f t="shared" si="127"/>
        <v>0</v>
      </c>
      <c r="AA431" s="5">
        <v>29877.94</v>
      </c>
      <c r="AB431" s="5" t="s">
        <v>258</v>
      </c>
      <c r="AC431" s="5">
        <f t="shared" si="120"/>
        <v>148.08250924999999</v>
      </c>
      <c r="AD431" s="5">
        <f t="shared" si="128"/>
        <v>148.08250924999999</v>
      </c>
      <c r="AE431" s="5">
        <f t="shared" si="129"/>
        <v>-2.5092499999743723E-3</v>
      </c>
      <c r="AF431" s="5"/>
      <c r="AG431" s="5" t="s">
        <v>238</v>
      </c>
      <c r="AH431" s="5">
        <v>4</v>
      </c>
      <c r="AI431" s="5">
        <v>0</v>
      </c>
      <c r="AJ431" s="5">
        <v>0</v>
      </c>
      <c r="AK431" s="5" t="s">
        <v>256</v>
      </c>
      <c r="AL431" s="4" t="s">
        <v>90</v>
      </c>
      <c r="AM431" s="4" t="s">
        <v>112</v>
      </c>
      <c r="AN431" s="21"/>
      <c r="AO431" s="4"/>
      <c r="AP431" s="58"/>
      <c r="AQ431" s="58"/>
      <c r="AR431" s="23"/>
      <c r="AS431" s="23"/>
      <c r="AT431" s="4"/>
      <c r="AU431" s="4"/>
      <c r="AV431" s="4"/>
      <c r="AW431" s="4"/>
      <c r="AX431" s="9"/>
      <c r="AY431" s="9"/>
      <c r="AZ431" s="4"/>
      <c r="BB431" t="e">
        <f>VLOOKUP(B431,contactos!$A$1:$D$484,4,FALSE)</f>
        <v>#N/A</v>
      </c>
    </row>
    <row r="432" spans="2:54" customFormat="1" x14ac:dyDescent="0.25">
      <c r="B432" s="3">
        <v>391193</v>
      </c>
      <c r="C432" s="4" t="s">
        <v>730</v>
      </c>
      <c r="D432" s="5">
        <v>125.73</v>
      </c>
      <c r="E432" s="5">
        <v>0</v>
      </c>
      <c r="F432" s="5">
        <v>20.104199999999999</v>
      </c>
      <c r="G432" s="5">
        <v>145.84</v>
      </c>
      <c r="H432" s="5">
        <v>145.84</v>
      </c>
      <c r="I432" s="5">
        <f t="shared" si="121"/>
        <v>125.73</v>
      </c>
      <c r="J432" s="5"/>
      <c r="K432" s="5">
        <f t="shared" si="122"/>
        <v>125.73</v>
      </c>
      <c r="L432" s="5">
        <f t="shared" si="123"/>
        <v>145.83420000000001</v>
      </c>
      <c r="M432" s="5"/>
      <c r="N432" s="5">
        <f t="shared" si="124"/>
        <v>145.83420000000001</v>
      </c>
      <c r="O432" s="21"/>
      <c r="P432" s="21"/>
      <c r="Q432" s="21"/>
      <c r="R432" s="21">
        <f t="shared" si="125"/>
        <v>0</v>
      </c>
      <c r="S432" s="21">
        <v>125.73</v>
      </c>
      <c r="T432" s="21">
        <f t="shared" si="130"/>
        <v>0</v>
      </c>
      <c r="U432" s="21">
        <f t="shared" si="131"/>
        <v>20.104199999999999</v>
      </c>
      <c r="V432" s="21">
        <f t="shared" si="126"/>
        <v>145.83420000000001</v>
      </c>
      <c r="W432" s="21"/>
      <c r="X432" s="5"/>
      <c r="Y432" s="5"/>
      <c r="Z432" s="5">
        <f t="shared" si="127"/>
        <v>0</v>
      </c>
      <c r="AA432" s="5">
        <v>18400.150000000001</v>
      </c>
      <c r="AB432" s="5" t="s">
        <v>258</v>
      </c>
      <c r="AC432" s="5">
        <f t="shared" si="120"/>
        <v>125.73</v>
      </c>
      <c r="AD432" s="5">
        <f t="shared" si="128"/>
        <v>145.83420000000001</v>
      </c>
      <c r="AE432" s="5">
        <f t="shared" si="129"/>
        <v>5.7999999999935881E-3</v>
      </c>
      <c r="AF432" s="5"/>
      <c r="AG432" s="5" t="s">
        <v>238</v>
      </c>
      <c r="AH432" s="5">
        <v>4</v>
      </c>
      <c r="AI432" s="5">
        <v>0</v>
      </c>
      <c r="AJ432" s="5" t="s">
        <v>279</v>
      </c>
      <c r="AK432" s="5" t="s">
        <v>256</v>
      </c>
      <c r="AL432" s="4" t="s">
        <v>90</v>
      </c>
      <c r="AM432" s="4" t="s">
        <v>119</v>
      </c>
      <c r="AN432" s="21"/>
      <c r="AO432" s="4"/>
      <c r="AP432" s="58"/>
      <c r="AQ432" s="58"/>
      <c r="AR432" s="23"/>
      <c r="AS432" s="23"/>
      <c r="AT432" s="4"/>
      <c r="AU432" s="4"/>
      <c r="AV432" s="4"/>
      <c r="AW432" s="4"/>
      <c r="AX432" s="9"/>
      <c r="AY432" s="9"/>
      <c r="AZ432" s="4"/>
      <c r="BB432" t="e">
        <f>VLOOKUP(B432,contactos!$A$1:$D$484,4,FALSE)</f>
        <v>#N/A</v>
      </c>
    </row>
    <row r="433" spans="1:54" customFormat="1" x14ac:dyDescent="0.25">
      <c r="B433" s="131">
        <v>322172</v>
      </c>
      <c r="C433" s="4" t="s">
        <v>731</v>
      </c>
      <c r="D433" s="5">
        <v>94.07</v>
      </c>
      <c r="E433" s="5">
        <v>0</v>
      </c>
      <c r="F433" s="5">
        <v>15.0512</v>
      </c>
      <c r="G433" s="5">
        <v>109.12</v>
      </c>
      <c r="H433" s="5">
        <v>109.12</v>
      </c>
      <c r="I433" s="5">
        <f t="shared" si="121"/>
        <v>94.07</v>
      </c>
      <c r="J433" s="5"/>
      <c r="K433" s="5">
        <f t="shared" si="122"/>
        <v>94.07</v>
      </c>
      <c r="L433" s="5">
        <f t="shared" si="123"/>
        <v>109.12119999999999</v>
      </c>
      <c r="M433" s="5"/>
      <c r="N433" s="5">
        <f t="shared" si="124"/>
        <v>109.12119999999999</v>
      </c>
      <c r="O433" s="21"/>
      <c r="P433" s="21"/>
      <c r="Q433" s="21"/>
      <c r="R433" s="21">
        <f t="shared" si="125"/>
        <v>0</v>
      </c>
      <c r="S433" s="21">
        <v>94.07</v>
      </c>
      <c r="T433" s="21">
        <f t="shared" si="130"/>
        <v>0</v>
      </c>
      <c r="U433" s="21">
        <f t="shared" si="131"/>
        <v>15.0512</v>
      </c>
      <c r="V433" s="21">
        <f t="shared" si="126"/>
        <v>109.12119999999999</v>
      </c>
      <c r="W433" s="21"/>
      <c r="X433" s="5"/>
      <c r="Y433" s="5"/>
      <c r="Z433" s="5">
        <f t="shared" si="127"/>
        <v>0</v>
      </c>
      <c r="AA433" s="5"/>
      <c r="AB433" s="5" t="s">
        <v>258</v>
      </c>
      <c r="AC433" s="5">
        <f t="shared" si="120"/>
        <v>94.07</v>
      </c>
      <c r="AD433" s="5">
        <f t="shared" si="128"/>
        <v>109.12119999999999</v>
      </c>
      <c r="AE433" s="5">
        <f t="shared" si="129"/>
        <v>-1.1999999999829924E-3</v>
      </c>
      <c r="AF433" s="5"/>
      <c r="AG433" s="5" t="s">
        <v>73</v>
      </c>
      <c r="AH433" s="5">
        <v>4</v>
      </c>
      <c r="AI433" s="5">
        <v>0</v>
      </c>
      <c r="AJ433" s="5">
        <v>0</v>
      </c>
      <c r="AK433" s="5" t="s">
        <v>256</v>
      </c>
      <c r="AL433" s="4" t="s">
        <v>90</v>
      </c>
      <c r="AM433" s="6" t="s">
        <v>103</v>
      </c>
      <c r="AN433" s="21"/>
      <c r="AO433" s="4"/>
      <c r="AP433" s="58"/>
      <c r="AQ433" s="58"/>
      <c r="AR433" s="23"/>
      <c r="AS433" s="23"/>
      <c r="AT433" s="4"/>
      <c r="AU433" s="4"/>
      <c r="AV433" s="52"/>
      <c r="AW433" s="52"/>
      <c r="AX433" s="9"/>
      <c r="AY433" s="9"/>
      <c r="AZ433" s="4"/>
      <c r="BB433" t="e">
        <f>VLOOKUP(B433,contactos!$A$1:$D$484,4,FALSE)</f>
        <v>#N/A</v>
      </c>
    </row>
    <row r="434" spans="1:54" customFormat="1" x14ac:dyDescent="0.25">
      <c r="B434" s="3">
        <v>395855</v>
      </c>
      <c r="C434" s="4" t="s">
        <v>732</v>
      </c>
      <c r="D434" s="5">
        <v>82.899999999999991</v>
      </c>
      <c r="E434" s="5">
        <v>6.6306000000000003</v>
      </c>
      <c r="F434" s="5">
        <v>0</v>
      </c>
      <c r="G434" s="5">
        <v>89.53</v>
      </c>
      <c r="H434" s="5">
        <v>89.53</v>
      </c>
      <c r="I434" s="5">
        <f t="shared" si="121"/>
        <v>82.899999999999991</v>
      </c>
      <c r="J434" s="5"/>
      <c r="K434" s="5">
        <f t="shared" si="122"/>
        <v>82.899999999999991</v>
      </c>
      <c r="L434" s="5">
        <f t="shared" si="123"/>
        <v>89.530599999999993</v>
      </c>
      <c r="M434" s="5"/>
      <c r="N434" s="5">
        <f t="shared" si="124"/>
        <v>89.530599999999993</v>
      </c>
      <c r="O434" s="21"/>
      <c r="P434" s="21"/>
      <c r="Q434" s="21"/>
      <c r="R434" s="21">
        <f t="shared" si="125"/>
        <v>0</v>
      </c>
      <c r="S434" s="21">
        <v>82.899999999999991</v>
      </c>
      <c r="T434" s="21">
        <f t="shared" si="130"/>
        <v>6.6306000000000003</v>
      </c>
      <c r="U434" s="21">
        <f t="shared" si="131"/>
        <v>0</v>
      </c>
      <c r="V434" s="21">
        <f t="shared" si="126"/>
        <v>89.530599999999993</v>
      </c>
      <c r="W434" s="21"/>
      <c r="X434" s="5"/>
      <c r="Y434" s="5"/>
      <c r="Z434" s="5">
        <f t="shared" si="127"/>
        <v>0</v>
      </c>
      <c r="AA434" s="5">
        <v>90068.62</v>
      </c>
      <c r="AB434" s="5" t="s">
        <v>258</v>
      </c>
      <c r="AC434" s="5">
        <f t="shared" si="120"/>
        <v>82.899999999999991</v>
      </c>
      <c r="AD434" s="5">
        <f t="shared" si="128"/>
        <v>89.530599999999993</v>
      </c>
      <c r="AE434" s="5">
        <f t="shared" si="129"/>
        <v>-5.9999999999149622E-4</v>
      </c>
      <c r="AF434" s="5"/>
      <c r="AG434" s="5" t="s">
        <v>238</v>
      </c>
      <c r="AH434" s="5">
        <v>4</v>
      </c>
      <c r="AI434" s="5">
        <v>0</v>
      </c>
      <c r="AJ434" s="5">
        <v>0</v>
      </c>
      <c r="AK434" s="5" t="s">
        <v>256</v>
      </c>
      <c r="AL434" s="4" t="s">
        <v>90</v>
      </c>
      <c r="AM434" s="4" t="s">
        <v>76</v>
      </c>
      <c r="AN434" s="21"/>
      <c r="AO434" s="4"/>
      <c r="AP434" s="58"/>
      <c r="AQ434" s="58"/>
      <c r="AR434" s="23"/>
      <c r="AS434" s="23"/>
      <c r="AT434" s="4"/>
      <c r="AU434" s="4"/>
      <c r="AV434" s="4"/>
      <c r="AW434" s="4"/>
      <c r="AX434" s="9"/>
      <c r="AY434" s="9"/>
      <c r="AZ434" s="4"/>
      <c r="BB434" t="e">
        <f>VLOOKUP(B434,contactos!$A$1:$D$484,4,FALSE)</f>
        <v>#N/A</v>
      </c>
    </row>
    <row r="435" spans="1:54" customFormat="1" x14ac:dyDescent="0.25">
      <c r="B435" s="3">
        <v>51011</v>
      </c>
      <c r="C435" s="4" t="s">
        <v>733</v>
      </c>
      <c r="D435" s="5">
        <v>83.47</v>
      </c>
      <c r="E435" s="5">
        <v>0</v>
      </c>
      <c r="F435" s="5">
        <v>0</v>
      </c>
      <c r="G435" s="5">
        <v>83.47</v>
      </c>
      <c r="H435" s="5">
        <v>83.47</v>
      </c>
      <c r="I435" s="5">
        <f t="shared" si="121"/>
        <v>83.47</v>
      </c>
      <c r="J435" s="5"/>
      <c r="K435" s="5">
        <f t="shared" si="122"/>
        <v>83.47</v>
      </c>
      <c r="L435" s="5">
        <f t="shared" si="123"/>
        <v>83.47</v>
      </c>
      <c r="M435" s="5"/>
      <c r="N435" s="5">
        <f t="shared" si="124"/>
        <v>83.47</v>
      </c>
      <c r="O435" s="21"/>
      <c r="P435" s="21"/>
      <c r="Q435" s="21"/>
      <c r="R435" s="21">
        <f t="shared" si="125"/>
        <v>0</v>
      </c>
      <c r="S435" s="21">
        <v>83.47</v>
      </c>
      <c r="T435" s="21">
        <f t="shared" si="130"/>
        <v>0</v>
      </c>
      <c r="U435" s="21">
        <f t="shared" si="131"/>
        <v>0</v>
      </c>
      <c r="V435" s="21">
        <f t="shared" si="126"/>
        <v>83.47</v>
      </c>
      <c r="W435" s="21"/>
      <c r="X435" s="5"/>
      <c r="Y435" s="5"/>
      <c r="Z435" s="5">
        <f t="shared" si="127"/>
        <v>0</v>
      </c>
      <c r="AA435" s="5"/>
      <c r="AB435" s="5" t="s">
        <v>258</v>
      </c>
      <c r="AC435" s="5">
        <f t="shared" si="120"/>
        <v>83.47</v>
      </c>
      <c r="AD435" s="5">
        <f t="shared" si="128"/>
        <v>83.47</v>
      </c>
      <c r="AE435" s="5">
        <f t="shared" si="129"/>
        <v>0</v>
      </c>
      <c r="AF435" s="5"/>
      <c r="AG435" s="5" t="s">
        <v>238</v>
      </c>
      <c r="AH435" s="5">
        <v>4</v>
      </c>
      <c r="AI435" s="5">
        <v>0</v>
      </c>
      <c r="AJ435" s="5">
        <v>0</v>
      </c>
      <c r="AK435" s="5" t="s">
        <v>256</v>
      </c>
      <c r="AL435" s="4" t="s">
        <v>90</v>
      </c>
      <c r="AM435" s="4" t="s">
        <v>216</v>
      </c>
      <c r="AN435" s="21"/>
      <c r="AO435" s="4"/>
      <c r="AP435" s="58"/>
      <c r="AQ435" s="58"/>
      <c r="AR435" s="23"/>
      <c r="AS435" s="23"/>
      <c r="AT435" s="4"/>
      <c r="AU435" s="4"/>
      <c r="AV435" s="4"/>
      <c r="AW435" s="4"/>
      <c r="AX435" s="9"/>
      <c r="AY435" s="9"/>
      <c r="AZ435" s="4"/>
      <c r="BB435" t="e">
        <f>VLOOKUP(B435,contactos!$A$1:$D$484,4,FALSE)</f>
        <v>#N/A</v>
      </c>
    </row>
    <row r="436" spans="1:54" customFormat="1" x14ac:dyDescent="0.25">
      <c r="B436" s="3">
        <v>551</v>
      </c>
      <c r="C436" s="4" t="s">
        <v>734</v>
      </c>
      <c r="D436" s="5">
        <v>80.959999999999994</v>
      </c>
      <c r="E436" s="5">
        <v>0</v>
      </c>
      <c r="F436" s="5">
        <v>0</v>
      </c>
      <c r="G436" s="5">
        <v>80.959999999999994</v>
      </c>
      <c r="H436" s="5">
        <v>80.959999999999994</v>
      </c>
      <c r="I436" s="5">
        <f t="shared" si="121"/>
        <v>80.959999999999994</v>
      </c>
      <c r="J436" s="5"/>
      <c r="K436" s="5">
        <f t="shared" si="122"/>
        <v>80.959999999999994</v>
      </c>
      <c r="L436" s="5">
        <f t="shared" si="123"/>
        <v>80.959999999999994</v>
      </c>
      <c r="M436" s="5"/>
      <c r="N436" s="5">
        <f t="shared" si="124"/>
        <v>80.959999999999994</v>
      </c>
      <c r="O436" s="21"/>
      <c r="P436" s="21"/>
      <c r="Q436" s="21"/>
      <c r="R436" s="21">
        <f t="shared" si="125"/>
        <v>0</v>
      </c>
      <c r="S436" s="21">
        <v>80.959999999999994</v>
      </c>
      <c r="T436" s="21">
        <f t="shared" si="130"/>
        <v>0</v>
      </c>
      <c r="U436" s="21">
        <f t="shared" si="131"/>
        <v>0</v>
      </c>
      <c r="V436" s="21">
        <f t="shared" si="126"/>
        <v>80.959999999999994</v>
      </c>
      <c r="W436" s="21"/>
      <c r="X436" s="5"/>
      <c r="Y436" s="5"/>
      <c r="Z436" s="5">
        <f t="shared" si="127"/>
        <v>0</v>
      </c>
      <c r="AA436" s="5">
        <v>50364.14</v>
      </c>
      <c r="AB436" s="5" t="s">
        <v>258</v>
      </c>
      <c r="AC436" s="5">
        <f t="shared" si="120"/>
        <v>80.959999999999994</v>
      </c>
      <c r="AD436" s="5">
        <f t="shared" si="128"/>
        <v>80.959999999999994</v>
      </c>
      <c r="AE436" s="5">
        <f t="shared" si="129"/>
        <v>0</v>
      </c>
      <c r="AF436" s="5"/>
      <c r="AG436" s="5" t="s">
        <v>238</v>
      </c>
      <c r="AH436" s="5">
        <v>4</v>
      </c>
      <c r="AI436" s="5">
        <v>0</v>
      </c>
      <c r="AJ436" s="5"/>
      <c r="AK436" s="5" t="s">
        <v>256</v>
      </c>
      <c r="AL436" s="4" t="s">
        <v>90</v>
      </c>
      <c r="AM436" s="4" t="s">
        <v>94</v>
      </c>
      <c r="AN436" s="21"/>
      <c r="AO436" s="4"/>
      <c r="AP436" s="58"/>
      <c r="AQ436" s="58"/>
      <c r="AR436" s="23"/>
      <c r="AS436" s="23"/>
      <c r="AT436" s="4"/>
      <c r="AU436" s="4"/>
      <c r="AV436" s="4"/>
      <c r="AW436" s="4"/>
      <c r="AX436" s="9"/>
      <c r="AY436" s="9"/>
      <c r="AZ436" s="4"/>
      <c r="BB436" t="str">
        <f>VLOOKUP(B436,contactos!$A$1:$D$484,4,FALSE)</f>
        <v>atorres@harimasa.com</v>
      </c>
    </row>
    <row r="437" spans="1:54" customFormat="1" x14ac:dyDescent="0.25">
      <c r="B437" s="3">
        <v>77750</v>
      </c>
      <c r="C437" s="4" t="s">
        <v>735</v>
      </c>
      <c r="D437" s="5">
        <v>58.07</v>
      </c>
      <c r="E437" s="5">
        <v>0</v>
      </c>
      <c r="F437" s="5">
        <v>9.2911999999999999</v>
      </c>
      <c r="G437" s="5">
        <v>67.36</v>
      </c>
      <c r="H437" s="5">
        <v>67.36</v>
      </c>
      <c r="I437" s="5">
        <f t="shared" si="121"/>
        <v>58.07</v>
      </c>
      <c r="J437" s="5"/>
      <c r="K437" s="5">
        <f t="shared" si="122"/>
        <v>58.07</v>
      </c>
      <c r="L437" s="5">
        <f t="shared" si="123"/>
        <v>67.361199999999997</v>
      </c>
      <c r="M437" s="5"/>
      <c r="N437" s="5">
        <f t="shared" si="124"/>
        <v>67.361199999999997</v>
      </c>
      <c r="O437" s="21"/>
      <c r="P437" s="21"/>
      <c r="Q437" s="21"/>
      <c r="R437" s="21">
        <f t="shared" si="125"/>
        <v>0</v>
      </c>
      <c r="S437" s="21">
        <v>58.07</v>
      </c>
      <c r="T437" s="21">
        <f t="shared" si="130"/>
        <v>0</v>
      </c>
      <c r="U437" s="21">
        <f t="shared" si="131"/>
        <v>9.2911999999999999</v>
      </c>
      <c r="V437" s="21">
        <f t="shared" si="126"/>
        <v>67.361199999999997</v>
      </c>
      <c r="W437" s="21"/>
      <c r="X437" s="5"/>
      <c r="Y437" s="5"/>
      <c r="Z437" s="5">
        <f t="shared" si="127"/>
        <v>0</v>
      </c>
      <c r="AA437" s="5">
        <v>277608.46999999997</v>
      </c>
      <c r="AB437" s="5" t="s">
        <v>258</v>
      </c>
      <c r="AC437" s="5">
        <f t="shared" si="120"/>
        <v>58.07</v>
      </c>
      <c r="AD437" s="5">
        <f t="shared" si="128"/>
        <v>67.361199999999997</v>
      </c>
      <c r="AE437" s="5">
        <f t="shared" si="129"/>
        <v>-1.1999999999972033E-3</v>
      </c>
      <c r="AF437" s="5"/>
      <c r="AG437" s="5" t="s">
        <v>238</v>
      </c>
      <c r="AH437" s="5">
        <v>4</v>
      </c>
      <c r="AI437" s="5">
        <v>0</v>
      </c>
      <c r="AJ437" s="5">
        <v>0</v>
      </c>
      <c r="AK437" s="5" t="s">
        <v>256</v>
      </c>
      <c r="AL437" s="4" t="s">
        <v>90</v>
      </c>
      <c r="AM437" s="4" t="s">
        <v>76</v>
      </c>
      <c r="AN437" s="21"/>
      <c r="AO437" s="4"/>
      <c r="AP437" s="58"/>
      <c r="AQ437" s="58"/>
      <c r="AR437" s="23"/>
      <c r="AS437" s="23"/>
      <c r="AT437" s="4"/>
      <c r="AU437" s="4"/>
      <c r="AV437" s="4"/>
      <c r="AW437" s="4"/>
      <c r="AX437" s="9"/>
      <c r="AY437" s="9"/>
      <c r="AZ437" s="4"/>
      <c r="BB437" t="e">
        <f>VLOOKUP(B437,contactos!$A$1:$D$484,4,FALSE)</f>
        <v>#N/A</v>
      </c>
    </row>
    <row r="438" spans="1:54" customFormat="1" x14ac:dyDescent="0.25">
      <c r="B438" s="3">
        <v>393272</v>
      </c>
      <c r="C438" s="4" t="s">
        <v>736</v>
      </c>
      <c r="D438" s="5">
        <v>55.01</v>
      </c>
      <c r="E438" s="5">
        <v>0</v>
      </c>
      <c r="F438" s="5">
        <v>8.8071000000000002</v>
      </c>
      <c r="G438" s="5">
        <v>63.82</v>
      </c>
      <c r="H438" s="5">
        <v>63.82</v>
      </c>
      <c r="I438" s="5">
        <f t="shared" si="121"/>
        <v>55.01</v>
      </c>
      <c r="J438" s="5"/>
      <c r="K438" s="5">
        <f t="shared" si="122"/>
        <v>55.01</v>
      </c>
      <c r="L438" s="5">
        <f t="shared" si="123"/>
        <v>63.817099999999996</v>
      </c>
      <c r="M438" s="5"/>
      <c r="N438" s="5">
        <f t="shared" si="124"/>
        <v>63.817099999999996</v>
      </c>
      <c r="O438" s="27"/>
      <c r="P438" s="27"/>
      <c r="Q438" s="27"/>
      <c r="R438" s="21">
        <f t="shared" si="125"/>
        <v>0</v>
      </c>
      <c r="S438" s="27">
        <v>55.01</v>
      </c>
      <c r="T438" s="21">
        <f t="shared" si="130"/>
        <v>0</v>
      </c>
      <c r="U438" s="21">
        <f t="shared" si="131"/>
        <v>8.8071000000000002</v>
      </c>
      <c r="V438" s="21">
        <f t="shared" si="126"/>
        <v>63.817099999999996</v>
      </c>
      <c r="W438" s="27"/>
      <c r="X438" s="5"/>
      <c r="Y438" s="5"/>
      <c r="Z438" s="5">
        <f t="shared" si="127"/>
        <v>0</v>
      </c>
      <c r="AA438" s="5">
        <v>4133.87</v>
      </c>
      <c r="AB438" s="5" t="s">
        <v>258</v>
      </c>
      <c r="AC438" s="5">
        <f t="shared" si="120"/>
        <v>55.01</v>
      </c>
      <c r="AD438" s="5">
        <f t="shared" si="128"/>
        <v>63.817099999999996</v>
      </c>
      <c r="AE438" s="5">
        <f t="shared" si="129"/>
        <v>2.9000000000038995E-3</v>
      </c>
      <c r="AF438" s="5"/>
      <c r="AG438" s="5" t="s">
        <v>238</v>
      </c>
      <c r="AH438" s="5">
        <v>4</v>
      </c>
      <c r="AI438" s="5">
        <v>0</v>
      </c>
      <c r="AJ438" s="5">
        <v>0</v>
      </c>
      <c r="AK438" s="5" t="s">
        <v>256</v>
      </c>
      <c r="AL438" s="4" t="s">
        <v>90</v>
      </c>
      <c r="AM438" s="4" t="s">
        <v>83</v>
      </c>
      <c r="AN438" s="27"/>
      <c r="AO438" s="4"/>
      <c r="AP438" s="58"/>
      <c r="AQ438" s="58"/>
      <c r="AR438" s="23"/>
      <c r="AS438" s="23"/>
      <c r="AT438" s="4"/>
      <c r="AU438" s="4"/>
      <c r="AV438" s="4"/>
      <c r="AW438" s="4"/>
      <c r="AX438" s="12"/>
      <c r="AY438" s="12"/>
      <c r="AZ438" s="12"/>
      <c r="BB438" t="e">
        <f>VLOOKUP(B438,contactos!$A$1:$D$484,4,FALSE)</f>
        <v>#N/A</v>
      </c>
    </row>
    <row r="439" spans="1:54" customFormat="1" x14ac:dyDescent="0.25">
      <c r="O439" s="142"/>
    </row>
    <row r="440" spans="1:54" x14ac:dyDescent="0.25">
      <c r="A440" s="140"/>
      <c r="G440" s="55"/>
      <c r="H440" s="91"/>
      <c r="I440" s="91"/>
      <c r="J440" s="91"/>
      <c r="K440" s="91"/>
      <c r="L440" s="91"/>
      <c r="M440" s="91"/>
      <c r="N440" s="91"/>
      <c r="Y440" s="91"/>
      <c r="AK440" s="91"/>
    </row>
    <row r="441" spans="1:54" x14ac:dyDescent="0.25">
      <c r="G441" s="91"/>
      <c r="H441" s="91"/>
      <c r="I441" s="91"/>
      <c r="J441" s="91"/>
      <c r="K441" s="91"/>
      <c r="L441" s="91"/>
      <c r="M441" s="91"/>
      <c r="N441" s="91"/>
      <c r="O441" s="62">
        <f>+O100/1.16</f>
        <v>333848.51724137936</v>
      </c>
      <c r="X441" s="79"/>
      <c r="Y441" s="79"/>
      <c r="Z441" s="79"/>
    </row>
    <row r="442" spans="1:54" x14ac:dyDescent="0.25">
      <c r="F442" s="62"/>
      <c r="G442" s="91"/>
    </row>
    <row r="443" spans="1:54" x14ac:dyDescent="0.25">
      <c r="G443" s="91"/>
    </row>
    <row r="444" spans="1:54" x14ac:dyDescent="0.25">
      <c r="G444" s="91"/>
    </row>
    <row r="445" spans="1:54" x14ac:dyDescent="0.25">
      <c r="I445" s="64"/>
      <c r="K445" s="91"/>
    </row>
    <row r="446" spans="1:54" x14ac:dyDescent="0.25">
      <c r="G446" s="142"/>
    </row>
    <row r="448" spans="1:54" x14ac:dyDescent="0.25">
      <c r="G448" s="91"/>
    </row>
    <row r="449" spans="7:39" x14ac:dyDescent="0.25">
      <c r="G449" s="91"/>
    </row>
    <row r="450" spans="7:39" x14ac:dyDescent="0.25">
      <c r="G450" s="91"/>
    </row>
    <row r="452" spans="7:39" x14ac:dyDescent="0.25">
      <c r="G452" s="91"/>
      <c r="AM452" s="76" t="s">
        <v>394</v>
      </c>
    </row>
    <row r="455" spans="7:39" x14ac:dyDescent="0.25">
      <c r="AA455" s="75"/>
    </row>
  </sheetData>
  <autoFilter ref="A6:BB441" xr:uid="{E971F891-E0C1-4B74-9F9B-41613A1E9F2D}"/>
  <mergeCells count="2">
    <mergeCell ref="B3:G3"/>
    <mergeCell ref="AX5:AZ5"/>
  </mergeCells>
  <dataValidations count="1">
    <dataValidation type="list" allowBlank="1" showInputMessage="1" showErrorMessage="1" sqref="AL7" xr:uid="{40BB361D-C9E3-4D0E-9CA9-2E39815CD724}">
      <formula1>"DEFINICION COMERCIAL, DEFINICION FINANZAS, SIN RESPUESTA DEL PROVEEDOR, AUDITORIA REVISION"</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8C459E7-697E-4BC8-8EF1-4B2542A68902}">
          <x14:formula1>
            <xm:f>'Notas Aclaraciones'!$B$16:$B$17</xm:f>
          </x14:formula1>
          <xm:sqref>AW7:AW438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58DBF-D9FA-419C-9D45-4A1216399D7B}">
  <dimension ref="A3:J358"/>
  <sheetViews>
    <sheetView showGridLines="0" workbookViewId="0">
      <selection activeCell="G21" sqref="G21"/>
    </sheetView>
  </sheetViews>
  <sheetFormatPr defaultColWidth="8.5703125" defaultRowHeight="15" x14ac:dyDescent="0.25"/>
  <cols>
    <col min="1" max="1" width="18.5703125" bestFit="1" customWidth="1"/>
    <col min="2" max="2" width="14.5703125" bestFit="1" customWidth="1"/>
    <col min="3" max="3" width="17.42578125" style="19" bestFit="1" customWidth="1"/>
    <col min="4" max="4" width="12.5703125" style="19" bestFit="1" customWidth="1"/>
    <col min="5" max="5" width="13.5703125" style="19" bestFit="1" customWidth="1"/>
    <col min="6" max="6" width="20.42578125" style="19" bestFit="1" customWidth="1"/>
    <col min="7" max="7" width="22" bestFit="1" customWidth="1"/>
    <col min="8" max="8" width="19.42578125" bestFit="1" customWidth="1"/>
    <col min="9" max="10" width="19.5703125" bestFit="1" customWidth="1"/>
  </cols>
  <sheetData>
    <row r="3" spans="1:10" ht="45" x14ac:dyDescent="0.25">
      <c r="A3" s="112" t="s">
        <v>737</v>
      </c>
      <c r="B3" s="116" t="s">
        <v>738</v>
      </c>
      <c r="C3" s="116" t="s">
        <v>739</v>
      </c>
      <c r="D3" s="113" t="s">
        <v>740</v>
      </c>
      <c r="E3" s="113" t="s">
        <v>741</v>
      </c>
      <c r="F3" s="113" t="s">
        <v>742</v>
      </c>
      <c r="G3" s="117" t="s">
        <v>743</v>
      </c>
      <c r="H3" s="117" t="s">
        <v>744</v>
      </c>
      <c r="I3" s="117" t="s">
        <v>745</v>
      </c>
      <c r="J3" s="117" t="s">
        <v>746</v>
      </c>
    </row>
    <row r="4" spans="1:10" x14ac:dyDescent="0.25">
      <c r="A4" s="119" t="s">
        <v>59</v>
      </c>
      <c r="B4" s="55">
        <v>117</v>
      </c>
      <c r="C4" s="55">
        <v>327740674.95224202</v>
      </c>
      <c r="D4" s="55">
        <v>48455381.331521869</v>
      </c>
      <c r="E4" s="55">
        <v>250109045.3723231</v>
      </c>
      <c r="F4" s="55">
        <v>29176247.83455947</v>
      </c>
      <c r="G4" s="55">
        <v>368784217.72837633</v>
      </c>
      <c r="H4" s="55">
        <v>54787016.365027405</v>
      </c>
      <c r="I4" s="55">
        <v>280109323.61424792</v>
      </c>
      <c r="J4" s="55">
        <v>33887877.431745522</v>
      </c>
    </row>
    <row r="5" spans="1:10" x14ac:dyDescent="0.25">
      <c r="A5" s="56" t="s">
        <v>256</v>
      </c>
      <c r="B5" s="55"/>
      <c r="C5" s="55"/>
      <c r="D5" s="55"/>
      <c r="E5" s="55"/>
      <c r="F5" s="55"/>
      <c r="G5" s="55"/>
      <c r="H5" s="55"/>
      <c r="I5" s="55"/>
      <c r="J5" s="55"/>
    </row>
    <row r="6" spans="1:10" x14ac:dyDescent="0.25">
      <c r="A6" s="145" t="s">
        <v>90</v>
      </c>
      <c r="B6" s="55">
        <v>315</v>
      </c>
      <c r="C6" s="55">
        <v>42055333.754307695</v>
      </c>
      <c r="D6" s="55"/>
      <c r="E6" s="55">
        <v>42055333.754307695</v>
      </c>
      <c r="F6" s="55"/>
      <c r="G6" s="55">
        <v>47129265.530847527</v>
      </c>
      <c r="H6" s="55">
        <v>0</v>
      </c>
      <c r="I6" s="55">
        <v>47129265.290003918</v>
      </c>
      <c r="J6" s="55">
        <v>0</v>
      </c>
    </row>
    <row r="7" spans="1:10" x14ac:dyDescent="0.25">
      <c r="A7" s="114" t="s">
        <v>747</v>
      </c>
      <c r="B7" s="115">
        <v>432</v>
      </c>
      <c r="C7" s="115">
        <v>369796008.70654953</v>
      </c>
      <c r="D7" s="115">
        <v>48455381.331521869</v>
      </c>
      <c r="E7" s="115">
        <v>292164379.12663066</v>
      </c>
      <c r="F7" s="115">
        <v>29176247.83455947</v>
      </c>
      <c r="G7" s="118">
        <v>415913483.25922334</v>
      </c>
      <c r="H7" s="118">
        <v>54787016.365027405</v>
      </c>
      <c r="I7" s="118">
        <v>327238588.90425205</v>
      </c>
      <c r="J7" s="118">
        <v>33887877.431745522</v>
      </c>
    </row>
    <row r="8" spans="1:10" x14ac:dyDescent="0.25">
      <c r="C8"/>
      <c r="D8"/>
      <c r="E8"/>
      <c r="F8"/>
    </row>
    <row r="9" spans="1:10" x14ac:dyDescent="0.25">
      <c r="C9"/>
      <c r="D9"/>
      <c r="E9"/>
      <c r="F9"/>
    </row>
    <row r="10" spans="1:10" x14ac:dyDescent="0.25">
      <c r="C10"/>
      <c r="D10"/>
      <c r="E10"/>
      <c r="F10"/>
    </row>
    <row r="11" spans="1:10" x14ac:dyDescent="0.25">
      <c r="C11"/>
      <c r="D11"/>
      <c r="E11"/>
      <c r="F11"/>
    </row>
    <row r="12" spans="1:10" x14ac:dyDescent="0.25">
      <c r="C12"/>
      <c r="D12"/>
      <c r="E12"/>
      <c r="F12"/>
    </row>
    <row r="13" spans="1:10" x14ac:dyDescent="0.25">
      <c r="C13"/>
      <c r="D13"/>
      <c r="E13"/>
      <c r="F13"/>
    </row>
    <row r="14" spans="1:10" x14ac:dyDescent="0.25">
      <c r="C14"/>
      <c r="D14"/>
      <c r="E14"/>
      <c r="F14"/>
    </row>
    <row r="15" spans="1:10" x14ac:dyDescent="0.25">
      <c r="C15"/>
      <c r="D15"/>
      <c r="E15"/>
      <c r="F15"/>
    </row>
    <row r="16" spans="1:10" x14ac:dyDescent="0.25">
      <c r="C16"/>
      <c r="D16"/>
      <c r="E16"/>
      <c r="F16"/>
    </row>
    <row r="17" customFormat="1" x14ac:dyDescent="0.25"/>
    <row r="18" customFormat="1" x14ac:dyDescent="0.25"/>
    <row r="19" customFormat="1" x14ac:dyDescent="0.25"/>
    <row r="20" customFormat="1" x14ac:dyDescent="0.25"/>
    <row r="21" customFormat="1" x14ac:dyDescent="0.25"/>
    <row r="22" customFormat="1" x14ac:dyDescent="0.25"/>
    <row r="23" customFormat="1" x14ac:dyDescent="0.25"/>
    <row r="24" customFormat="1" x14ac:dyDescent="0.25"/>
    <row r="25" customFormat="1" x14ac:dyDescent="0.25"/>
    <row r="26" customFormat="1" x14ac:dyDescent="0.25"/>
    <row r="27" customFormat="1" x14ac:dyDescent="0.25"/>
    <row r="28" customFormat="1" x14ac:dyDescent="0.25"/>
    <row r="29" customFormat="1" x14ac:dyDescent="0.25"/>
    <row r="30" customFormat="1" x14ac:dyDescent="0.25"/>
    <row r="31" customFormat="1" x14ac:dyDescent="0.25"/>
    <row r="32" customFormat="1" x14ac:dyDescent="0.25"/>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row r="258" customFormat="1" x14ac:dyDescent="0.25"/>
    <row r="259" customFormat="1" x14ac:dyDescent="0.25"/>
    <row r="260" customFormat="1" x14ac:dyDescent="0.25"/>
    <row r="261" customFormat="1" x14ac:dyDescent="0.25"/>
    <row r="262" customFormat="1" x14ac:dyDescent="0.25"/>
    <row r="263" customFormat="1" x14ac:dyDescent="0.25"/>
    <row r="264" customFormat="1" x14ac:dyDescent="0.25"/>
    <row r="265" customFormat="1" x14ac:dyDescent="0.25"/>
    <row r="266" customFormat="1" x14ac:dyDescent="0.25"/>
    <row r="267" customFormat="1" x14ac:dyDescent="0.25"/>
    <row r="268" customFormat="1" x14ac:dyDescent="0.25"/>
    <row r="269" customFormat="1" x14ac:dyDescent="0.25"/>
    <row r="270" customFormat="1" x14ac:dyDescent="0.25"/>
    <row r="271" customFormat="1" x14ac:dyDescent="0.25"/>
    <row r="272" customFormat="1" x14ac:dyDescent="0.25"/>
    <row r="273" customFormat="1" x14ac:dyDescent="0.25"/>
    <row r="274" customFormat="1" x14ac:dyDescent="0.25"/>
    <row r="275" customFormat="1" x14ac:dyDescent="0.25"/>
    <row r="276" customFormat="1" x14ac:dyDescent="0.25"/>
    <row r="277" customFormat="1" x14ac:dyDescent="0.25"/>
    <row r="278" customFormat="1" x14ac:dyDescent="0.25"/>
    <row r="279" customFormat="1" x14ac:dyDescent="0.25"/>
    <row r="280" customFormat="1" x14ac:dyDescent="0.25"/>
    <row r="281" customFormat="1" x14ac:dyDescent="0.25"/>
    <row r="282" customFormat="1" x14ac:dyDescent="0.25"/>
    <row r="283" customFormat="1" x14ac:dyDescent="0.25"/>
    <row r="284" customFormat="1" x14ac:dyDescent="0.25"/>
    <row r="285" customFormat="1" x14ac:dyDescent="0.25"/>
    <row r="286" customFormat="1" x14ac:dyDescent="0.25"/>
    <row r="287" customFormat="1" x14ac:dyDescent="0.25"/>
    <row r="288" customFormat="1" x14ac:dyDescent="0.25"/>
    <row r="289" customFormat="1" x14ac:dyDescent="0.25"/>
    <row r="290" customFormat="1" x14ac:dyDescent="0.25"/>
    <row r="291" customFormat="1" x14ac:dyDescent="0.25"/>
    <row r="292" customFormat="1" x14ac:dyDescent="0.25"/>
    <row r="293" customFormat="1" x14ac:dyDescent="0.25"/>
    <row r="294" customFormat="1" x14ac:dyDescent="0.25"/>
    <row r="295" customFormat="1" x14ac:dyDescent="0.25"/>
    <row r="296" customFormat="1" x14ac:dyDescent="0.25"/>
    <row r="297" customFormat="1" x14ac:dyDescent="0.25"/>
    <row r="298" customFormat="1" x14ac:dyDescent="0.25"/>
    <row r="299" customFormat="1" x14ac:dyDescent="0.25"/>
    <row r="300" customFormat="1" x14ac:dyDescent="0.25"/>
    <row r="301" customFormat="1" x14ac:dyDescent="0.25"/>
    <row r="302" customFormat="1" x14ac:dyDescent="0.25"/>
    <row r="303" customFormat="1" x14ac:dyDescent="0.25"/>
    <row r="304" customFormat="1" x14ac:dyDescent="0.25"/>
    <row r="305" customFormat="1" x14ac:dyDescent="0.25"/>
    <row r="306" customFormat="1" x14ac:dyDescent="0.25"/>
    <row r="307" customFormat="1" x14ac:dyDescent="0.25"/>
    <row r="308" customFormat="1" x14ac:dyDescent="0.25"/>
    <row r="309" customFormat="1" x14ac:dyDescent="0.25"/>
    <row r="310" customFormat="1" x14ac:dyDescent="0.25"/>
    <row r="311" customFormat="1" x14ac:dyDescent="0.25"/>
    <row r="312" customFormat="1" x14ac:dyDescent="0.25"/>
    <row r="313" customFormat="1" x14ac:dyDescent="0.25"/>
    <row r="314" customFormat="1" x14ac:dyDescent="0.25"/>
    <row r="315" customFormat="1" x14ac:dyDescent="0.25"/>
    <row r="316" customFormat="1" x14ac:dyDescent="0.25"/>
    <row r="317" customFormat="1" x14ac:dyDescent="0.25"/>
    <row r="318" customFormat="1" x14ac:dyDescent="0.25"/>
    <row r="319" customFormat="1" x14ac:dyDescent="0.25"/>
    <row r="320" customFormat="1" x14ac:dyDescent="0.25"/>
    <row r="321" customFormat="1" x14ac:dyDescent="0.25"/>
    <row r="322" customFormat="1" x14ac:dyDescent="0.25"/>
    <row r="323" customFormat="1" x14ac:dyDescent="0.25"/>
    <row r="324" customFormat="1" x14ac:dyDescent="0.25"/>
    <row r="325" customFormat="1" x14ac:dyDescent="0.25"/>
    <row r="326" customFormat="1" x14ac:dyDescent="0.25"/>
    <row r="327" customFormat="1" x14ac:dyDescent="0.25"/>
    <row r="328" customFormat="1" x14ac:dyDescent="0.25"/>
    <row r="329" customFormat="1" x14ac:dyDescent="0.25"/>
    <row r="330" customFormat="1" x14ac:dyDescent="0.25"/>
    <row r="331" customFormat="1" x14ac:dyDescent="0.25"/>
    <row r="332" customFormat="1" x14ac:dyDescent="0.25"/>
    <row r="333" customFormat="1" x14ac:dyDescent="0.25"/>
    <row r="334" customFormat="1" x14ac:dyDescent="0.25"/>
    <row r="335" customFormat="1" x14ac:dyDescent="0.25"/>
    <row r="336" customFormat="1" x14ac:dyDescent="0.25"/>
    <row r="337" customFormat="1" x14ac:dyDescent="0.25"/>
    <row r="338" customFormat="1" x14ac:dyDescent="0.25"/>
    <row r="339" customFormat="1" x14ac:dyDescent="0.25"/>
    <row r="340" customFormat="1" x14ac:dyDescent="0.25"/>
    <row r="341" customFormat="1" x14ac:dyDescent="0.25"/>
    <row r="342" customFormat="1" x14ac:dyDescent="0.25"/>
    <row r="343" customFormat="1" x14ac:dyDescent="0.25"/>
    <row r="344" customFormat="1" x14ac:dyDescent="0.25"/>
    <row r="345" customFormat="1" x14ac:dyDescent="0.25"/>
    <row r="346" customFormat="1" x14ac:dyDescent="0.25"/>
    <row r="347" customFormat="1" x14ac:dyDescent="0.25"/>
    <row r="348" customFormat="1" x14ac:dyDescent="0.25"/>
    <row r="349" customFormat="1" x14ac:dyDescent="0.25"/>
    <row r="350" customFormat="1" x14ac:dyDescent="0.25"/>
    <row r="351" customFormat="1" x14ac:dyDescent="0.25"/>
    <row r="352" customFormat="1" x14ac:dyDescent="0.25"/>
    <row r="353" customFormat="1" x14ac:dyDescent="0.25"/>
    <row r="354" customFormat="1" x14ac:dyDescent="0.25"/>
    <row r="355" customFormat="1" x14ac:dyDescent="0.25"/>
    <row r="356" customFormat="1" x14ac:dyDescent="0.25"/>
    <row r="357" customFormat="1" x14ac:dyDescent="0.25"/>
    <row r="358" customForma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0E897-A9D4-4847-AF86-3B19DB383392}">
  <dimension ref="A1:T1621"/>
  <sheetViews>
    <sheetView workbookViewId="0">
      <selection activeCell="E267" sqref="E267"/>
    </sheetView>
  </sheetViews>
  <sheetFormatPr defaultRowHeight="15" x14ac:dyDescent="0.25"/>
  <cols>
    <col min="1" max="1" width="17.42578125" bestFit="1" customWidth="1"/>
    <col min="2" max="2" width="7.85546875" bestFit="1" customWidth="1"/>
    <col min="3" max="3" width="6.140625" customWidth="1"/>
    <col min="4" max="4" width="14.140625" bestFit="1" customWidth="1"/>
    <col min="5" max="5" width="22.5703125" bestFit="1" customWidth="1"/>
    <col min="6" max="6" width="6.5703125" customWidth="1"/>
    <col min="7" max="7" width="17.42578125" bestFit="1" customWidth="1"/>
    <col min="8" max="8" width="14.140625" bestFit="1" customWidth="1"/>
    <col min="9" max="9" width="19.42578125" customWidth="1"/>
    <col min="10" max="10" width="13.5703125" bestFit="1" customWidth="1"/>
    <col min="11" max="11" width="12.42578125" bestFit="1" customWidth="1"/>
    <col min="12" max="12" width="11.5703125" bestFit="1" customWidth="1"/>
    <col min="13" max="13" width="9.42578125" bestFit="1" customWidth="1"/>
    <col min="14" max="14" width="14.140625" bestFit="1" customWidth="1"/>
    <col min="15" max="15" width="13.85546875" bestFit="1" customWidth="1"/>
    <col min="16" max="17" width="14.140625" bestFit="1" customWidth="1"/>
    <col min="18" max="18" width="15.42578125" bestFit="1" customWidth="1"/>
    <col min="19" max="19" width="20.5703125" bestFit="1" customWidth="1"/>
    <col min="20" max="20" width="15" bestFit="1" customWidth="1"/>
  </cols>
  <sheetData>
    <row r="1" spans="1:20" x14ac:dyDescent="0.25">
      <c r="E1" s="146">
        <f>SUBTOTAL(9,E3:E1621)</f>
        <v>193688902.87999991</v>
      </c>
    </row>
    <row r="2" spans="1:20" x14ac:dyDescent="0.25">
      <c r="A2" t="s">
        <v>748</v>
      </c>
      <c r="B2" t="s">
        <v>749</v>
      </c>
      <c r="C2" t="s">
        <v>750</v>
      </c>
      <c r="D2" t="s">
        <v>751</v>
      </c>
      <c r="E2" t="s">
        <v>752</v>
      </c>
      <c r="F2" t="s">
        <v>753</v>
      </c>
      <c r="G2" t="s">
        <v>754</v>
      </c>
      <c r="H2" t="s">
        <v>755</v>
      </c>
      <c r="I2" t="s">
        <v>756</v>
      </c>
      <c r="J2" t="s">
        <v>757</v>
      </c>
      <c r="K2" t="s">
        <v>758</v>
      </c>
      <c r="L2" t="s">
        <v>759</v>
      </c>
      <c r="M2" t="s">
        <v>760</v>
      </c>
      <c r="N2" t="s">
        <v>761</v>
      </c>
      <c r="O2" t="s">
        <v>762</v>
      </c>
      <c r="P2" t="s">
        <v>763</v>
      </c>
      <c r="Q2" t="s">
        <v>764</v>
      </c>
      <c r="R2" t="s">
        <v>765</v>
      </c>
      <c r="S2" t="s">
        <v>766</v>
      </c>
      <c r="T2" t="s">
        <v>767</v>
      </c>
    </row>
    <row r="3" spans="1:20" x14ac:dyDescent="0.25">
      <c r="A3">
        <v>5100421550</v>
      </c>
      <c r="B3">
        <v>137</v>
      </c>
      <c r="C3" t="s">
        <v>768</v>
      </c>
      <c r="D3" s="143">
        <v>46035</v>
      </c>
      <c r="E3" s="55">
        <v>293072.27</v>
      </c>
      <c r="F3" t="s">
        <v>769</v>
      </c>
      <c r="G3">
        <v>1500030420</v>
      </c>
      <c r="H3" t="s">
        <v>755</v>
      </c>
      <c r="I3" t="s">
        <v>770</v>
      </c>
      <c r="K3" s="143">
        <v>46090</v>
      </c>
      <c r="L3" s="143">
        <v>46035</v>
      </c>
      <c r="M3">
        <v>12025</v>
      </c>
      <c r="N3" t="s">
        <v>771</v>
      </c>
      <c r="O3">
        <v>2001</v>
      </c>
      <c r="S3">
        <v>514375</v>
      </c>
      <c r="T3" t="s">
        <v>772</v>
      </c>
    </row>
    <row r="4" spans="1:20" x14ac:dyDescent="0.25">
      <c r="A4">
        <v>5100421551</v>
      </c>
      <c r="B4">
        <v>137</v>
      </c>
      <c r="C4" t="s">
        <v>768</v>
      </c>
      <c r="D4" s="143">
        <v>46035</v>
      </c>
      <c r="E4" s="55">
        <v>104772.03</v>
      </c>
      <c r="F4" t="s">
        <v>769</v>
      </c>
      <c r="G4">
        <v>1500030420</v>
      </c>
      <c r="H4" t="s">
        <v>755</v>
      </c>
      <c r="I4" t="s">
        <v>770</v>
      </c>
      <c r="K4" s="143">
        <v>46090</v>
      </c>
      <c r="L4" s="143">
        <v>46035</v>
      </c>
      <c r="M4">
        <v>22025</v>
      </c>
      <c r="N4" t="s">
        <v>771</v>
      </c>
      <c r="O4">
        <v>2001</v>
      </c>
      <c r="S4">
        <v>514375</v>
      </c>
      <c r="T4" t="s">
        <v>772</v>
      </c>
    </row>
    <row r="5" spans="1:20" x14ac:dyDescent="0.25">
      <c r="A5">
        <v>5100421552</v>
      </c>
      <c r="B5">
        <v>137</v>
      </c>
      <c r="C5" t="s">
        <v>768</v>
      </c>
      <c r="D5" s="143">
        <v>46035</v>
      </c>
      <c r="E5" s="55">
        <v>74217.98</v>
      </c>
      <c r="F5" t="s">
        <v>769</v>
      </c>
      <c r="G5">
        <v>1500030420</v>
      </c>
      <c r="H5" t="s">
        <v>755</v>
      </c>
      <c r="I5" t="s">
        <v>770</v>
      </c>
      <c r="K5" s="143">
        <v>46090</v>
      </c>
      <c r="L5" s="143">
        <v>46035</v>
      </c>
      <c r="M5">
        <v>42025</v>
      </c>
      <c r="N5" t="s">
        <v>771</v>
      </c>
      <c r="O5">
        <v>2001</v>
      </c>
      <c r="S5">
        <v>514375</v>
      </c>
      <c r="T5" t="s">
        <v>772</v>
      </c>
    </row>
    <row r="6" spans="1:20" x14ac:dyDescent="0.25">
      <c r="A6">
        <v>5100421553</v>
      </c>
      <c r="B6">
        <v>137</v>
      </c>
      <c r="C6" t="s">
        <v>768</v>
      </c>
      <c r="D6" s="143">
        <v>46035</v>
      </c>
      <c r="E6" s="55">
        <v>467518.42</v>
      </c>
      <c r="F6" t="s">
        <v>769</v>
      </c>
      <c r="G6">
        <v>1500030420</v>
      </c>
      <c r="H6" t="s">
        <v>755</v>
      </c>
      <c r="I6" t="s">
        <v>770</v>
      </c>
      <c r="K6" s="143">
        <v>46090</v>
      </c>
      <c r="L6" s="143">
        <v>46035</v>
      </c>
      <c r="M6">
        <v>52025</v>
      </c>
      <c r="N6" t="s">
        <v>771</v>
      </c>
      <c r="O6">
        <v>2001</v>
      </c>
      <c r="S6">
        <v>514375</v>
      </c>
      <c r="T6" t="s">
        <v>772</v>
      </c>
    </row>
    <row r="7" spans="1:20" x14ac:dyDescent="0.25">
      <c r="A7">
        <v>5100421554</v>
      </c>
      <c r="B7">
        <v>137</v>
      </c>
      <c r="C7" t="s">
        <v>768</v>
      </c>
      <c r="D7" s="143">
        <v>46035</v>
      </c>
      <c r="E7" s="55">
        <v>156092.31</v>
      </c>
      <c r="F7" t="s">
        <v>769</v>
      </c>
      <c r="G7">
        <v>1500030420</v>
      </c>
      <c r="H7" t="s">
        <v>755</v>
      </c>
      <c r="I7" t="s">
        <v>770</v>
      </c>
      <c r="K7" s="143">
        <v>46090</v>
      </c>
      <c r="L7" s="143">
        <v>46035</v>
      </c>
      <c r="M7">
        <v>62025</v>
      </c>
      <c r="N7" t="s">
        <v>771</v>
      </c>
      <c r="O7">
        <v>2001</v>
      </c>
      <c r="S7">
        <v>514375</v>
      </c>
      <c r="T7" t="s">
        <v>772</v>
      </c>
    </row>
    <row r="8" spans="1:20" x14ac:dyDescent="0.25">
      <c r="A8">
        <v>5100421555</v>
      </c>
      <c r="B8">
        <v>137</v>
      </c>
      <c r="C8" t="s">
        <v>768</v>
      </c>
      <c r="D8" s="143">
        <v>46035</v>
      </c>
      <c r="E8" s="55">
        <v>260718.21</v>
      </c>
      <c r="F8" t="s">
        <v>769</v>
      </c>
      <c r="G8">
        <v>1500030420</v>
      </c>
      <c r="H8" t="s">
        <v>755</v>
      </c>
      <c r="I8" t="s">
        <v>770</v>
      </c>
      <c r="K8" s="143">
        <v>46090</v>
      </c>
      <c r="L8" s="143">
        <v>46035</v>
      </c>
      <c r="M8">
        <v>72025</v>
      </c>
      <c r="N8" t="s">
        <v>771</v>
      </c>
      <c r="O8">
        <v>2001</v>
      </c>
      <c r="S8">
        <v>514375</v>
      </c>
      <c r="T8" t="s">
        <v>772</v>
      </c>
    </row>
    <row r="9" spans="1:20" x14ac:dyDescent="0.25">
      <c r="A9">
        <v>5100421556</v>
      </c>
      <c r="B9">
        <v>137</v>
      </c>
      <c r="C9" t="s">
        <v>768</v>
      </c>
      <c r="D9" s="143">
        <v>46035</v>
      </c>
      <c r="E9" s="55">
        <v>1158.06</v>
      </c>
      <c r="F9" t="s">
        <v>769</v>
      </c>
      <c r="G9">
        <v>1500030420</v>
      </c>
      <c r="H9" t="s">
        <v>755</v>
      </c>
      <c r="I9" t="s">
        <v>770</v>
      </c>
      <c r="K9" s="143">
        <v>46090</v>
      </c>
      <c r="L9" s="143">
        <v>46035</v>
      </c>
      <c r="M9">
        <v>82025</v>
      </c>
      <c r="N9" t="s">
        <v>771</v>
      </c>
      <c r="O9">
        <v>2001</v>
      </c>
      <c r="S9">
        <v>514375</v>
      </c>
      <c r="T9" t="s">
        <v>772</v>
      </c>
    </row>
    <row r="10" spans="1:20" x14ac:dyDescent="0.25">
      <c r="A10">
        <v>5100421557</v>
      </c>
      <c r="B10">
        <v>137</v>
      </c>
      <c r="C10" t="s">
        <v>768</v>
      </c>
      <c r="D10" s="143">
        <v>46035</v>
      </c>
      <c r="E10">
        <v>877.73</v>
      </c>
      <c r="F10" t="s">
        <v>769</v>
      </c>
      <c r="G10">
        <v>1500030420</v>
      </c>
      <c r="H10" t="s">
        <v>755</v>
      </c>
      <c r="I10" t="s">
        <v>770</v>
      </c>
      <c r="K10" s="143">
        <v>46090</v>
      </c>
      <c r="L10" s="143">
        <v>46035</v>
      </c>
      <c r="M10">
        <v>92025</v>
      </c>
      <c r="N10" t="s">
        <v>771</v>
      </c>
      <c r="O10">
        <v>2001</v>
      </c>
      <c r="S10">
        <v>514375</v>
      </c>
      <c r="T10" t="s">
        <v>772</v>
      </c>
    </row>
    <row r="11" spans="1:20" x14ac:dyDescent="0.25">
      <c r="A11">
        <v>5100422412</v>
      </c>
      <c r="B11">
        <v>3137</v>
      </c>
      <c r="C11" t="s">
        <v>768</v>
      </c>
      <c r="D11" s="143">
        <v>46035</v>
      </c>
      <c r="E11" s="55">
        <v>2463.9899999999998</v>
      </c>
      <c r="F11" t="s">
        <v>769</v>
      </c>
      <c r="G11">
        <v>1500038737</v>
      </c>
      <c r="H11" t="s">
        <v>755</v>
      </c>
      <c r="I11" t="s">
        <v>770</v>
      </c>
      <c r="K11" s="143">
        <v>46069</v>
      </c>
      <c r="L11" s="143">
        <v>46035</v>
      </c>
      <c r="M11">
        <v>32025</v>
      </c>
      <c r="N11" t="s">
        <v>771</v>
      </c>
      <c r="O11">
        <v>2001</v>
      </c>
      <c r="S11">
        <v>0</v>
      </c>
      <c r="T11" t="s">
        <v>772</v>
      </c>
    </row>
    <row r="12" spans="1:20" x14ac:dyDescent="0.25">
      <c r="A12">
        <v>5100422417</v>
      </c>
      <c r="B12">
        <v>3137</v>
      </c>
      <c r="C12" t="s">
        <v>768</v>
      </c>
      <c r="D12" s="143">
        <v>46035</v>
      </c>
      <c r="E12" s="55">
        <v>168978.54</v>
      </c>
      <c r="F12" t="s">
        <v>769</v>
      </c>
      <c r="G12">
        <v>1500038737</v>
      </c>
      <c r="H12" t="s">
        <v>755</v>
      </c>
      <c r="I12" t="s">
        <v>770</v>
      </c>
      <c r="K12" s="143">
        <v>46069</v>
      </c>
      <c r="L12" s="143">
        <v>46035</v>
      </c>
      <c r="M12">
        <v>92025</v>
      </c>
      <c r="N12" t="s">
        <v>771</v>
      </c>
      <c r="O12">
        <v>2001</v>
      </c>
      <c r="S12">
        <v>0</v>
      </c>
      <c r="T12" t="s">
        <v>772</v>
      </c>
    </row>
    <row r="13" spans="1:20" x14ac:dyDescent="0.25">
      <c r="A13">
        <v>5100422419</v>
      </c>
      <c r="B13">
        <v>3137</v>
      </c>
      <c r="C13" t="s">
        <v>768</v>
      </c>
      <c r="D13" s="143">
        <v>46035</v>
      </c>
      <c r="E13" s="55">
        <v>31525.22</v>
      </c>
      <c r="F13" t="s">
        <v>769</v>
      </c>
      <c r="G13">
        <v>1500038737</v>
      </c>
      <c r="H13" t="s">
        <v>755</v>
      </c>
      <c r="I13" t="s">
        <v>770</v>
      </c>
      <c r="K13" s="143">
        <v>46069</v>
      </c>
      <c r="L13" s="143">
        <v>46035</v>
      </c>
      <c r="M13">
        <v>102025</v>
      </c>
      <c r="N13" t="s">
        <v>771</v>
      </c>
      <c r="O13">
        <v>2001</v>
      </c>
      <c r="S13">
        <v>0</v>
      </c>
      <c r="T13" t="s">
        <v>772</v>
      </c>
    </row>
    <row r="14" spans="1:20" x14ac:dyDescent="0.25">
      <c r="A14">
        <v>5100422411</v>
      </c>
      <c r="B14">
        <v>3137</v>
      </c>
      <c r="C14" t="s">
        <v>768</v>
      </c>
      <c r="D14" s="143">
        <v>46035</v>
      </c>
      <c r="E14" s="55">
        <v>53531.7</v>
      </c>
      <c r="F14" t="s">
        <v>769</v>
      </c>
      <c r="G14">
        <v>1500038737</v>
      </c>
      <c r="H14" t="s">
        <v>755</v>
      </c>
      <c r="I14" t="s">
        <v>770</v>
      </c>
      <c r="K14" s="143">
        <v>46069</v>
      </c>
      <c r="L14" s="143">
        <v>46035</v>
      </c>
      <c r="M14">
        <v>22025</v>
      </c>
      <c r="N14" t="s">
        <v>771</v>
      </c>
      <c r="O14">
        <v>2001</v>
      </c>
      <c r="S14">
        <v>514152</v>
      </c>
      <c r="T14" t="s">
        <v>772</v>
      </c>
    </row>
    <row r="15" spans="1:20" x14ac:dyDescent="0.25">
      <c r="A15">
        <v>5100422413</v>
      </c>
      <c r="B15">
        <v>3137</v>
      </c>
      <c r="C15" t="s">
        <v>768</v>
      </c>
      <c r="D15" s="143">
        <v>46035</v>
      </c>
      <c r="E15" s="55">
        <v>17698.7</v>
      </c>
      <c r="F15" t="s">
        <v>769</v>
      </c>
      <c r="G15">
        <v>1500038737</v>
      </c>
      <c r="H15" t="s">
        <v>755</v>
      </c>
      <c r="I15" t="s">
        <v>770</v>
      </c>
      <c r="K15" s="143">
        <v>46069</v>
      </c>
      <c r="L15" s="143">
        <v>46035</v>
      </c>
      <c r="M15">
        <v>32025</v>
      </c>
      <c r="N15" t="s">
        <v>771</v>
      </c>
      <c r="O15">
        <v>2001</v>
      </c>
      <c r="S15">
        <v>514152</v>
      </c>
      <c r="T15" t="s">
        <v>772</v>
      </c>
    </row>
    <row r="16" spans="1:20" x14ac:dyDescent="0.25">
      <c r="A16">
        <v>5100422414</v>
      </c>
      <c r="B16">
        <v>3137</v>
      </c>
      <c r="C16" t="s">
        <v>768</v>
      </c>
      <c r="D16" s="143">
        <v>46035</v>
      </c>
      <c r="E16" s="55">
        <v>1134.1199999999999</v>
      </c>
      <c r="F16" t="s">
        <v>769</v>
      </c>
      <c r="G16">
        <v>1500038737</v>
      </c>
      <c r="H16" t="s">
        <v>755</v>
      </c>
      <c r="I16" t="s">
        <v>770</v>
      </c>
      <c r="K16" s="143">
        <v>46069</v>
      </c>
      <c r="L16" s="143">
        <v>46035</v>
      </c>
      <c r="M16">
        <v>62025</v>
      </c>
      <c r="N16" t="s">
        <v>771</v>
      </c>
      <c r="O16">
        <v>2001</v>
      </c>
      <c r="S16">
        <v>514152</v>
      </c>
      <c r="T16" t="s">
        <v>772</v>
      </c>
    </row>
    <row r="17" spans="1:20" x14ac:dyDescent="0.25">
      <c r="A17">
        <v>5100422415</v>
      </c>
      <c r="B17">
        <v>3137</v>
      </c>
      <c r="C17" t="s">
        <v>768</v>
      </c>
      <c r="D17" s="143">
        <v>46035</v>
      </c>
      <c r="E17" s="55">
        <v>372166.96</v>
      </c>
      <c r="F17" t="s">
        <v>769</v>
      </c>
      <c r="G17">
        <v>1500038737</v>
      </c>
      <c r="H17" t="s">
        <v>755</v>
      </c>
      <c r="I17" t="s">
        <v>770</v>
      </c>
      <c r="K17" s="143">
        <v>46069</v>
      </c>
      <c r="L17" s="143">
        <v>46035</v>
      </c>
      <c r="M17">
        <v>72025</v>
      </c>
      <c r="N17" t="s">
        <v>771</v>
      </c>
      <c r="O17">
        <v>2001</v>
      </c>
      <c r="S17">
        <v>514152</v>
      </c>
      <c r="T17" t="s">
        <v>772</v>
      </c>
    </row>
    <row r="18" spans="1:20" x14ac:dyDescent="0.25">
      <c r="A18">
        <v>5100422416</v>
      </c>
      <c r="B18">
        <v>3137</v>
      </c>
      <c r="C18" t="s">
        <v>768</v>
      </c>
      <c r="D18" s="143">
        <v>46035</v>
      </c>
      <c r="E18" s="55">
        <v>11362.73</v>
      </c>
      <c r="F18" t="s">
        <v>769</v>
      </c>
      <c r="G18">
        <v>1500038737</v>
      </c>
      <c r="H18" t="s">
        <v>755</v>
      </c>
      <c r="I18" t="s">
        <v>770</v>
      </c>
      <c r="K18" s="143">
        <v>46069</v>
      </c>
      <c r="L18" s="143">
        <v>46035</v>
      </c>
      <c r="M18">
        <v>82025</v>
      </c>
      <c r="N18" t="s">
        <v>771</v>
      </c>
      <c r="O18">
        <v>2001</v>
      </c>
      <c r="S18">
        <v>514152</v>
      </c>
      <c r="T18" t="s">
        <v>772</v>
      </c>
    </row>
    <row r="19" spans="1:20" x14ac:dyDescent="0.25">
      <c r="A19">
        <v>5100422418</v>
      </c>
      <c r="B19">
        <v>3137</v>
      </c>
      <c r="C19" t="s">
        <v>768</v>
      </c>
      <c r="D19" s="143">
        <v>46035</v>
      </c>
      <c r="E19" s="55">
        <v>12545.4</v>
      </c>
      <c r="F19" t="s">
        <v>769</v>
      </c>
      <c r="G19">
        <v>1500038737</v>
      </c>
      <c r="H19" t="s">
        <v>755</v>
      </c>
      <c r="I19" t="s">
        <v>770</v>
      </c>
      <c r="K19" s="143">
        <v>46069</v>
      </c>
      <c r="L19" s="143">
        <v>46035</v>
      </c>
      <c r="M19">
        <v>92025</v>
      </c>
      <c r="N19" t="s">
        <v>771</v>
      </c>
      <c r="O19">
        <v>2001</v>
      </c>
      <c r="S19">
        <v>514152</v>
      </c>
      <c r="T19" t="s">
        <v>772</v>
      </c>
    </row>
    <row r="20" spans="1:20" x14ac:dyDescent="0.25">
      <c r="A20">
        <v>5100423147</v>
      </c>
      <c r="B20">
        <v>4077</v>
      </c>
      <c r="C20" t="s">
        <v>768</v>
      </c>
      <c r="D20" s="143">
        <v>46035</v>
      </c>
      <c r="E20" s="55">
        <v>166679.09</v>
      </c>
      <c r="F20" t="s">
        <v>769</v>
      </c>
      <c r="G20">
        <v>1500090927</v>
      </c>
      <c r="H20" t="s">
        <v>755</v>
      </c>
      <c r="I20" t="s">
        <v>770</v>
      </c>
      <c r="J20">
        <v>8</v>
      </c>
      <c r="K20" s="143">
        <v>46072</v>
      </c>
      <c r="L20" s="143">
        <v>46035</v>
      </c>
      <c r="M20">
        <v>12025</v>
      </c>
      <c r="N20" t="s">
        <v>771</v>
      </c>
      <c r="O20">
        <v>2001</v>
      </c>
      <c r="S20" t="s">
        <v>773</v>
      </c>
      <c r="T20" t="s">
        <v>772</v>
      </c>
    </row>
    <row r="21" spans="1:20" x14ac:dyDescent="0.25">
      <c r="A21">
        <v>5100423148</v>
      </c>
      <c r="B21">
        <v>4077</v>
      </c>
      <c r="C21" t="s">
        <v>768</v>
      </c>
      <c r="D21" s="143">
        <v>46035</v>
      </c>
      <c r="E21">
        <v>943.61</v>
      </c>
      <c r="F21" t="s">
        <v>769</v>
      </c>
      <c r="G21">
        <v>1500090927</v>
      </c>
      <c r="H21" t="s">
        <v>755</v>
      </c>
      <c r="I21" t="s">
        <v>770</v>
      </c>
      <c r="J21">
        <v>8</v>
      </c>
      <c r="K21" s="143">
        <v>46072</v>
      </c>
      <c r="L21" s="143">
        <v>46035</v>
      </c>
      <c r="M21">
        <v>22025</v>
      </c>
      <c r="N21" t="s">
        <v>771</v>
      </c>
      <c r="O21">
        <v>2001</v>
      </c>
      <c r="S21" t="s">
        <v>773</v>
      </c>
      <c r="T21" t="s">
        <v>772</v>
      </c>
    </row>
    <row r="22" spans="1:20" x14ac:dyDescent="0.25">
      <c r="A22">
        <v>5100423149</v>
      </c>
      <c r="B22">
        <v>4077</v>
      </c>
      <c r="C22" t="s">
        <v>768</v>
      </c>
      <c r="D22" s="143">
        <v>46035</v>
      </c>
      <c r="E22" s="55">
        <v>1190734.93</v>
      </c>
      <c r="F22" t="s">
        <v>769</v>
      </c>
      <c r="G22">
        <v>1500090927</v>
      </c>
      <c r="H22" t="s">
        <v>755</v>
      </c>
      <c r="I22" t="s">
        <v>770</v>
      </c>
      <c r="J22">
        <v>8</v>
      </c>
      <c r="K22" s="143">
        <v>46072</v>
      </c>
      <c r="L22" s="143">
        <v>46035</v>
      </c>
      <c r="M22">
        <v>22025</v>
      </c>
      <c r="N22" t="s">
        <v>771</v>
      </c>
      <c r="O22">
        <v>2001</v>
      </c>
      <c r="S22" t="s">
        <v>773</v>
      </c>
      <c r="T22" t="s">
        <v>772</v>
      </c>
    </row>
    <row r="23" spans="1:20" x14ac:dyDescent="0.25">
      <c r="A23">
        <v>5100423150</v>
      </c>
      <c r="B23">
        <v>4077</v>
      </c>
      <c r="C23" t="s">
        <v>768</v>
      </c>
      <c r="D23" s="143">
        <v>46035</v>
      </c>
      <c r="E23" s="55">
        <v>9767.24</v>
      </c>
      <c r="F23" t="s">
        <v>769</v>
      </c>
      <c r="G23">
        <v>1500090927</v>
      </c>
      <c r="H23" t="s">
        <v>755</v>
      </c>
      <c r="I23" t="s">
        <v>770</v>
      </c>
      <c r="J23">
        <v>8</v>
      </c>
      <c r="K23" s="143">
        <v>46072</v>
      </c>
      <c r="L23" s="143">
        <v>46035</v>
      </c>
      <c r="M23">
        <v>32025</v>
      </c>
      <c r="N23" t="s">
        <v>771</v>
      </c>
      <c r="O23">
        <v>2001</v>
      </c>
      <c r="S23" t="s">
        <v>773</v>
      </c>
      <c r="T23" t="s">
        <v>772</v>
      </c>
    </row>
    <row r="24" spans="1:20" x14ac:dyDescent="0.25">
      <c r="A24">
        <v>5100423151</v>
      </c>
      <c r="B24">
        <v>4077</v>
      </c>
      <c r="C24" t="s">
        <v>768</v>
      </c>
      <c r="D24" s="143">
        <v>46035</v>
      </c>
      <c r="E24" s="55">
        <v>4960880.75</v>
      </c>
      <c r="F24" t="s">
        <v>769</v>
      </c>
      <c r="G24">
        <v>1500090927</v>
      </c>
      <c r="H24" t="s">
        <v>755</v>
      </c>
      <c r="I24" t="s">
        <v>770</v>
      </c>
      <c r="J24">
        <v>8</v>
      </c>
      <c r="K24" s="143">
        <v>46072</v>
      </c>
      <c r="L24" s="143">
        <v>46035</v>
      </c>
      <c r="M24">
        <v>32025</v>
      </c>
      <c r="N24" t="s">
        <v>771</v>
      </c>
      <c r="O24">
        <v>2001</v>
      </c>
      <c r="S24" t="s">
        <v>773</v>
      </c>
      <c r="T24" t="s">
        <v>772</v>
      </c>
    </row>
    <row r="25" spans="1:20" x14ac:dyDescent="0.25">
      <c r="A25">
        <v>5100423152</v>
      </c>
      <c r="B25">
        <v>4077</v>
      </c>
      <c r="C25" t="s">
        <v>768</v>
      </c>
      <c r="D25" s="143">
        <v>46035</v>
      </c>
      <c r="E25" s="55">
        <v>1422090.7</v>
      </c>
      <c r="F25" t="s">
        <v>769</v>
      </c>
      <c r="G25">
        <v>1500090927</v>
      </c>
      <c r="H25" t="s">
        <v>755</v>
      </c>
      <c r="I25" t="s">
        <v>770</v>
      </c>
      <c r="J25">
        <v>8</v>
      </c>
      <c r="K25" s="143">
        <v>46072</v>
      </c>
      <c r="L25" s="143">
        <v>46035</v>
      </c>
      <c r="M25">
        <v>42025</v>
      </c>
      <c r="N25" t="s">
        <v>771</v>
      </c>
      <c r="O25">
        <v>2001</v>
      </c>
      <c r="S25" t="s">
        <v>773</v>
      </c>
      <c r="T25" t="s">
        <v>772</v>
      </c>
    </row>
    <row r="26" spans="1:20" x14ac:dyDescent="0.25">
      <c r="A26">
        <v>5100423153</v>
      </c>
      <c r="B26">
        <v>4077</v>
      </c>
      <c r="C26" t="s">
        <v>768</v>
      </c>
      <c r="D26" s="143">
        <v>46035</v>
      </c>
      <c r="E26" s="55">
        <v>4803337.49</v>
      </c>
      <c r="F26" t="s">
        <v>769</v>
      </c>
      <c r="G26">
        <v>1500090927</v>
      </c>
      <c r="H26" t="s">
        <v>755</v>
      </c>
      <c r="I26" t="s">
        <v>770</v>
      </c>
      <c r="J26">
        <v>8</v>
      </c>
      <c r="K26" s="143">
        <v>46072</v>
      </c>
      <c r="L26" s="143">
        <v>46035</v>
      </c>
      <c r="M26">
        <v>52025</v>
      </c>
      <c r="N26" t="s">
        <v>771</v>
      </c>
      <c r="O26">
        <v>2001</v>
      </c>
      <c r="S26" t="s">
        <v>773</v>
      </c>
      <c r="T26" t="s">
        <v>772</v>
      </c>
    </row>
    <row r="27" spans="1:20" x14ac:dyDescent="0.25">
      <c r="A27">
        <v>5100423154</v>
      </c>
      <c r="B27">
        <v>4077</v>
      </c>
      <c r="C27" t="s">
        <v>768</v>
      </c>
      <c r="D27" s="143">
        <v>46035</v>
      </c>
      <c r="E27" s="55">
        <v>2854759.48</v>
      </c>
      <c r="F27" t="s">
        <v>769</v>
      </c>
      <c r="G27">
        <v>1500090927</v>
      </c>
      <c r="H27" t="s">
        <v>755</v>
      </c>
      <c r="I27" t="s">
        <v>770</v>
      </c>
      <c r="J27">
        <v>8</v>
      </c>
      <c r="K27" s="143">
        <v>46072</v>
      </c>
      <c r="L27" s="143">
        <v>46035</v>
      </c>
      <c r="M27">
        <v>62025</v>
      </c>
      <c r="N27" t="s">
        <v>771</v>
      </c>
      <c r="O27">
        <v>2001</v>
      </c>
      <c r="S27" t="s">
        <v>773</v>
      </c>
      <c r="T27" t="s">
        <v>772</v>
      </c>
    </row>
    <row r="28" spans="1:20" x14ac:dyDescent="0.25">
      <c r="A28">
        <v>5100423155</v>
      </c>
      <c r="B28">
        <v>4077</v>
      </c>
      <c r="C28" t="s">
        <v>768</v>
      </c>
      <c r="D28" s="143">
        <v>46035</v>
      </c>
      <c r="E28" s="55">
        <v>1820340.18</v>
      </c>
      <c r="F28" t="s">
        <v>769</v>
      </c>
      <c r="G28">
        <v>1500090927</v>
      </c>
      <c r="H28" t="s">
        <v>755</v>
      </c>
      <c r="I28" t="s">
        <v>770</v>
      </c>
      <c r="J28">
        <v>8</v>
      </c>
      <c r="K28" s="143">
        <v>46072</v>
      </c>
      <c r="L28" s="143">
        <v>46035</v>
      </c>
      <c r="M28">
        <v>72025</v>
      </c>
      <c r="N28" t="s">
        <v>771</v>
      </c>
      <c r="O28">
        <v>2001</v>
      </c>
      <c r="S28" t="s">
        <v>773</v>
      </c>
      <c r="T28" t="s">
        <v>772</v>
      </c>
    </row>
    <row r="29" spans="1:20" x14ac:dyDescent="0.25">
      <c r="A29">
        <v>5100423156</v>
      </c>
      <c r="B29">
        <v>4077</v>
      </c>
      <c r="C29" t="s">
        <v>768</v>
      </c>
      <c r="D29" s="143">
        <v>46035</v>
      </c>
      <c r="E29" s="55">
        <v>560361.35</v>
      </c>
      <c r="F29" t="s">
        <v>769</v>
      </c>
      <c r="G29">
        <v>1500090927</v>
      </c>
      <c r="H29" t="s">
        <v>755</v>
      </c>
      <c r="I29" t="s">
        <v>770</v>
      </c>
      <c r="J29">
        <v>8</v>
      </c>
      <c r="K29" s="143">
        <v>46072</v>
      </c>
      <c r="L29" s="143">
        <v>46035</v>
      </c>
      <c r="M29">
        <v>82025</v>
      </c>
      <c r="N29" t="s">
        <v>771</v>
      </c>
      <c r="O29">
        <v>2001</v>
      </c>
      <c r="S29" t="s">
        <v>773</v>
      </c>
      <c r="T29" t="s">
        <v>772</v>
      </c>
    </row>
    <row r="30" spans="1:20" x14ac:dyDescent="0.25">
      <c r="A30">
        <v>5100423157</v>
      </c>
      <c r="B30">
        <v>4077</v>
      </c>
      <c r="C30" t="s">
        <v>768</v>
      </c>
      <c r="D30" s="143">
        <v>46035</v>
      </c>
      <c r="E30" s="55">
        <v>53555.81</v>
      </c>
      <c r="F30" t="s">
        <v>769</v>
      </c>
      <c r="G30">
        <v>1500090927</v>
      </c>
      <c r="H30" t="s">
        <v>755</v>
      </c>
      <c r="I30" t="s">
        <v>770</v>
      </c>
      <c r="J30">
        <v>8</v>
      </c>
      <c r="K30" s="143">
        <v>46072</v>
      </c>
      <c r="L30" s="143">
        <v>46035</v>
      </c>
      <c r="M30">
        <v>82025</v>
      </c>
      <c r="N30" t="s">
        <v>774</v>
      </c>
      <c r="O30">
        <v>2001</v>
      </c>
      <c r="S30" t="s">
        <v>773</v>
      </c>
      <c r="T30" t="s">
        <v>772</v>
      </c>
    </row>
    <row r="31" spans="1:20" x14ac:dyDescent="0.25">
      <c r="A31">
        <v>5100423158</v>
      </c>
      <c r="B31">
        <v>4077</v>
      </c>
      <c r="C31" t="s">
        <v>768</v>
      </c>
      <c r="D31" s="143">
        <v>46035</v>
      </c>
      <c r="E31" s="55">
        <v>209085.6</v>
      </c>
      <c r="F31" t="s">
        <v>769</v>
      </c>
      <c r="G31">
        <v>1500090927</v>
      </c>
      <c r="H31" t="s">
        <v>755</v>
      </c>
      <c r="I31" t="s">
        <v>770</v>
      </c>
      <c r="J31">
        <v>8</v>
      </c>
      <c r="K31" s="143">
        <v>46072</v>
      </c>
      <c r="L31" s="143">
        <v>46035</v>
      </c>
      <c r="M31">
        <v>92025</v>
      </c>
      <c r="N31" t="s">
        <v>771</v>
      </c>
      <c r="O31">
        <v>2001</v>
      </c>
      <c r="S31" t="s">
        <v>773</v>
      </c>
      <c r="T31" t="s">
        <v>772</v>
      </c>
    </row>
    <row r="32" spans="1:20" x14ac:dyDescent="0.25">
      <c r="A32">
        <v>5100423356</v>
      </c>
      <c r="B32">
        <v>5330</v>
      </c>
      <c r="C32" t="s">
        <v>768</v>
      </c>
      <c r="D32" s="143">
        <v>46035</v>
      </c>
      <c r="E32" s="55">
        <v>15146.33</v>
      </c>
      <c r="F32" t="s">
        <v>769</v>
      </c>
      <c r="G32">
        <v>1500034424</v>
      </c>
      <c r="H32" t="s">
        <v>755</v>
      </c>
      <c r="I32" t="s">
        <v>770</v>
      </c>
      <c r="K32" s="143">
        <v>46084</v>
      </c>
      <c r="L32" s="143">
        <v>46035</v>
      </c>
      <c r="M32">
        <v>62025</v>
      </c>
      <c r="N32" t="s">
        <v>771</v>
      </c>
      <c r="O32">
        <v>2001</v>
      </c>
      <c r="S32" t="s">
        <v>775</v>
      </c>
      <c r="T32" t="s">
        <v>772</v>
      </c>
    </row>
    <row r="33" spans="1:20" x14ac:dyDescent="0.25">
      <c r="A33">
        <v>5100423357</v>
      </c>
      <c r="B33">
        <v>5330</v>
      </c>
      <c r="C33" t="s">
        <v>768</v>
      </c>
      <c r="D33" s="143">
        <v>46035</v>
      </c>
      <c r="E33" s="55">
        <v>1093857.48</v>
      </c>
      <c r="F33" t="s">
        <v>769</v>
      </c>
      <c r="G33">
        <v>1500034424</v>
      </c>
      <c r="H33" t="s">
        <v>755</v>
      </c>
      <c r="I33" t="s">
        <v>770</v>
      </c>
      <c r="K33" s="143">
        <v>46084</v>
      </c>
      <c r="L33" s="143">
        <v>46035</v>
      </c>
      <c r="M33">
        <v>82025</v>
      </c>
      <c r="N33" t="s">
        <v>771</v>
      </c>
      <c r="O33">
        <v>2001</v>
      </c>
      <c r="S33" t="s">
        <v>775</v>
      </c>
      <c r="T33" t="s">
        <v>772</v>
      </c>
    </row>
    <row r="34" spans="1:20" x14ac:dyDescent="0.25">
      <c r="A34">
        <v>5100423358</v>
      </c>
      <c r="B34">
        <v>5330</v>
      </c>
      <c r="C34" t="s">
        <v>768</v>
      </c>
      <c r="D34" s="143">
        <v>46035</v>
      </c>
      <c r="E34" s="55">
        <v>6682.01</v>
      </c>
      <c r="F34" t="s">
        <v>769</v>
      </c>
      <c r="G34">
        <v>1500034424</v>
      </c>
      <c r="H34" t="s">
        <v>755</v>
      </c>
      <c r="I34" t="s">
        <v>770</v>
      </c>
      <c r="K34" s="143">
        <v>46084</v>
      </c>
      <c r="L34" s="143">
        <v>46035</v>
      </c>
      <c r="M34">
        <v>92025</v>
      </c>
      <c r="N34" t="s">
        <v>771</v>
      </c>
      <c r="O34">
        <v>2001</v>
      </c>
      <c r="S34" t="s">
        <v>775</v>
      </c>
      <c r="T34" t="s">
        <v>772</v>
      </c>
    </row>
    <row r="35" spans="1:20" x14ac:dyDescent="0.25">
      <c r="A35">
        <v>5100423466</v>
      </c>
      <c r="B35">
        <v>5766</v>
      </c>
      <c r="C35" t="s">
        <v>768</v>
      </c>
      <c r="D35" s="143">
        <v>46035</v>
      </c>
      <c r="E35" s="55">
        <v>107388.26</v>
      </c>
      <c r="F35" t="s">
        <v>769</v>
      </c>
      <c r="G35">
        <v>1500048380</v>
      </c>
      <c r="H35" t="s">
        <v>755</v>
      </c>
      <c r="I35" t="s">
        <v>770</v>
      </c>
      <c r="K35" s="143">
        <v>46090</v>
      </c>
      <c r="L35" s="143">
        <v>46035</v>
      </c>
      <c r="M35">
        <v>12025</v>
      </c>
      <c r="N35" t="s">
        <v>771</v>
      </c>
      <c r="O35">
        <v>2001</v>
      </c>
      <c r="S35">
        <v>515480</v>
      </c>
      <c r="T35" t="s">
        <v>772</v>
      </c>
    </row>
    <row r="36" spans="1:20" x14ac:dyDescent="0.25">
      <c r="A36">
        <v>5100423467</v>
      </c>
      <c r="B36">
        <v>5766</v>
      </c>
      <c r="C36" t="s">
        <v>768</v>
      </c>
      <c r="D36" s="143">
        <v>46035</v>
      </c>
      <c r="E36">
        <v>162.82</v>
      </c>
      <c r="F36" t="s">
        <v>769</v>
      </c>
      <c r="G36">
        <v>1500048380</v>
      </c>
      <c r="H36" t="s">
        <v>755</v>
      </c>
      <c r="I36" t="s">
        <v>770</v>
      </c>
      <c r="K36" s="143">
        <v>46090</v>
      </c>
      <c r="L36" s="143">
        <v>46035</v>
      </c>
      <c r="M36">
        <v>12025</v>
      </c>
      <c r="N36" t="s">
        <v>771</v>
      </c>
      <c r="O36">
        <v>2001</v>
      </c>
      <c r="S36">
        <v>515480</v>
      </c>
      <c r="T36" t="s">
        <v>772</v>
      </c>
    </row>
    <row r="37" spans="1:20" x14ac:dyDescent="0.25">
      <c r="A37">
        <v>5100423468</v>
      </c>
      <c r="B37">
        <v>5766</v>
      </c>
      <c r="C37" t="s">
        <v>768</v>
      </c>
      <c r="D37" s="143">
        <v>46035</v>
      </c>
      <c r="E37" s="55">
        <v>185208.95999999999</v>
      </c>
      <c r="F37" t="s">
        <v>769</v>
      </c>
      <c r="G37">
        <v>1500048380</v>
      </c>
      <c r="H37" t="s">
        <v>755</v>
      </c>
      <c r="I37" t="s">
        <v>770</v>
      </c>
      <c r="K37" s="143">
        <v>46090</v>
      </c>
      <c r="L37" s="143">
        <v>46035</v>
      </c>
      <c r="M37">
        <v>32025</v>
      </c>
      <c r="N37" t="s">
        <v>771</v>
      </c>
      <c r="O37">
        <v>2001</v>
      </c>
      <c r="S37">
        <v>515480</v>
      </c>
      <c r="T37" t="s">
        <v>772</v>
      </c>
    </row>
    <row r="38" spans="1:20" x14ac:dyDescent="0.25">
      <c r="A38">
        <v>5100423469</v>
      </c>
      <c r="B38">
        <v>5766</v>
      </c>
      <c r="C38" t="s">
        <v>768</v>
      </c>
      <c r="D38" s="143">
        <v>46035</v>
      </c>
      <c r="E38" s="55">
        <v>244057.4</v>
      </c>
      <c r="F38" t="s">
        <v>769</v>
      </c>
      <c r="G38">
        <v>1500048380</v>
      </c>
      <c r="H38" t="s">
        <v>755</v>
      </c>
      <c r="I38" t="s">
        <v>770</v>
      </c>
      <c r="K38" s="143">
        <v>46090</v>
      </c>
      <c r="L38" s="143">
        <v>46035</v>
      </c>
      <c r="M38">
        <v>42025</v>
      </c>
      <c r="N38" t="s">
        <v>771</v>
      </c>
      <c r="O38">
        <v>2001</v>
      </c>
      <c r="S38">
        <v>515480</v>
      </c>
      <c r="T38" t="s">
        <v>772</v>
      </c>
    </row>
    <row r="39" spans="1:20" x14ac:dyDescent="0.25">
      <c r="A39">
        <v>5100423886</v>
      </c>
      <c r="B39">
        <v>8593</v>
      </c>
      <c r="C39" t="s">
        <v>768</v>
      </c>
      <c r="D39" s="143">
        <v>46035</v>
      </c>
      <c r="E39" s="55">
        <v>29398</v>
      </c>
      <c r="F39" t="s">
        <v>769</v>
      </c>
      <c r="G39">
        <v>1500034317</v>
      </c>
      <c r="H39" t="s">
        <v>755</v>
      </c>
      <c r="I39" t="s">
        <v>770</v>
      </c>
      <c r="K39" s="143">
        <v>46104</v>
      </c>
      <c r="L39" s="143">
        <v>46035</v>
      </c>
      <c r="M39">
        <v>12025</v>
      </c>
      <c r="N39" t="s">
        <v>771</v>
      </c>
      <c r="O39">
        <v>2001</v>
      </c>
      <c r="S39" t="s">
        <v>776</v>
      </c>
      <c r="T39" t="s">
        <v>772</v>
      </c>
    </row>
    <row r="40" spans="1:20" x14ac:dyDescent="0.25">
      <c r="A40">
        <v>5100423887</v>
      </c>
      <c r="B40">
        <v>8593</v>
      </c>
      <c r="C40" t="s">
        <v>768</v>
      </c>
      <c r="D40" s="143">
        <v>46035</v>
      </c>
      <c r="E40" s="55">
        <v>1003621.95</v>
      </c>
      <c r="F40" t="s">
        <v>769</v>
      </c>
      <c r="G40">
        <v>1500034317</v>
      </c>
      <c r="H40" t="s">
        <v>755</v>
      </c>
      <c r="I40" t="s">
        <v>770</v>
      </c>
      <c r="K40" s="143">
        <v>46104</v>
      </c>
      <c r="L40" s="143">
        <v>46035</v>
      </c>
      <c r="M40">
        <v>22025</v>
      </c>
      <c r="N40" t="s">
        <v>771</v>
      </c>
      <c r="O40">
        <v>2001</v>
      </c>
      <c r="S40" t="s">
        <v>776</v>
      </c>
      <c r="T40" t="s">
        <v>772</v>
      </c>
    </row>
    <row r="41" spans="1:20" x14ac:dyDescent="0.25">
      <c r="A41">
        <v>5100423888</v>
      </c>
      <c r="B41">
        <v>8593</v>
      </c>
      <c r="C41" t="s">
        <v>768</v>
      </c>
      <c r="D41" s="143">
        <v>46035</v>
      </c>
      <c r="E41" s="55">
        <v>886194.71</v>
      </c>
      <c r="F41" t="s">
        <v>769</v>
      </c>
      <c r="G41">
        <v>1500034317</v>
      </c>
      <c r="H41" t="s">
        <v>755</v>
      </c>
      <c r="I41" t="s">
        <v>770</v>
      </c>
      <c r="K41" s="143">
        <v>46104</v>
      </c>
      <c r="L41" s="143">
        <v>46035</v>
      </c>
      <c r="M41">
        <v>32025</v>
      </c>
      <c r="N41" t="s">
        <v>771</v>
      </c>
      <c r="O41">
        <v>2001</v>
      </c>
      <c r="S41" t="s">
        <v>776</v>
      </c>
      <c r="T41" t="s">
        <v>772</v>
      </c>
    </row>
    <row r="42" spans="1:20" x14ac:dyDescent="0.25">
      <c r="A42">
        <v>5100423889</v>
      </c>
      <c r="B42">
        <v>8593</v>
      </c>
      <c r="C42" t="s">
        <v>768</v>
      </c>
      <c r="D42" s="143">
        <v>46035</v>
      </c>
      <c r="E42" s="55">
        <v>1125.4000000000001</v>
      </c>
      <c r="F42" t="s">
        <v>769</v>
      </c>
      <c r="G42">
        <v>1500034317</v>
      </c>
      <c r="H42" t="s">
        <v>755</v>
      </c>
      <c r="I42" t="s">
        <v>770</v>
      </c>
      <c r="K42" s="143">
        <v>46104</v>
      </c>
      <c r="L42" s="143">
        <v>46035</v>
      </c>
      <c r="M42">
        <v>42025</v>
      </c>
      <c r="N42" t="s">
        <v>771</v>
      </c>
      <c r="O42">
        <v>2001</v>
      </c>
      <c r="S42" t="s">
        <v>776</v>
      </c>
      <c r="T42" t="s">
        <v>772</v>
      </c>
    </row>
    <row r="43" spans="1:20" x14ac:dyDescent="0.25">
      <c r="A43">
        <v>5100423890</v>
      </c>
      <c r="B43">
        <v>8593</v>
      </c>
      <c r="C43" t="s">
        <v>768</v>
      </c>
      <c r="D43" s="143">
        <v>46035</v>
      </c>
      <c r="E43" s="55">
        <v>137365.91</v>
      </c>
      <c r="F43" t="s">
        <v>769</v>
      </c>
      <c r="G43">
        <v>1500034317</v>
      </c>
      <c r="H43" t="s">
        <v>755</v>
      </c>
      <c r="I43" t="s">
        <v>770</v>
      </c>
      <c r="K43" s="143">
        <v>46104</v>
      </c>
      <c r="L43" s="143">
        <v>46035</v>
      </c>
      <c r="M43">
        <v>42025</v>
      </c>
      <c r="N43" t="s">
        <v>771</v>
      </c>
      <c r="O43">
        <v>2001</v>
      </c>
      <c r="S43" t="s">
        <v>776</v>
      </c>
      <c r="T43" t="s">
        <v>772</v>
      </c>
    </row>
    <row r="44" spans="1:20" x14ac:dyDescent="0.25">
      <c r="A44">
        <v>5100423891</v>
      </c>
      <c r="B44">
        <v>8593</v>
      </c>
      <c r="C44" t="s">
        <v>768</v>
      </c>
      <c r="D44" s="143">
        <v>46035</v>
      </c>
      <c r="E44" s="55">
        <v>5473.36</v>
      </c>
      <c r="F44" t="s">
        <v>769</v>
      </c>
      <c r="G44">
        <v>1500034317</v>
      </c>
      <c r="H44" t="s">
        <v>755</v>
      </c>
      <c r="I44" t="s">
        <v>770</v>
      </c>
      <c r="K44" s="143">
        <v>46104</v>
      </c>
      <c r="L44" s="143">
        <v>46035</v>
      </c>
      <c r="M44">
        <v>52025</v>
      </c>
      <c r="N44" t="s">
        <v>771</v>
      </c>
      <c r="O44">
        <v>2001</v>
      </c>
      <c r="S44" t="s">
        <v>776</v>
      </c>
      <c r="T44" t="s">
        <v>772</v>
      </c>
    </row>
    <row r="45" spans="1:20" x14ac:dyDescent="0.25">
      <c r="A45">
        <v>5100423892</v>
      </c>
      <c r="B45">
        <v>8593</v>
      </c>
      <c r="C45" t="s">
        <v>768</v>
      </c>
      <c r="D45" s="143">
        <v>46035</v>
      </c>
      <c r="E45" s="55">
        <v>2690890.63</v>
      </c>
      <c r="F45" t="s">
        <v>769</v>
      </c>
      <c r="G45">
        <v>1500034317</v>
      </c>
      <c r="H45" t="s">
        <v>755</v>
      </c>
      <c r="I45" t="s">
        <v>770</v>
      </c>
      <c r="K45" s="143">
        <v>46104</v>
      </c>
      <c r="L45" s="143">
        <v>46035</v>
      </c>
      <c r="M45">
        <v>52025</v>
      </c>
      <c r="N45" t="s">
        <v>771</v>
      </c>
      <c r="O45">
        <v>2001</v>
      </c>
      <c r="S45" t="s">
        <v>776</v>
      </c>
      <c r="T45" t="s">
        <v>772</v>
      </c>
    </row>
    <row r="46" spans="1:20" x14ac:dyDescent="0.25">
      <c r="A46">
        <v>5100423893</v>
      </c>
      <c r="B46">
        <v>8593</v>
      </c>
      <c r="C46" t="s">
        <v>768</v>
      </c>
      <c r="D46" s="143">
        <v>46035</v>
      </c>
      <c r="E46" s="55">
        <v>1068929.54</v>
      </c>
      <c r="F46" t="s">
        <v>769</v>
      </c>
      <c r="G46">
        <v>1500034317</v>
      </c>
      <c r="H46" t="s">
        <v>755</v>
      </c>
      <c r="I46" t="s">
        <v>770</v>
      </c>
      <c r="K46" s="143">
        <v>46104</v>
      </c>
      <c r="L46" s="143">
        <v>46035</v>
      </c>
      <c r="M46">
        <v>62025</v>
      </c>
      <c r="N46" t="s">
        <v>771</v>
      </c>
      <c r="O46">
        <v>2001</v>
      </c>
      <c r="S46" t="s">
        <v>776</v>
      </c>
      <c r="T46" t="s">
        <v>772</v>
      </c>
    </row>
    <row r="47" spans="1:20" x14ac:dyDescent="0.25">
      <c r="A47">
        <v>5100423894</v>
      </c>
      <c r="B47">
        <v>8593</v>
      </c>
      <c r="C47" t="s">
        <v>768</v>
      </c>
      <c r="D47" s="143">
        <v>46035</v>
      </c>
      <c r="E47" s="55">
        <v>2473555.2000000002</v>
      </c>
      <c r="F47" t="s">
        <v>769</v>
      </c>
      <c r="G47">
        <v>1500034317</v>
      </c>
      <c r="H47" t="s">
        <v>755</v>
      </c>
      <c r="I47" t="s">
        <v>770</v>
      </c>
      <c r="K47" s="143">
        <v>46104</v>
      </c>
      <c r="L47" s="143">
        <v>46035</v>
      </c>
      <c r="M47">
        <v>72025</v>
      </c>
      <c r="N47" t="s">
        <v>771</v>
      </c>
      <c r="O47">
        <v>2001</v>
      </c>
      <c r="S47" t="s">
        <v>776</v>
      </c>
      <c r="T47" t="s">
        <v>772</v>
      </c>
    </row>
    <row r="48" spans="1:20" x14ac:dyDescent="0.25">
      <c r="A48">
        <v>5100423895</v>
      </c>
      <c r="B48">
        <v>8593</v>
      </c>
      <c r="C48" t="s">
        <v>768</v>
      </c>
      <c r="D48" s="143">
        <v>46035</v>
      </c>
      <c r="E48" s="55">
        <v>1553121.68</v>
      </c>
      <c r="F48" t="s">
        <v>769</v>
      </c>
      <c r="G48">
        <v>1500034317</v>
      </c>
      <c r="H48" t="s">
        <v>755</v>
      </c>
      <c r="I48" t="s">
        <v>770</v>
      </c>
      <c r="K48" s="143">
        <v>46104</v>
      </c>
      <c r="L48" s="143">
        <v>46035</v>
      </c>
      <c r="M48">
        <v>82025</v>
      </c>
      <c r="N48" t="s">
        <v>771</v>
      </c>
      <c r="O48">
        <v>2001</v>
      </c>
      <c r="S48" t="s">
        <v>776</v>
      </c>
      <c r="T48" t="s">
        <v>772</v>
      </c>
    </row>
    <row r="49" spans="1:20" x14ac:dyDescent="0.25">
      <c r="A49">
        <v>5100423896</v>
      </c>
      <c r="B49">
        <v>8593</v>
      </c>
      <c r="C49" t="s">
        <v>768</v>
      </c>
      <c r="D49" s="143">
        <v>46035</v>
      </c>
      <c r="E49" s="55">
        <v>142383.25</v>
      </c>
      <c r="F49" t="s">
        <v>769</v>
      </c>
      <c r="G49">
        <v>1500034317</v>
      </c>
      <c r="H49" t="s">
        <v>755</v>
      </c>
      <c r="I49" t="s">
        <v>770</v>
      </c>
      <c r="K49" s="143">
        <v>46104</v>
      </c>
      <c r="L49" s="143">
        <v>46035</v>
      </c>
      <c r="M49">
        <v>92025</v>
      </c>
      <c r="N49" t="s">
        <v>771</v>
      </c>
      <c r="O49">
        <v>2001</v>
      </c>
      <c r="S49" t="s">
        <v>776</v>
      </c>
      <c r="T49" t="s">
        <v>772</v>
      </c>
    </row>
    <row r="50" spans="1:20" x14ac:dyDescent="0.25">
      <c r="A50">
        <v>5100424051</v>
      </c>
      <c r="B50">
        <v>9381</v>
      </c>
      <c r="C50" t="s">
        <v>768</v>
      </c>
      <c r="D50" s="143">
        <v>46035</v>
      </c>
      <c r="E50" s="55">
        <v>93891.99</v>
      </c>
      <c r="F50" t="s">
        <v>769</v>
      </c>
      <c r="G50">
        <v>1500107413</v>
      </c>
      <c r="H50" t="s">
        <v>755</v>
      </c>
      <c r="I50" t="s">
        <v>770</v>
      </c>
      <c r="K50" s="143">
        <v>46090</v>
      </c>
      <c r="L50" s="143">
        <v>46035</v>
      </c>
      <c r="M50">
        <v>12025</v>
      </c>
      <c r="N50" t="s">
        <v>771</v>
      </c>
      <c r="O50">
        <v>2001</v>
      </c>
      <c r="S50" t="s">
        <v>777</v>
      </c>
      <c r="T50" t="s">
        <v>772</v>
      </c>
    </row>
    <row r="51" spans="1:20" x14ac:dyDescent="0.25">
      <c r="A51">
        <v>5100424052</v>
      </c>
      <c r="B51">
        <v>9381</v>
      </c>
      <c r="C51" t="s">
        <v>768</v>
      </c>
      <c r="D51" s="143">
        <v>46035</v>
      </c>
      <c r="E51" s="55">
        <v>503311.11</v>
      </c>
      <c r="F51" t="s">
        <v>769</v>
      </c>
      <c r="G51">
        <v>1500107413</v>
      </c>
      <c r="H51" t="s">
        <v>755</v>
      </c>
      <c r="I51" t="s">
        <v>770</v>
      </c>
      <c r="K51" s="143">
        <v>46090</v>
      </c>
      <c r="L51" s="143">
        <v>46035</v>
      </c>
      <c r="M51">
        <v>22025</v>
      </c>
      <c r="N51" t="s">
        <v>771</v>
      </c>
      <c r="O51">
        <v>2001</v>
      </c>
      <c r="S51" t="s">
        <v>777</v>
      </c>
      <c r="T51" t="s">
        <v>772</v>
      </c>
    </row>
    <row r="52" spans="1:20" x14ac:dyDescent="0.25">
      <c r="A52">
        <v>5100424053</v>
      </c>
      <c r="B52">
        <v>9381</v>
      </c>
      <c r="C52" t="s">
        <v>768</v>
      </c>
      <c r="D52" s="143">
        <v>46035</v>
      </c>
      <c r="E52" s="55">
        <v>390525.83</v>
      </c>
      <c r="F52" t="s">
        <v>769</v>
      </c>
      <c r="G52">
        <v>1500107413</v>
      </c>
      <c r="H52" t="s">
        <v>755</v>
      </c>
      <c r="I52" t="s">
        <v>770</v>
      </c>
      <c r="K52" s="143">
        <v>46090</v>
      </c>
      <c r="L52" s="143">
        <v>46035</v>
      </c>
      <c r="M52">
        <v>32025</v>
      </c>
      <c r="N52" t="s">
        <v>771</v>
      </c>
      <c r="O52">
        <v>2001</v>
      </c>
      <c r="S52" t="s">
        <v>777</v>
      </c>
      <c r="T52" t="s">
        <v>772</v>
      </c>
    </row>
    <row r="53" spans="1:20" x14ac:dyDescent="0.25">
      <c r="A53">
        <v>5100424054</v>
      </c>
      <c r="B53">
        <v>9381</v>
      </c>
      <c r="C53" t="s">
        <v>768</v>
      </c>
      <c r="D53" s="143">
        <v>46035</v>
      </c>
      <c r="E53" s="55">
        <v>187833.76</v>
      </c>
      <c r="F53" t="s">
        <v>769</v>
      </c>
      <c r="G53">
        <v>1500107413</v>
      </c>
      <c r="H53" t="s">
        <v>755</v>
      </c>
      <c r="I53" t="s">
        <v>770</v>
      </c>
      <c r="K53" s="143">
        <v>46090</v>
      </c>
      <c r="L53" s="143">
        <v>46035</v>
      </c>
      <c r="M53">
        <v>42025</v>
      </c>
      <c r="N53" t="s">
        <v>771</v>
      </c>
      <c r="O53">
        <v>2001</v>
      </c>
      <c r="S53" t="s">
        <v>777</v>
      </c>
      <c r="T53" t="s">
        <v>772</v>
      </c>
    </row>
    <row r="54" spans="1:20" x14ac:dyDescent="0.25">
      <c r="A54">
        <v>5100424055</v>
      </c>
      <c r="B54">
        <v>9381</v>
      </c>
      <c r="C54" t="s">
        <v>768</v>
      </c>
      <c r="D54" s="143">
        <v>46035</v>
      </c>
      <c r="E54" s="55">
        <v>1136787.6200000001</v>
      </c>
      <c r="F54" t="s">
        <v>769</v>
      </c>
      <c r="G54">
        <v>1500107413</v>
      </c>
      <c r="H54" t="s">
        <v>755</v>
      </c>
      <c r="I54" t="s">
        <v>770</v>
      </c>
      <c r="K54" s="143">
        <v>46090</v>
      </c>
      <c r="L54" s="143">
        <v>46035</v>
      </c>
      <c r="M54">
        <v>52025</v>
      </c>
      <c r="N54" t="s">
        <v>771</v>
      </c>
      <c r="O54">
        <v>2001</v>
      </c>
      <c r="S54" t="s">
        <v>777</v>
      </c>
      <c r="T54" t="s">
        <v>772</v>
      </c>
    </row>
    <row r="55" spans="1:20" x14ac:dyDescent="0.25">
      <c r="A55">
        <v>5100424056</v>
      </c>
      <c r="B55">
        <v>9381</v>
      </c>
      <c r="C55" t="s">
        <v>768</v>
      </c>
      <c r="D55" s="143">
        <v>46035</v>
      </c>
      <c r="E55" s="55">
        <v>533355.32999999996</v>
      </c>
      <c r="F55" t="s">
        <v>769</v>
      </c>
      <c r="G55">
        <v>1500107413</v>
      </c>
      <c r="H55" t="s">
        <v>755</v>
      </c>
      <c r="I55" t="s">
        <v>770</v>
      </c>
      <c r="K55" s="143">
        <v>46090</v>
      </c>
      <c r="L55" s="143">
        <v>46035</v>
      </c>
      <c r="M55">
        <v>62025</v>
      </c>
      <c r="N55" t="s">
        <v>771</v>
      </c>
      <c r="O55">
        <v>2001</v>
      </c>
      <c r="S55" t="s">
        <v>777</v>
      </c>
      <c r="T55" t="s">
        <v>772</v>
      </c>
    </row>
    <row r="56" spans="1:20" x14ac:dyDescent="0.25">
      <c r="A56">
        <v>5100424057</v>
      </c>
      <c r="B56">
        <v>9381</v>
      </c>
      <c r="C56" t="s">
        <v>768</v>
      </c>
      <c r="D56" s="143">
        <v>46035</v>
      </c>
      <c r="E56" s="55">
        <v>209732.38</v>
      </c>
      <c r="F56" t="s">
        <v>769</v>
      </c>
      <c r="G56">
        <v>1500107413</v>
      </c>
      <c r="H56" t="s">
        <v>755</v>
      </c>
      <c r="I56" t="s">
        <v>770</v>
      </c>
      <c r="K56" s="143">
        <v>46090</v>
      </c>
      <c r="L56" s="143">
        <v>46035</v>
      </c>
      <c r="M56">
        <v>72025</v>
      </c>
      <c r="N56" t="s">
        <v>771</v>
      </c>
      <c r="O56">
        <v>2001</v>
      </c>
      <c r="S56" t="s">
        <v>777</v>
      </c>
      <c r="T56" t="s">
        <v>772</v>
      </c>
    </row>
    <row r="57" spans="1:20" x14ac:dyDescent="0.25">
      <c r="A57">
        <v>5100424058</v>
      </c>
      <c r="B57">
        <v>9381</v>
      </c>
      <c r="C57" t="s">
        <v>768</v>
      </c>
      <c r="D57" s="143">
        <v>46035</v>
      </c>
      <c r="E57" s="55">
        <v>116856.67</v>
      </c>
      <c r="F57" t="s">
        <v>769</v>
      </c>
      <c r="G57">
        <v>1500107413</v>
      </c>
      <c r="H57" t="s">
        <v>755</v>
      </c>
      <c r="I57" t="s">
        <v>770</v>
      </c>
      <c r="K57" s="143">
        <v>46090</v>
      </c>
      <c r="L57" s="143">
        <v>46035</v>
      </c>
      <c r="M57">
        <v>82025</v>
      </c>
      <c r="N57" t="s">
        <v>771</v>
      </c>
      <c r="O57">
        <v>2001</v>
      </c>
      <c r="S57" t="s">
        <v>777</v>
      </c>
      <c r="T57" t="s">
        <v>772</v>
      </c>
    </row>
    <row r="58" spans="1:20" x14ac:dyDescent="0.25">
      <c r="A58">
        <v>5100424059</v>
      </c>
      <c r="B58">
        <v>9381</v>
      </c>
      <c r="C58" t="s">
        <v>768</v>
      </c>
      <c r="D58" s="143">
        <v>46035</v>
      </c>
      <c r="E58" s="55">
        <v>128455.33</v>
      </c>
      <c r="F58" t="s">
        <v>769</v>
      </c>
      <c r="G58">
        <v>1500107413</v>
      </c>
      <c r="H58" t="s">
        <v>755</v>
      </c>
      <c r="I58" t="s">
        <v>770</v>
      </c>
      <c r="K58" s="143">
        <v>46090</v>
      </c>
      <c r="L58" s="143">
        <v>46035</v>
      </c>
      <c r="M58">
        <v>92025</v>
      </c>
      <c r="N58" t="s">
        <v>771</v>
      </c>
      <c r="O58">
        <v>2001</v>
      </c>
      <c r="S58" t="s">
        <v>777</v>
      </c>
      <c r="T58" t="s">
        <v>772</v>
      </c>
    </row>
    <row r="59" spans="1:20" x14ac:dyDescent="0.25">
      <c r="A59">
        <v>5100034806</v>
      </c>
      <c r="B59">
        <v>10348</v>
      </c>
      <c r="C59" t="s">
        <v>768</v>
      </c>
      <c r="D59" s="143">
        <v>46035</v>
      </c>
      <c r="E59" s="55">
        <v>238787.34</v>
      </c>
      <c r="F59" t="s">
        <v>769</v>
      </c>
      <c r="G59">
        <v>5100052902</v>
      </c>
      <c r="H59" t="s">
        <v>755</v>
      </c>
      <c r="I59" t="s">
        <v>770</v>
      </c>
      <c r="J59">
        <v>8</v>
      </c>
      <c r="K59" s="143">
        <v>46035</v>
      </c>
      <c r="L59" s="143">
        <v>46035</v>
      </c>
      <c r="M59">
        <v>52025</v>
      </c>
      <c r="N59">
        <v>0</v>
      </c>
      <c r="O59">
        <v>2001</v>
      </c>
      <c r="S59">
        <v>0</v>
      </c>
      <c r="T59" t="s">
        <v>772</v>
      </c>
    </row>
    <row r="60" spans="1:20" x14ac:dyDescent="0.25">
      <c r="A60">
        <v>5100052902</v>
      </c>
      <c r="B60">
        <v>10348</v>
      </c>
      <c r="C60" t="s">
        <v>768</v>
      </c>
      <c r="D60" s="143">
        <v>46035</v>
      </c>
      <c r="E60" s="55">
        <v>-238787.34</v>
      </c>
      <c r="F60" t="s">
        <v>769</v>
      </c>
      <c r="G60">
        <v>5100052902</v>
      </c>
      <c r="H60" t="s">
        <v>755</v>
      </c>
      <c r="I60" t="s">
        <v>770</v>
      </c>
      <c r="J60">
        <v>8</v>
      </c>
      <c r="K60" s="143">
        <v>46035</v>
      </c>
      <c r="L60" s="143">
        <v>46035</v>
      </c>
      <c r="M60">
        <v>52025</v>
      </c>
      <c r="N60">
        <v>0</v>
      </c>
      <c r="O60">
        <v>2001</v>
      </c>
      <c r="S60">
        <v>0</v>
      </c>
      <c r="T60">
        <v>900505604</v>
      </c>
    </row>
    <row r="61" spans="1:20" x14ac:dyDescent="0.25">
      <c r="A61">
        <v>5100227643</v>
      </c>
      <c r="B61">
        <v>11361</v>
      </c>
      <c r="C61" t="s">
        <v>768</v>
      </c>
      <c r="D61" s="143">
        <v>46035</v>
      </c>
      <c r="E61" s="55">
        <v>64503.59</v>
      </c>
      <c r="F61" t="s">
        <v>769</v>
      </c>
      <c r="G61">
        <v>102143466</v>
      </c>
      <c r="H61" t="s">
        <v>755</v>
      </c>
      <c r="I61" t="s">
        <v>770</v>
      </c>
      <c r="J61">
        <v>0</v>
      </c>
      <c r="K61" s="143">
        <v>46160</v>
      </c>
      <c r="L61" s="143">
        <v>46035</v>
      </c>
      <c r="M61">
        <v>12025</v>
      </c>
      <c r="N61" t="s">
        <v>771</v>
      </c>
      <c r="O61">
        <v>2001</v>
      </c>
      <c r="S61">
        <v>2.00159000343032E+17</v>
      </c>
      <c r="T61" t="s">
        <v>772</v>
      </c>
    </row>
    <row r="62" spans="1:20" x14ac:dyDescent="0.25">
      <c r="A62">
        <v>5100227644</v>
      </c>
      <c r="B62">
        <v>11361</v>
      </c>
      <c r="C62" t="s">
        <v>768</v>
      </c>
      <c r="D62" s="143">
        <v>46035</v>
      </c>
      <c r="E62" s="55">
        <v>402587.27</v>
      </c>
      <c r="F62" t="s">
        <v>769</v>
      </c>
      <c r="G62">
        <v>102143466</v>
      </c>
      <c r="H62" t="s">
        <v>755</v>
      </c>
      <c r="I62" t="s">
        <v>770</v>
      </c>
      <c r="J62">
        <v>0</v>
      </c>
      <c r="K62" s="143">
        <v>46160</v>
      </c>
      <c r="L62" s="143">
        <v>46035</v>
      </c>
      <c r="M62">
        <v>22025</v>
      </c>
      <c r="N62" t="s">
        <v>771</v>
      </c>
      <c r="O62">
        <v>2001</v>
      </c>
      <c r="S62">
        <v>2.00159000343032E+17</v>
      </c>
      <c r="T62" t="s">
        <v>772</v>
      </c>
    </row>
    <row r="63" spans="1:20" x14ac:dyDescent="0.25">
      <c r="A63">
        <v>5100227645</v>
      </c>
      <c r="B63">
        <v>11361</v>
      </c>
      <c r="C63" t="s">
        <v>768</v>
      </c>
      <c r="D63" s="143">
        <v>46035</v>
      </c>
      <c r="E63" s="55">
        <v>70498.070000000007</v>
      </c>
      <c r="F63" t="s">
        <v>769</v>
      </c>
      <c r="G63">
        <v>102143466</v>
      </c>
      <c r="H63" t="s">
        <v>755</v>
      </c>
      <c r="I63" t="s">
        <v>770</v>
      </c>
      <c r="J63">
        <v>0</v>
      </c>
      <c r="K63" s="143">
        <v>46160</v>
      </c>
      <c r="L63" s="143">
        <v>46035</v>
      </c>
      <c r="M63">
        <v>32025</v>
      </c>
      <c r="N63" t="s">
        <v>771</v>
      </c>
      <c r="O63">
        <v>2001</v>
      </c>
      <c r="S63">
        <v>2.00159000343032E+17</v>
      </c>
      <c r="T63" t="s">
        <v>772</v>
      </c>
    </row>
    <row r="64" spans="1:20" x14ac:dyDescent="0.25">
      <c r="A64">
        <v>5100227646</v>
      </c>
      <c r="B64">
        <v>11361</v>
      </c>
      <c r="C64" t="s">
        <v>768</v>
      </c>
      <c r="D64" s="143">
        <v>46035</v>
      </c>
      <c r="E64" s="55">
        <v>5697.97</v>
      </c>
      <c r="F64" t="s">
        <v>769</v>
      </c>
      <c r="G64">
        <v>102143466</v>
      </c>
      <c r="H64" t="s">
        <v>755</v>
      </c>
      <c r="I64" t="s">
        <v>770</v>
      </c>
      <c r="J64">
        <v>0</v>
      </c>
      <c r="K64" s="143">
        <v>46160</v>
      </c>
      <c r="L64" s="143">
        <v>46035</v>
      </c>
      <c r="M64">
        <v>42025</v>
      </c>
      <c r="N64" t="s">
        <v>771</v>
      </c>
      <c r="O64">
        <v>2001</v>
      </c>
      <c r="S64">
        <v>2.00159000343032E+17</v>
      </c>
      <c r="T64" t="s">
        <v>772</v>
      </c>
    </row>
    <row r="65" spans="1:20" x14ac:dyDescent="0.25">
      <c r="A65">
        <v>5100227647</v>
      </c>
      <c r="B65">
        <v>11361</v>
      </c>
      <c r="C65" t="s">
        <v>768</v>
      </c>
      <c r="D65" s="143">
        <v>46035</v>
      </c>
      <c r="E65" s="55">
        <v>207729.38</v>
      </c>
      <c r="F65" t="s">
        <v>769</v>
      </c>
      <c r="G65">
        <v>102143466</v>
      </c>
      <c r="H65" t="s">
        <v>755</v>
      </c>
      <c r="I65" t="s">
        <v>770</v>
      </c>
      <c r="J65">
        <v>0</v>
      </c>
      <c r="K65" s="143">
        <v>46160</v>
      </c>
      <c r="L65" s="143">
        <v>46035</v>
      </c>
      <c r="M65">
        <v>52025</v>
      </c>
      <c r="N65" t="s">
        <v>771</v>
      </c>
      <c r="O65">
        <v>2001</v>
      </c>
      <c r="S65">
        <v>2.00159000343032E+17</v>
      </c>
      <c r="T65" t="s">
        <v>772</v>
      </c>
    </row>
    <row r="66" spans="1:20" x14ac:dyDescent="0.25">
      <c r="A66">
        <v>5100227648</v>
      </c>
      <c r="B66">
        <v>11361</v>
      </c>
      <c r="C66" t="s">
        <v>768</v>
      </c>
      <c r="D66" s="143">
        <v>46035</v>
      </c>
      <c r="E66" s="55">
        <v>125887.62</v>
      </c>
      <c r="F66" t="s">
        <v>769</v>
      </c>
      <c r="G66">
        <v>102143466</v>
      </c>
      <c r="H66" t="s">
        <v>755</v>
      </c>
      <c r="I66" t="s">
        <v>770</v>
      </c>
      <c r="J66">
        <v>0</v>
      </c>
      <c r="K66" s="143">
        <v>46160</v>
      </c>
      <c r="L66" s="143">
        <v>46035</v>
      </c>
      <c r="M66">
        <v>62025</v>
      </c>
      <c r="N66" t="s">
        <v>771</v>
      </c>
      <c r="O66">
        <v>2001</v>
      </c>
      <c r="S66">
        <v>2.00159000343032E+17</v>
      </c>
      <c r="T66" t="s">
        <v>772</v>
      </c>
    </row>
    <row r="67" spans="1:20" x14ac:dyDescent="0.25">
      <c r="A67">
        <v>5100227649</v>
      </c>
      <c r="B67">
        <v>11361</v>
      </c>
      <c r="C67" t="s">
        <v>768</v>
      </c>
      <c r="D67" s="143">
        <v>46035</v>
      </c>
      <c r="E67" s="55">
        <v>19443.759999999998</v>
      </c>
      <c r="F67" t="s">
        <v>769</v>
      </c>
      <c r="G67">
        <v>102143466</v>
      </c>
      <c r="H67" t="s">
        <v>755</v>
      </c>
      <c r="I67" t="s">
        <v>770</v>
      </c>
      <c r="J67">
        <v>0</v>
      </c>
      <c r="K67" s="143">
        <v>46160</v>
      </c>
      <c r="L67" s="143">
        <v>46035</v>
      </c>
      <c r="M67">
        <v>72025</v>
      </c>
      <c r="N67" t="s">
        <v>771</v>
      </c>
      <c r="O67">
        <v>2001</v>
      </c>
      <c r="S67">
        <v>2.00159000343032E+17</v>
      </c>
      <c r="T67" t="s">
        <v>772</v>
      </c>
    </row>
    <row r="68" spans="1:20" x14ac:dyDescent="0.25">
      <c r="A68">
        <v>5100227650</v>
      </c>
      <c r="B68">
        <v>11361</v>
      </c>
      <c r="C68" t="s">
        <v>768</v>
      </c>
      <c r="D68" s="143">
        <v>46035</v>
      </c>
      <c r="E68" s="55">
        <v>16231.61</v>
      </c>
      <c r="F68" t="s">
        <v>769</v>
      </c>
      <c r="G68">
        <v>102143466</v>
      </c>
      <c r="H68" t="s">
        <v>755</v>
      </c>
      <c r="I68" t="s">
        <v>770</v>
      </c>
      <c r="J68">
        <v>0</v>
      </c>
      <c r="K68" s="143">
        <v>46160</v>
      </c>
      <c r="L68" s="143">
        <v>46035</v>
      </c>
      <c r="M68">
        <v>92025</v>
      </c>
      <c r="N68" t="s">
        <v>771</v>
      </c>
      <c r="O68">
        <v>2001</v>
      </c>
      <c r="S68">
        <v>2.00159000343032E+17</v>
      </c>
      <c r="T68" t="s">
        <v>772</v>
      </c>
    </row>
    <row r="69" spans="1:20" x14ac:dyDescent="0.25">
      <c r="A69">
        <v>5100034807</v>
      </c>
      <c r="B69">
        <v>12480</v>
      </c>
      <c r="C69" t="s">
        <v>768</v>
      </c>
      <c r="D69" s="143">
        <v>46035</v>
      </c>
      <c r="E69" s="55">
        <v>159292.85999999999</v>
      </c>
      <c r="F69" t="s">
        <v>769</v>
      </c>
      <c r="G69">
        <v>5100052903</v>
      </c>
      <c r="H69" t="s">
        <v>755</v>
      </c>
      <c r="I69" t="s">
        <v>770</v>
      </c>
      <c r="J69">
        <v>8</v>
      </c>
      <c r="K69" s="143">
        <v>46035</v>
      </c>
      <c r="L69" s="143">
        <v>46035</v>
      </c>
      <c r="M69">
        <v>62025</v>
      </c>
      <c r="N69">
        <v>0</v>
      </c>
      <c r="O69">
        <v>2001</v>
      </c>
      <c r="S69">
        <v>0</v>
      </c>
      <c r="T69" t="s">
        <v>772</v>
      </c>
    </row>
    <row r="70" spans="1:20" x14ac:dyDescent="0.25">
      <c r="A70">
        <v>5100052903</v>
      </c>
      <c r="B70">
        <v>12480</v>
      </c>
      <c r="C70" t="s">
        <v>768</v>
      </c>
      <c r="D70" s="143">
        <v>46035</v>
      </c>
      <c r="E70" s="55">
        <v>-159292.85999999999</v>
      </c>
      <c r="F70" t="s">
        <v>769</v>
      </c>
      <c r="G70">
        <v>5100052903</v>
      </c>
      <c r="H70" t="s">
        <v>755</v>
      </c>
      <c r="I70" t="s">
        <v>770</v>
      </c>
      <c r="J70">
        <v>8</v>
      </c>
      <c r="K70" s="143">
        <v>46035</v>
      </c>
      <c r="L70" s="143">
        <v>46035</v>
      </c>
      <c r="M70">
        <v>62025</v>
      </c>
      <c r="N70">
        <v>0</v>
      </c>
      <c r="O70">
        <v>2001</v>
      </c>
      <c r="S70">
        <v>0</v>
      </c>
      <c r="T70">
        <v>900505604</v>
      </c>
    </row>
    <row r="71" spans="1:20" x14ac:dyDescent="0.25">
      <c r="A71">
        <v>5100052904</v>
      </c>
      <c r="B71">
        <v>12995</v>
      </c>
      <c r="C71" t="s">
        <v>768</v>
      </c>
      <c r="D71" s="143">
        <v>46035</v>
      </c>
      <c r="E71" s="55">
        <v>-6301.55</v>
      </c>
      <c r="F71" t="s">
        <v>769</v>
      </c>
      <c r="G71">
        <v>5100052904</v>
      </c>
      <c r="H71" t="s">
        <v>755</v>
      </c>
      <c r="I71" t="s">
        <v>770</v>
      </c>
      <c r="J71">
        <v>8</v>
      </c>
      <c r="K71" s="143">
        <v>46035</v>
      </c>
      <c r="L71" s="143">
        <v>46035</v>
      </c>
      <c r="M71">
        <v>72025</v>
      </c>
      <c r="N71">
        <v>0</v>
      </c>
      <c r="O71">
        <v>2001</v>
      </c>
      <c r="S71">
        <v>0</v>
      </c>
      <c r="T71">
        <v>900505604</v>
      </c>
    </row>
    <row r="72" spans="1:20" x14ac:dyDescent="0.25">
      <c r="A72">
        <v>5100281706</v>
      </c>
      <c r="B72">
        <v>12995</v>
      </c>
      <c r="C72" t="s">
        <v>768</v>
      </c>
      <c r="D72" s="143">
        <v>46035</v>
      </c>
      <c r="E72" s="55">
        <v>6301.55</v>
      </c>
      <c r="F72" t="s">
        <v>769</v>
      </c>
      <c r="G72">
        <v>5100052904</v>
      </c>
      <c r="H72" t="s">
        <v>755</v>
      </c>
      <c r="I72" t="s">
        <v>770</v>
      </c>
      <c r="J72">
        <v>8</v>
      </c>
      <c r="K72" s="143">
        <v>46035</v>
      </c>
      <c r="L72" s="143">
        <v>46035</v>
      </c>
      <c r="M72">
        <v>72025</v>
      </c>
      <c r="N72">
        <v>0</v>
      </c>
      <c r="O72">
        <v>2001</v>
      </c>
      <c r="S72">
        <v>0</v>
      </c>
      <c r="T72" t="s">
        <v>772</v>
      </c>
    </row>
    <row r="73" spans="1:20" x14ac:dyDescent="0.25">
      <c r="A73">
        <v>5100421544</v>
      </c>
      <c r="B73">
        <v>13642</v>
      </c>
      <c r="C73" t="s">
        <v>768</v>
      </c>
      <c r="D73" s="143">
        <v>46035</v>
      </c>
      <c r="E73" s="55">
        <v>109469.5</v>
      </c>
      <c r="F73" t="s">
        <v>769</v>
      </c>
      <c r="G73">
        <v>102043510</v>
      </c>
      <c r="H73" t="s">
        <v>755</v>
      </c>
      <c r="I73" t="s">
        <v>770</v>
      </c>
      <c r="J73">
        <v>0</v>
      </c>
      <c r="K73" s="143">
        <v>46153</v>
      </c>
      <c r="L73" s="143">
        <v>46035</v>
      </c>
      <c r="M73">
        <v>12025</v>
      </c>
      <c r="N73" t="s">
        <v>771</v>
      </c>
      <c r="O73">
        <v>2001</v>
      </c>
      <c r="S73">
        <v>2.00159000331012E+17</v>
      </c>
      <c r="T73" t="s">
        <v>772</v>
      </c>
    </row>
    <row r="74" spans="1:20" x14ac:dyDescent="0.25">
      <c r="A74">
        <v>5100421545</v>
      </c>
      <c r="B74">
        <v>13642</v>
      </c>
      <c r="C74" t="s">
        <v>768</v>
      </c>
      <c r="D74" s="143">
        <v>46035</v>
      </c>
      <c r="E74" s="55">
        <v>216820.97</v>
      </c>
      <c r="F74" t="s">
        <v>769</v>
      </c>
      <c r="G74">
        <v>102043510</v>
      </c>
      <c r="H74" t="s">
        <v>755</v>
      </c>
      <c r="I74" t="s">
        <v>770</v>
      </c>
      <c r="J74">
        <v>0</v>
      </c>
      <c r="K74" s="143">
        <v>46153</v>
      </c>
      <c r="L74" s="143">
        <v>46035</v>
      </c>
      <c r="M74">
        <v>22025</v>
      </c>
      <c r="N74" t="s">
        <v>771</v>
      </c>
      <c r="O74">
        <v>2001</v>
      </c>
      <c r="S74">
        <v>2.00159000331012E+17</v>
      </c>
      <c r="T74" t="s">
        <v>772</v>
      </c>
    </row>
    <row r="75" spans="1:20" x14ac:dyDescent="0.25">
      <c r="A75">
        <v>5100421546</v>
      </c>
      <c r="B75">
        <v>13642</v>
      </c>
      <c r="C75" t="s">
        <v>768</v>
      </c>
      <c r="D75" s="143">
        <v>46035</v>
      </c>
      <c r="E75" s="55">
        <v>6437.05</v>
      </c>
      <c r="F75" t="s">
        <v>769</v>
      </c>
      <c r="G75">
        <v>102043510</v>
      </c>
      <c r="H75" t="s">
        <v>755</v>
      </c>
      <c r="I75" t="s">
        <v>770</v>
      </c>
      <c r="J75">
        <v>0</v>
      </c>
      <c r="K75" s="143">
        <v>46153</v>
      </c>
      <c r="L75" s="143">
        <v>46035</v>
      </c>
      <c r="M75">
        <v>32025</v>
      </c>
      <c r="N75" t="s">
        <v>771</v>
      </c>
      <c r="O75">
        <v>2001</v>
      </c>
      <c r="S75">
        <v>2.00159000331012E+17</v>
      </c>
      <c r="T75" t="s">
        <v>772</v>
      </c>
    </row>
    <row r="76" spans="1:20" x14ac:dyDescent="0.25">
      <c r="A76">
        <v>5100421547</v>
      </c>
      <c r="B76">
        <v>13642</v>
      </c>
      <c r="C76" t="s">
        <v>768</v>
      </c>
      <c r="D76" s="143">
        <v>46035</v>
      </c>
      <c r="E76" s="55">
        <v>8181.49</v>
      </c>
      <c r="F76" t="s">
        <v>769</v>
      </c>
      <c r="G76">
        <v>102043510</v>
      </c>
      <c r="H76" t="s">
        <v>755</v>
      </c>
      <c r="I76" t="s">
        <v>770</v>
      </c>
      <c r="J76">
        <v>0</v>
      </c>
      <c r="K76" s="143">
        <v>46153</v>
      </c>
      <c r="L76" s="143">
        <v>46035</v>
      </c>
      <c r="M76">
        <v>42025</v>
      </c>
      <c r="N76" t="s">
        <v>771</v>
      </c>
      <c r="O76">
        <v>2001</v>
      </c>
      <c r="S76">
        <v>2.00159000331012E+17</v>
      </c>
      <c r="T76" t="s">
        <v>772</v>
      </c>
    </row>
    <row r="77" spans="1:20" x14ac:dyDescent="0.25">
      <c r="A77">
        <v>5100421548</v>
      </c>
      <c r="B77">
        <v>13642</v>
      </c>
      <c r="C77" t="s">
        <v>768</v>
      </c>
      <c r="D77" s="143">
        <v>46035</v>
      </c>
      <c r="E77" s="55">
        <v>112062.37</v>
      </c>
      <c r="F77" t="s">
        <v>769</v>
      </c>
      <c r="G77">
        <v>102043510</v>
      </c>
      <c r="H77" t="s">
        <v>755</v>
      </c>
      <c r="I77" t="s">
        <v>770</v>
      </c>
      <c r="J77">
        <v>0</v>
      </c>
      <c r="K77" s="143">
        <v>46153</v>
      </c>
      <c r="L77" s="143">
        <v>46035</v>
      </c>
      <c r="M77">
        <v>52025</v>
      </c>
      <c r="N77" t="s">
        <v>771</v>
      </c>
      <c r="O77">
        <v>2001</v>
      </c>
      <c r="S77">
        <v>2.00159000331012E+17</v>
      </c>
      <c r="T77" t="s">
        <v>772</v>
      </c>
    </row>
    <row r="78" spans="1:20" x14ac:dyDescent="0.25">
      <c r="A78">
        <v>5100421549</v>
      </c>
      <c r="B78">
        <v>13642</v>
      </c>
      <c r="C78" t="s">
        <v>768</v>
      </c>
      <c r="D78" s="143">
        <v>46035</v>
      </c>
      <c r="E78" s="55">
        <v>192105.93</v>
      </c>
      <c r="F78" t="s">
        <v>769</v>
      </c>
      <c r="G78">
        <v>102043510</v>
      </c>
      <c r="H78" t="s">
        <v>755</v>
      </c>
      <c r="I78" t="s">
        <v>770</v>
      </c>
      <c r="J78">
        <v>0</v>
      </c>
      <c r="K78" s="143">
        <v>46153</v>
      </c>
      <c r="L78" s="143">
        <v>46035</v>
      </c>
      <c r="M78">
        <v>62025</v>
      </c>
      <c r="N78" t="s">
        <v>771</v>
      </c>
      <c r="O78">
        <v>2001</v>
      </c>
      <c r="S78">
        <v>2.00159000331012E+17</v>
      </c>
      <c r="T78" t="s">
        <v>772</v>
      </c>
    </row>
    <row r="79" spans="1:20" x14ac:dyDescent="0.25">
      <c r="A79">
        <v>5100421575</v>
      </c>
      <c r="B79">
        <v>13860</v>
      </c>
      <c r="C79" t="s">
        <v>768</v>
      </c>
      <c r="D79" s="143">
        <v>46035</v>
      </c>
      <c r="E79" s="55">
        <v>290860.78000000003</v>
      </c>
      <c r="F79" t="s">
        <v>769</v>
      </c>
      <c r="G79">
        <v>1500061114</v>
      </c>
      <c r="H79" t="s">
        <v>755</v>
      </c>
      <c r="I79" t="s">
        <v>770</v>
      </c>
      <c r="K79" s="143">
        <v>46098</v>
      </c>
      <c r="L79" s="143">
        <v>46035</v>
      </c>
      <c r="M79">
        <v>32025</v>
      </c>
      <c r="N79" t="s">
        <v>771</v>
      </c>
      <c r="O79">
        <v>2001</v>
      </c>
      <c r="S79" t="s">
        <v>778</v>
      </c>
      <c r="T79" t="s">
        <v>772</v>
      </c>
    </row>
    <row r="80" spans="1:20" x14ac:dyDescent="0.25">
      <c r="A80">
        <v>5100421576</v>
      </c>
      <c r="B80">
        <v>13860</v>
      </c>
      <c r="C80" t="s">
        <v>768</v>
      </c>
      <c r="D80" s="143">
        <v>46035</v>
      </c>
      <c r="E80" s="55">
        <v>3043.35</v>
      </c>
      <c r="F80" t="s">
        <v>769</v>
      </c>
      <c r="G80">
        <v>1500061114</v>
      </c>
      <c r="H80" t="s">
        <v>755</v>
      </c>
      <c r="I80" t="s">
        <v>770</v>
      </c>
      <c r="K80" s="143">
        <v>46098</v>
      </c>
      <c r="L80" s="143">
        <v>46035</v>
      </c>
      <c r="M80">
        <v>32025</v>
      </c>
      <c r="N80" t="s">
        <v>771</v>
      </c>
      <c r="O80">
        <v>2001</v>
      </c>
      <c r="S80" t="s">
        <v>778</v>
      </c>
      <c r="T80" t="s">
        <v>772</v>
      </c>
    </row>
    <row r="81" spans="1:20" x14ac:dyDescent="0.25">
      <c r="A81">
        <v>5100421577</v>
      </c>
      <c r="B81">
        <v>13860</v>
      </c>
      <c r="C81" t="s">
        <v>768</v>
      </c>
      <c r="D81" s="143">
        <v>46035</v>
      </c>
      <c r="E81" s="55">
        <v>162596.35999999999</v>
      </c>
      <c r="F81" t="s">
        <v>769</v>
      </c>
      <c r="G81">
        <v>1500061114</v>
      </c>
      <c r="H81" t="s">
        <v>755</v>
      </c>
      <c r="I81" t="s">
        <v>770</v>
      </c>
      <c r="K81" s="143">
        <v>46098</v>
      </c>
      <c r="L81" s="143">
        <v>46035</v>
      </c>
      <c r="M81">
        <v>42025</v>
      </c>
      <c r="N81" t="s">
        <v>771</v>
      </c>
      <c r="O81">
        <v>2001</v>
      </c>
      <c r="S81" t="s">
        <v>778</v>
      </c>
      <c r="T81" t="s">
        <v>772</v>
      </c>
    </row>
    <row r="82" spans="1:20" x14ac:dyDescent="0.25">
      <c r="A82">
        <v>5100421578</v>
      </c>
      <c r="B82">
        <v>13860</v>
      </c>
      <c r="C82" t="s">
        <v>768</v>
      </c>
      <c r="D82" s="143">
        <v>46035</v>
      </c>
      <c r="E82" s="55">
        <v>34570.639999999999</v>
      </c>
      <c r="F82" t="s">
        <v>769</v>
      </c>
      <c r="G82">
        <v>1500061114</v>
      </c>
      <c r="H82" t="s">
        <v>755</v>
      </c>
      <c r="I82" t="s">
        <v>770</v>
      </c>
      <c r="K82" s="143">
        <v>46098</v>
      </c>
      <c r="L82" s="143">
        <v>46035</v>
      </c>
      <c r="M82">
        <v>92025</v>
      </c>
      <c r="N82" t="s">
        <v>771</v>
      </c>
      <c r="O82">
        <v>2001</v>
      </c>
      <c r="S82" t="s">
        <v>778</v>
      </c>
      <c r="T82" t="s">
        <v>772</v>
      </c>
    </row>
    <row r="83" spans="1:20" x14ac:dyDescent="0.25">
      <c r="A83">
        <v>5100421579</v>
      </c>
      <c r="B83">
        <v>13860</v>
      </c>
      <c r="C83" t="s">
        <v>768</v>
      </c>
      <c r="D83" s="143">
        <v>46035</v>
      </c>
      <c r="E83" s="55">
        <v>194585.23</v>
      </c>
      <c r="F83" t="s">
        <v>769</v>
      </c>
      <c r="G83">
        <v>1500061114</v>
      </c>
      <c r="H83" t="s">
        <v>755</v>
      </c>
      <c r="I83" t="s">
        <v>770</v>
      </c>
      <c r="K83" s="143">
        <v>46098</v>
      </c>
      <c r="L83" s="143">
        <v>46035</v>
      </c>
      <c r="M83">
        <v>102025</v>
      </c>
      <c r="N83" t="s">
        <v>771</v>
      </c>
      <c r="O83">
        <v>2001</v>
      </c>
      <c r="S83" t="s">
        <v>778</v>
      </c>
      <c r="T83" t="s">
        <v>772</v>
      </c>
    </row>
    <row r="84" spans="1:20" x14ac:dyDescent="0.25">
      <c r="A84">
        <v>5100254307</v>
      </c>
      <c r="B84">
        <v>13860</v>
      </c>
      <c r="C84" t="s">
        <v>768</v>
      </c>
      <c r="D84" s="143">
        <v>46035</v>
      </c>
      <c r="E84" s="55">
        <v>-290860.78000000003</v>
      </c>
      <c r="F84" t="s">
        <v>769</v>
      </c>
      <c r="G84">
        <v>5100254307</v>
      </c>
      <c r="H84" t="s">
        <v>755</v>
      </c>
      <c r="I84" t="s">
        <v>770</v>
      </c>
      <c r="J84">
        <v>8</v>
      </c>
      <c r="K84" s="143">
        <v>46035</v>
      </c>
      <c r="L84" s="143">
        <v>46035</v>
      </c>
      <c r="M84">
        <v>32025</v>
      </c>
      <c r="N84">
        <v>0</v>
      </c>
      <c r="O84">
        <v>2001</v>
      </c>
      <c r="S84">
        <v>0</v>
      </c>
      <c r="T84">
        <v>900505604</v>
      </c>
    </row>
    <row r="85" spans="1:20" x14ac:dyDescent="0.25">
      <c r="A85">
        <v>5100281707</v>
      </c>
      <c r="B85">
        <v>13860</v>
      </c>
      <c r="C85" t="s">
        <v>768</v>
      </c>
      <c r="D85" s="143">
        <v>46035</v>
      </c>
      <c r="E85" s="55">
        <v>290860.78000000003</v>
      </c>
      <c r="F85" t="s">
        <v>769</v>
      </c>
      <c r="G85">
        <v>5100254307</v>
      </c>
      <c r="H85" t="s">
        <v>755</v>
      </c>
      <c r="I85" t="s">
        <v>770</v>
      </c>
      <c r="J85">
        <v>8</v>
      </c>
      <c r="K85" s="143">
        <v>46035</v>
      </c>
      <c r="L85" s="143">
        <v>46035</v>
      </c>
      <c r="M85">
        <v>32025</v>
      </c>
      <c r="N85">
        <v>0</v>
      </c>
      <c r="O85">
        <v>2001</v>
      </c>
      <c r="S85">
        <v>0</v>
      </c>
      <c r="T85" t="s">
        <v>772</v>
      </c>
    </row>
    <row r="86" spans="1:20" x14ac:dyDescent="0.25">
      <c r="A86">
        <v>5100254308</v>
      </c>
      <c r="B86">
        <v>13860</v>
      </c>
      <c r="C86" t="s">
        <v>768</v>
      </c>
      <c r="D86" s="143">
        <v>46035</v>
      </c>
      <c r="E86" s="55">
        <v>-162596.35999999999</v>
      </c>
      <c r="F86" t="s">
        <v>769</v>
      </c>
      <c r="G86">
        <v>5100254308</v>
      </c>
      <c r="H86" t="s">
        <v>755</v>
      </c>
      <c r="I86" t="s">
        <v>770</v>
      </c>
      <c r="J86">
        <v>8</v>
      </c>
      <c r="K86" s="143">
        <v>46035</v>
      </c>
      <c r="L86" s="143">
        <v>46035</v>
      </c>
      <c r="M86">
        <v>42025</v>
      </c>
      <c r="N86">
        <v>0</v>
      </c>
      <c r="O86">
        <v>2001</v>
      </c>
      <c r="S86">
        <v>0</v>
      </c>
      <c r="T86">
        <v>900505604</v>
      </c>
    </row>
    <row r="87" spans="1:20" x14ac:dyDescent="0.25">
      <c r="A87">
        <v>5100281708</v>
      </c>
      <c r="B87">
        <v>13860</v>
      </c>
      <c r="C87" t="s">
        <v>768</v>
      </c>
      <c r="D87" s="143">
        <v>46035</v>
      </c>
      <c r="E87" s="55">
        <v>162596.35999999999</v>
      </c>
      <c r="F87" t="s">
        <v>769</v>
      </c>
      <c r="G87">
        <v>5100254308</v>
      </c>
      <c r="H87" t="s">
        <v>755</v>
      </c>
      <c r="I87" t="s">
        <v>770</v>
      </c>
      <c r="J87">
        <v>8</v>
      </c>
      <c r="K87" s="143">
        <v>46035</v>
      </c>
      <c r="L87" s="143">
        <v>46035</v>
      </c>
      <c r="M87">
        <v>42025</v>
      </c>
      <c r="N87">
        <v>0</v>
      </c>
      <c r="O87">
        <v>2001</v>
      </c>
      <c r="S87">
        <v>0</v>
      </c>
      <c r="T87" t="s">
        <v>772</v>
      </c>
    </row>
    <row r="88" spans="1:20" x14ac:dyDescent="0.25">
      <c r="A88">
        <v>5100254309</v>
      </c>
      <c r="B88">
        <v>13860</v>
      </c>
      <c r="C88" t="s">
        <v>768</v>
      </c>
      <c r="D88" s="143">
        <v>46035</v>
      </c>
      <c r="E88" s="55">
        <v>-34570.639999999999</v>
      </c>
      <c r="F88" t="s">
        <v>769</v>
      </c>
      <c r="G88">
        <v>5100254309</v>
      </c>
      <c r="H88" t="s">
        <v>755</v>
      </c>
      <c r="I88" t="s">
        <v>770</v>
      </c>
      <c r="J88">
        <v>8</v>
      </c>
      <c r="K88" s="143">
        <v>46035</v>
      </c>
      <c r="L88" s="143">
        <v>46035</v>
      </c>
      <c r="M88">
        <v>92025</v>
      </c>
      <c r="N88">
        <v>0</v>
      </c>
      <c r="O88">
        <v>2001</v>
      </c>
      <c r="S88">
        <v>0</v>
      </c>
      <c r="T88">
        <v>900505604</v>
      </c>
    </row>
    <row r="89" spans="1:20" x14ac:dyDescent="0.25">
      <c r="A89">
        <v>5100281709</v>
      </c>
      <c r="B89">
        <v>13860</v>
      </c>
      <c r="C89" t="s">
        <v>768</v>
      </c>
      <c r="D89" s="143">
        <v>46035</v>
      </c>
      <c r="E89" s="55">
        <v>34570.639999999999</v>
      </c>
      <c r="F89" t="s">
        <v>769</v>
      </c>
      <c r="G89">
        <v>5100254309</v>
      </c>
      <c r="H89" t="s">
        <v>755</v>
      </c>
      <c r="I89" t="s">
        <v>770</v>
      </c>
      <c r="J89">
        <v>8</v>
      </c>
      <c r="K89" s="143">
        <v>46035</v>
      </c>
      <c r="L89" s="143">
        <v>46035</v>
      </c>
      <c r="M89">
        <v>92025</v>
      </c>
      <c r="N89">
        <v>0</v>
      </c>
      <c r="O89">
        <v>2001</v>
      </c>
      <c r="S89">
        <v>0</v>
      </c>
      <c r="T89" t="s">
        <v>772</v>
      </c>
    </row>
    <row r="90" spans="1:20" x14ac:dyDescent="0.25">
      <c r="A90">
        <v>5100254310</v>
      </c>
      <c r="B90">
        <v>13860</v>
      </c>
      <c r="C90" t="s">
        <v>768</v>
      </c>
      <c r="D90" s="143">
        <v>46035</v>
      </c>
      <c r="E90" s="55">
        <v>-194585.23</v>
      </c>
      <c r="F90" t="s">
        <v>769</v>
      </c>
      <c r="G90">
        <v>5100254310</v>
      </c>
      <c r="H90" t="s">
        <v>755</v>
      </c>
      <c r="I90" t="s">
        <v>770</v>
      </c>
      <c r="J90">
        <v>8</v>
      </c>
      <c r="K90" s="143">
        <v>46035</v>
      </c>
      <c r="L90" s="143">
        <v>46035</v>
      </c>
      <c r="M90">
        <v>102025</v>
      </c>
      <c r="N90">
        <v>0</v>
      </c>
      <c r="O90">
        <v>2001</v>
      </c>
      <c r="S90">
        <v>0</v>
      </c>
      <c r="T90">
        <v>900505604</v>
      </c>
    </row>
    <row r="91" spans="1:20" x14ac:dyDescent="0.25">
      <c r="A91">
        <v>5100281710</v>
      </c>
      <c r="B91">
        <v>13860</v>
      </c>
      <c r="C91" t="s">
        <v>768</v>
      </c>
      <c r="D91" s="143">
        <v>46035</v>
      </c>
      <c r="E91" s="55">
        <v>194585.23</v>
      </c>
      <c r="F91" t="s">
        <v>769</v>
      </c>
      <c r="G91">
        <v>5100254310</v>
      </c>
      <c r="H91" t="s">
        <v>755</v>
      </c>
      <c r="I91" t="s">
        <v>770</v>
      </c>
      <c r="J91">
        <v>8</v>
      </c>
      <c r="K91" s="143">
        <v>46035</v>
      </c>
      <c r="L91" s="143">
        <v>46035</v>
      </c>
      <c r="M91">
        <v>102025</v>
      </c>
      <c r="N91">
        <v>0</v>
      </c>
      <c r="O91">
        <v>2001</v>
      </c>
      <c r="S91">
        <v>0</v>
      </c>
      <c r="T91" t="s">
        <v>772</v>
      </c>
    </row>
    <row r="92" spans="1:20" x14ac:dyDescent="0.25">
      <c r="A92">
        <v>5100395307</v>
      </c>
      <c r="B92">
        <v>16747</v>
      </c>
      <c r="C92" t="s">
        <v>768</v>
      </c>
      <c r="D92" s="143">
        <v>46035</v>
      </c>
      <c r="E92" s="55">
        <v>707358.82</v>
      </c>
      <c r="F92" t="s">
        <v>769</v>
      </c>
      <c r="G92">
        <v>5100420504</v>
      </c>
      <c r="H92" t="s">
        <v>755</v>
      </c>
      <c r="I92" t="s">
        <v>770</v>
      </c>
      <c r="J92">
        <v>8</v>
      </c>
      <c r="K92" s="143">
        <v>46035</v>
      </c>
      <c r="L92" s="143">
        <v>46035</v>
      </c>
      <c r="M92">
        <v>52025</v>
      </c>
      <c r="N92">
        <v>0</v>
      </c>
      <c r="O92">
        <v>2001</v>
      </c>
      <c r="S92">
        <v>0</v>
      </c>
      <c r="T92" t="s">
        <v>772</v>
      </c>
    </row>
    <row r="93" spans="1:20" x14ac:dyDescent="0.25">
      <c r="A93">
        <v>5100420504</v>
      </c>
      <c r="B93">
        <v>16747</v>
      </c>
      <c r="C93" t="s">
        <v>768</v>
      </c>
      <c r="D93" s="143">
        <v>46035</v>
      </c>
      <c r="E93" s="55">
        <v>-707358.82</v>
      </c>
      <c r="F93" t="s">
        <v>769</v>
      </c>
      <c r="G93">
        <v>5100420504</v>
      </c>
      <c r="H93" t="s">
        <v>755</v>
      </c>
      <c r="I93" t="s">
        <v>770</v>
      </c>
      <c r="J93">
        <v>8</v>
      </c>
      <c r="K93" s="143">
        <v>46035</v>
      </c>
      <c r="L93" s="143">
        <v>46035</v>
      </c>
      <c r="M93">
        <v>52025</v>
      </c>
      <c r="N93">
        <v>0</v>
      </c>
      <c r="O93">
        <v>2001</v>
      </c>
      <c r="S93">
        <v>0</v>
      </c>
      <c r="T93">
        <v>900505604</v>
      </c>
    </row>
    <row r="94" spans="1:20" x14ac:dyDescent="0.25">
      <c r="A94">
        <v>5100395308</v>
      </c>
      <c r="B94">
        <v>16747</v>
      </c>
      <c r="C94" t="s">
        <v>768</v>
      </c>
      <c r="D94" s="143">
        <v>46035</v>
      </c>
      <c r="E94" s="55">
        <v>55646.14</v>
      </c>
      <c r="F94" t="s">
        <v>769</v>
      </c>
      <c r="G94">
        <v>5100420505</v>
      </c>
      <c r="H94" t="s">
        <v>755</v>
      </c>
      <c r="I94" t="s">
        <v>770</v>
      </c>
      <c r="J94">
        <v>8</v>
      </c>
      <c r="K94" s="143">
        <v>46035</v>
      </c>
      <c r="L94" s="143">
        <v>46035</v>
      </c>
      <c r="M94">
        <v>62025</v>
      </c>
      <c r="N94">
        <v>0</v>
      </c>
      <c r="O94">
        <v>2001</v>
      </c>
      <c r="S94">
        <v>0</v>
      </c>
      <c r="T94" t="s">
        <v>772</v>
      </c>
    </row>
    <row r="95" spans="1:20" x14ac:dyDescent="0.25">
      <c r="A95">
        <v>5100420505</v>
      </c>
      <c r="B95">
        <v>16747</v>
      </c>
      <c r="C95" t="s">
        <v>768</v>
      </c>
      <c r="D95" s="143">
        <v>46035</v>
      </c>
      <c r="E95" s="55">
        <v>-55646.14</v>
      </c>
      <c r="F95" t="s">
        <v>769</v>
      </c>
      <c r="G95">
        <v>5100420505</v>
      </c>
      <c r="H95" t="s">
        <v>755</v>
      </c>
      <c r="I95" t="s">
        <v>770</v>
      </c>
      <c r="J95">
        <v>8</v>
      </c>
      <c r="K95" s="143">
        <v>46035</v>
      </c>
      <c r="L95" s="143">
        <v>46035</v>
      </c>
      <c r="M95">
        <v>62025</v>
      </c>
      <c r="N95">
        <v>0</v>
      </c>
      <c r="O95">
        <v>2001</v>
      </c>
      <c r="S95">
        <v>0</v>
      </c>
      <c r="T95">
        <v>900505604</v>
      </c>
    </row>
    <row r="96" spans="1:20" x14ac:dyDescent="0.25">
      <c r="A96">
        <v>5100421927</v>
      </c>
      <c r="B96">
        <v>21943</v>
      </c>
      <c r="C96" t="s">
        <v>768</v>
      </c>
      <c r="D96" s="143">
        <v>46035</v>
      </c>
      <c r="E96" s="55">
        <v>29816.84</v>
      </c>
      <c r="F96" t="s">
        <v>769</v>
      </c>
      <c r="G96">
        <v>1500098200</v>
      </c>
      <c r="H96" t="s">
        <v>755</v>
      </c>
      <c r="I96" t="s">
        <v>770</v>
      </c>
      <c r="K96" s="143">
        <v>46083</v>
      </c>
      <c r="L96" s="143">
        <v>46035</v>
      </c>
      <c r="M96">
        <v>12025</v>
      </c>
      <c r="N96" t="s">
        <v>779</v>
      </c>
      <c r="O96">
        <v>2001</v>
      </c>
      <c r="S96">
        <v>517727</v>
      </c>
      <c r="T96" t="s">
        <v>772</v>
      </c>
    </row>
    <row r="97" spans="1:20" x14ac:dyDescent="0.25">
      <c r="A97">
        <v>5100421928</v>
      </c>
      <c r="B97">
        <v>21943</v>
      </c>
      <c r="C97" t="s">
        <v>768</v>
      </c>
      <c r="D97" s="143">
        <v>46035</v>
      </c>
      <c r="E97" s="55">
        <v>6509.67</v>
      </c>
      <c r="F97" t="s">
        <v>769</v>
      </c>
      <c r="G97">
        <v>1500098200</v>
      </c>
      <c r="H97" t="s">
        <v>755</v>
      </c>
      <c r="I97" t="s">
        <v>770</v>
      </c>
      <c r="K97" s="143">
        <v>46083</v>
      </c>
      <c r="L97" s="143">
        <v>46035</v>
      </c>
      <c r="M97">
        <v>22025</v>
      </c>
      <c r="N97" t="s">
        <v>779</v>
      </c>
      <c r="O97">
        <v>2001</v>
      </c>
      <c r="S97">
        <v>517727</v>
      </c>
      <c r="T97" t="s">
        <v>772</v>
      </c>
    </row>
    <row r="98" spans="1:20" x14ac:dyDescent="0.25">
      <c r="A98">
        <v>5100421929</v>
      </c>
      <c r="B98">
        <v>21943</v>
      </c>
      <c r="C98" t="s">
        <v>768</v>
      </c>
      <c r="D98" s="143">
        <v>46035</v>
      </c>
      <c r="E98" s="55">
        <v>10061.040000000001</v>
      </c>
      <c r="F98" t="s">
        <v>769</v>
      </c>
      <c r="G98">
        <v>1500098200</v>
      </c>
      <c r="H98" t="s">
        <v>755</v>
      </c>
      <c r="I98" t="s">
        <v>770</v>
      </c>
      <c r="K98" s="143">
        <v>46083</v>
      </c>
      <c r="L98" s="143">
        <v>46035</v>
      </c>
      <c r="M98">
        <v>32025</v>
      </c>
      <c r="N98" t="s">
        <v>779</v>
      </c>
      <c r="O98">
        <v>2001</v>
      </c>
      <c r="S98">
        <v>517727</v>
      </c>
      <c r="T98" t="s">
        <v>772</v>
      </c>
    </row>
    <row r="99" spans="1:20" x14ac:dyDescent="0.25">
      <c r="A99">
        <v>5100421930</v>
      </c>
      <c r="B99">
        <v>21943</v>
      </c>
      <c r="C99" t="s">
        <v>768</v>
      </c>
      <c r="D99" s="143">
        <v>46035</v>
      </c>
      <c r="E99" s="55">
        <v>449173.34</v>
      </c>
      <c r="F99" t="s">
        <v>769</v>
      </c>
      <c r="G99">
        <v>1500098200</v>
      </c>
      <c r="H99" t="s">
        <v>755</v>
      </c>
      <c r="I99" t="s">
        <v>770</v>
      </c>
      <c r="K99" s="143">
        <v>46083</v>
      </c>
      <c r="L99" s="143">
        <v>46035</v>
      </c>
      <c r="M99">
        <v>42025</v>
      </c>
      <c r="N99" t="s">
        <v>779</v>
      </c>
      <c r="O99">
        <v>2001</v>
      </c>
      <c r="S99">
        <v>517727</v>
      </c>
      <c r="T99" t="s">
        <v>772</v>
      </c>
    </row>
    <row r="100" spans="1:20" x14ac:dyDescent="0.25">
      <c r="A100">
        <v>5100421931</v>
      </c>
      <c r="B100">
        <v>21943</v>
      </c>
      <c r="C100" t="s">
        <v>768</v>
      </c>
      <c r="D100" s="143">
        <v>46035</v>
      </c>
      <c r="E100" s="55">
        <v>1284567.48</v>
      </c>
      <c r="F100" t="s">
        <v>769</v>
      </c>
      <c r="G100">
        <v>1500098200</v>
      </c>
      <c r="H100" t="s">
        <v>755</v>
      </c>
      <c r="I100" t="s">
        <v>770</v>
      </c>
      <c r="K100" s="143">
        <v>46083</v>
      </c>
      <c r="L100" s="143">
        <v>46035</v>
      </c>
      <c r="M100">
        <v>52025</v>
      </c>
      <c r="N100" t="s">
        <v>779</v>
      </c>
      <c r="O100">
        <v>2001</v>
      </c>
      <c r="S100">
        <v>517727</v>
      </c>
      <c r="T100" t="s">
        <v>772</v>
      </c>
    </row>
    <row r="101" spans="1:20" x14ac:dyDescent="0.25">
      <c r="A101">
        <v>5100421932</v>
      </c>
      <c r="B101">
        <v>21943</v>
      </c>
      <c r="C101" t="s">
        <v>768</v>
      </c>
      <c r="D101" s="143">
        <v>46035</v>
      </c>
      <c r="E101" s="55">
        <v>468819.82</v>
      </c>
      <c r="F101" t="s">
        <v>769</v>
      </c>
      <c r="G101">
        <v>1500098200</v>
      </c>
      <c r="H101" t="s">
        <v>755</v>
      </c>
      <c r="I101" t="s">
        <v>770</v>
      </c>
      <c r="K101" s="143">
        <v>46083</v>
      </c>
      <c r="L101" s="143">
        <v>46035</v>
      </c>
      <c r="M101">
        <v>62025</v>
      </c>
      <c r="N101" t="s">
        <v>779</v>
      </c>
      <c r="O101">
        <v>2001</v>
      </c>
      <c r="S101">
        <v>517727</v>
      </c>
      <c r="T101" t="s">
        <v>772</v>
      </c>
    </row>
    <row r="102" spans="1:20" x14ac:dyDescent="0.25">
      <c r="A102">
        <v>5100421933</v>
      </c>
      <c r="B102">
        <v>21943</v>
      </c>
      <c r="C102" t="s">
        <v>768</v>
      </c>
      <c r="D102" s="143">
        <v>46035</v>
      </c>
      <c r="E102" s="55">
        <v>161694.65</v>
      </c>
      <c r="F102" t="s">
        <v>769</v>
      </c>
      <c r="G102">
        <v>1500098200</v>
      </c>
      <c r="H102" t="s">
        <v>755</v>
      </c>
      <c r="I102" t="s">
        <v>770</v>
      </c>
      <c r="K102" s="143">
        <v>46083</v>
      </c>
      <c r="L102" s="143">
        <v>46035</v>
      </c>
      <c r="M102">
        <v>72025</v>
      </c>
      <c r="N102" t="s">
        <v>779</v>
      </c>
      <c r="O102">
        <v>2001</v>
      </c>
      <c r="S102">
        <v>517727</v>
      </c>
      <c r="T102" t="s">
        <v>772</v>
      </c>
    </row>
    <row r="103" spans="1:20" x14ac:dyDescent="0.25">
      <c r="A103">
        <v>5100421934</v>
      </c>
      <c r="B103">
        <v>21943</v>
      </c>
      <c r="C103" t="s">
        <v>768</v>
      </c>
      <c r="D103" s="143">
        <v>46035</v>
      </c>
      <c r="E103" s="55">
        <v>1155.8800000000001</v>
      </c>
      <c r="F103" t="s">
        <v>769</v>
      </c>
      <c r="G103">
        <v>1500098200</v>
      </c>
      <c r="H103" t="s">
        <v>755</v>
      </c>
      <c r="I103" t="s">
        <v>770</v>
      </c>
      <c r="K103" s="143">
        <v>46083</v>
      </c>
      <c r="L103" s="143">
        <v>46035</v>
      </c>
      <c r="M103">
        <v>82025</v>
      </c>
      <c r="N103" t="s">
        <v>779</v>
      </c>
      <c r="O103">
        <v>2001</v>
      </c>
      <c r="S103">
        <v>517727</v>
      </c>
      <c r="T103" t="s">
        <v>772</v>
      </c>
    </row>
    <row r="104" spans="1:20" x14ac:dyDescent="0.25">
      <c r="A104">
        <v>5100421935</v>
      </c>
      <c r="B104">
        <v>21943</v>
      </c>
      <c r="C104" t="s">
        <v>768</v>
      </c>
      <c r="D104" s="143">
        <v>46035</v>
      </c>
      <c r="E104" s="55">
        <v>248004.94</v>
      </c>
      <c r="F104" t="s">
        <v>769</v>
      </c>
      <c r="G104">
        <v>1500098200</v>
      </c>
      <c r="H104" t="s">
        <v>755</v>
      </c>
      <c r="I104" t="s">
        <v>770</v>
      </c>
      <c r="K104" s="143">
        <v>46083</v>
      </c>
      <c r="L104" s="143">
        <v>46035</v>
      </c>
      <c r="M104">
        <v>92025</v>
      </c>
      <c r="N104" t="s">
        <v>779</v>
      </c>
      <c r="O104">
        <v>2001</v>
      </c>
      <c r="S104">
        <v>517727</v>
      </c>
      <c r="T104" t="s">
        <v>772</v>
      </c>
    </row>
    <row r="105" spans="1:20" x14ac:dyDescent="0.25">
      <c r="A105">
        <v>5100422790</v>
      </c>
      <c r="B105">
        <v>37481</v>
      </c>
      <c r="C105" t="s">
        <v>768</v>
      </c>
      <c r="D105" s="143">
        <v>46035</v>
      </c>
      <c r="E105">
        <v>584.51</v>
      </c>
      <c r="F105" t="s">
        <v>769</v>
      </c>
      <c r="G105">
        <v>1500107415</v>
      </c>
      <c r="H105" t="s">
        <v>755</v>
      </c>
      <c r="I105" t="s">
        <v>770</v>
      </c>
      <c r="K105" s="143">
        <v>46090</v>
      </c>
      <c r="L105" s="143">
        <v>46035</v>
      </c>
      <c r="M105">
        <v>22025</v>
      </c>
      <c r="N105" t="s">
        <v>771</v>
      </c>
      <c r="O105">
        <v>2001</v>
      </c>
      <c r="S105" t="s">
        <v>777</v>
      </c>
      <c r="T105" t="s">
        <v>772</v>
      </c>
    </row>
    <row r="106" spans="1:20" x14ac:dyDescent="0.25">
      <c r="A106">
        <v>5100422791</v>
      </c>
      <c r="B106">
        <v>37481</v>
      </c>
      <c r="C106" t="s">
        <v>768</v>
      </c>
      <c r="D106" s="143">
        <v>46035</v>
      </c>
      <c r="E106">
        <v>175.88</v>
      </c>
      <c r="F106" t="s">
        <v>769</v>
      </c>
      <c r="G106">
        <v>1500107415</v>
      </c>
      <c r="H106" t="s">
        <v>755</v>
      </c>
      <c r="I106" t="s">
        <v>770</v>
      </c>
      <c r="K106" s="143">
        <v>46090</v>
      </c>
      <c r="L106" s="143">
        <v>46035</v>
      </c>
      <c r="M106">
        <v>32025</v>
      </c>
      <c r="N106" t="s">
        <v>771</v>
      </c>
      <c r="O106">
        <v>2001</v>
      </c>
      <c r="S106" t="s">
        <v>777</v>
      </c>
      <c r="T106" t="s">
        <v>772</v>
      </c>
    </row>
    <row r="107" spans="1:20" x14ac:dyDescent="0.25">
      <c r="A107">
        <v>5100422792</v>
      </c>
      <c r="B107">
        <v>37481</v>
      </c>
      <c r="C107" t="s">
        <v>768</v>
      </c>
      <c r="D107" s="143">
        <v>46035</v>
      </c>
      <c r="E107" s="55">
        <v>1520.74</v>
      </c>
      <c r="F107" t="s">
        <v>769</v>
      </c>
      <c r="G107">
        <v>1500107415</v>
      </c>
      <c r="H107" t="s">
        <v>755</v>
      </c>
      <c r="I107" t="s">
        <v>770</v>
      </c>
      <c r="K107" s="143">
        <v>46090</v>
      </c>
      <c r="L107" s="143">
        <v>46035</v>
      </c>
      <c r="M107">
        <v>42025</v>
      </c>
      <c r="N107" t="s">
        <v>771</v>
      </c>
      <c r="O107">
        <v>2001</v>
      </c>
      <c r="S107" t="s">
        <v>777</v>
      </c>
      <c r="T107" t="s">
        <v>772</v>
      </c>
    </row>
    <row r="108" spans="1:20" x14ac:dyDescent="0.25">
      <c r="A108">
        <v>5100422793</v>
      </c>
      <c r="B108">
        <v>37481</v>
      </c>
      <c r="C108" t="s">
        <v>768</v>
      </c>
      <c r="D108" s="143">
        <v>46035</v>
      </c>
      <c r="E108" s="55">
        <v>620205.84</v>
      </c>
      <c r="F108" t="s">
        <v>769</v>
      </c>
      <c r="G108">
        <v>1500107415</v>
      </c>
      <c r="H108" t="s">
        <v>755</v>
      </c>
      <c r="I108" t="s">
        <v>770</v>
      </c>
      <c r="K108" s="143">
        <v>46090</v>
      </c>
      <c r="L108" s="143">
        <v>46035</v>
      </c>
      <c r="M108">
        <v>52025</v>
      </c>
      <c r="N108" t="s">
        <v>771</v>
      </c>
      <c r="O108">
        <v>2001</v>
      </c>
      <c r="S108" t="s">
        <v>777</v>
      </c>
      <c r="T108" t="s">
        <v>772</v>
      </c>
    </row>
    <row r="109" spans="1:20" x14ac:dyDescent="0.25">
      <c r="A109">
        <v>5100422794</v>
      </c>
      <c r="B109">
        <v>37481</v>
      </c>
      <c r="C109" t="s">
        <v>768</v>
      </c>
      <c r="D109" s="143">
        <v>46035</v>
      </c>
      <c r="E109" s="55">
        <v>5810.8</v>
      </c>
      <c r="F109" t="s">
        <v>769</v>
      </c>
      <c r="G109">
        <v>1500107415</v>
      </c>
      <c r="H109" t="s">
        <v>755</v>
      </c>
      <c r="I109" t="s">
        <v>770</v>
      </c>
      <c r="K109" s="143">
        <v>46090</v>
      </c>
      <c r="L109" s="143">
        <v>46035</v>
      </c>
      <c r="M109">
        <v>62025</v>
      </c>
      <c r="N109" t="s">
        <v>771</v>
      </c>
      <c r="O109">
        <v>2001</v>
      </c>
      <c r="S109" t="s">
        <v>777</v>
      </c>
      <c r="T109" t="s">
        <v>772</v>
      </c>
    </row>
    <row r="110" spans="1:20" x14ac:dyDescent="0.25">
      <c r="A110">
        <v>5100422795</v>
      </c>
      <c r="B110">
        <v>37481</v>
      </c>
      <c r="C110" t="s">
        <v>768</v>
      </c>
      <c r="D110" s="143">
        <v>46035</v>
      </c>
      <c r="E110" s="55">
        <v>11017.39</v>
      </c>
      <c r="F110" t="s">
        <v>769</v>
      </c>
      <c r="G110">
        <v>1500107415</v>
      </c>
      <c r="H110" t="s">
        <v>755</v>
      </c>
      <c r="I110" t="s">
        <v>770</v>
      </c>
      <c r="K110" s="143">
        <v>46090</v>
      </c>
      <c r="L110" s="143">
        <v>46035</v>
      </c>
      <c r="M110">
        <v>72025</v>
      </c>
      <c r="N110" t="s">
        <v>771</v>
      </c>
      <c r="O110">
        <v>2001</v>
      </c>
      <c r="S110" t="s">
        <v>777</v>
      </c>
      <c r="T110" t="s">
        <v>772</v>
      </c>
    </row>
    <row r="111" spans="1:20" x14ac:dyDescent="0.25">
      <c r="A111">
        <v>5100422796</v>
      </c>
      <c r="B111">
        <v>37481</v>
      </c>
      <c r="C111" t="s">
        <v>768</v>
      </c>
      <c r="D111" s="143">
        <v>46035</v>
      </c>
      <c r="E111" s="55">
        <v>85676.81</v>
      </c>
      <c r="F111" t="s">
        <v>769</v>
      </c>
      <c r="G111">
        <v>1500107415</v>
      </c>
      <c r="H111" t="s">
        <v>755</v>
      </c>
      <c r="I111" t="s">
        <v>770</v>
      </c>
      <c r="K111" s="143">
        <v>46090</v>
      </c>
      <c r="L111" s="143">
        <v>46035</v>
      </c>
      <c r="M111">
        <v>82025</v>
      </c>
      <c r="N111" t="s">
        <v>771</v>
      </c>
      <c r="O111">
        <v>2001</v>
      </c>
      <c r="S111" t="s">
        <v>777</v>
      </c>
      <c r="T111" t="s">
        <v>772</v>
      </c>
    </row>
    <row r="112" spans="1:20" x14ac:dyDescent="0.25">
      <c r="A112">
        <v>5100423214</v>
      </c>
      <c r="B112">
        <v>44883</v>
      </c>
      <c r="C112" t="s">
        <v>768</v>
      </c>
      <c r="D112" s="143">
        <v>46035</v>
      </c>
      <c r="E112" s="55">
        <v>22521.93</v>
      </c>
      <c r="F112" t="s">
        <v>769</v>
      </c>
      <c r="G112">
        <v>1500097961</v>
      </c>
      <c r="H112" t="s">
        <v>755</v>
      </c>
      <c r="I112" t="s">
        <v>770</v>
      </c>
      <c r="K112" s="143">
        <v>46083</v>
      </c>
      <c r="L112" s="143">
        <v>46035</v>
      </c>
      <c r="M112">
        <v>22025</v>
      </c>
      <c r="N112" t="s">
        <v>771</v>
      </c>
      <c r="O112">
        <v>2001</v>
      </c>
      <c r="R112" t="s">
        <v>780</v>
      </c>
      <c r="S112" t="s">
        <v>781</v>
      </c>
      <c r="T112" t="s">
        <v>772</v>
      </c>
    </row>
    <row r="113" spans="1:20" x14ac:dyDescent="0.25">
      <c r="A113">
        <v>5100423215</v>
      </c>
      <c r="B113">
        <v>44883</v>
      </c>
      <c r="C113" t="s">
        <v>768</v>
      </c>
      <c r="D113" s="143">
        <v>46035</v>
      </c>
      <c r="E113" s="55">
        <v>55789.919999999998</v>
      </c>
      <c r="F113" t="s">
        <v>769</v>
      </c>
      <c r="G113">
        <v>1500097961</v>
      </c>
      <c r="H113" t="s">
        <v>755</v>
      </c>
      <c r="I113" t="s">
        <v>770</v>
      </c>
      <c r="K113" s="143">
        <v>46083</v>
      </c>
      <c r="L113" s="143">
        <v>46035</v>
      </c>
      <c r="M113">
        <v>32025</v>
      </c>
      <c r="N113" t="s">
        <v>771</v>
      </c>
      <c r="O113">
        <v>2001</v>
      </c>
      <c r="R113" t="s">
        <v>780</v>
      </c>
      <c r="S113" t="s">
        <v>781</v>
      </c>
      <c r="T113" t="s">
        <v>772</v>
      </c>
    </row>
    <row r="114" spans="1:20" x14ac:dyDescent="0.25">
      <c r="A114">
        <v>5100423216</v>
      </c>
      <c r="B114">
        <v>44883</v>
      </c>
      <c r="C114" t="s">
        <v>768</v>
      </c>
      <c r="D114" s="143">
        <v>46035</v>
      </c>
      <c r="E114" s="55">
        <v>45101.57</v>
      </c>
      <c r="F114" t="s">
        <v>769</v>
      </c>
      <c r="G114">
        <v>1500097961</v>
      </c>
      <c r="H114" t="s">
        <v>755</v>
      </c>
      <c r="I114" t="s">
        <v>770</v>
      </c>
      <c r="K114" s="143">
        <v>46083</v>
      </c>
      <c r="L114" s="143">
        <v>46035</v>
      </c>
      <c r="M114">
        <v>42025</v>
      </c>
      <c r="N114" t="s">
        <v>771</v>
      </c>
      <c r="O114">
        <v>2001</v>
      </c>
      <c r="R114" t="s">
        <v>780</v>
      </c>
      <c r="S114" t="s">
        <v>781</v>
      </c>
      <c r="T114" t="s">
        <v>772</v>
      </c>
    </row>
    <row r="115" spans="1:20" x14ac:dyDescent="0.25">
      <c r="A115">
        <v>5100423217</v>
      </c>
      <c r="B115">
        <v>44883</v>
      </c>
      <c r="C115" t="s">
        <v>768</v>
      </c>
      <c r="D115" s="143">
        <v>46035</v>
      </c>
      <c r="E115" s="55">
        <v>197254.67</v>
      </c>
      <c r="F115" t="s">
        <v>769</v>
      </c>
      <c r="G115">
        <v>1500097961</v>
      </c>
      <c r="H115" t="s">
        <v>755</v>
      </c>
      <c r="I115" t="s">
        <v>770</v>
      </c>
      <c r="K115" s="143">
        <v>46083</v>
      </c>
      <c r="L115" s="143">
        <v>46035</v>
      </c>
      <c r="M115">
        <v>42025</v>
      </c>
      <c r="N115" t="s">
        <v>771</v>
      </c>
      <c r="O115">
        <v>2001</v>
      </c>
      <c r="R115" t="s">
        <v>780</v>
      </c>
      <c r="S115" t="s">
        <v>781</v>
      </c>
      <c r="T115" t="s">
        <v>772</v>
      </c>
    </row>
    <row r="116" spans="1:20" x14ac:dyDescent="0.25">
      <c r="A116">
        <v>5100423218</v>
      </c>
      <c r="B116">
        <v>44883</v>
      </c>
      <c r="C116" t="s">
        <v>768</v>
      </c>
      <c r="D116" s="143">
        <v>46035</v>
      </c>
      <c r="E116" s="55">
        <v>107728.55</v>
      </c>
      <c r="F116" t="s">
        <v>769</v>
      </c>
      <c r="G116">
        <v>1500097961</v>
      </c>
      <c r="H116" t="s">
        <v>755</v>
      </c>
      <c r="I116" t="s">
        <v>770</v>
      </c>
      <c r="K116" s="143">
        <v>46083</v>
      </c>
      <c r="L116" s="143">
        <v>46035</v>
      </c>
      <c r="M116">
        <v>42025</v>
      </c>
      <c r="N116" t="s">
        <v>771</v>
      </c>
      <c r="O116">
        <v>2001</v>
      </c>
      <c r="R116" t="s">
        <v>780</v>
      </c>
      <c r="S116" t="s">
        <v>781</v>
      </c>
      <c r="T116" t="s">
        <v>772</v>
      </c>
    </row>
    <row r="117" spans="1:20" x14ac:dyDescent="0.25">
      <c r="A117">
        <v>5100423219</v>
      </c>
      <c r="B117">
        <v>44883</v>
      </c>
      <c r="C117" t="s">
        <v>768</v>
      </c>
      <c r="D117" s="143">
        <v>46035</v>
      </c>
      <c r="E117">
        <v>745.09</v>
      </c>
      <c r="F117" t="s">
        <v>769</v>
      </c>
      <c r="G117">
        <v>1500097961</v>
      </c>
      <c r="H117" t="s">
        <v>755</v>
      </c>
      <c r="I117" t="s">
        <v>770</v>
      </c>
      <c r="K117" s="143">
        <v>46083</v>
      </c>
      <c r="L117" s="143">
        <v>46035</v>
      </c>
      <c r="M117">
        <v>52025</v>
      </c>
      <c r="N117" t="s">
        <v>771</v>
      </c>
      <c r="O117">
        <v>2001</v>
      </c>
      <c r="R117" t="s">
        <v>780</v>
      </c>
      <c r="S117" t="s">
        <v>781</v>
      </c>
      <c r="T117" t="s">
        <v>772</v>
      </c>
    </row>
    <row r="118" spans="1:20" x14ac:dyDescent="0.25">
      <c r="A118">
        <v>5100423220</v>
      </c>
      <c r="B118">
        <v>44883</v>
      </c>
      <c r="C118" t="s">
        <v>768</v>
      </c>
      <c r="D118" s="143">
        <v>46035</v>
      </c>
      <c r="E118" s="55">
        <v>55359.48</v>
      </c>
      <c r="F118" t="s">
        <v>769</v>
      </c>
      <c r="G118">
        <v>1500097961</v>
      </c>
      <c r="H118" t="s">
        <v>755</v>
      </c>
      <c r="I118" t="s">
        <v>770</v>
      </c>
      <c r="K118" s="143">
        <v>46083</v>
      </c>
      <c r="L118" s="143">
        <v>46035</v>
      </c>
      <c r="M118">
        <v>52025</v>
      </c>
      <c r="N118" t="s">
        <v>771</v>
      </c>
      <c r="O118">
        <v>2001</v>
      </c>
      <c r="R118" t="s">
        <v>780</v>
      </c>
      <c r="S118" t="s">
        <v>781</v>
      </c>
      <c r="T118" t="s">
        <v>772</v>
      </c>
    </row>
    <row r="119" spans="1:20" x14ac:dyDescent="0.25">
      <c r="A119">
        <v>5100423221</v>
      </c>
      <c r="B119">
        <v>44883</v>
      </c>
      <c r="C119" t="s">
        <v>768</v>
      </c>
      <c r="D119" s="143">
        <v>46035</v>
      </c>
      <c r="E119" s="55">
        <v>13391.41</v>
      </c>
      <c r="F119" t="s">
        <v>769</v>
      </c>
      <c r="G119">
        <v>1500097961</v>
      </c>
      <c r="H119" t="s">
        <v>755</v>
      </c>
      <c r="I119" t="s">
        <v>770</v>
      </c>
      <c r="K119" s="143">
        <v>46083</v>
      </c>
      <c r="L119" s="143">
        <v>46035</v>
      </c>
      <c r="M119">
        <v>62025</v>
      </c>
      <c r="N119" t="s">
        <v>771</v>
      </c>
      <c r="O119">
        <v>2001</v>
      </c>
      <c r="R119" t="s">
        <v>780</v>
      </c>
      <c r="S119" t="s">
        <v>781</v>
      </c>
      <c r="T119" t="s">
        <v>772</v>
      </c>
    </row>
    <row r="120" spans="1:20" x14ac:dyDescent="0.25">
      <c r="A120">
        <v>5100423222</v>
      </c>
      <c r="B120">
        <v>44883</v>
      </c>
      <c r="C120" t="s">
        <v>768</v>
      </c>
      <c r="D120" s="143">
        <v>46035</v>
      </c>
      <c r="E120" s="55">
        <v>2416.0100000000002</v>
      </c>
      <c r="F120" t="s">
        <v>769</v>
      </c>
      <c r="G120">
        <v>1500097961</v>
      </c>
      <c r="H120" t="s">
        <v>755</v>
      </c>
      <c r="I120" t="s">
        <v>770</v>
      </c>
      <c r="K120" s="143">
        <v>46083</v>
      </c>
      <c r="L120" s="143">
        <v>46035</v>
      </c>
      <c r="M120">
        <v>72025</v>
      </c>
      <c r="N120" t="s">
        <v>771</v>
      </c>
      <c r="O120">
        <v>2001</v>
      </c>
      <c r="R120" t="s">
        <v>780</v>
      </c>
      <c r="S120" t="s">
        <v>781</v>
      </c>
      <c r="T120" t="s">
        <v>772</v>
      </c>
    </row>
    <row r="121" spans="1:20" x14ac:dyDescent="0.25">
      <c r="A121">
        <v>5100423223</v>
      </c>
      <c r="B121">
        <v>44883</v>
      </c>
      <c r="C121" t="s">
        <v>768</v>
      </c>
      <c r="D121" s="143">
        <v>46035</v>
      </c>
      <c r="E121" s="55">
        <v>34208.019999999997</v>
      </c>
      <c r="F121" t="s">
        <v>769</v>
      </c>
      <c r="G121">
        <v>1500097961</v>
      </c>
      <c r="H121" t="s">
        <v>755</v>
      </c>
      <c r="I121" t="s">
        <v>770</v>
      </c>
      <c r="K121" s="143">
        <v>46083</v>
      </c>
      <c r="L121" s="143">
        <v>46035</v>
      </c>
      <c r="M121">
        <v>82025</v>
      </c>
      <c r="N121" t="s">
        <v>771</v>
      </c>
      <c r="O121">
        <v>2001</v>
      </c>
      <c r="R121" t="s">
        <v>780</v>
      </c>
      <c r="S121" t="s">
        <v>781</v>
      </c>
      <c r="T121" t="s">
        <v>772</v>
      </c>
    </row>
    <row r="122" spans="1:20" x14ac:dyDescent="0.25">
      <c r="A122">
        <v>5100423224</v>
      </c>
      <c r="B122">
        <v>44883</v>
      </c>
      <c r="C122" t="s">
        <v>768</v>
      </c>
      <c r="D122" s="143">
        <v>46035</v>
      </c>
      <c r="E122" s="55">
        <v>152049.09</v>
      </c>
      <c r="F122" t="s">
        <v>769</v>
      </c>
      <c r="G122">
        <v>1500097961</v>
      </c>
      <c r="H122" t="s">
        <v>755</v>
      </c>
      <c r="I122" t="s">
        <v>770</v>
      </c>
      <c r="K122" s="143">
        <v>46083</v>
      </c>
      <c r="L122" s="143">
        <v>46035</v>
      </c>
      <c r="M122">
        <v>92025</v>
      </c>
      <c r="N122" t="s">
        <v>771</v>
      </c>
      <c r="O122">
        <v>2001</v>
      </c>
      <c r="R122" t="s">
        <v>780</v>
      </c>
      <c r="S122" t="s">
        <v>781</v>
      </c>
      <c r="T122" t="s">
        <v>772</v>
      </c>
    </row>
    <row r="123" spans="1:20" x14ac:dyDescent="0.25">
      <c r="A123">
        <v>5100423225</v>
      </c>
      <c r="B123">
        <v>44883</v>
      </c>
      <c r="C123" t="s">
        <v>768</v>
      </c>
      <c r="D123" s="143">
        <v>46035</v>
      </c>
      <c r="E123" s="55">
        <v>31505.27</v>
      </c>
      <c r="F123" t="s">
        <v>769</v>
      </c>
      <c r="G123">
        <v>1500097961</v>
      </c>
      <c r="H123" t="s">
        <v>755</v>
      </c>
      <c r="I123" t="s">
        <v>770</v>
      </c>
      <c r="K123" s="143">
        <v>46083</v>
      </c>
      <c r="L123" s="143">
        <v>46035</v>
      </c>
      <c r="M123">
        <v>92025</v>
      </c>
      <c r="N123" t="s">
        <v>771</v>
      </c>
      <c r="O123">
        <v>2001</v>
      </c>
      <c r="R123" t="s">
        <v>780</v>
      </c>
      <c r="S123" t="s">
        <v>781</v>
      </c>
      <c r="T123" t="s">
        <v>772</v>
      </c>
    </row>
    <row r="124" spans="1:20" x14ac:dyDescent="0.25">
      <c r="A124">
        <v>5100423394</v>
      </c>
      <c r="B124">
        <v>55780</v>
      </c>
      <c r="C124" t="s">
        <v>768</v>
      </c>
      <c r="D124" s="143">
        <v>46035</v>
      </c>
      <c r="E124" s="55">
        <v>102216.71</v>
      </c>
      <c r="F124" t="s">
        <v>769</v>
      </c>
      <c r="G124">
        <v>1500032791</v>
      </c>
      <c r="H124" t="s">
        <v>755</v>
      </c>
      <c r="I124" t="s">
        <v>770</v>
      </c>
      <c r="K124" s="143">
        <v>46083</v>
      </c>
      <c r="L124" s="143">
        <v>46035</v>
      </c>
      <c r="M124">
        <v>12025</v>
      </c>
      <c r="N124" t="s">
        <v>771</v>
      </c>
      <c r="O124">
        <v>2001</v>
      </c>
      <c r="S124">
        <v>515264</v>
      </c>
      <c r="T124" t="s">
        <v>772</v>
      </c>
    </row>
    <row r="125" spans="1:20" x14ac:dyDescent="0.25">
      <c r="A125">
        <v>5100423395</v>
      </c>
      <c r="B125">
        <v>55780</v>
      </c>
      <c r="C125" t="s">
        <v>768</v>
      </c>
      <c r="D125" s="143">
        <v>46035</v>
      </c>
      <c r="E125" s="55">
        <v>263913.88</v>
      </c>
      <c r="F125" t="s">
        <v>769</v>
      </c>
      <c r="G125">
        <v>1500032791</v>
      </c>
      <c r="H125" t="s">
        <v>755</v>
      </c>
      <c r="I125" t="s">
        <v>770</v>
      </c>
      <c r="K125" s="143">
        <v>46083</v>
      </c>
      <c r="L125" s="143">
        <v>46035</v>
      </c>
      <c r="M125">
        <v>22025</v>
      </c>
      <c r="N125" t="s">
        <v>771</v>
      </c>
      <c r="O125">
        <v>2001</v>
      </c>
      <c r="S125">
        <v>515264</v>
      </c>
      <c r="T125" t="s">
        <v>772</v>
      </c>
    </row>
    <row r="126" spans="1:20" x14ac:dyDescent="0.25">
      <c r="A126">
        <v>5100423397</v>
      </c>
      <c r="B126">
        <v>55780</v>
      </c>
      <c r="C126" t="s">
        <v>768</v>
      </c>
      <c r="D126" s="143">
        <v>46035</v>
      </c>
      <c r="E126">
        <v>183.01</v>
      </c>
      <c r="F126" t="s">
        <v>769</v>
      </c>
      <c r="G126">
        <v>1500032791</v>
      </c>
      <c r="H126" t="s">
        <v>755</v>
      </c>
      <c r="I126" t="s">
        <v>770</v>
      </c>
      <c r="K126" s="143">
        <v>46083</v>
      </c>
      <c r="L126" s="143">
        <v>46035</v>
      </c>
      <c r="M126">
        <v>32025</v>
      </c>
      <c r="N126" t="s">
        <v>771</v>
      </c>
      <c r="O126">
        <v>2001</v>
      </c>
      <c r="S126">
        <v>515264</v>
      </c>
      <c r="T126" t="s">
        <v>772</v>
      </c>
    </row>
    <row r="127" spans="1:20" x14ac:dyDescent="0.25">
      <c r="A127">
        <v>5100423399</v>
      </c>
      <c r="B127">
        <v>55780</v>
      </c>
      <c r="C127" t="s">
        <v>768</v>
      </c>
      <c r="D127" s="143">
        <v>46035</v>
      </c>
      <c r="E127" s="55">
        <v>187032.76</v>
      </c>
      <c r="F127" t="s">
        <v>769</v>
      </c>
      <c r="G127">
        <v>1500032791</v>
      </c>
      <c r="H127" t="s">
        <v>755</v>
      </c>
      <c r="I127" t="s">
        <v>770</v>
      </c>
      <c r="K127" s="143">
        <v>46083</v>
      </c>
      <c r="L127" s="143">
        <v>46035</v>
      </c>
      <c r="M127">
        <v>42025</v>
      </c>
      <c r="N127" t="s">
        <v>771</v>
      </c>
      <c r="O127">
        <v>2001</v>
      </c>
      <c r="S127">
        <v>515264</v>
      </c>
      <c r="T127" t="s">
        <v>772</v>
      </c>
    </row>
    <row r="128" spans="1:20" x14ac:dyDescent="0.25">
      <c r="A128">
        <v>5100423401</v>
      </c>
      <c r="B128">
        <v>55780</v>
      </c>
      <c r="C128" t="s">
        <v>768</v>
      </c>
      <c r="D128" s="143">
        <v>46035</v>
      </c>
      <c r="E128" s="55">
        <v>167154.37</v>
      </c>
      <c r="F128" t="s">
        <v>769</v>
      </c>
      <c r="G128">
        <v>1500032791</v>
      </c>
      <c r="H128" t="s">
        <v>755</v>
      </c>
      <c r="I128" t="s">
        <v>770</v>
      </c>
      <c r="K128" s="143">
        <v>46083</v>
      </c>
      <c r="L128" s="143">
        <v>46035</v>
      </c>
      <c r="M128">
        <v>52025</v>
      </c>
      <c r="N128" t="s">
        <v>771</v>
      </c>
      <c r="O128">
        <v>2001</v>
      </c>
      <c r="S128">
        <v>515264</v>
      </c>
      <c r="T128" t="s">
        <v>772</v>
      </c>
    </row>
    <row r="129" spans="1:20" x14ac:dyDescent="0.25">
      <c r="A129">
        <v>5100423402</v>
      </c>
      <c r="B129">
        <v>55780</v>
      </c>
      <c r="C129" t="s">
        <v>768</v>
      </c>
      <c r="D129" s="143">
        <v>46035</v>
      </c>
      <c r="E129" s="55">
        <v>394014.47</v>
      </c>
      <c r="F129" t="s">
        <v>769</v>
      </c>
      <c r="G129">
        <v>1500032791</v>
      </c>
      <c r="H129" t="s">
        <v>755</v>
      </c>
      <c r="I129" t="s">
        <v>770</v>
      </c>
      <c r="K129" s="143">
        <v>46083</v>
      </c>
      <c r="L129" s="143">
        <v>46035</v>
      </c>
      <c r="M129">
        <v>62025</v>
      </c>
      <c r="N129" t="s">
        <v>771</v>
      </c>
      <c r="O129">
        <v>2001</v>
      </c>
      <c r="S129">
        <v>515264</v>
      </c>
      <c r="T129" t="s">
        <v>772</v>
      </c>
    </row>
    <row r="130" spans="1:20" x14ac:dyDescent="0.25">
      <c r="A130">
        <v>5100423404</v>
      </c>
      <c r="B130">
        <v>55780</v>
      </c>
      <c r="C130" t="s">
        <v>768</v>
      </c>
      <c r="D130" s="143">
        <v>46035</v>
      </c>
      <c r="E130" s="55">
        <v>18874.78</v>
      </c>
      <c r="F130" t="s">
        <v>769</v>
      </c>
      <c r="G130">
        <v>1500032791</v>
      </c>
      <c r="H130" t="s">
        <v>755</v>
      </c>
      <c r="I130" t="s">
        <v>770</v>
      </c>
      <c r="K130" s="143">
        <v>46083</v>
      </c>
      <c r="L130" s="143">
        <v>46035</v>
      </c>
      <c r="M130">
        <v>72025</v>
      </c>
      <c r="N130" t="s">
        <v>771</v>
      </c>
      <c r="O130">
        <v>2001</v>
      </c>
      <c r="S130">
        <v>515264</v>
      </c>
      <c r="T130" t="s">
        <v>772</v>
      </c>
    </row>
    <row r="131" spans="1:20" x14ac:dyDescent="0.25">
      <c r="A131">
        <v>5100423406</v>
      </c>
      <c r="B131">
        <v>55780</v>
      </c>
      <c r="C131" t="s">
        <v>768</v>
      </c>
      <c r="D131" s="143">
        <v>46035</v>
      </c>
      <c r="E131" s="55">
        <v>13500.89</v>
      </c>
      <c r="F131" t="s">
        <v>769</v>
      </c>
      <c r="G131">
        <v>1500032791</v>
      </c>
      <c r="H131" t="s">
        <v>755</v>
      </c>
      <c r="I131" t="s">
        <v>770</v>
      </c>
      <c r="K131" s="143">
        <v>46083</v>
      </c>
      <c r="L131" s="143">
        <v>46035</v>
      </c>
      <c r="M131">
        <v>82025</v>
      </c>
      <c r="N131" t="s">
        <v>771</v>
      </c>
      <c r="O131">
        <v>2001</v>
      </c>
      <c r="S131">
        <v>515264</v>
      </c>
      <c r="T131" t="s">
        <v>772</v>
      </c>
    </row>
    <row r="132" spans="1:20" x14ac:dyDescent="0.25">
      <c r="A132">
        <v>5100423408</v>
      </c>
      <c r="B132">
        <v>55780</v>
      </c>
      <c r="C132" t="s">
        <v>768</v>
      </c>
      <c r="D132" s="143">
        <v>46035</v>
      </c>
      <c r="E132" s="55">
        <v>18293.66</v>
      </c>
      <c r="F132" t="s">
        <v>769</v>
      </c>
      <c r="G132">
        <v>1500032791</v>
      </c>
      <c r="H132" t="s">
        <v>755</v>
      </c>
      <c r="I132" t="s">
        <v>770</v>
      </c>
      <c r="K132" s="143">
        <v>46083</v>
      </c>
      <c r="L132" s="143">
        <v>46035</v>
      </c>
      <c r="M132">
        <v>92025</v>
      </c>
      <c r="N132" t="s">
        <v>771</v>
      </c>
      <c r="O132">
        <v>2001</v>
      </c>
      <c r="S132">
        <v>515264</v>
      </c>
      <c r="T132" t="s">
        <v>772</v>
      </c>
    </row>
    <row r="133" spans="1:20" x14ac:dyDescent="0.25">
      <c r="A133">
        <v>5100423396</v>
      </c>
      <c r="B133">
        <v>55780</v>
      </c>
      <c r="C133" t="s">
        <v>768</v>
      </c>
      <c r="D133" s="143">
        <v>46035</v>
      </c>
      <c r="E133" s="55">
        <v>4602.04</v>
      </c>
      <c r="F133" t="s">
        <v>769</v>
      </c>
      <c r="G133">
        <v>1500032791</v>
      </c>
      <c r="H133" t="s">
        <v>755</v>
      </c>
      <c r="I133" t="s">
        <v>770</v>
      </c>
      <c r="K133" s="143">
        <v>46083</v>
      </c>
      <c r="L133" s="143">
        <v>46035</v>
      </c>
      <c r="M133">
        <v>22025</v>
      </c>
      <c r="N133" t="s">
        <v>771</v>
      </c>
      <c r="O133">
        <v>2001</v>
      </c>
      <c r="S133">
        <v>525466</v>
      </c>
      <c r="T133" t="s">
        <v>772</v>
      </c>
    </row>
    <row r="134" spans="1:20" x14ac:dyDescent="0.25">
      <c r="A134">
        <v>5100423398</v>
      </c>
      <c r="B134">
        <v>55780</v>
      </c>
      <c r="C134" t="s">
        <v>768</v>
      </c>
      <c r="D134" s="143">
        <v>46035</v>
      </c>
      <c r="E134">
        <v>986.15</v>
      </c>
      <c r="F134" t="s">
        <v>769</v>
      </c>
      <c r="G134">
        <v>1500032791</v>
      </c>
      <c r="H134" t="s">
        <v>755</v>
      </c>
      <c r="I134" t="s">
        <v>770</v>
      </c>
      <c r="K134" s="143">
        <v>46083</v>
      </c>
      <c r="L134" s="143">
        <v>46035</v>
      </c>
      <c r="M134">
        <v>32025</v>
      </c>
      <c r="N134" t="s">
        <v>771</v>
      </c>
      <c r="O134">
        <v>2001</v>
      </c>
      <c r="S134">
        <v>525466</v>
      </c>
      <c r="T134" t="s">
        <v>772</v>
      </c>
    </row>
    <row r="135" spans="1:20" x14ac:dyDescent="0.25">
      <c r="A135">
        <v>5100423400</v>
      </c>
      <c r="B135">
        <v>55780</v>
      </c>
      <c r="C135" t="s">
        <v>768</v>
      </c>
      <c r="D135" s="143">
        <v>46035</v>
      </c>
      <c r="E135" s="55">
        <v>22383.23</v>
      </c>
      <c r="F135" t="s">
        <v>769</v>
      </c>
      <c r="G135">
        <v>1500032791</v>
      </c>
      <c r="H135" t="s">
        <v>755</v>
      </c>
      <c r="I135" t="s">
        <v>770</v>
      </c>
      <c r="K135" s="143">
        <v>46083</v>
      </c>
      <c r="L135" s="143">
        <v>46035</v>
      </c>
      <c r="M135">
        <v>42025</v>
      </c>
      <c r="N135" t="s">
        <v>771</v>
      </c>
      <c r="O135">
        <v>2001</v>
      </c>
      <c r="S135">
        <v>525466</v>
      </c>
      <c r="T135" t="s">
        <v>772</v>
      </c>
    </row>
    <row r="136" spans="1:20" x14ac:dyDescent="0.25">
      <c r="A136">
        <v>5100423403</v>
      </c>
      <c r="B136">
        <v>55780</v>
      </c>
      <c r="C136" t="s">
        <v>768</v>
      </c>
      <c r="D136" s="143">
        <v>46035</v>
      </c>
      <c r="E136">
        <v>329.29</v>
      </c>
      <c r="F136" t="s">
        <v>769</v>
      </c>
      <c r="G136">
        <v>1500032791</v>
      </c>
      <c r="H136" t="s">
        <v>755</v>
      </c>
      <c r="I136" t="s">
        <v>770</v>
      </c>
      <c r="K136" s="143">
        <v>46083</v>
      </c>
      <c r="L136" s="143">
        <v>46035</v>
      </c>
      <c r="M136">
        <v>62025</v>
      </c>
      <c r="N136" t="s">
        <v>771</v>
      </c>
      <c r="O136">
        <v>2001</v>
      </c>
      <c r="S136">
        <v>525466</v>
      </c>
      <c r="T136" t="s">
        <v>772</v>
      </c>
    </row>
    <row r="137" spans="1:20" x14ac:dyDescent="0.25">
      <c r="A137">
        <v>5100423405</v>
      </c>
      <c r="B137">
        <v>55780</v>
      </c>
      <c r="C137" t="s">
        <v>768</v>
      </c>
      <c r="D137" s="143">
        <v>46035</v>
      </c>
      <c r="E137" s="55">
        <v>166621.70000000001</v>
      </c>
      <c r="F137" t="s">
        <v>769</v>
      </c>
      <c r="G137">
        <v>1500032791</v>
      </c>
      <c r="H137" t="s">
        <v>755</v>
      </c>
      <c r="I137" t="s">
        <v>770</v>
      </c>
      <c r="K137" s="143">
        <v>46083</v>
      </c>
      <c r="L137" s="143">
        <v>46035</v>
      </c>
      <c r="M137">
        <v>72025</v>
      </c>
      <c r="N137" t="s">
        <v>771</v>
      </c>
      <c r="O137">
        <v>2001</v>
      </c>
      <c r="S137">
        <v>525466</v>
      </c>
      <c r="T137" t="s">
        <v>772</v>
      </c>
    </row>
    <row r="138" spans="1:20" x14ac:dyDescent="0.25">
      <c r="A138">
        <v>5100423407</v>
      </c>
      <c r="B138">
        <v>55780</v>
      </c>
      <c r="C138" t="s">
        <v>768</v>
      </c>
      <c r="D138" s="143">
        <v>46035</v>
      </c>
      <c r="E138" s="55">
        <v>30931.61</v>
      </c>
      <c r="F138" t="s">
        <v>769</v>
      </c>
      <c r="G138">
        <v>1500032791</v>
      </c>
      <c r="H138" t="s">
        <v>755</v>
      </c>
      <c r="I138" t="s">
        <v>770</v>
      </c>
      <c r="K138" s="143">
        <v>46083</v>
      </c>
      <c r="L138" s="143">
        <v>46035</v>
      </c>
      <c r="M138">
        <v>82025</v>
      </c>
      <c r="N138" t="s">
        <v>771</v>
      </c>
      <c r="O138">
        <v>2001</v>
      </c>
      <c r="S138">
        <v>525466</v>
      </c>
      <c r="T138" t="s">
        <v>772</v>
      </c>
    </row>
    <row r="139" spans="1:20" x14ac:dyDescent="0.25">
      <c r="A139">
        <v>5100423535</v>
      </c>
      <c r="B139">
        <v>62760</v>
      </c>
      <c r="C139" t="s">
        <v>768</v>
      </c>
      <c r="D139" s="143">
        <v>46035</v>
      </c>
      <c r="E139" s="55">
        <v>407034.01</v>
      </c>
      <c r="F139" t="s">
        <v>769</v>
      </c>
      <c r="G139">
        <v>1500081501</v>
      </c>
      <c r="H139" t="s">
        <v>755</v>
      </c>
      <c r="I139" t="s">
        <v>770</v>
      </c>
      <c r="K139" s="143">
        <v>46090</v>
      </c>
      <c r="L139" s="143">
        <v>46035</v>
      </c>
      <c r="M139">
        <v>22025</v>
      </c>
      <c r="N139" t="s">
        <v>771</v>
      </c>
      <c r="O139">
        <v>2001</v>
      </c>
      <c r="S139" t="s">
        <v>777</v>
      </c>
      <c r="T139" t="s">
        <v>772</v>
      </c>
    </row>
    <row r="140" spans="1:20" x14ac:dyDescent="0.25">
      <c r="A140">
        <v>5100423536</v>
      </c>
      <c r="B140">
        <v>62760</v>
      </c>
      <c r="C140" t="s">
        <v>768</v>
      </c>
      <c r="D140" s="143">
        <v>46035</v>
      </c>
      <c r="E140" s="55">
        <v>72344.91</v>
      </c>
      <c r="F140" t="s">
        <v>769</v>
      </c>
      <c r="G140">
        <v>1500081501</v>
      </c>
      <c r="H140" t="s">
        <v>755</v>
      </c>
      <c r="I140" t="s">
        <v>770</v>
      </c>
      <c r="K140" s="143">
        <v>46090</v>
      </c>
      <c r="L140" s="143">
        <v>46035</v>
      </c>
      <c r="M140">
        <v>52025</v>
      </c>
      <c r="N140" t="s">
        <v>771</v>
      </c>
      <c r="O140">
        <v>2001</v>
      </c>
      <c r="S140" t="s">
        <v>777</v>
      </c>
      <c r="T140" t="s">
        <v>772</v>
      </c>
    </row>
    <row r="141" spans="1:20" x14ac:dyDescent="0.25">
      <c r="A141">
        <v>5100423537</v>
      </c>
      <c r="B141">
        <v>62760</v>
      </c>
      <c r="C141" t="s">
        <v>768</v>
      </c>
      <c r="D141" s="143">
        <v>46035</v>
      </c>
      <c r="E141" s="55">
        <v>119946.99</v>
      </c>
      <c r="F141" t="s">
        <v>769</v>
      </c>
      <c r="G141">
        <v>1500081501</v>
      </c>
      <c r="H141" t="s">
        <v>755</v>
      </c>
      <c r="I141" t="s">
        <v>770</v>
      </c>
      <c r="K141" s="143">
        <v>46090</v>
      </c>
      <c r="L141" s="143">
        <v>46035</v>
      </c>
      <c r="M141">
        <v>62025</v>
      </c>
      <c r="N141" t="s">
        <v>771</v>
      </c>
      <c r="O141">
        <v>2001</v>
      </c>
      <c r="S141" t="s">
        <v>777</v>
      </c>
      <c r="T141" t="s">
        <v>772</v>
      </c>
    </row>
    <row r="142" spans="1:20" x14ac:dyDescent="0.25">
      <c r="A142">
        <v>5100423538</v>
      </c>
      <c r="B142">
        <v>62760</v>
      </c>
      <c r="C142" t="s">
        <v>768</v>
      </c>
      <c r="D142" s="143">
        <v>46035</v>
      </c>
      <c r="E142" s="55">
        <v>36714.1</v>
      </c>
      <c r="F142" t="s">
        <v>769</v>
      </c>
      <c r="G142">
        <v>1500081501</v>
      </c>
      <c r="H142" t="s">
        <v>755</v>
      </c>
      <c r="I142" t="s">
        <v>770</v>
      </c>
      <c r="K142" s="143">
        <v>46090</v>
      </c>
      <c r="L142" s="143">
        <v>46035</v>
      </c>
      <c r="M142">
        <v>72025</v>
      </c>
      <c r="N142" t="s">
        <v>771</v>
      </c>
      <c r="O142">
        <v>2001</v>
      </c>
      <c r="S142" t="s">
        <v>777</v>
      </c>
      <c r="T142" t="s">
        <v>772</v>
      </c>
    </row>
    <row r="143" spans="1:20" x14ac:dyDescent="0.25">
      <c r="A143">
        <v>5100423539</v>
      </c>
      <c r="B143">
        <v>62760</v>
      </c>
      <c r="C143" t="s">
        <v>768</v>
      </c>
      <c r="D143" s="143">
        <v>46035</v>
      </c>
      <c r="E143" s="55">
        <v>88042.6</v>
      </c>
      <c r="F143" t="s">
        <v>769</v>
      </c>
      <c r="G143">
        <v>1500081501</v>
      </c>
      <c r="H143" t="s">
        <v>755</v>
      </c>
      <c r="I143" t="s">
        <v>770</v>
      </c>
      <c r="K143" s="143">
        <v>46090</v>
      </c>
      <c r="L143" s="143">
        <v>46035</v>
      </c>
      <c r="M143">
        <v>82025</v>
      </c>
      <c r="N143" t="s">
        <v>771</v>
      </c>
      <c r="O143">
        <v>2001</v>
      </c>
      <c r="S143" t="s">
        <v>777</v>
      </c>
      <c r="T143" t="s">
        <v>772</v>
      </c>
    </row>
    <row r="144" spans="1:20" x14ac:dyDescent="0.25">
      <c r="A144">
        <v>5100423540</v>
      </c>
      <c r="B144">
        <v>62760</v>
      </c>
      <c r="C144" t="s">
        <v>768</v>
      </c>
      <c r="D144" s="143">
        <v>46035</v>
      </c>
      <c r="E144" s="55">
        <v>112563.88</v>
      </c>
      <c r="F144" t="s">
        <v>769</v>
      </c>
      <c r="G144">
        <v>1500081501</v>
      </c>
      <c r="H144" t="s">
        <v>755</v>
      </c>
      <c r="I144" t="s">
        <v>770</v>
      </c>
      <c r="K144" s="143">
        <v>46090</v>
      </c>
      <c r="L144" s="143">
        <v>46035</v>
      </c>
      <c r="M144">
        <v>92025</v>
      </c>
      <c r="N144" t="s">
        <v>771</v>
      </c>
      <c r="O144">
        <v>2001</v>
      </c>
      <c r="S144" t="s">
        <v>777</v>
      </c>
      <c r="T144" t="s">
        <v>772</v>
      </c>
    </row>
    <row r="145" spans="1:20" x14ac:dyDescent="0.25">
      <c r="A145">
        <v>5100423787</v>
      </c>
      <c r="B145">
        <v>81422</v>
      </c>
      <c r="C145" t="s">
        <v>768</v>
      </c>
      <c r="D145" s="143">
        <v>46035</v>
      </c>
      <c r="E145" s="55">
        <v>16365.14</v>
      </c>
      <c r="F145" t="s">
        <v>769</v>
      </c>
      <c r="G145">
        <v>1500084313</v>
      </c>
      <c r="H145" t="s">
        <v>755</v>
      </c>
      <c r="I145" t="s">
        <v>770</v>
      </c>
      <c r="K145" s="143">
        <v>46078</v>
      </c>
      <c r="L145" s="143">
        <v>46035</v>
      </c>
      <c r="M145">
        <v>32025</v>
      </c>
      <c r="N145" t="s">
        <v>771</v>
      </c>
      <c r="O145">
        <v>2001</v>
      </c>
      <c r="S145" t="s">
        <v>782</v>
      </c>
      <c r="T145" t="s">
        <v>772</v>
      </c>
    </row>
    <row r="146" spans="1:20" x14ac:dyDescent="0.25">
      <c r="A146">
        <v>5100423788</v>
      </c>
      <c r="B146">
        <v>81422</v>
      </c>
      <c r="C146" t="s">
        <v>768</v>
      </c>
      <c r="D146" s="143">
        <v>46035</v>
      </c>
      <c r="E146" s="55">
        <v>893320.03</v>
      </c>
      <c r="F146" t="s">
        <v>769</v>
      </c>
      <c r="G146">
        <v>1500084313</v>
      </c>
      <c r="H146" t="s">
        <v>755</v>
      </c>
      <c r="I146" t="s">
        <v>770</v>
      </c>
      <c r="K146" s="143">
        <v>46078</v>
      </c>
      <c r="L146" s="143">
        <v>46035</v>
      </c>
      <c r="M146">
        <v>62025</v>
      </c>
      <c r="N146" t="s">
        <v>771</v>
      </c>
      <c r="O146">
        <v>2001</v>
      </c>
      <c r="S146" t="s">
        <v>782</v>
      </c>
      <c r="T146" t="s">
        <v>772</v>
      </c>
    </row>
    <row r="147" spans="1:20" x14ac:dyDescent="0.25">
      <c r="A147">
        <v>5100423789</v>
      </c>
      <c r="B147">
        <v>81422</v>
      </c>
      <c r="C147" t="s">
        <v>768</v>
      </c>
      <c r="D147" s="143">
        <v>46035</v>
      </c>
      <c r="E147" s="55">
        <v>52303.26</v>
      </c>
      <c r="F147" t="s">
        <v>769</v>
      </c>
      <c r="G147">
        <v>1500084313</v>
      </c>
      <c r="H147" t="s">
        <v>755</v>
      </c>
      <c r="I147" t="s">
        <v>770</v>
      </c>
      <c r="K147" s="143">
        <v>46078</v>
      </c>
      <c r="L147" s="143">
        <v>46035</v>
      </c>
      <c r="M147">
        <v>72025</v>
      </c>
      <c r="N147" t="s">
        <v>771</v>
      </c>
      <c r="O147">
        <v>2001</v>
      </c>
      <c r="S147" t="s">
        <v>782</v>
      </c>
      <c r="T147" t="s">
        <v>772</v>
      </c>
    </row>
    <row r="148" spans="1:20" x14ac:dyDescent="0.25">
      <c r="A148">
        <v>5100423790</v>
      </c>
      <c r="B148">
        <v>81422</v>
      </c>
      <c r="C148" t="s">
        <v>768</v>
      </c>
      <c r="D148" s="143">
        <v>46035</v>
      </c>
      <c r="E148" s="55">
        <v>25393.37</v>
      </c>
      <c r="F148" t="s">
        <v>769</v>
      </c>
      <c r="G148">
        <v>1500084313</v>
      </c>
      <c r="H148" t="s">
        <v>755</v>
      </c>
      <c r="I148" t="s">
        <v>770</v>
      </c>
      <c r="K148" s="143">
        <v>46078</v>
      </c>
      <c r="L148" s="143">
        <v>46035</v>
      </c>
      <c r="M148">
        <v>82025</v>
      </c>
      <c r="N148" t="s">
        <v>771</v>
      </c>
      <c r="O148">
        <v>2001</v>
      </c>
      <c r="S148" t="s">
        <v>782</v>
      </c>
      <c r="T148" t="s">
        <v>772</v>
      </c>
    </row>
    <row r="149" spans="1:20" x14ac:dyDescent="0.25">
      <c r="A149">
        <v>5100423791</v>
      </c>
      <c r="B149">
        <v>81422</v>
      </c>
      <c r="C149" t="s">
        <v>768</v>
      </c>
      <c r="D149" s="143">
        <v>46035</v>
      </c>
      <c r="E149" s="55">
        <v>13032.04</v>
      </c>
      <c r="F149" t="s">
        <v>769</v>
      </c>
      <c r="G149">
        <v>1500084313</v>
      </c>
      <c r="H149" t="s">
        <v>755</v>
      </c>
      <c r="I149" t="s">
        <v>770</v>
      </c>
      <c r="K149" s="143">
        <v>46078</v>
      </c>
      <c r="L149" s="143">
        <v>46035</v>
      </c>
      <c r="M149">
        <v>92025</v>
      </c>
      <c r="N149" t="s">
        <v>771</v>
      </c>
      <c r="O149">
        <v>2001</v>
      </c>
      <c r="S149" t="s">
        <v>782</v>
      </c>
      <c r="T149" t="s">
        <v>772</v>
      </c>
    </row>
    <row r="150" spans="1:20" x14ac:dyDescent="0.25">
      <c r="A150">
        <v>5100423812</v>
      </c>
      <c r="B150">
        <v>82370</v>
      </c>
      <c r="C150" t="s">
        <v>768</v>
      </c>
      <c r="D150" s="143">
        <v>46035</v>
      </c>
      <c r="E150">
        <v>290.31</v>
      </c>
      <c r="F150" t="s">
        <v>769</v>
      </c>
      <c r="G150">
        <v>1500032792</v>
      </c>
      <c r="H150" t="s">
        <v>755</v>
      </c>
      <c r="I150" t="s">
        <v>770</v>
      </c>
      <c r="K150" s="143">
        <v>46083</v>
      </c>
      <c r="L150" s="143">
        <v>46035</v>
      </c>
      <c r="M150">
        <v>12025</v>
      </c>
      <c r="N150" t="s">
        <v>771</v>
      </c>
      <c r="O150">
        <v>2001</v>
      </c>
      <c r="S150">
        <v>0</v>
      </c>
      <c r="T150" t="s">
        <v>772</v>
      </c>
    </row>
    <row r="151" spans="1:20" x14ac:dyDescent="0.25">
      <c r="A151">
        <v>5100423814</v>
      </c>
      <c r="B151">
        <v>82370</v>
      </c>
      <c r="C151" t="s">
        <v>768</v>
      </c>
      <c r="D151" s="143">
        <v>46035</v>
      </c>
      <c r="E151" s="55">
        <v>5714.25</v>
      </c>
      <c r="F151" t="s">
        <v>769</v>
      </c>
      <c r="G151">
        <v>1500032792</v>
      </c>
      <c r="H151" t="s">
        <v>755</v>
      </c>
      <c r="I151" t="s">
        <v>770</v>
      </c>
      <c r="K151" s="143">
        <v>46083</v>
      </c>
      <c r="L151" s="143">
        <v>46035</v>
      </c>
      <c r="M151">
        <v>22025</v>
      </c>
      <c r="N151" t="s">
        <v>771</v>
      </c>
      <c r="O151">
        <v>2001</v>
      </c>
      <c r="S151">
        <v>0</v>
      </c>
      <c r="T151" t="s">
        <v>772</v>
      </c>
    </row>
    <row r="152" spans="1:20" x14ac:dyDescent="0.25">
      <c r="A152">
        <v>5100423813</v>
      </c>
      <c r="B152">
        <v>82370</v>
      </c>
      <c r="C152" t="s">
        <v>768</v>
      </c>
      <c r="D152" s="143">
        <v>46035</v>
      </c>
      <c r="E152" s="55">
        <v>8163.39</v>
      </c>
      <c r="F152" t="s">
        <v>769</v>
      </c>
      <c r="G152">
        <v>1500032792</v>
      </c>
      <c r="H152" t="s">
        <v>755</v>
      </c>
      <c r="I152" t="s">
        <v>770</v>
      </c>
      <c r="K152" s="143">
        <v>46083</v>
      </c>
      <c r="L152" s="143">
        <v>46035</v>
      </c>
      <c r="M152">
        <v>12025</v>
      </c>
      <c r="N152" t="s">
        <v>771</v>
      </c>
      <c r="O152">
        <v>2001</v>
      </c>
      <c r="S152">
        <v>514652</v>
      </c>
      <c r="T152" t="s">
        <v>772</v>
      </c>
    </row>
    <row r="153" spans="1:20" x14ac:dyDescent="0.25">
      <c r="A153">
        <v>5100423815</v>
      </c>
      <c r="B153">
        <v>82370</v>
      </c>
      <c r="C153" t="s">
        <v>768</v>
      </c>
      <c r="D153" s="143">
        <v>46035</v>
      </c>
      <c r="E153" s="55">
        <v>14877.16</v>
      </c>
      <c r="F153" t="s">
        <v>769</v>
      </c>
      <c r="G153">
        <v>1500032792</v>
      </c>
      <c r="H153" t="s">
        <v>755</v>
      </c>
      <c r="I153" t="s">
        <v>770</v>
      </c>
      <c r="K153" s="143">
        <v>46083</v>
      </c>
      <c r="L153" s="143">
        <v>46035</v>
      </c>
      <c r="M153">
        <v>22025</v>
      </c>
      <c r="N153" t="s">
        <v>771</v>
      </c>
      <c r="O153">
        <v>2001</v>
      </c>
      <c r="S153">
        <v>514652</v>
      </c>
      <c r="T153" t="s">
        <v>772</v>
      </c>
    </row>
    <row r="154" spans="1:20" x14ac:dyDescent="0.25">
      <c r="A154">
        <v>5100423816</v>
      </c>
      <c r="B154">
        <v>82370</v>
      </c>
      <c r="C154" t="s">
        <v>768</v>
      </c>
      <c r="D154" s="143">
        <v>46035</v>
      </c>
      <c r="E154" s="55">
        <v>104795.1</v>
      </c>
      <c r="F154" t="s">
        <v>769</v>
      </c>
      <c r="G154">
        <v>1500032792</v>
      </c>
      <c r="H154" t="s">
        <v>755</v>
      </c>
      <c r="I154" t="s">
        <v>770</v>
      </c>
      <c r="K154" s="143">
        <v>46083</v>
      </c>
      <c r="L154" s="143">
        <v>46035</v>
      </c>
      <c r="M154">
        <v>22025</v>
      </c>
      <c r="N154" t="s">
        <v>771</v>
      </c>
      <c r="O154">
        <v>2001</v>
      </c>
      <c r="S154">
        <v>514652</v>
      </c>
      <c r="T154" t="s">
        <v>772</v>
      </c>
    </row>
    <row r="155" spans="1:20" x14ac:dyDescent="0.25">
      <c r="A155">
        <v>5100423818</v>
      </c>
      <c r="B155">
        <v>82370</v>
      </c>
      <c r="C155" t="s">
        <v>768</v>
      </c>
      <c r="D155" s="143">
        <v>46035</v>
      </c>
      <c r="E155" s="55">
        <v>3839.76</v>
      </c>
      <c r="F155" t="s">
        <v>769</v>
      </c>
      <c r="G155">
        <v>1500032792</v>
      </c>
      <c r="H155" t="s">
        <v>755</v>
      </c>
      <c r="I155" t="s">
        <v>770</v>
      </c>
      <c r="K155" s="143">
        <v>46083</v>
      </c>
      <c r="L155" s="143">
        <v>46035</v>
      </c>
      <c r="M155">
        <v>32025</v>
      </c>
      <c r="N155" t="s">
        <v>771</v>
      </c>
      <c r="O155">
        <v>2001</v>
      </c>
      <c r="S155">
        <v>514652</v>
      </c>
      <c r="T155" t="s">
        <v>772</v>
      </c>
    </row>
    <row r="156" spans="1:20" x14ac:dyDescent="0.25">
      <c r="A156">
        <v>5100423819</v>
      </c>
      <c r="B156">
        <v>82370</v>
      </c>
      <c r="C156" t="s">
        <v>768</v>
      </c>
      <c r="D156" s="143">
        <v>46035</v>
      </c>
      <c r="E156" s="55">
        <v>8822.1</v>
      </c>
      <c r="F156" t="s">
        <v>769</v>
      </c>
      <c r="G156">
        <v>1500032792</v>
      </c>
      <c r="H156" t="s">
        <v>755</v>
      </c>
      <c r="I156" t="s">
        <v>770</v>
      </c>
      <c r="K156" s="143">
        <v>46083</v>
      </c>
      <c r="L156" s="143">
        <v>46035</v>
      </c>
      <c r="M156">
        <v>32025</v>
      </c>
      <c r="N156" t="s">
        <v>771</v>
      </c>
      <c r="O156">
        <v>2001</v>
      </c>
      <c r="S156">
        <v>514652</v>
      </c>
      <c r="T156" t="s">
        <v>772</v>
      </c>
    </row>
    <row r="157" spans="1:20" x14ac:dyDescent="0.25">
      <c r="A157">
        <v>5100423820</v>
      </c>
      <c r="B157">
        <v>82370</v>
      </c>
      <c r="C157" t="s">
        <v>768</v>
      </c>
      <c r="D157" s="143">
        <v>46035</v>
      </c>
      <c r="E157" s="55">
        <v>1540.87</v>
      </c>
      <c r="F157" t="s">
        <v>769</v>
      </c>
      <c r="G157">
        <v>1500032792</v>
      </c>
      <c r="H157" t="s">
        <v>755</v>
      </c>
      <c r="I157" t="s">
        <v>770</v>
      </c>
      <c r="K157" s="143">
        <v>46083</v>
      </c>
      <c r="L157" s="143">
        <v>46035</v>
      </c>
      <c r="M157">
        <v>42025</v>
      </c>
      <c r="N157" t="s">
        <v>771</v>
      </c>
      <c r="O157">
        <v>2001</v>
      </c>
      <c r="S157">
        <v>514652</v>
      </c>
      <c r="T157" t="s">
        <v>772</v>
      </c>
    </row>
    <row r="158" spans="1:20" x14ac:dyDescent="0.25">
      <c r="A158">
        <v>5100423822</v>
      </c>
      <c r="B158">
        <v>82370</v>
      </c>
      <c r="C158" t="s">
        <v>768</v>
      </c>
      <c r="D158" s="143">
        <v>46035</v>
      </c>
      <c r="E158" s="55">
        <v>17435.580000000002</v>
      </c>
      <c r="F158" t="s">
        <v>769</v>
      </c>
      <c r="G158">
        <v>1500032792</v>
      </c>
      <c r="H158" t="s">
        <v>755</v>
      </c>
      <c r="I158" t="s">
        <v>770</v>
      </c>
      <c r="K158" s="143">
        <v>46083</v>
      </c>
      <c r="L158" s="143">
        <v>46035</v>
      </c>
      <c r="M158">
        <v>52025</v>
      </c>
      <c r="N158" t="s">
        <v>771</v>
      </c>
      <c r="O158">
        <v>2001</v>
      </c>
      <c r="S158">
        <v>514652</v>
      </c>
      <c r="T158" t="s">
        <v>772</v>
      </c>
    </row>
    <row r="159" spans="1:20" x14ac:dyDescent="0.25">
      <c r="A159">
        <v>5100423823</v>
      </c>
      <c r="B159">
        <v>82370</v>
      </c>
      <c r="C159" t="s">
        <v>768</v>
      </c>
      <c r="D159" s="143">
        <v>46035</v>
      </c>
      <c r="E159" s="55">
        <v>38196.76</v>
      </c>
      <c r="F159" t="s">
        <v>769</v>
      </c>
      <c r="G159">
        <v>1500032792</v>
      </c>
      <c r="H159" t="s">
        <v>755</v>
      </c>
      <c r="I159" t="s">
        <v>770</v>
      </c>
      <c r="K159" s="143">
        <v>46083</v>
      </c>
      <c r="L159" s="143">
        <v>46035</v>
      </c>
      <c r="M159">
        <v>52025</v>
      </c>
      <c r="N159" t="s">
        <v>771</v>
      </c>
      <c r="O159">
        <v>2001</v>
      </c>
      <c r="S159">
        <v>514652</v>
      </c>
      <c r="T159" t="s">
        <v>772</v>
      </c>
    </row>
    <row r="160" spans="1:20" x14ac:dyDescent="0.25">
      <c r="A160">
        <v>5100423825</v>
      </c>
      <c r="B160">
        <v>82370</v>
      </c>
      <c r="C160" t="s">
        <v>768</v>
      </c>
      <c r="D160" s="143">
        <v>46035</v>
      </c>
      <c r="E160" s="55">
        <v>5535.31</v>
      </c>
      <c r="F160" t="s">
        <v>769</v>
      </c>
      <c r="G160">
        <v>1500032792</v>
      </c>
      <c r="H160" t="s">
        <v>755</v>
      </c>
      <c r="I160" t="s">
        <v>770</v>
      </c>
      <c r="K160" s="143">
        <v>46083</v>
      </c>
      <c r="L160" s="143">
        <v>46035</v>
      </c>
      <c r="M160">
        <v>62025</v>
      </c>
      <c r="N160" t="s">
        <v>771</v>
      </c>
      <c r="O160">
        <v>2001</v>
      </c>
      <c r="S160">
        <v>514652</v>
      </c>
      <c r="T160" t="s">
        <v>772</v>
      </c>
    </row>
    <row r="161" spans="1:20" x14ac:dyDescent="0.25">
      <c r="A161">
        <v>5100423826</v>
      </c>
      <c r="B161">
        <v>82370</v>
      </c>
      <c r="C161" t="s">
        <v>768</v>
      </c>
      <c r="D161" s="143">
        <v>46035</v>
      </c>
      <c r="E161" s="55">
        <v>123635.65</v>
      </c>
      <c r="F161" t="s">
        <v>769</v>
      </c>
      <c r="G161">
        <v>1500032792</v>
      </c>
      <c r="H161" t="s">
        <v>755</v>
      </c>
      <c r="I161" t="s">
        <v>770</v>
      </c>
      <c r="K161" s="143">
        <v>46083</v>
      </c>
      <c r="L161" s="143">
        <v>46035</v>
      </c>
      <c r="M161">
        <v>62025</v>
      </c>
      <c r="N161" t="s">
        <v>771</v>
      </c>
      <c r="O161">
        <v>2001</v>
      </c>
      <c r="S161">
        <v>514652</v>
      </c>
      <c r="T161" t="s">
        <v>772</v>
      </c>
    </row>
    <row r="162" spans="1:20" x14ac:dyDescent="0.25">
      <c r="A162">
        <v>5100423827</v>
      </c>
      <c r="B162">
        <v>82370</v>
      </c>
      <c r="C162" t="s">
        <v>768</v>
      </c>
      <c r="D162" s="143">
        <v>46035</v>
      </c>
      <c r="E162">
        <v>377.21</v>
      </c>
      <c r="F162" t="s">
        <v>769</v>
      </c>
      <c r="G162">
        <v>1500032792</v>
      </c>
      <c r="H162" t="s">
        <v>755</v>
      </c>
      <c r="I162" t="s">
        <v>770</v>
      </c>
      <c r="K162" s="143">
        <v>46083</v>
      </c>
      <c r="L162" s="143">
        <v>46035</v>
      </c>
      <c r="M162">
        <v>72025</v>
      </c>
      <c r="N162" t="s">
        <v>771</v>
      </c>
      <c r="O162">
        <v>2001</v>
      </c>
      <c r="S162">
        <v>514652</v>
      </c>
      <c r="T162" t="s">
        <v>772</v>
      </c>
    </row>
    <row r="163" spans="1:20" x14ac:dyDescent="0.25">
      <c r="A163">
        <v>5100423828</v>
      </c>
      <c r="B163">
        <v>82370</v>
      </c>
      <c r="C163" t="s">
        <v>768</v>
      </c>
      <c r="D163" s="143">
        <v>46035</v>
      </c>
      <c r="E163">
        <v>438.67</v>
      </c>
      <c r="F163" t="s">
        <v>769</v>
      </c>
      <c r="G163">
        <v>1500032792</v>
      </c>
      <c r="H163" t="s">
        <v>755</v>
      </c>
      <c r="I163" t="s">
        <v>770</v>
      </c>
      <c r="K163" s="143">
        <v>46083</v>
      </c>
      <c r="L163" s="143">
        <v>46035</v>
      </c>
      <c r="M163">
        <v>72025</v>
      </c>
      <c r="N163" t="s">
        <v>771</v>
      </c>
      <c r="O163">
        <v>2001</v>
      </c>
      <c r="S163">
        <v>514652</v>
      </c>
      <c r="T163" t="s">
        <v>772</v>
      </c>
    </row>
    <row r="164" spans="1:20" x14ac:dyDescent="0.25">
      <c r="A164">
        <v>5100423830</v>
      </c>
      <c r="B164">
        <v>82370</v>
      </c>
      <c r="C164" t="s">
        <v>768</v>
      </c>
      <c r="D164" s="143">
        <v>46035</v>
      </c>
      <c r="E164" s="55">
        <v>5955.12</v>
      </c>
      <c r="F164" t="s">
        <v>769</v>
      </c>
      <c r="G164">
        <v>1500032792</v>
      </c>
      <c r="H164" t="s">
        <v>755</v>
      </c>
      <c r="I164" t="s">
        <v>770</v>
      </c>
      <c r="K164" s="143">
        <v>46083</v>
      </c>
      <c r="L164" s="143">
        <v>46035</v>
      </c>
      <c r="M164">
        <v>82025</v>
      </c>
      <c r="N164" t="s">
        <v>771</v>
      </c>
      <c r="O164">
        <v>2001</v>
      </c>
      <c r="S164">
        <v>514652</v>
      </c>
      <c r="T164" t="s">
        <v>772</v>
      </c>
    </row>
    <row r="165" spans="1:20" x14ac:dyDescent="0.25">
      <c r="A165">
        <v>5100423831</v>
      </c>
      <c r="B165">
        <v>82370</v>
      </c>
      <c r="C165" t="s">
        <v>768</v>
      </c>
      <c r="D165" s="143">
        <v>46035</v>
      </c>
      <c r="E165">
        <v>819.27</v>
      </c>
      <c r="F165" t="s">
        <v>769</v>
      </c>
      <c r="G165">
        <v>1500032792</v>
      </c>
      <c r="H165" t="s">
        <v>755</v>
      </c>
      <c r="I165" t="s">
        <v>770</v>
      </c>
      <c r="K165" s="143">
        <v>46083</v>
      </c>
      <c r="L165" s="143">
        <v>46035</v>
      </c>
      <c r="M165">
        <v>92025</v>
      </c>
      <c r="N165" t="s">
        <v>771</v>
      </c>
      <c r="O165">
        <v>2001</v>
      </c>
      <c r="S165">
        <v>514652</v>
      </c>
      <c r="T165" t="s">
        <v>772</v>
      </c>
    </row>
    <row r="166" spans="1:20" x14ac:dyDescent="0.25">
      <c r="A166">
        <v>5100423817</v>
      </c>
      <c r="B166">
        <v>82370</v>
      </c>
      <c r="C166" t="s">
        <v>768</v>
      </c>
      <c r="D166" s="143">
        <v>46035</v>
      </c>
      <c r="E166" s="55">
        <v>17528.3</v>
      </c>
      <c r="F166" t="s">
        <v>769</v>
      </c>
      <c r="G166">
        <v>1500032792</v>
      </c>
      <c r="H166" t="s">
        <v>755</v>
      </c>
      <c r="I166" t="s">
        <v>770</v>
      </c>
      <c r="K166" s="143">
        <v>46083</v>
      </c>
      <c r="L166" s="143">
        <v>46035</v>
      </c>
      <c r="M166">
        <v>22025</v>
      </c>
      <c r="N166" t="s">
        <v>771</v>
      </c>
      <c r="O166">
        <v>2001</v>
      </c>
      <c r="S166">
        <v>525525</v>
      </c>
      <c r="T166" t="s">
        <v>772</v>
      </c>
    </row>
    <row r="167" spans="1:20" x14ac:dyDescent="0.25">
      <c r="A167">
        <v>5100423821</v>
      </c>
      <c r="B167">
        <v>82370</v>
      </c>
      <c r="C167" t="s">
        <v>768</v>
      </c>
      <c r="D167" s="143">
        <v>46035</v>
      </c>
      <c r="E167" s="55">
        <v>1479.28</v>
      </c>
      <c r="F167" t="s">
        <v>769</v>
      </c>
      <c r="G167">
        <v>1500032792</v>
      </c>
      <c r="H167" t="s">
        <v>755</v>
      </c>
      <c r="I167" t="s">
        <v>770</v>
      </c>
      <c r="K167" s="143">
        <v>46083</v>
      </c>
      <c r="L167" s="143">
        <v>46035</v>
      </c>
      <c r="M167">
        <v>42025</v>
      </c>
      <c r="N167" t="s">
        <v>771</v>
      </c>
      <c r="O167">
        <v>2001</v>
      </c>
      <c r="S167">
        <v>525525</v>
      </c>
      <c r="T167" t="s">
        <v>772</v>
      </c>
    </row>
    <row r="168" spans="1:20" x14ac:dyDescent="0.25">
      <c r="A168">
        <v>5100423824</v>
      </c>
      <c r="B168">
        <v>82370</v>
      </c>
      <c r="C168" t="s">
        <v>768</v>
      </c>
      <c r="D168" s="143">
        <v>46035</v>
      </c>
      <c r="E168" s="55">
        <v>79112.09</v>
      </c>
      <c r="F168" t="s">
        <v>769</v>
      </c>
      <c r="G168">
        <v>1500032792</v>
      </c>
      <c r="H168" t="s">
        <v>755</v>
      </c>
      <c r="I168" t="s">
        <v>770</v>
      </c>
      <c r="K168" s="143">
        <v>46083</v>
      </c>
      <c r="L168" s="143">
        <v>46035</v>
      </c>
      <c r="M168">
        <v>52025</v>
      </c>
      <c r="N168" t="s">
        <v>771</v>
      </c>
      <c r="O168">
        <v>2001</v>
      </c>
      <c r="S168">
        <v>525525</v>
      </c>
      <c r="T168" t="s">
        <v>772</v>
      </c>
    </row>
    <row r="169" spans="1:20" x14ac:dyDescent="0.25">
      <c r="A169">
        <v>5100423829</v>
      </c>
      <c r="B169">
        <v>82370</v>
      </c>
      <c r="C169" t="s">
        <v>768</v>
      </c>
      <c r="D169" s="143">
        <v>46035</v>
      </c>
      <c r="E169" s="55">
        <v>111569.63</v>
      </c>
      <c r="F169" t="s">
        <v>769</v>
      </c>
      <c r="G169">
        <v>1500032792</v>
      </c>
      <c r="H169" t="s">
        <v>755</v>
      </c>
      <c r="I169" t="s">
        <v>770</v>
      </c>
      <c r="K169" s="143">
        <v>46083</v>
      </c>
      <c r="L169" s="143">
        <v>46035</v>
      </c>
      <c r="M169">
        <v>72025</v>
      </c>
      <c r="N169" t="s">
        <v>771</v>
      </c>
      <c r="O169">
        <v>2001</v>
      </c>
      <c r="S169">
        <v>525525</v>
      </c>
      <c r="T169" t="s">
        <v>772</v>
      </c>
    </row>
    <row r="170" spans="1:20" x14ac:dyDescent="0.25">
      <c r="A170">
        <v>5100423884</v>
      </c>
      <c r="B170">
        <v>85902</v>
      </c>
      <c r="C170" t="s">
        <v>768</v>
      </c>
      <c r="D170" s="143">
        <v>46035</v>
      </c>
      <c r="E170" s="55">
        <v>89924.94</v>
      </c>
      <c r="F170" t="s">
        <v>769</v>
      </c>
      <c r="G170">
        <v>1500038773</v>
      </c>
      <c r="H170" t="s">
        <v>755</v>
      </c>
      <c r="I170" t="s">
        <v>770</v>
      </c>
      <c r="K170" s="143">
        <v>46069</v>
      </c>
      <c r="L170" s="143">
        <v>46035</v>
      </c>
      <c r="M170">
        <v>82025</v>
      </c>
      <c r="N170" t="s">
        <v>771</v>
      </c>
      <c r="O170">
        <v>2001</v>
      </c>
      <c r="S170">
        <v>0</v>
      </c>
      <c r="T170" t="s">
        <v>772</v>
      </c>
    </row>
    <row r="171" spans="1:20" x14ac:dyDescent="0.25">
      <c r="A171">
        <v>5100423879</v>
      </c>
      <c r="B171">
        <v>85902</v>
      </c>
      <c r="C171" t="s">
        <v>768</v>
      </c>
      <c r="D171" s="143">
        <v>46035</v>
      </c>
      <c r="E171">
        <v>469.72</v>
      </c>
      <c r="F171" t="s">
        <v>769</v>
      </c>
      <c r="G171">
        <v>1500038773</v>
      </c>
      <c r="H171" t="s">
        <v>755</v>
      </c>
      <c r="I171" t="s">
        <v>770</v>
      </c>
      <c r="K171" s="143">
        <v>46069</v>
      </c>
      <c r="L171" s="143">
        <v>46035</v>
      </c>
      <c r="M171">
        <v>22025</v>
      </c>
      <c r="N171" t="s">
        <v>771</v>
      </c>
      <c r="O171">
        <v>2001</v>
      </c>
      <c r="S171">
        <v>514658</v>
      </c>
      <c r="T171" t="s">
        <v>772</v>
      </c>
    </row>
    <row r="172" spans="1:20" x14ac:dyDescent="0.25">
      <c r="A172">
        <v>5100423880</v>
      </c>
      <c r="B172">
        <v>85902</v>
      </c>
      <c r="C172" t="s">
        <v>768</v>
      </c>
      <c r="D172" s="143">
        <v>46035</v>
      </c>
      <c r="E172" s="55">
        <v>34904.410000000003</v>
      </c>
      <c r="F172" t="s">
        <v>769</v>
      </c>
      <c r="G172">
        <v>1500038773</v>
      </c>
      <c r="H172" t="s">
        <v>755</v>
      </c>
      <c r="I172" t="s">
        <v>770</v>
      </c>
      <c r="K172" s="143">
        <v>46069</v>
      </c>
      <c r="L172" s="143">
        <v>46035</v>
      </c>
      <c r="M172">
        <v>42025</v>
      </c>
      <c r="N172" t="s">
        <v>771</v>
      </c>
      <c r="O172">
        <v>2001</v>
      </c>
      <c r="S172">
        <v>514658</v>
      </c>
      <c r="T172" t="s">
        <v>772</v>
      </c>
    </row>
    <row r="173" spans="1:20" x14ac:dyDescent="0.25">
      <c r="A173">
        <v>5100423881</v>
      </c>
      <c r="B173">
        <v>85902</v>
      </c>
      <c r="C173" t="s">
        <v>768</v>
      </c>
      <c r="D173" s="143">
        <v>46035</v>
      </c>
      <c r="E173">
        <v>111</v>
      </c>
      <c r="F173" t="s">
        <v>769</v>
      </c>
      <c r="G173">
        <v>1500038773</v>
      </c>
      <c r="H173" t="s">
        <v>755</v>
      </c>
      <c r="I173" t="s">
        <v>770</v>
      </c>
      <c r="K173" s="143">
        <v>46069</v>
      </c>
      <c r="L173" s="143">
        <v>46035</v>
      </c>
      <c r="M173">
        <v>52025</v>
      </c>
      <c r="N173" t="s">
        <v>771</v>
      </c>
      <c r="O173">
        <v>2001</v>
      </c>
      <c r="S173">
        <v>514658</v>
      </c>
      <c r="T173" t="s">
        <v>772</v>
      </c>
    </row>
    <row r="174" spans="1:20" x14ac:dyDescent="0.25">
      <c r="A174">
        <v>5100423882</v>
      </c>
      <c r="B174">
        <v>85902</v>
      </c>
      <c r="C174" t="s">
        <v>768</v>
      </c>
      <c r="D174" s="143">
        <v>46035</v>
      </c>
      <c r="E174" s="55">
        <v>700573.04</v>
      </c>
      <c r="F174" t="s">
        <v>769</v>
      </c>
      <c r="G174">
        <v>1500038773</v>
      </c>
      <c r="H174" t="s">
        <v>755</v>
      </c>
      <c r="I174" t="s">
        <v>770</v>
      </c>
      <c r="K174" s="143">
        <v>46069</v>
      </c>
      <c r="L174" s="143">
        <v>46035</v>
      </c>
      <c r="M174">
        <v>62025</v>
      </c>
      <c r="N174" t="s">
        <v>771</v>
      </c>
      <c r="O174">
        <v>2001</v>
      </c>
      <c r="S174">
        <v>514658</v>
      </c>
      <c r="T174" t="s">
        <v>772</v>
      </c>
    </row>
    <row r="175" spans="1:20" x14ac:dyDescent="0.25">
      <c r="A175">
        <v>5100423883</v>
      </c>
      <c r="B175">
        <v>85902</v>
      </c>
      <c r="C175" t="s">
        <v>768</v>
      </c>
      <c r="D175" s="143">
        <v>46035</v>
      </c>
      <c r="E175" s="55">
        <v>9929.0300000000007</v>
      </c>
      <c r="F175" t="s">
        <v>769</v>
      </c>
      <c r="G175">
        <v>1500038773</v>
      </c>
      <c r="H175" t="s">
        <v>755</v>
      </c>
      <c r="I175" t="s">
        <v>770</v>
      </c>
      <c r="K175" s="143">
        <v>46069</v>
      </c>
      <c r="L175" s="143">
        <v>46035</v>
      </c>
      <c r="M175">
        <v>72025</v>
      </c>
      <c r="N175" t="s">
        <v>771</v>
      </c>
      <c r="O175">
        <v>2001</v>
      </c>
      <c r="S175">
        <v>514658</v>
      </c>
      <c r="T175" t="s">
        <v>772</v>
      </c>
    </row>
    <row r="176" spans="1:20" x14ac:dyDescent="0.25">
      <c r="A176">
        <v>5100423885</v>
      </c>
      <c r="B176">
        <v>85902</v>
      </c>
      <c r="C176" t="s">
        <v>768</v>
      </c>
      <c r="D176" s="143">
        <v>46035</v>
      </c>
      <c r="E176" s="55">
        <v>5846.49</v>
      </c>
      <c r="F176" t="s">
        <v>769</v>
      </c>
      <c r="G176">
        <v>1500038773</v>
      </c>
      <c r="H176" t="s">
        <v>755</v>
      </c>
      <c r="I176" t="s">
        <v>770</v>
      </c>
      <c r="K176" s="143">
        <v>46069</v>
      </c>
      <c r="L176" s="143">
        <v>46035</v>
      </c>
      <c r="M176">
        <v>82025</v>
      </c>
      <c r="N176" t="s">
        <v>771</v>
      </c>
      <c r="O176">
        <v>2001</v>
      </c>
      <c r="S176">
        <v>514658</v>
      </c>
      <c r="T176" t="s">
        <v>772</v>
      </c>
    </row>
    <row r="177" spans="1:20" x14ac:dyDescent="0.25">
      <c r="A177">
        <v>5100422276</v>
      </c>
      <c r="B177">
        <v>306571</v>
      </c>
      <c r="C177" t="s">
        <v>768</v>
      </c>
      <c r="D177" s="143">
        <v>46035</v>
      </c>
      <c r="E177">
        <v>47.86</v>
      </c>
      <c r="F177" t="s">
        <v>769</v>
      </c>
      <c r="G177">
        <v>1500074631</v>
      </c>
      <c r="H177" t="s">
        <v>755</v>
      </c>
      <c r="I177" t="s">
        <v>770</v>
      </c>
      <c r="K177" s="143">
        <v>46069</v>
      </c>
      <c r="L177" s="143">
        <v>46035</v>
      </c>
      <c r="M177">
        <v>12025</v>
      </c>
      <c r="N177" t="s">
        <v>771</v>
      </c>
      <c r="O177">
        <v>2001</v>
      </c>
      <c r="S177" t="s">
        <v>783</v>
      </c>
      <c r="T177" t="s">
        <v>772</v>
      </c>
    </row>
    <row r="178" spans="1:20" x14ac:dyDescent="0.25">
      <c r="A178">
        <v>5100422277</v>
      </c>
      <c r="B178">
        <v>306571</v>
      </c>
      <c r="C178" t="s">
        <v>768</v>
      </c>
      <c r="D178" s="143">
        <v>46035</v>
      </c>
      <c r="E178">
        <v>183.33</v>
      </c>
      <c r="F178" t="s">
        <v>769</v>
      </c>
      <c r="G178">
        <v>1500074631</v>
      </c>
      <c r="H178" t="s">
        <v>755</v>
      </c>
      <c r="I178" t="s">
        <v>770</v>
      </c>
      <c r="K178" s="143">
        <v>46069</v>
      </c>
      <c r="L178" s="143">
        <v>46035</v>
      </c>
      <c r="M178">
        <v>12025</v>
      </c>
      <c r="N178" t="s">
        <v>771</v>
      </c>
      <c r="O178">
        <v>2001</v>
      </c>
      <c r="S178" t="s">
        <v>783</v>
      </c>
      <c r="T178" t="s">
        <v>772</v>
      </c>
    </row>
    <row r="179" spans="1:20" x14ac:dyDescent="0.25">
      <c r="A179">
        <v>5100422278</v>
      </c>
      <c r="B179">
        <v>306571</v>
      </c>
      <c r="C179" t="s">
        <v>768</v>
      </c>
      <c r="D179" s="143">
        <v>46035</v>
      </c>
      <c r="E179" s="55">
        <v>41984.63</v>
      </c>
      <c r="F179" t="s">
        <v>769</v>
      </c>
      <c r="G179">
        <v>1500074631</v>
      </c>
      <c r="H179" t="s">
        <v>755</v>
      </c>
      <c r="I179" t="s">
        <v>770</v>
      </c>
      <c r="K179" s="143">
        <v>46069</v>
      </c>
      <c r="L179" s="143">
        <v>46035</v>
      </c>
      <c r="M179">
        <v>22025</v>
      </c>
      <c r="N179" t="s">
        <v>771</v>
      </c>
      <c r="O179">
        <v>2001</v>
      </c>
      <c r="S179" t="s">
        <v>783</v>
      </c>
      <c r="T179" t="s">
        <v>772</v>
      </c>
    </row>
    <row r="180" spans="1:20" x14ac:dyDescent="0.25">
      <c r="A180">
        <v>5100422279</v>
      </c>
      <c r="B180">
        <v>306571</v>
      </c>
      <c r="C180" t="s">
        <v>768</v>
      </c>
      <c r="D180" s="143">
        <v>46035</v>
      </c>
      <c r="E180" s="55">
        <v>72767.38</v>
      </c>
      <c r="F180" t="s">
        <v>769</v>
      </c>
      <c r="G180">
        <v>1500074631</v>
      </c>
      <c r="H180" t="s">
        <v>755</v>
      </c>
      <c r="I180" t="s">
        <v>770</v>
      </c>
      <c r="K180" s="143">
        <v>46069</v>
      </c>
      <c r="L180" s="143">
        <v>46035</v>
      </c>
      <c r="M180">
        <v>22025</v>
      </c>
      <c r="N180" t="s">
        <v>771</v>
      </c>
      <c r="O180">
        <v>2001</v>
      </c>
      <c r="S180" t="s">
        <v>783</v>
      </c>
      <c r="T180" t="s">
        <v>772</v>
      </c>
    </row>
    <row r="181" spans="1:20" x14ac:dyDescent="0.25">
      <c r="A181">
        <v>5100422280</v>
      </c>
      <c r="B181">
        <v>306571</v>
      </c>
      <c r="C181" t="s">
        <v>768</v>
      </c>
      <c r="D181" s="143">
        <v>46035</v>
      </c>
      <c r="E181" s="55">
        <v>26845.47</v>
      </c>
      <c r="F181" t="s">
        <v>769</v>
      </c>
      <c r="G181">
        <v>1500074631</v>
      </c>
      <c r="H181" t="s">
        <v>755</v>
      </c>
      <c r="I181" t="s">
        <v>770</v>
      </c>
      <c r="K181" s="143">
        <v>46069</v>
      </c>
      <c r="L181" s="143">
        <v>46035</v>
      </c>
      <c r="M181">
        <v>32025</v>
      </c>
      <c r="N181" t="s">
        <v>771</v>
      </c>
      <c r="O181">
        <v>2001</v>
      </c>
      <c r="S181" t="s">
        <v>783</v>
      </c>
      <c r="T181" t="s">
        <v>772</v>
      </c>
    </row>
    <row r="182" spans="1:20" x14ac:dyDescent="0.25">
      <c r="A182">
        <v>5100422281</v>
      </c>
      <c r="B182">
        <v>306571</v>
      </c>
      <c r="C182" t="s">
        <v>768</v>
      </c>
      <c r="D182" s="143">
        <v>46035</v>
      </c>
      <c r="E182" s="55">
        <v>64866.96</v>
      </c>
      <c r="F182" t="s">
        <v>769</v>
      </c>
      <c r="G182">
        <v>1500074631</v>
      </c>
      <c r="H182" t="s">
        <v>755</v>
      </c>
      <c r="I182" t="s">
        <v>770</v>
      </c>
      <c r="K182" s="143">
        <v>46069</v>
      </c>
      <c r="L182" s="143">
        <v>46035</v>
      </c>
      <c r="M182">
        <v>32025</v>
      </c>
      <c r="N182" t="s">
        <v>771</v>
      </c>
      <c r="O182">
        <v>2001</v>
      </c>
      <c r="S182" t="s">
        <v>783</v>
      </c>
      <c r="T182" t="s">
        <v>772</v>
      </c>
    </row>
    <row r="183" spans="1:20" x14ac:dyDescent="0.25">
      <c r="A183">
        <v>5100422282</v>
      </c>
      <c r="B183">
        <v>306571</v>
      </c>
      <c r="C183" t="s">
        <v>768</v>
      </c>
      <c r="D183" s="143">
        <v>46035</v>
      </c>
      <c r="E183" s="55">
        <v>17271.71</v>
      </c>
      <c r="F183" t="s">
        <v>769</v>
      </c>
      <c r="G183">
        <v>1500074631</v>
      </c>
      <c r="H183" t="s">
        <v>755</v>
      </c>
      <c r="I183" t="s">
        <v>770</v>
      </c>
      <c r="K183" s="143">
        <v>46069</v>
      </c>
      <c r="L183" s="143">
        <v>46035</v>
      </c>
      <c r="M183">
        <v>42025</v>
      </c>
      <c r="N183" t="s">
        <v>771</v>
      </c>
      <c r="O183">
        <v>2001</v>
      </c>
      <c r="S183" t="s">
        <v>783</v>
      </c>
      <c r="T183" t="s">
        <v>772</v>
      </c>
    </row>
    <row r="184" spans="1:20" x14ac:dyDescent="0.25">
      <c r="A184">
        <v>5100422283</v>
      </c>
      <c r="B184">
        <v>306571</v>
      </c>
      <c r="C184" t="s">
        <v>768</v>
      </c>
      <c r="D184" s="143">
        <v>46035</v>
      </c>
      <c r="E184" s="55">
        <v>106639.9</v>
      </c>
      <c r="F184" t="s">
        <v>769</v>
      </c>
      <c r="G184">
        <v>1500074631</v>
      </c>
      <c r="H184" t="s">
        <v>755</v>
      </c>
      <c r="I184" t="s">
        <v>770</v>
      </c>
      <c r="K184" s="143">
        <v>46069</v>
      </c>
      <c r="L184" s="143">
        <v>46035</v>
      </c>
      <c r="M184">
        <v>42025</v>
      </c>
      <c r="N184" t="s">
        <v>771</v>
      </c>
      <c r="O184">
        <v>2001</v>
      </c>
      <c r="S184" t="s">
        <v>783</v>
      </c>
      <c r="T184" t="s">
        <v>772</v>
      </c>
    </row>
    <row r="185" spans="1:20" x14ac:dyDescent="0.25">
      <c r="A185">
        <v>5100422284</v>
      </c>
      <c r="B185">
        <v>306571</v>
      </c>
      <c r="C185" t="s">
        <v>768</v>
      </c>
      <c r="D185" s="143">
        <v>46035</v>
      </c>
      <c r="E185" s="55">
        <v>65962.259999999995</v>
      </c>
      <c r="F185" t="s">
        <v>769</v>
      </c>
      <c r="G185">
        <v>1500074631</v>
      </c>
      <c r="H185" t="s">
        <v>755</v>
      </c>
      <c r="I185" t="s">
        <v>770</v>
      </c>
      <c r="K185" s="143">
        <v>46069</v>
      </c>
      <c r="L185" s="143">
        <v>46035</v>
      </c>
      <c r="M185">
        <v>52025</v>
      </c>
      <c r="N185" t="s">
        <v>771</v>
      </c>
      <c r="O185">
        <v>2001</v>
      </c>
      <c r="S185" t="s">
        <v>783</v>
      </c>
      <c r="T185" t="s">
        <v>772</v>
      </c>
    </row>
    <row r="186" spans="1:20" x14ac:dyDescent="0.25">
      <c r="A186">
        <v>5100422285</v>
      </c>
      <c r="B186">
        <v>306571</v>
      </c>
      <c r="C186" t="s">
        <v>768</v>
      </c>
      <c r="D186" s="143">
        <v>46035</v>
      </c>
      <c r="E186" s="55">
        <v>141826.37</v>
      </c>
      <c r="F186" t="s">
        <v>769</v>
      </c>
      <c r="G186">
        <v>1500074631</v>
      </c>
      <c r="H186" t="s">
        <v>755</v>
      </c>
      <c r="I186" t="s">
        <v>770</v>
      </c>
      <c r="K186" s="143">
        <v>46069</v>
      </c>
      <c r="L186" s="143">
        <v>46035</v>
      </c>
      <c r="M186">
        <v>52025</v>
      </c>
      <c r="N186" t="s">
        <v>771</v>
      </c>
      <c r="O186">
        <v>2001</v>
      </c>
      <c r="S186" t="s">
        <v>783</v>
      </c>
      <c r="T186" t="s">
        <v>772</v>
      </c>
    </row>
    <row r="187" spans="1:20" x14ac:dyDescent="0.25">
      <c r="A187">
        <v>5100422286</v>
      </c>
      <c r="B187">
        <v>306571</v>
      </c>
      <c r="C187" t="s">
        <v>768</v>
      </c>
      <c r="D187" s="143">
        <v>46035</v>
      </c>
      <c r="E187" s="55">
        <v>13523.28</v>
      </c>
      <c r="F187" t="s">
        <v>769</v>
      </c>
      <c r="G187">
        <v>1500074631</v>
      </c>
      <c r="H187" t="s">
        <v>755</v>
      </c>
      <c r="I187" t="s">
        <v>770</v>
      </c>
      <c r="K187" s="143">
        <v>46069</v>
      </c>
      <c r="L187" s="143">
        <v>46035</v>
      </c>
      <c r="M187">
        <v>62025</v>
      </c>
      <c r="N187" t="s">
        <v>771</v>
      </c>
      <c r="O187">
        <v>2001</v>
      </c>
      <c r="S187" t="s">
        <v>783</v>
      </c>
      <c r="T187" t="s">
        <v>772</v>
      </c>
    </row>
    <row r="188" spans="1:20" x14ac:dyDescent="0.25">
      <c r="A188">
        <v>5100422287</v>
      </c>
      <c r="B188">
        <v>306571</v>
      </c>
      <c r="C188" t="s">
        <v>768</v>
      </c>
      <c r="D188" s="143">
        <v>46035</v>
      </c>
      <c r="E188" s="55">
        <v>8985.17</v>
      </c>
      <c r="F188" t="s">
        <v>769</v>
      </c>
      <c r="G188">
        <v>1500074631</v>
      </c>
      <c r="H188" t="s">
        <v>755</v>
      </c>
      <c r="I188" t="s">
        <v>770</v>
      </c>
      <c r="K188" s="143">
        <v>46069</v>
      </c>
      <c r="L188" s="143">
        <v>46035</v>
      </c>
      <c r="M188">
        <v>62025</v>
      </c>
      <c r="N188" t="s">
        <v>771</v>
      </c>
      <c r="O188">
        <v>2001</v>
      </c>
      <c r="S188" t="s">
        <v>783</v>
      </c>
      <c r="T188" t="s">
        <v>772</v>
      </c>
    </row>
    <row r="189" spans="1:20" x14ac:dyDescent="0.25">
      <c r="A189">
        <v>5100422288</v>
      </c>
      <c r="B189">
        <v>306571</v>
      </c>
      <c r="C189" t="s">
        <v>768</v>
      </c>
      <c r="D189" s="143">
        <v>46035</v>
      </c>
      <c r="E189" s="55">
        <v>14712.21</v>
      </c>
      <c r="F189" t="s">
        <v>769</v>
      </c>
      <c r="G189">
        <v>1500074631</v>
      </c>
      <c r="H189" t="s">
        <v>755</v>
      </c>
      <c r="I189" t="s">
        <v>770</v>
      </c>
      <c r="K189" s="143">
        <v>46069</v>
      </c>
      <c r="L189" s="143">
        <v>46035</v>
      </c>
      <c r="M189">
        <v>72025</v>
      </c>
      <c r="N189" t="s">
        <v>771</v>
      </c>
      <c r="O189">
        <v>2001</v>
      </c>
      <c r="S189" t="s">
        <v>783</v>
      </c>
      <c r="T189" t="s">
        <v>772</v>
      </c>
    </row>
    <row r="190" spans="1:20" x14ac:dyDescent="0.25">
      <c r="A190">
        <v>5100422289</v>
      </c>
      <c r="B190">
        <v>306571</v>
      </c>
      <c r="C190" t="s">
        <v>768</v>
      </c>
      <c r="D190" s="143">
        <v>46035</v>
      </c>
      <c r="E190" s="55">
        <v>21514.959999999999</v>
      </c>
      <c r="F190" t="s">
        <v>769</v>
      </c>
      <c r="G190">
        <v>1500074631</v>
      </c>
      <c r="H190" t="s">
        <v>755</v>
      </c>
      <c r="I190" t="s">
        <v>770</v>
      </c>
      <c r="K190" s="143">
        <v>46069</v>
      </c>
      <c r="L190" s="143">
        <v>46035</v>
      </c>
      <c r="M190">
        <v>72025</v>
      </c>
      <c r="N190" t="s">
        <v>771</v>
      </c>
      <c r="O190">
        <v>2001</v>
      </c>
      <c r="S190" t="s">
        <v>783</v>
      </c>
      <c r="T190" t="s">
        <v>772</v>
      </c>
    </row>
    <row r="191" spans="1:20" x14ac:dyDescent="0.25">
      <c r="A191">
        <v>5100422290</v>
      </c>
      <c r="B191">
        <v>306571</v>
      </c>
      <c r="C191" t="s">
        <v>768</v>
      </c>
      <c r="D191" s="143">
        <v>46035</v>
      </c>
      <c r="E191">
        <v>462.08</v>
      </c>
      <c r="F191" t="s">
        <v>769</v>
      </c>
      <c r="G191">
        <v>1500074631</v>
      </c>
      <c r="H191" t="s">
        <v>755</v>
      </c>
      <c r="I191" t="s">
        <v>770</v>
      </c>
      <c r="K191" s="143">
        <v>46069</v>
      </c>
      <c r="L191" s="143">
        <v>46035</v>
      </c>
      <c r="M191">
        <v>82025</v>
      </c>
      <c r="N191" t="s">
        <v>771</v>
      </c>
      <c r="O191">
        <v>2001</v>
      </c>
      <c r="S191" t="s">
        <v>783</v>
      </c>
      <c r="T191" t="s">
        <v>772</v>
      </c>
    </row>
    <row r="192" spans="1:20" x14ac:dyDescent="0.25">
      <c r="A192">
        <v>5100422291</v>
      </c>
      <c r="B192">
        <v>306571</v>
      </c>
      <c r="C192" t="s">
        <v>768</v>
      </c>
      <c r="D192" s="143">
        <v>46035</v>
      </c>
      <c r="E192" s="55">
        <v>10886.17</v>
      </c>
      <c r="F192" t="s">
        <v>769</v>
      </c>
      <c r="G192">
        <v>1500074631</v>
      </c>
      <c r="H192" t="s">
        <v>755</v>
      </c>
      <c r="I192" t="s">
        <v>770</v>
      </c>
      <c r="K192" s="143">
        <v>46069</v>
      </c>
      <c r="L192" s="143">
        <v>46035</v>
      </c>
      <c r="M192">
        <v>82025</v>
      </c>
      <c r="N192" t="s">
        <v>771</v>
      </c>
      <c r="O192">
        <v>2001</v>
      </c>
      <c r="S192" t="s">
        <v>783</v>
      </c>
      <c r="T192" t="s">
        <v>772</v>
      </c>
    </row>
    <row r="193" spans="1:20" x14ac:dyDescent="0.25">
      <c r="A193">
        <v>5100422292</v>
      </c>
      <c r="B193">
        <v>306571</v>
      </c>
      <c r="C193" t="s">
        <v>768</v>
      </c>
      <c r="D193" s="143">
        <v>46035</v>
      </c>
      <c r="E193" s="55">
        <v>22495.439999999999</v>
      </c>
      <c r="F193" t="s">
        <v>769</v>
      </c>
      <c r="G193">
        <v>1500074631</v>
      </c>
      <c r="H193" t="s">
        <v>755</v>
      </c>
      <c r="I193" t="s">
        <v>770</v>
      </c>
      <c r="K193" s="143">
        <v>46069</v>
      </c>
      <c r="L193" s="143">
        <v>46035</v>
      </c>
      <c r="M193">
        <v>92025</v>
      </c>
      <c r="N193" t="s">
        <v>771</v>
      </c>
      <c r="O193">
        <v>2001</v>
      </c>
      <c r="S193" t="s">
        <v>783</v>
      </c>
      <c r="T193" t="s">
        <v>772</v>
      </c>
    </row>
    <row r="194" spans="1:20" x14ac:dyDescent="0.25">
      <c r="A194">
        <v>5100422293</v>
      </c>
      <c r="B194">
        <v>306571</v>
      </c>
      <c r="C194" t="s">
        <v>768</v>
      </c>
      <c r="D194" s="143">
        <v>46035</v>
      </c>
      <c r="E194" s="55">
        <v>29183.26</v>
      </c>
      <c r="F194" t="s">
        <v>769</v>
      </c>
      <c r="G194">
        <v>1500074631</v>
      </c>
      <c r="H194" t="s">
        <v>755</v>
      </c>
      <c r="I194" t="s">
        <v>770</v>
      </c>
      <c r="K194" s="143">
        <v>46069</v>
      </c>
      <c r="L194" s="143">
        <v>46035</v>
      </c>
      <c r="M194">
        <v>92025</v>
      </c>
      <c r="N194" t="s">
        <v>771</v>
      </c>
      <c r="O194">
        <v>2001</v>
      </c>
      <c r="S194" t="s">
        <v>783</v>
      </c>
      <c r="T194" t="s">
        <v>772</v>
      </c>
    </row>
    <row r="195" spans="1:20" x14ac:dyDescent="0.25">
      <c r="A195">
        <v>5100422317</v>
      </c>
      <c r="B195">
        <v>308421</v>
      </c>
      <c r="C195" t="s">
        <v>768</v>
      </c>
      <c r="D195" s="143">
        <v>46035</v>
      </c>
      <c r="E195" s="55">
        <v>9596.17</v>
      </c>
      <c r="F195" t="s">
        <v>769</v>
      </c>
      <c r="G195">
        <v>1500060335</v>
      </c>
      <c r="H195" t="s">
        <v>755</v>
      </c>
      <c r="I195" t="s">
        <v>770</v>
      </c>
      <c r="K195" s="143">
        <v>46083</v>
      </c>
      <c r="L195" s="143">
        <v>46035</v>
      </c>
      <c r="M195">
        <v>12025</v>
      </c>
      <c r="N195" t="s">
        <v>779</v>
      </c>
      <c r="O195">
        <v>2001</v>
      </c>
      <c r="R195" t="s">
        <v>780</v>
      </c>
      <c r="S195" t="s">
        <v>781</v>
      </c>
      <c r="T195" t="s">
        <v>772</v>
      </c>
    </row>
    <row r="196" spans="1:20" x14ac:dyDescent="0.25">
      <c r="A196">
        <v>5100422318</v>
      </c>
      <c r="B196">
        <v>308421</v>
      </c>
      <c r="C196" t="s">
        <v>768</v>
      </c>
      <c r="D196" s="143">
        <v>46035</v>
      </c>
      <c r="E196" s="55">
        <v>119623.03</v>
      </c>
      <c r="F196" t="s">
        <v>769</v>
      </c>
      <c r="G196">
        <v>1500060335</v>
      </c>
      <c r="H196" t="s">
        <v>755</v>
      </c>
      <c r="I196" t="s">
        <v>770</v>
      </c>
      <c r="K196" s="143">
        <v>46083</v>
      </c>
      <c r="L196" s="143">
        <v>46035</v>
      </c>
      <c r="M196">
        <v>12025</v>
      </c>
      <c r="N196" t="s">
        <v>779</v>
      </c>
      <c r="O196">
        <v>2001</v>
      </c>
      <c r="R196" t="s">
        <v>780</v>
      </c>
      <c r="S196" t="s">
        <v>781</v>
      </c>
      <c r="T196" t="s">
        <v>772</v>
      </c>
    </row>
    <row r="197" spans="1:20" x14ac:dyDescent="0.25">
      <c r="A197">
        <v>5100422319</v>
      </c>
      <c r="B197">
        <v>308421</v>
      </c>
      <c r="C197" t="s">
        <v>768</v>
      </c>
      <c r="D197" s="143">
        <v>46035</v>
      </c>
      <c r="E197" s="55">
        <v>1062.3800000000001</v>
      </c>
      <c r="F197" t="s">
        <v>769</v>
      </c>
      <c r="G197">
        <v>1500060335</v>
      </c>
      <c r="H197" t="s">
        <v>755</v>
      </c>
      <c r="I197" t="s">
        <v>770</v>
      </c>
      <c r="K197" s="143">
        <v>46083</v>
      </c>
      <c r="L197" s="143">
        <v>46035</v>
      </c>
      <c r="M197">
        <v>12025</v>
      </c>
      <c r="N197" t="s">
        <v>779</v>
      </c>
      <c r="O197">
        <v>2001</v>
      </c>
      <c r="R197" t="s">
        <v>780</v>
      </c>
      <c r="S197" t="s">
        <v>781</v>
      </c>
      <c r="T197" t="s">
        <v>772</v>
      </c>
    </row>
    <row r="198" spans="1:20" x14ac:dyDescent="0.25">
      <c r="A198">
        <v>5100422320</v>
      </c>
      <c r="B198">
        <v>308421</v>
      </c>
      <c r="C198" t="s">
        <v>768</v>
      </c>
      <c r="D198" s="143">
        <v>46035</v>
      </c>
      <c r="E198" s="55">
        <v>3802.47</v>
      </c>
      <c r="F198" t="s">
        <v>769</v>
      </c>
      <c r="G198">
        <v>1500060335</v>
      </c>
      <c r="H198" t="s">
        <v>755</v>
      </c>
      <c r="I198" t="s">
        <v>770</v>
      </c>
      <c r="K198" s="143">
        <v>46083</v>
      </c>
      <c r="L198" s="143">
        <v>46035</v>
      </c>
      <c r="M198">
        <v>32025</v>
      </c>
      <c r="N198" t="s">
        <v>779</v>
      </c>
      <c r="O198">
        <v>2001</v>
      </c>
      <c r="R198" t="s">
        <v>780</v>
      </c>
      <c r="S198" t="s">
        <v>781</v>
      </c>
      <c r="T198" t="s">
        <v>772</v>
      </c>
    </row>
    <row r="199" spans="1:20" x14ac:dyDescent="0.25">
      <c r="A199">
        <v>5100422321</v>
      </c>
      <c r="B199">
        <v>308421</v>
      </c>
      <c r="C199" t="s">
        <v>768</v>
      </c>
      <c r="D199" s="143">
        <v>46035</v>
      </c>
      <c r="E199" s="55">
        <v>5806</v>
      </c>
      <c r="F199" t="s">
        <v>769</v>
      </c>
      <c r="G199">
        <v>1500060335</v>
      </c>
      <c r="H199" t="s">
        <v>755</v>
      </c>
      <c r="I199" t="s">
        <v>770</v>
      </c>
      <c r="K199" s="143">
        <v>46083</v>
      </c>
      <c r="L199" s="143">
        <v>46035</v>
      </c>
      <c r="M199">
        <v>32025</v>
      </c>
      <c r="N199" t="s">
        <v>779</v>
      </c>
      <c r="O199">
        <v>2001</v>
      </c>
      <c r="R199" t="s">
        <v>780</v>
      </c>
      <c r="S199" t="s">
        <v>781</v>
      </c>
      <c r="T199" t="s">
        <v>772</v>
      </c>
    </row>
    <row r="200" spans="1:20" x14ac:dyDescent="0.25">
      <c r="A200">
        <v>5100422322</v>
      </c>
      <c r="B200">
        <v>308421</v>
      </c>
      <c r="C200" t="s">
        <v>768</v>
      </c>
      <c r="D200" s="143">
        <v>46035</v>
      </c>
      <c r="E200" s="55">
        <v>45068</v>
      </c>
      <c r="F200" t="s">
        <v>769</v>
      </c>
      <c r="G200">
        <v>1500060335</v>
      </c>
      <c r="H200" t="s">
        <v>755</v>
      </c>
      <c r="I200" t="s">
        <v>770</v>
      </c>
      <c r="K200" s="143">
        <v>46083</v>
      </c>
      <c r="L200" s="143">
        <v>46035</v>
      </c>
      <c r="M200">
        <v>42025</v>
      </c>
      <c r="N200" t="s">
        <v>779</v>
      </c>
      <c r="O200">
        <v>2001</v>
      </c>
      <c r="R200" t="s">
        <v>780</v>
      </c>
      <c r="S200" t="s">
        <v>781</v>
      </c>
      <c r="T200" t="s">
        <v>772</v>
      </c>
    </row>
    <row r="201" spans="1:20" x14ac:dyDescent="0.25">
      <c r="A201">
        <v>5100422323</v>
      </c>
      <c r="B201">
        <v>308421</v>
      </c>
      <c r="C201" t="s">
        <v>768</v>
      </c>
      <c r="D201" s="143">
        <v>46035</v>
      </c>
      <c r="E201" s="55">
        <v>2564.15</v>
      </c>
      <c r="F201" t="s">
        <v>769</v>
      </c>
      <c r="G201">
        <v>1500060335</v>
      </c>
      <c r="H201" t="s">
        <v>755</v>
      </c>
      <c r="I201" t="s">
        <v>770</v>
      </c>
      <c r="K201" s="143">
        <v>46083</v>
      </c>
      <c r="L201" s="143">
        <v>46035</v>
      </c>
      <c r="M201">
        <v>52025</v>
      </c>
      <c r="N201" t="s">
        <v>779</v>
      </c>
      <c r="O201">
        <v>2001</v>
      </c>
      <c r="R201" t="s">
        <v>780</v>
      </c>
      <c r="S201" t="s">
        <v>781</v>
      </c>
      <c r="T201" t="s">
        <v>772</v>
      </c>
    </row>
    <row r="202" spans="1:20" x14ac:dyDescent="0.25">
      <c r="A202">
        <v>5100422324</v>
      </c>
      <c r="B202">
        <v>308421</v>
      </c>
      <c r="C202" t="s">
        <v>768</v>
      </c>
      <c r="D202" s="143">
        <v>46035</v>
      </c>
      <c r="E202" s="55">
        <v>2221014.6</v>
      </c>
      <c r="F202" t="s">
        <v>769</v>
      </c>
      <c r="G202">
        <v>1500060335</v>
      </c>
      <c r="H202" t="s">
        <v>755</v>
      </c>
      <c r="I202" t="s">
        <v>770</v>
      </c>
      <c r="K202" s="143">
        <v>46083</v>
      </c>
      <c r="L202" s="143">
        <v>46035</v>
      </c>
      <c r="M202">
        <v>52025</v>
      </c>
      <c r="N202" t="s">
        <v>779</v>
      </c>
      <c r="O202">
        <v>2001</v>
      </c>
      <c r="R202" t="s">
        <v>780</v>
      </c>
      <c r="S202" t="s">
        <v>781</v>
      </c>
      <c r="T202" t="s">
        <v>772</v>
      </c>
    </row>
    <row r="203" spans="1:20" x14ac:dyDescent="0.25">
      <c r="A203">
        <v>5100422325</v>
      </c>
      <c r="B203">
        <v>308421</v>
      </c>
      <c r="C203" t="s">
        <v>768</v>
      </c>
      <c r="D203" s="143">
        <v>46035</v>
      </c>
      <c r="E203" s="55">
        <v>2397.15</v>
      </c>
      <c r="F203" t="s">
        <v>769</v>
      </c>
      <c r="G203">
        <v>1500060335</v>
      </c>
      <c r="H203" t="s">
        <v>755</v>
      </c>
      <c r="I203" t="s">
        <v>770</v>
      </c>
      <c r="K203" s="143">
        <v>46083</v>
      </c>
      <c r="L203" s="143">
        <v>46035</v>
      </c>
      <c r="M203">
        <v>62025</v>
      </c>
      <c r="N203" t="s">
        <v>779</v>
      </c>
      <c r="O203">
        <v>2001</v>
      </c>
      <c r="R203" t="s">
        <v>780</v>
      </c>
      <c r="S203" t="s">
        <v>781</v>
      </c>
      <c r="T203" t="s">
        <v>772</v>
      </c>
    </row>
    <row r="204" spans="1:20" x14ac:dyDescent="0.25">
      <c r="A204">
        <v>5100422326</v>
      </c>
      <c r="B204">
        <v>308421</v>
      </c>
      <c r="C204" t="s">
        <v>768</v>
      </c>
      <c r="D204" s="143">
        <v>46035</v>
      </c>
      <c r="E204" s="55">
        <v>17930.04</v>
      </c>
      <c r="F204" t="s">
        <v>769</v>
      </c>
      <c r="G204">
        <v>1500060335</v>
      </c>
      <c r="H204" t="s">
        <v>755</v>
      </c>
      <c r="I204" t="s">
        <v>770</v>
      </c>
      <c r="K204" s="143">
        <v>46083</v>
      </c>
      <c r="L204" s="143">
        <v>46035</v>
      </c>
      <c r="M204">
        <v>62025</v>
      </c>
      <c r="N204" t="s">
        <v>779</v>
      </c>
      <c r="O204">
        <v>2001</v>
      </c>
      <c r="R204" t="s">
        <v>780</v>
      </c>
      <c r="S204" t="s">
        <v>781</v>
      </c>
      <c r="T204" t="s">
        <v>772</v>
      </c>
    </row>
    <row r="205" spans="1:20" x14ac:dyDescent="0.25">
      <c r="A205">
        <v>5100422327</v>
      </c>
      <c r="B205">
        <v>308421</v>
      </c>
      <c r="C205" t="s">
        <v>768</v>
      </c>
      <c r="D205" s="143">
        <v>46035</v>
      </c>
      <c r="E205">
        <v>547.12</v>
      </c>
      <c r="F205" t="s">
        <v>769</v>
      </c>
      <c r="G205">
        <v>1500060335</v>
      </c>
      <c r="H205" t="s">
        <v>755</v>
      </c>
      <c r="I205" t="s">
        <v>770</v>
      </c>
      <c r="K205" s="143">
        <v>46083</v>
      </c>
      <c r="L205" s="143">
        <v>46035</v>
      </c>
      <c r="M205">
        <v>62025</v>
      </c>
      <c r="N205" t="s">
        <v>779</v>
      </c>
      <c r="O205">
        <v>2001</v>
      </c>
      <c r="R205" t="s">
        <v>780</v>
      </c>
      <c r="S205" t="s">
        <v>781</v>
      </c>
      <c r="T205" t="s">
        <v>772</v>
      </c>
    </row>
    <row r="206" spans="1:20" x14ac:dyDescent="0.25">
      <c r="A206">
        <v>5100422328</v>
      </c>
      <c r="B206">
        <v>308421</v>
      </c>
      <c r="C206" t="s">
        <v>768</v>
      </c>
      <c r="D206" s="143">
        <v>46035</v>
      </c>
      <c r="E206" s="55">
        <v>109773.12</v>
      </c>
      <c r="F206" t="s">
        <v>769</v>
      </c>
      <c r="G206">
        <v>1500060335</v>
      </c>
      <c r="H206" t="s">
        <v>755</v>
      </c>
      <c r="I206" t="s">
        <v>770</v>
      </c>
      <c r="K206" s="143">
        <v>46083</v>
      </c>
      <c r="L206" s="143">
        <v>46035</v>
      </c>
      <c r="M206">
        <v>62025</v>
      </c>
      <c r="N206" t="s">
        <v>771</v>
      </c>
      <c r="O206">
        <v>2001</v>
      </c>
      <c r="R206" t="s">
        <v>780</v>
      </c>
      <c r="S206" t="s">
        <v>781</v>
      </c>
      <c r="T206" t="s">
        <v>772</v>
      </c>
    </row>
    <row r="207" spans="1:20" x14ac:dyDescent="0.25">
      <c r="A207">
        <v>5100422329</v>
      </c>
      <c r="B207">
        <v>308421</v>
      </c>
      <c r="C207" t="s">
        <v>768</v>
      </c>
      <c r="D207" s="143">
        <v>46035</v>
      </c>
      <c r="E207" s="55">
        <v>7538.62</v>
      </c>
      <c r="F207" t="s">
        <v>769</v>
      </c>
      <c r="G207">
        <v>1500060335</v>
      </c>
      <c r="H207" t="s">
        <v>755</v>
      </c>
      <c r="I207" t="s">
        <v>770</v>
      </c>
      <c r="K207" s="143">
        <v>46083</v>
      </c>
      <c r="L207" s="143">
        <v>46035</v>
      </c>
      <c r="M207">
        <v>62025</v>
      </c>
      <c r="N207" t="s">
        <v>771</v>
      </c>
      <c r="O207">
        <v>2001</v>
      </c>
      <c r="R207" t="s">
        <v>780</v>
      </c>
      <c r="S207" t="s">
        <v>781</v>
      </c>
      <c r="T207" t="s">
        <v>772</v>
      </c>
    </row>
    <row r="208" spans="1:20" x14ac:dyDescent="0.25">
      <c r="A208">
        <v>5100422330</v>
      </c>
      <c r="B208">
        <v>308421</v>
      </c>
      <c r="C208" t="s">
        <v>768</v>
      </c>
      <c r="D208" s="143">
        <v>46035</v>
      </c>
      <c r="E208" s="55">
        <v>151523.48000000001</v>
      </c>
      <c r="F208" t="s">
        <v>769</v>
      </c>
      <c r="G208">
        <v>1500060335</v>
      </c>
      <c r="H208" t="s">
        <v>755</v>
      </c>
      <c r="I208" t="s">
        <v>770</v>
      </c>
      <c r="K208" s="143">
        <v>46083</v>
      </c>
      <c r="L208" s="143">
        <v>46035</v>
      </c>
      <c r="M208">
        <v>72025</v>
      </c>
      <c r="N208" t="s">
        <v>779</v>
      </c>
      <c r="O208">
        <v>2001</v>
      </c>
      <c r="R208" t="s">
        <v>780</v>
      </c>
      <c r="S208" t="s">
        <v>781</v>
      </c>
      <c r="T208" t="s">
        <v>772</v>
      </c>
    </row>
    <row r="209" spans="1:20" x14ac:dyDescent="0.25">
      <c r="A209">
        <v>5100422331</v>
      </c>
      <c r="B209">
        <v>308421</v>
      </c>
      <c r="C209" t="s">
        <v>768</v>
      </c>
      <c r="D209" s="143">
        <v>46035</v>
      </c>
      <c r="E209" s="55">
        <v>2164.5100000000002</v>
      </c>
      <c r="F209" t="s">
        <v>769</v>
      </c>
      <c r="G209">
        <v>1500060335</v>
      </c>
      <c r="H209" t="s">
        <v>755</v>
      </c>
      <c r="I209" t="s">
        <v>770</v>
      </c>
      <c r="K209" s="143">
        <v>46083</v>
      </c>
      <c r="L209" s="143">
        <v>46035</v>
      </c>
      <c r="M209">
        <v>72025</v>
      </c>
      <c r="N209" t="s">
        <v>779</v>
      </c>
      <c r="O209">
        <v>2001</v>
      </c>
      <c r="R209" t="s">
        <v>780</v>
      </c>
      <c r="S209" t="s">
        <v>781</v>
      </c>
      <c r="T209" t="s">
        <v>772</v>
      </c>
    </row>
    <row r="210" spans="1:20" x14ac:dyDescent="0.25">
      <c r="A210">
        <v>5100422332</v>
      </c>
      <c r="B210">
        <v>308421</v>
      </c>
      <c r="C210" t="s">
        <v>768</v>
      </c>
      <c r="D210" s="143">
        <v>46035</v>
      </c>
      <c r="E210" s="55">
        <v>19481.59</v>
      </c>
      <c r="F210" t="s">
        <v>769</v>
      </c>
      <c r="G210">
        <v>1500060335</v>
      </c>
      <c r="H210" t="s">
        <v>755</v>
      </c>
      <c r="I210" t="s">
        <v>770</v>
      </c>
      <c r="K210" s="143">
        <v>46083</v>
      </c>
      <c r="L210" s="143">
        <v>46035</v>
      </c>
      <c r="M210">
        <v>82025</v>
      </c>
      <c r="N210" t="s">
        <v>779</v>
      </c>
      <c r="O210">
        <v>2001</v>
      </c>
      <c r="R210" t="s">
        <v>780</v>
      </c>
      <c r="S210" t="s">
        <v>781</v>
      </c>
      <c r="T210" t="s">
        <v>772</v>
      </c>
    </row>
    <row r="211" spans="1:20" x14ac:dyDescent="0.25">
      <c r="A211">
        <v>5100422333</v>
      </c>
      <c r="B211">
        <v>308421</v>
      </c>
      <c r="C211" t="s">
        <v>768</v>
      </c>
      <c r="D211" s="143">
        <v>46035</v>
      </c>
      <c r="E211" s="55">
        <v>10857.94</v>
      </c>
      <c r="F211" t="s">
        <v>769</v>
      </c>
      <c r="G211">
        <v>1500060335</v>
      </c>
      <c r="H211" t="s">
        <v>755</v>
      </c>
      <c r="I211" t="s">
        <v>770</v>
      </c>
      <c r="K211" s="143">
        <v>46083</v>
      </c>
      <c r="L211" s="143">
        <v>46035</v>
      </c>
      <c r="M211">
        <v>82025</v>
      </c>
      <c r="N211" t="s">
        <v>774</v>
      </c>
      <c r="O211">
        <v>2001</v>
      </c>
      <c r="R211" t="s">
        <v>780</v>
      </c>
      <c r="S211" t="s">
        <v>781</v>
      </c>
      <c r="T211" t="s">
        <v>772</v>
      </c>
    </row>
    <row r="212" spans="1:20" x14ac:dyDescent="0.25">
      <c r="A212">
        <v>5100422334</v>
      </c>
      <c r="B212">
        <v>308421</v>
      </c>
      <c r="C212" t="s">
        <v>768</v>
      </c>
      <c r="D212" s="143">
        <v>46035</v>
      </c>
      <c r="E212" s="55">
        <v>56280.15</v>
      </c>
      <c r="F212" t="s">
        <v>769</v>
      </c>
      <c r="G212">
        <v>1500060335</v>
      </c>
      <c r="H212" t="s">
        <v>755</v>
      </c>
      <c r="I212" t="s">
        <v>770</v>
      </c>
      <c r="K212" s="143">
        <v>46083</v>
      </c>
      <c r="L212" s="143">
        <v>46035</v>
      </c>
      <c r="M212">
        <v>92025</v>
      </c>
      <c r="N212" t="s">
        <v>779</v>
      </c>
      <c r="O212">
        <v>2001</v>
      </c>
      <c r="R212" t="s">
        <v>780</v>
      </c>
      <c r="S212" t="s">
        <v>781</v>
      </c>
      <c r="T212" t="s">
        <v>772</v>
      </c>
    </row>
    <row r="213" spans="1:20" x14ac:dyDescent="0.25">
      <c r="A213">
        <v>5100422374</v>
      </c>
      <c r="B213">
        <v>312231</v>
      </c>
      <c r="C213" t="s">
        <v>768</v>
      </c>
      <c r="D213" s="143">
        <v>46035</v>
      </c>
      <c r="E213" s="55">
        <v>19161.46</v>
      </c>
      <c r="F213" t="s">
        <v>769</v>
      </c>
      <c r="G213">
        <v>1500032793</v>
      </c>
      <c r="H213" t="s">
        <v>755</v>
      </c>
      <c r="I213" t="s">
        <v>770</v>
      </c>
      <c r="K213" s="143">
        <v>46083</v>
      </c>
      <c r="L213" s="143">
        <v>46035</v>
      </c>
      <c r="M213">
        <v>12025</v>
      </c>
      <c r="N213" t="s">
        <v>771</v>
      </c>
      <c r="O213">
        <v>2001</v>
      </c>
      <c r="S213">
        <v>515898</v>
      </c>
      <c r="T213" t="s">
        <v>772</v>
      </c>
    </row>
    <row r="214" spans="1:20" x14ac:dyDescent="0.25">
      <c r="A214">
        <v>5100422375</v>
      </c>
      <c r="B214">
        <v>312231</v>
      </c>
      <c r="C214" t="s">
        <v>768</v>
      </c>
      <c r="D214" s="143">
        <v>46035</v>
      </c>
      <c r="E214" s="55">
        <v>251984.05</v>
      </c>
      <c r="F214" t="s">
        <v>769</v>
      </c>
      <c r="G214">
        <v>1500032793</v>
      </c>
      <c r="H214" t="s">
        <v>755</v>
      </c>
      <c r="I214" t="s">
        <v>770</v>
      </c>
      <c r="K214" s="143">
        <v>46083</v>
      </c>
      <c r="L214" s="143">
        <v>46035</v>
      </c>
      <c r="M214">
        <v>12025</v>
      </c>
      <c r="N214" t="s">
        <v>771</v>
      </c>
      <c r="O214">
        <v>2001</v>
      </c>
      <c r="S214">
        <v>515898</v>
      </c>
      <c r="T214" t="s">
        <v>772</v>
      </c>
    </row>
    <row r="215" spans="1:20" x14ac:dyDescent="0.25">
      <c r="A215">
        <v>5100422376</v>
      </c>
      <c r="B215">
        <v>312231</v>
      </c>
      <c r="C215" t="s">
        <v>768</v>
      </c>
      <c r="D215" s="143">
        <v>46035</v>
      </c>
      <c r="E215" s="55">
        <v>48631.45</v>
      </c>
      <c r="F215" t="s">
        <v>769</v>
      </c>
      <c r="G215">
        <v>1500032793</v>
      </c>
      <c r="H215" t="s">
        <v>755</v>
      </c>
      <c r="I215" t="s">
        <v>770</v>
      </c>
      <c r="K215" s="143">
        <v>46083</v>
      </c>
      <c r="L215" s="143">
        <v>46035</v>
      </c>
      <c r="M215">
        <v>22025</v>
      </c>
      <c r="N215" t="s">
        <v>771</v>
      </c>
      <c r="O215">
        <v>2001</v>
      </c>
      <c r="S215">
        <v>515898</v>
      </c>
      <c r="T215" t="s">
        <v>772</v>
      </c>
    </row>
    <row r="216" spans="1:20" x14ac:dyDescent="0.25">
      <c r="A216">
        <v>5100422377</v>
      </c>
      <c r="B216">
        <v>312231</v>
      </c>
      <c r="C216" t="s">
        <v>768</v>
      </c>
      <c r="D216" s="143">
        <v>46035</v>
      </c>
      <c r="E216" s="55">
        <v>486727.28</v>
      </c>
      <c r="F216" t="s">
        <v>769</v>
      </c>
      <c r="G216">
        <v>1500032793</v>
      </c>
      <c r="H216" t="s">
        <v>755</v>
      </c>
      <c r="I216" t="s">
        <v>770</v>
      </c>
      <c r="K216" s="143">
        <v>46083</v>
      </c>
      <c r="L216" s="143">
        <v>46035</v>
      </c>
      <c r="M216">
        <v>22025</v>
      </c>
      <c r="N216" t="s">
        <v>771</v>
      </c>
      <c r="O216">
        <v>2001</v>
      </c>
      <c r="S216">
        <v>515898</v>
      </c>
      <c r="T216" t="s">
        <v>772</v>
      </c>
    </row>
    <row r="217" spans="1:20" x14ac:dyDescent="0.25">
      <c r="A217">
        <v>5100422378</v>
      </c>
      <c r="B217">
        <v>312231</v>
      </c>
      <c r="C217" t="s">
        <v>768</v>
      </c>
      <c r="D217" s="143">
        <v>46035</v>
      </c>
      <c r="E217" s="55">
        <v>63487.14</v>
      </c>
      <c r="F217" t="s">
        <v>769</v>
      </c>
      <c r="G217">
        <v>1500032793</v>
      </c>
      <c r="H217" t="s">
        <v>755</v>
      </c>
      <c r="I217" t="s">
        <v>770</v>
      </c>
      <c r="K217" s="143">
        <v>46083</v>
      </c>
      <c r="L217" s="143">
        <v>46035</v>
      </c>
      <c r="M217">
        <v>32025</v>
      </c>
      <c r="N217" t="s">
        <v>771</v>
      </c>
      <c r="O217">
        <v>2001</v>
      </c>
      <c r="S217">
        <v>515898</v>
      </c>
      <c r="T217" t="s">
        <v>772</v>
      </c>
    </row>
    <row r="218" spans="1:20" x14ac:dyDescent="0.25">
      <c r="A218">
        <v>5100422379</v>
      </c>
      <c r="B218">
        <v>312231</v>
      </c>
      <c r="C218" t="s">
        <v>768</v>
      </c>
      <c r="D218" s="143">
        <v>46035</v>
      </c>
      <c r="E218" s="55">
        <v>90211.89</v>
      </c>
      <c r="F218" t="s">
        <v>769</v>
      </c>
      <c r="G218">
        <v>1500032793</v>
      </c>
      <c r="H218" t="s">
        <v>755</v>
      </c>
      <c r="I218" t="s">
        <v>770</v>
      </c>
      <c r="K218" s="143">
        <v>46083</v>
      </c>
      <c r="L218" s="143">
        <v>46035</v>
      </c>
      <c r="M218">
        <v>32025</v>
      </c>
      <c r="N218" t="s">
        <v>771</v>
      </c>
      <c r="O218">
        <v>2001</v>
      </c>
      <c r="S218">
        <v>515898</v>
      </c>
      <c r="T218" t="s">
        <v>772</v>
      </c>
    </row>
    <row r="219" spans="1:20" x14ac:dyDescent="0.25">
      <c r="A219">
        <v>5100422380</v>
      </c>
      <c r="B219">
        <v>312231</v>
      </c>
      <c r="C219" t="s">
        <v>768</v>
      </c>
      <c r="D219" s="143">
        <v>46035</v>
      </c>
      <c r="E219" s="55">
        <v>72350.94</v>
      </c>
      <c r="F219" t="s">
        <v>769</v>
      </c>
      <c r="G219">
        <v>1500032793</v>
      </c>
      <c r="H219" t="s">
        <v>755</v>
      </c>
      <c r="I219" t="s">
        <v>770</v>
      </c>
      <c r="K219" s="143">
        <v>46083</v>
      </c>
      <c r="L219" s="143">
        <v>46035</v>
      </c>
      <c r="M219">
        <v>42025</v>
      </c>
      <c r="N219" t="s">
        <v>771</v>
      </c>
      <c r="O219">
        <v>2001</v>
      </c>
      <c r="S219">
        <v>515898</v>
      </c>
      <c r="T219" t="s">
        <v>772</v>
      </c>
    </row>
    <row r="220" spans="1:20" x14ac:dyDescent="0.25">
      <c r="A220">
        <v>5100422381</v>
      </c>
      <c r="B220">
        <v>312231</v>
      </c>
      <c r="C220" t="s">
        <v>768</v>
      </c>
      <c r="D220" s="143">
        <v>46035</v>
      </c>
      <c r="E220" s="55">
        <v>3942.03</v>
      </c>
      <c r="F220" t="s">
        <v>769</v>
      </c>
      <c r="G220">
        <v>1500032793</v>
      </c>
      <c r="H220" t="s">
        <v>755</v>
      </c>
      <c r="I220" t="s">
        <v>770</v>
      </c>
      <c r="K220" s="143">
        <v>46083</v>
      </c>
      <c r="L220" s="143">
        <v>46035</v>
      </c>
      <c r="M220">
        <v>52025</v>
      </c>
      <c r="N220" t="s">
        <v>771</v>
      </c>
      <c r="O220">
        <v>2001</v>
      </c>
      <c r="S220">
        <v>515898</v>
      </c>
      <c r="T220" t="s">
        <v>772</v>
      </c>
    </row>
    <row r="221" spans="1:20" x14ac:dyDescent="0.25">
      <c r="A221">
        <v>5100422382</v>
      </c>
      <c r="B221">
        <v>312231</v>
      </c>
      <c r="C221" t="s">
        <v>768</v>
      </c>
      <c r="D221" s="143">
        <v>46035</v>
      </c>
      <c r="E221" s="55">
        <v>56422.67</v>
      </c>
      <c r="F221" t="s">
        <v>769</v>
      </c>
      <c r="G221">
        <v>1500032793</v>
      </c>
      <c r="H221" t="s">
        <v>755</v>
      </c>
      <c r="I221" t="s">
        <v>770</v>
      </c>
      <c r="K221" s="143">
        <v>46083</v>
      </c>
      <c r="L221" s="143">
        <v>46035</v>
      </c>
      <c r="M221">
        <v>52025</v>
      </c>
      <c r="N221" t="s">
        <v>771</v>
      </c>
      <c r="O221">
        <v>2001</v>
      </c>
      <c r="S221">
        <v>515898</v>
      </c>
      <c r="T221" t="s">
        <v>772</v>
      </c>
    </row>
    <row r="222" spans="1:20" x14ac:dyDescent="0.25">
      <c r="A222">
        <v>5100422383</v>
      </c>
      <c r="B222">
        <v>312231</v>
      </c>
      <c r="C222" t="s">
        <v>768</v>
      </c>
      <c r="D222" s="143">
        <v>46035</v>
      </c>
      <c r="E222" s="55">
        <v>65645.89</v>
      </c>
      <c r="F222" t="s">
        <v>769</v>
      </c>
      <c r="G222">
        <v>1500032793</v>
      </c>
      <c r="H222" t="s">
        <v>755</v>
      </c>
      <c r="I222" t="s">
        <v>770</v>
      </c>
      <c r="K222" s="143">
        <v>46083</v>
      </c>
      <c r="L222" s="143">
        <v>46035</v>
      </c>
      <c r="M222">
        <v>62025</v>
      </c>
      <c r="N222" t="s">
        <v>771</v>
      </c>
      <c r="O222">
        <v>2001</v>
      </c>
      <c r="S222">
        <v>515898</v>
      </c>
      <c r="T222" t="s">
        <v>772</v>
      </c>
    </row>
    <row r="223" spans="1:20" x14ac:dyDescent="0.25">
      <c r="A223">
        <v>5100422384</v>
      </c>
      <c r="B223">
        <v>312231</v>
      </c>
      <c r="C223" t="s">
        <v>768</v>
      </c>
      <c r="D223" s="143">
        <v>46035</v>
      </c>
      <c r="E223" s="55">
        <v>323439.3</v>
      </c>
      <c r="F223" t="s">
        <v>769</v>
      </c>
      <c r="G223">
        <v>1500032793</v>
      </c>
      <c r="H223" t="s">
        <v>755</v>
      </c>
      <c r="I223" t="s">
        <v>770</v>
      </c>
      <c r="K223" s="143">
        <v>46083</v>
      </c>
      <c r="L223" s="143">
        <v>46035</v>
      </c>
      <c r="M223">
        <v>62025</v>
      </c>
      <c r="N223" t="s">
        <v>771</v>
      </c>
      <c r="O223">
        <v>2001</v>
      </c>
      <c r="S223">
        <v>515898</v>
      </c>
      <c r="T223" t="s">
        <v>772</v>
      </c>
    </row>
    <row r="224" spans="1:20" x14ac:dyDescent="0.25">
      <c r="A224">
        <v>5100422385</v>
      </c>
      <c r="B224">
        <v>312231</v>
      </c>
      <c r="C224" t="s">
        <v>768</v>
      </c>
      <c r="D224" s="143">
        <v>46035</v>
      </c>
      <c r="E224" s="55">
        <v>3322.46</v>
      </c>
      <c r="F224" t="s">
        <v>769</v>
      </c>
      <c r="G224">
        <v>1500032793</v>
      </c>
      <c r="H224" t="s">
        <v>755</v>
      </c>
      <c r="I224" t="s">
        <v>770</v>
      </c>
      <c r="K224" s="143">
        <v>46083</v>
      </c>
      <c r="L224" s="143">
        <v>46035</v>
      </c>
      <c r="M224">
        <v>72025</v>
      </c>
      <c r="N224" t="s">
        <v>771</v>
      </c>
      <c r="O224">
        <v>2001</v>
      </c>
      <c r="S224">
        <v>515898</v>
      </c>
      <c r="T224" t="s">
        <v>772</v>
      </c>
    </row>
    <row r="225" spans="1:20" x14ac:dyDescent="0.25">
      <c r="A225">
        <v>5100422386</v>
      </c>
      <c r="B225">
        <v>312231</v>
      </c>
      <c r="C225" t="s">
        <v>768</v>
      </c>
      <c r="D225" s="143">
        <v>46035</v>
      </c>
      <c r="E225" s="55">
        <v>39200.43</v>
      </c>
      <c r="F225" t="s">
        <v>769</v>
      </c>
      <c r="G225">
        <v>1500032793</v>
      </c>
      <c r="H225" t="s">
        <v>755</v>
      </c>
      <c r="I225" t="s">
        <v>770</v>
      </c>
      <c r="K225" s="143">
        <v>46083</v>
      </c>
      <c r="L225" s="143">
        <v>46035</v>
      </c>
      <c r="M225">
        <v>72025</v>
      </c>
      <c r="N225" t="s">
        <v>771</v>
      </c>
      <c r="O225">
        <v>2001</v>
      </c>
      <c r="S225">
        <v>515898</v>
      </c>
      <c r="T225" t="s">
        <v>772</v>
      </c>
    </row>
    <row r="226" spans="1:20" x14ac:dyDescent="0.25">
      <c r="A226">
        <v>5100422387</v>
      </c>
      <c r="B226">
        <v>312231</v>
      </c>
      <c r="C226" t="s">
        <v>768</v>
      </c>
      <c r="D226" s="143">
        <v>46035</v>
      </c>
      <c r="E226" s="55">
        <v>6730.44</v>
      </c>
      <c r="F226" t="s">
        <v>769</v>
      </c>
      <c r="G226">
        <v>1500032793</v>
      </c>
      <c r="H226" t="s">
        <v>755</v>
      </c>
      <c r="I226" t="s">
        <v>770</v>
      </c>
      <c r="K226" s="143">
        <v>46083</v>
      </c>
      <c r="L226" s="143">
        <v>46035</v>
      </c>
      <c r="M226">
        <v>82025</v>
      </c>
      <c r="N226" t="s">
        <v>771</v>
      </c>
      <c r="O226">
        <v>2001</v>
      </c>
      <c r="S226">
        <v>515898</v>
      </c>
      <c r="T226" t="s">
        <v>772</v>
      </c>
    </row>
    <row r="227" spans="1:20" x14ac:dyDescent="0.25">
      <c r="A227">
        <v>5100422388</v>
      </c>
      <c r="B227">
        <v>312231</v>
      </c>
      <c r="C227" t="s">
        <v>768</v>
      </c>
      <c r="D227" s="143">
        <v>46035</v>
      </c>
      <c r="E227" s="55">
        <v>7649.14</v>
      </c>
      <c r="F227" t="s">
        <v>769</v>
      </c>
      <c r="G227">
        <v>1500032793</v>
      </c>
      <c r="H227" t="s">
        <v>755</v>
      </c>
      <c r="I227" t="s">
        <v>770</v>
      </c>
      <c r="K227" s="143">
        <v>46083</v>
      </c>
      <c r="L227" s="143">
        <v>46035</v>
      </c>
      <c r="M227">
        <v>82025</v>
      </c>
      <c r="N227" t="s">
        <v>771</v>
      </c>
      <c r="O227">
        <v>2001</v>
      </c>
      <c r="S227">
        <v>515898</v>
      </c>
      <c r="T227" t="s">
        <v>772</v>
      </c>
    </row>
    <row r="228" spans="1:20" x14ac:dyDescent="0.25">
      <c r="A228">
        <v>5100422389</v>
      </c>
      <c r="B228">
        <v>312231</v>
      </c>
      <c r="C228" t="s">
        <v>768</v>
      </c>
      <c r="D228" s="143">
        <v>46035</v>
      </c>
      <c r="E228" s="55">
        <v>1347.14</v>
      </c>
      <c r="F228" t="s">
        <v>769</v>
      </c>
      <c r="G228">
        <v>1500032793</v>
      </c>
      <c r="H228" t="s">
        <v>755</v>
      </c>
      <c r="I228" t="s">
        <v>770</v>
      </c>
      <c r="K228" s="143">
        <v>46083</v>
      </c>
      <c r="L228" s="143">
        <v>46035</v>
      </c>
      <c r="M228">
        <v>92025</v>
      </c>
      <c r="N228" t="s">
        <v>771</v>
      </c>
      <c r="O228">
        <v>2001</v>
      </c>
      <c r="S228">
        <v>515898</v>
      </c>
      <c r="T228" t="s">
        <v>772</v>
      </c>
    </row>
    <row r="229" spans="1:20" x14ac:dyDescent="0.25">
      <c r="A229">
        <v>5100422390</v>
      </c>
      <c r="B229">
        <v>312231</v>
      </c>
      <c r="C229" t="s">
        <v>768</v>
      </c>
      <c r="D229" s="143">
        <v>46035</v>
      </c>
      <c r="E229" s="55">
        <v>6030.83</v>
      </c>
      <c r="F229" t="s">
        <v>769</v>
      </c>
      <c r="G229">
        <v>1500032793</v>
      </c>
      <c r="H229" t="s">
        <v>755</v>
      </c>
      <c r="I229" t="s">
        <v>770</v>
      </c>
      <c r="K229" s="143">
        <v>46083</v>
      </c>
      <c r="L229" s="143">
        <v>46035</v>
      </c>
      <c r="M229">
        <v>92025</v>
      </c>
      <c r="N229" t="s">
        <v>771</v>
      </c>
      <c r="O229">
        <v>2001</v>
      </c>
      <c r="S229">
        <v>515898</v>
      </c>
      <c r="T229" t="s">
        <v>772</v>
      </c>
    </row>
    <row r="230" spans="1:20" x14ac:dyDescent="0.25">
      <c r="A230">
        <v>5100422395</v>
      </c>
      <c r="B230">
        <v>312397</v>
      </c>
      <c r="C230" t="s">
        <v>768</v>
      </c>
      <c r="D230" s="143">
        <v>46035</v>
      </c>
      <c r="E230" s="55">
        <v>64224</v>
      </c>
      <c r="F230" t="s">
        <v>769</v>
      </c>
      <c r="G230">
        <v>1500075057</v>
      </c>
      <c r="H230" t="s">
        <v>755</v>
      </c>
      <c r="I230" t="s">
        <v>770</v>
      </c>
      <c r="K230" s="143">
        <v>46090</v>
      </c>
      <c r="L230" s="143">
        <v>46035</v>
      </c>
      <c r="M230">
        <v>82025</v>
      </c>
      <c r="N230" t="s">
        <v>774</v>
      </c>
      <c r="O230">
        <v>2001</v>
      </c>
      <c r="S230">
        <v>524368</v>
      </c>
      <c r="T230" t="s">
        <v>772</v>
      </c>
    </row>
    <row r="231" spans="1:20" x14ac:dyDescent="0.25">
      <c r="A231">
        <v>5100422391</v>
      </c>
      <c r="B231">
        <v>312397</v>
      </c>
      <c r="C231" t="s">
        <v>768</v>
      </c>
      <c r="D231" s="143">
        <v>46035</v>
      </c>
      <c r="E231" s="55">
        <v>16787.3</v>
      </c>
      <c r="F231" t="s">
        <v>769</v>
      </c>
      <c r="G231">
        <v>1500075057</v>
      </c>
      <c r="H231" t="s">
        <v>755</v>
      </c>
      <c r="I231" t="s">
        <v>770</v>
      </c>
      <c r="K231" s="143">
        <v>46090</v>
      </c>
      <c r="L231" s="143">
        <v>46035</v>
      </c>
      <c r="M231">
        <v>22025</v>
      </c>
      <c r="N231" t="s">
        <v>771</v>
      </c>
      <c r="O231">
        <v>2001</v>
      </c>
      <c r="S231">
        <v>525655</v>
      </c>
      <c r="T231" t="s">
        <v>772</v>
      </c>
    </row>
    <row r="232" spans="1:20" x14ac:dyDescent="0.25">
      <c r="A232">
        <v>5100422392</v>
      </c>
      <c r="B232">
        <v>312397</v>
      </c>
      <c r="C232" t="s">
        <v>768</v>
      </c>
      <c r="D232" s="143">
        <v>46035</v>
      </c>
      <c r="E232" s="55">
        <v>11365.12</v>
      </c>
      <c r="F232" t="s">
        <v>769</v>
      </c>
      <c r="G232">
        <v>1500075057</v>
      </c>
      <c r="H232" t="s">
        <v>755</v>
      </c>
      <c r="I232" t="s">
        <v>770</v>
      </c>
      <c r="K232" s="143">
        <v>46090</v>
      </c>
      <c r="L232" s="143">
        <v>46035</v>
      </c>
      <c r="M232">
        <v>22025</v>
      </c>
      <c r="N232" t="s">
        <v>771</v>
      </c>
      <c r="O232">
        <v>2001</v>
      </c>
      <c r="S232">
        <v>525655</v>
      </c>
      <c r="T232" t="s">
        <v>772</v>
      </c>
    </row>
    <row r="233" spans="1:20" x14ac:dyDescent="0.25">
      <c r="A233">
        <v>5100422393</v>
      </c>
      <c r="B233">
        <v>312397</v>
      </c>
      <c r="C233" t="s">
        <v>768</v>
      </c>
      <c r="D233" s="143">
        <v>46035</v>
      </c>
      <c r="E233" s="55">
        <v>29329.34</v>
      </c>
      <c r="F233" t="s">
        <v>769</v>
      </c>
      <c r="G233">
        <v>1500075057</v>
      </c>
      <c r="H233" t="s">
        <v>755</v>
      </c>
      <c r="I233" t="s">
        <v>770</v>
      </c>
      <c r="K233" s="143">
        <v>46090</v>
      </c>
      <c r="L233" s="143">
        <v>46035</v>
      </c>
      <c r="M233">
        <v>32025</v>
      </c>
      <c r="N233" t="s">
        <v>771</v>
      </c>
      <c r="O233">
        <v>2001</v>
      </c>
      <c r="S233">
        <v>525655</v>
      </c>
      <c r="T233" t="s">
        <v>772</v>
      </c>
    </row>
    <row r="234" spans="1:20" x14ac:dyDescent="0.25">
      <c r="A234">
        <v>5100422394</v>
      </c>
      <c r="B234">
        <v>312397</v>
      </c>
      <c r="C234" t="s">
        <v>768</v>
      </c>
      <c r="D234" s="143">
        <v>46035</v>
      </c>
      <c r="E234" s="55">
        <v>27296.1</v>
      </c>
      <c r="F234" t="s">
        <v>769</v>
      </c>
      <c r="G234">
        <v>1500075057</v>
      </c>
      <c r="H234" t="s">
        <v>755</v>
      </c>
      <c r="I234" t="s">
        <v>770</v>
      </c>
      <c r="K234" s="143">
        <v>46090</v>
      </c>
      <c r="L234" s="143">
        <v>46035</v>
      </c>
      <c r="M234">
        <v>62025</v>
      </c>
      <c r="N234" t="s">
        <v>771</v>
      </c>
      <c r="O234">
        <v>2001</v>
      </c>
      <c r="S234">
        <v>525655</v>
      </c>
      <c r="T234" t="s">
        <v>772</v>
      </c>
    </row>
    <row r="235" spans="1:20" x14ac:dyDescent="0.25">
      <c r="A235">
        <v>5100422396</v>
      </c>
      <c r="B235">
        <v>312397</v>
      </c>
      <c r="C235" t="s">
        <v>768</v>
      </c>
      <c r="D235" s="143">
        <v>46035</v>
      </c>
      <c r="E235" s="55">
        <v>355932.49</v>
      </c>
      <c r="F235" t="s">
        <v>769</v>
      </c>
      <c r="G235">
        <v>1500075057</v>
      </c>
      <c r="H235" t="s">
        <v>755</v>
      </c>
      <c r="I235" t="s">
        <v>770</v>
      </c>
      <c r="K235" s="143">
        <v>46090</v>
      </c>
      <c r="L235" s="143">
        <v>46035</v>
      </c>
      <c r="M235">
        <v>82025</v>
      </c>
      <c r="N235" t="s">
        <v>771</v>
      </c>
      <c r="O235">
        <v>2001</v>
      </c>
      <c r="S235">
        <v>525655</v>
      </c>
      <c r="T235" t="s">
        <v>772</v>
      </c>
    </row>
    <row r="236" spans="1:20" x14ac:dyDescent="0.25">
      <c r="A236">
        <v>5100422397</v>
      </c>
      <c r="B236">
        <v>312397</v>
      </c>
      <c r="C236" t="s">
        <v>768</v>
      </c>
      <c r="D236" s="143">
        <v>46035</v>
      </c>
      <c r="E236" s="55">
        <v>81034.679999999993</v>
      </c>
      <c r="F236" t="s">
        <v>769</v>
      </c>
      <c r="G236">
        <v>1500075057</v>
      </c>
      <c r="H236" t="s">
        <v>755</v>
      </c>
      <c r="I236" t="s">
        <v>770</v>
      </c>
      <c r="K236" s="143">
        <v>46090</v>
      </c>
      <c r="L236" s="143">
        <v>46035</v>
      </c>
      <c r="M236">
        <v>82025</v>
      </c>
      <c r="N236" t="s">
        <v>771</v>
      </c>
      <c r="O236">
        <v>2001</v>
      </c>
      <c r="S236">
        <v>525655</v>
      </c>
      <c r="T236" t="s">
        <v>772</v>
      </c>
    </row>
    <row r="237" spans="1:20" x14ac:dyDescent="0.25">
      <c r="A237">
        <v>5100422926</v>
      </c>
      <c r="B237">
        <v>387183</v>
      </c>
      <c r="C237" t="s">
        <v>768</v>
      </c>
      <c r="D237" s="143">
        <v>46035</v>
      </c>
      <c r="E237" s="55">
        <v>38778.68</v>
      </c>
      <c r="F237" t="s">
        <v>769</v>
      </c>
      <c r="G237">
        <v>1500030428</v>
      </c>
      <c r="H237" t="s">
        <v>755</v>
      </c>
      <c r="I237" t="s">
        <v>770</v>
      </c>
      <c r="K237" s="143">
        <v>46090</v>
      </c>
      <c r="L237" s="143">
        <v>46035</v>
      </c>
      <c r="M237">
        <v>32025</v>
      </c>
      <c r="N237" t="s">
        <v>771</v>
      </c>
      <c r="O237">
        <v>2001</v>
      </c>
      <c r="S237">
        <v>0</v>
      </c>
      <c r="T237" t="s">
        <v>772</v>
      </c>
    </row>
    <row r="238" spans="1:20" x14ac:dyDescent="0.25">
      <c r="A238">
        <v>5100422927</v>
      </c>
      <c r="B238">
        <v>387183</v>
      </c>
      <c r="C238" t="s">
        <v>768</v>
      </c>
      <c r="D238" s="143">
        <v>46035</v>
      </c>
      <c r="E238" s="55">
        <v>45361.31</v>
      </c>
      <c r="F238" t="s">
        <v>769</v>
      </c>
      <c r="G238">
        <v>1500030428</v>
      </c>
      <c r="H238" t="s">
        <v>755</v>
      </c>
      <c r="I238" t="s">
        <v>770</v>
      </c>
      <c r="K238" s="143">
        <v>46090</v>
      </c>
      <c r="L238" s="143">
        <v>46035</v>
      </c>
      <c r="M238">
        <v>42025</v>
      </c>
      <c r="N238" t="s">
        <v>771</v>
      </c>
      <c r="O238">
        <v>2001</v>
      </c>
      <c r="S238">
        <v>514284</v>
      </c>
      <c r="T238" t="s">
        <v>772</v>
      </c>
    </row>
    <row r="239" spans="1:20" x14ac:dyDescent="0.25">
      <c r="A239">
        <v>5100422928</v>
      </c>
      <c r="B239">
        <v>387183</v>
      </c>
      <c r="C239" t="s">
        <v>768</v>
      </c>
      <c r="D239" s="143">
        <v>46035</v>
      </c>
      <c r="E239" s="55">
        <v>3239.21</v>
      </c>
      <c r="F239" t="s">
        <v>769</v>
      </c>
      <c r="G239">
        <v>1500030428</v>
      </c>
      <c r="H239" t="s">
        <v>755</v>
      </c>
      <c r="I239" t="s">
        <v>770</v>
      </c>
      <c r="K239" s="143">
        <v>46090</v>
      </c>
      <c r="L239" s="143">
        <v>46035</v>
      </c>
      <c r="M239">
        <v>52025</v>
      </c>
      <c r="N239" t="s">
        <v>771</v>
      </c>
      <c r="O239">
        <v>2001</v>
      </c>
      <c r="S239">
        <v>514284</v>
      </c>
      <c r="T239" t="s">
        <v>772</v>
      </c>
    </row>
    <row r="240" spans="1:20" x14ac:dyDescent="0.25">
      <c r="A240">
        <v>5100422929</v>
      </c>
      <c r="B240">
        <v>387183</v>
      </c>
      <c r="C240" t="s">
        <v>768</v>
      </c>
      <c r="D240" s="143">
        <v>46035</v>
      </c>
      <c r="E240" s="55">
        <v>45147.64</v>
      </c>
      <c r="F240" t="s">
        <v>769</v>
      </c>
      <c r="G240">
        <v>1500030428</v>
      </c>
      <c r="H240" t="s">
        <v>755</v>
      </c>
      <c r="I240" t="s">
        <v>770</v>
      </c>
      <c r="K240" s="143">
        <v>46090</v>
      </c>
      <c r="L240" s="143">
        <v>46035</v>
      </c>
      <c r="M240">
        <v>62025</v>
      </c>
      <c r="N240" t="s">
        <v>771</v>
      </c>
      <c r="O240">
        <v>2001</v>
      </c>
      <c r="S240">
        <v>514284</v>
      </c>
      <c r="T240" t="s">
        <v>772</v>
      </c>
    </row>
    <row r="241" spans="1:20" x14ac:dyDescent="0.25">
      <c r="A241">
        <v>5100422930</v>
      </c>
      <c r="B241">
        <v>387183</v>
      </c>
      <c r="C241" t="s">
        <v>768</v>
      </c>
      <c r="D241" s="143">
        <v>46035</v>
      </c>
      <c r="E241" s="55">
        <v>480312.73</v>
      </c>
      <c r="F241" t="s">
        <v>769</v>
      </c>
      <c r="G241">
        <v>1500030428</v>
      </c>
      <c r="H241" t="s">
        <v>755</v>
      </c>
      <c r="I241" t="s">
        <v>770</v>
      </c>
      <c r="K241" s="143">
        <v>46090</v>
      </c>
      <c r="L241" s="143">
        <v>46035</v>
      </c>
      <c r="M241">
        <v>72025</v>
      </c>
      <c r="N241" t="s">
        <v>771</v>
      </c>
      <c r="O241">
        <v>2001</v>
      </c>
      <c r="S241">
        <v>514284</v>
      </c>
      <c r="T241" t="s">
        <v>772</v>
      </c>
    </row>
    <row r="242" spans="1:20" x14ac:dyDescent="0.25">
      <c r="A242">
        <v>5100422931</v>
      </c>
      <c r="B242">
        <v>387183</v>
      </c>
      <c r="C242" t="s">
        <v>768</v>
      </c>
      <c r="D242" s="143">
        <v>46035</v>
      </c>
      <c r="E242" s="55">
        <v>264022.74</v>
      </c>
      <c r="F242" t="s">
        <v>769</v>
      </c>
      <c r="G242">
        <v>1500030428</v>
      </c>
      <c r="H242" t="s">
        <v>755</v>
      </c>
      <c r="I242" t="s">
        <v>770</v>
      </c>
      <c r="K242" s="143">
        <v>46090</v>
      </c>
      <c r="L242" s="143">
        <v>46035</v>
      </c>
      <c r="M242">
        <v>82025</v>
      </c>
      <c r="N242" t="s">
        <v>771</v>
      </c>
      <c r="O242">
        <v>2001</v>
      </c>
      <c r="S242">
        <v>514284</v>
      </c>
      <c r="T242" t="s">
        <v>772</v>
      </c>
    </row>
    <row r="243" spans="1:20" x14ac:dyDescent="0.25">
      <c r="A243">
        <v>5100422932</v>
      </c>
      <c r="B243">
        <v>387183</v>
      </c>
      <c r="C243" t="s">
        <v>768</v>
      </c>
      <c r="D243" s="143">
        <v>46035</v>
      </c>
      <c r="E243" s="55">
        <v>127710.32</v>
      </c>
      <c r="F243" t="s">
        <v>769</v>
      </c>
      <c r="G243">
        <v>1500030428</v>
      </c>
      <c r="H243" t="s">
        <v>755</v>
      </c>
      <c r="I243" t="s">
        <v>770</v>
      </c>
      <c r="K243" s="143">
        <v>46090</v>
      </c>
      <c r="L243" s="143">
        <v>46035</v>
      </c>
      <c r="M243">
        <v>92025</v>
      </c>
      <c r="N243" t="s">
        <v>771</v>
      </c>
      <c r="O243">
        <v>2001</v>
      </c>
      <c r="S243">
        <v>514284</v>
      </c>
      <c r="T243" t="s">
        <v>772</v>
      </c>
    </row>
    <row r="244" spans="1:20" x14ac:dyDescent="0.25">
      <c r="A244">
        <v>5100601820</v>
      </c>
      <c r="B244">
        <v>364</v>
      </c>
      <c r="C244" t="s">
        <v>768</v>
      </c>
      <c r="D244" s="143">
        <v>46086</v>
      </c>
      <c r="E244" s="55">
        <v>1506683.14</v>
      </c>
      <c r="F244" t="s">
        <v>769</v>
      </c>
      <c r="G244">
        <v>1500046127</v>
      </c>
      <c r="H244" t="s">
        <v>755</v>
      </c>
      <c r="I244" t="s">
        <v>784</v>
      </c>
      <c r="K244" s="143">
        <v>46090</v>
      </c>
      <c r="L244" s="143">
        <v>46086</v>
      </c>
      <c r="M244">
        <v>32026</v>
      </c>
      <c r="N244" t="s">
        <v>771</v>
      </c>
      <c r="O244">
        <v>2001</v>
      </c>
      <c r="S244" t="s">
        <v>777</v>
      </c>
      <c r="T244">
        <v>1500059778</v>
      </c>
    </row>
    <row r="245" spans="1:20" x14ac:dyDescent="0.25">
      <c r="A245">
        <v>5100132243</v>
      </c>
      <c r="B245">
        <v>364</v>
      </c>
      <c r="C245" t="s">
        <v>768</v>
      </c>
      <c r="D245" s="143">
        <v>46079</v>
      </c>
      <c r="E245" s="55">
        <v>1029197.55</v>
      </c>
      <c r="F245" t="s">
        <v>769</v>
      </c>
      <c r="G245">
        <v>1500061394</v>
      </c>
      <c r="H245" t="s">
        <v>755</v>
      </c>
      <c r="I245" t="s">
        <v>785</v>
      </c>
      <c r="K245" s="143">
        <v>46083</v>
      </c>
      <c r="L245" s="143">
        <v>46079</v>
      </c>
      <c r="M245">
        <v>22026</v>
      </c>
      <c r="N245" t="s">
        <v>771</v>
      </c>
      <c r="O245">
        <v>2001</v>
      </c>
      <c r="S245" t="s">
        <v>783</v>
      </c>
      <c r="T245">
        <v>1500059778</v>
      </c>
    </row>
    <row r="246" spans="1:20" x14ac:dyDescent="0.25">
      <c r="A246">
        <v>5101902209</v>
      </c>
      <c r="B246">
        <v>7410</v>
      </c>
      <c r="C246" t="s">
        <v>768</v>
      </c>
      <c r="D246" s="143">
        <v>46100</v>
      </c>
      <c r="E246" s="55">
        <v>181552.84</v>
      </c>
      <c r="F246" t="s">
        <v>769</v>
      </c>
      <c r="G246">
        <v>1500122063</v>
      </c>
      <c r="H246" t="s">
        <v>755</v>
      </c>
      <c r="I246" t="s">
        <v>786</v>
      </c>
      <c r="K246" s="143">
        <v>46104</v>
      </c>
      <c r="L246" s="143">
        <v>46100</v>
      </c>
      <c r="M246">
        <v>32026</v>
      </c>
      <c r="N246" t="s">
        <v>771</v>
      </c>
      <c r="O246">
        <v>2001</v>
      </c>
      <c r="S246" t="s">
        <v>776</v>
      </c>
      <c r="T246">
        <v>1500059778</v>
      </c>
    </row>
    <row r="247" spans="1:20" x14ac:dyDescent="0.25">
      <c r="A247">
        <v>5101902207</v>
      </c>
      <c r="B247">
        <v>7875</v>
      </c>
      <c r="C247" t="s">
        <v>768</v>
      </c>
      <c r="D247" s="143">
        <v>46100</v>
      </c>
      <c r="E247" s="55">
        <v>259442.78</v>
      </c>
      <c r="F247" t="s">
        <v>769</v>
      </c>
      <c r="H247" t="s">
        <v>787</v>
      </c>
      <c r="I247" t="s">
        <v>786</v>
      </c>
      <c r="L247" s="143">
        <v>46100</v>
      </c>
      <c r="M247">
        <v>32026</v>
      </c>
      <c r="N247" t="s">
        <v>771</v>
      </c>
      <c r="O247">
        <v>2001</v>
      </c>
      <c r="S247" t="s">
        <v>776</v>
      </c>
      <c r="T247">
        <v>1500059778</v>
      </c>
    </row>
    <row r="248" spans="1:20" x14ac:dyDescent="0.25">
      <c r="A248">
        <v>5100745428</v>
      </c>
      <c r="B248">
        <v>7875</v>
      </c>
      <c r="C248" t="s">
        <v>768</v>
      </c>
      <c r="D248" s="143">
        <v>46093</v>
      </c>
      <c r="E248" s="55">
        <v>1000000</v>
      </c>
      <c r="F248" t="s">
        <v>769</v>
      </c>
      <c r="G248">
        <v>1500028226</v>
      </c>
      <c r="H248" t="s">
        <v>755</v>
      </c>
      <c r="I248" t="s">
        <v>788</v>
      </c>
      <c r="K248" s="143">
        <v>46098</v>
      </c>
      <c r="L248" s="143">
        <v>46093</v>
      </c>
      <c r="M248">
        <v>32026</v>
      </c>
      <c r="N248" t="s">
        <v>771</v>
      </c>
      <c r="O248">
        <v>2001</v>
      </c>
      <c r="S248" t="s">
        <v>778</v>
      </c>
      <c r="T248">
        <v>1500059778</v>
      </c>
    </row>
    <row r="249" spans="1:20" x14ac:dyDescent="0.25">
      <c r="A249">
        <v>5100005132</v>
      </c>
      <c r="B249">
        <v>10348</v>
      </c>
      <c r="C249" t="s">
        <v>768</v>
      </c>
      <c r="D249" s="143">
        <v>46066</v>
      </c>
      <c r="E249" s="55">
        <v>139557.79</v>
      </c>
      <c r="F249" t="s">
        <v>769</v>
      </c>
      <c r="G249">
        <v>1500060319</v>
      </c>
      <c r="H249" t="s">
        <v>755</v>
      </c>
      <c r="I249" t="s">
        <v>789</v>
      </c>
      <c r="K249" s="143">
        <v>46069</v>
      </c>
      <c r="L249" s="143">
        <v>46066</v>
      </c>
      <c r="M249">
        <v>22026</v>
      </c>
      <c r="N249" t="s">
        <v>771</v>
      </c>
      <c r="O249">
        <v>2001</v>
      </c>
      <c r="S249" t="s">
        <v>783</v>
      </c>
      <c r="T249">
        <v>1500059778</v>
      </c>
    </row>
    <row r="250" spans="1:20" x14ac:dyDescent="0.25">
      <c r="A250">
        <v>5100132262</v>
      </c>
      <c r="B250">
        <v>10348</v>
      </c>
      <c r="C250" t="s">
        <v>768</v>
      </c>
      <c r="D250" s="143">
        <v>46079</v>
      </c>
      <c r="E250" s="55">
        <v>444070.33</v>
      </c>
      <c r="F250" t="s">
        <v>769</v>
      </c>
      <c r="G250">
        <v>1500085112</v>
      </c>
      <c r="H250" t="s">
        <v>755</v>
      </c>
      <c r="I250" t="s">
        <v>785</v>
      </c>
      <c r="K250" s="143">
        <v>46083</v>
      </c>
      <c r="L250" s="143">
        <v>46079</v>
      </c>
      <c r="M250">
        <v>22026</v>
      </c>
      <c r="N250" t="s">
        <v>771</v>
      </c>
      <c r="O250">
        <v>2001</v>
      </c>
      <c r="S250" t="s">
        <v>790</v>
      </c>
      <c r="T250">
        <v>1500059778</v>
      </c>
    </row>
    <row r="251" spans="1:20" x14ac:dyDescent="0.25">
      <c r="A251">
        <v>5100655115</v>
      </c>
      <c r="B251">
        <v>10348</v>
      </c>
      <c r="C251" t="s">
        <v>768</v>
      </c>
      <c r="D251" s="143">
        <v>46072</v>
      </c>
      <c r="E251" s="55">
        <v>226513.31</v>
      </c>
      <c r="F251" t="s">
        <v>769</v>
      </c>
      <c r="G251">
        <v>1500091603</v>
      </c>
      <c r="H251" t="s">
        <v>755</v>
      </c>
      <c r="I251" t="s">
        <v>791</v>
      </c>
      <c r="K251" s="143">
        <v>46076</v>
      </c>
      <c r="L251" s="143">
        <v>46072</v>
      </c>
      <c r="M251">
        <v>22026</v>
      </c>
      <c r="N251" t="s">
        <v>771</v>
      </c>
      <c r="O251">
        <v>2001</v>
      </c>
      <c r="S251" t="s">
        <v>773</v>
      </c>
      <c r="T251">
        <v>1500059778</v>
      </c>
    </row>
    <row r="252" spans="1:20" x14ac:dyDescent="0.25">
      <c r="A252">
        <v>5101902213</v>
      </c>
      <c r="B252">
        <v>11361</v>
      </c>
      <c r="C252" t="s">
        <v>768</v>
      </c>
      <c r="D252" s="143">
        <v>46100</v>
      </c>
      <c r="E252" s="55">
        <v>368808.65</v>
      </c>
      <c r="F252" t="s">
        <v>769</v>
      </c>
      <c r="G252">
        <v>1500077623</v>
      </c>
      <c r="H252" t="s">
        <v>755</v>
      </c>
      <c r="I252" t="s">
        <v>786</v>
      </c>
      <c r="K252" s="143">
        <v>46104</v>
      </c>
      <c r="L252" s="143">
        <v>46100</v>
      </c>
      <c r="M252">
        <v>32026</v>
      </c>
      <c r="N252" t="s">
        <v>771</v>
      </c>
      <c r="O252">
        <v>2001</v>
      </c>
      <c r="S252" t="s">
        <v>776</v>
      </c>
      <c r="T252">
        <v>1500059778</v>
      </c>
    </row>
    <row r="253" spans="1:20" x14ac:dyDescent="0.25">
      <c r="A253">
        <v>5100601838</v>
      </c>
      <c r="B253">
        <v>11716</v>
      </c>
      <c r="C253" t="s">
        <v>768</v>
      </c>
      <c r="D253" s="143">
        <v>46086</v>
      </c>
      <c r="E253" s="55">
        <v>84549.33</v>
      </c>
      <c r="F253" t="s">
        <v>769</v>
      </c>
      <c r="G253">
        <v>1500046130</v>
      </c>
      <c r="H253" t="s">
        <v>755</v>
      </c>
      <c r="I253" t="s">
        <v>784</v>
      </c>
      <c r="K253" s="143">
        <v>46090</v>
      </c>
      <c r="L253" s="143">
        <v>46086</v>
      </c>
      <c r="M253">
        <v>32026</v>
      </c>
      <c r="N253" t="s">
        <v>771</v>
      </c>
      <c r="O253">
        <v>2001</v>
      </c>
      <c r="S253" t="s">
        <v>777</v>
      </c>
      <c r="T253">
        <v>1500059778</v>
      </c>
    </row>
    <row r="254" spans="1:20" x14ac:dyDescent="0.25">
      <c r="A254">
        <v>5100005139</v>
      </c>
      <c r="B254">
        <v>11716</v>
      </c>
      <c r="C254" t="s">
        <v>768</v>
      </c>
      <c r="D254" s="143">
        <v>46066</v>
      </c>
      <c r="E254" s="55">
        <v>480001.48</v>
      </c>
      <c r="F254" t="s">
        <v>769</v>
      </c>
      <c r="G254">
        <v>1500060320</v>
      </c>
      <c r="H254" t="s">
        <v>755</v>
      </c>
      <c r="I254" t="s">
        <v>789</v>
      </c>
      <c r="K254" s="143">
        <v>46069</v>
      </c>
      <c r="L254" s="143">
        <v>46066</v>
      </c>
      <c r="M254">
        <v>22026</v>
      </c>
      <c r="N254" t="s">
        <v>771</v>
      </c>
      <c r="O254">
        <v>2001</v>
      </c>
      <c r="S254" t="s">
        <v>783</v>
      </c>
      <c r="T254">
        <v>1500059778</v>
      </c>
    </row>
    <row r="255" spans="1:20" x14ac:dyDescent="0.25">
      <c r="A255">
        <v>5100655119</v>
      </c>
      <c r="B255">
        <v>11716</v>
      </c>
      <c r="C255" t="s">
        <v>768</v>
      </c>
      <c r="D255" s="143">
        <v>46072</v>
      </c>
      <c r="E255" s="55">
        <v>23678</v>
      </c>
      <c r="F255" t="s">
        <v>769</v>
      </c>
      <c r="G255">
        <v>1500091605</v>
      </c>
      <c r="H255" t="s">
        <v>755</v>
      </c>
      <c r="I255" t="s">
        <v>791</v>
      </c>
      <c r="K255" s="143">
        <v>46076</v>
      </c>
      <c r="L255" s="143">
        <v>46072</v>
      </c>
      <c r="M255">
        <v>22026</v>
      </c>
      <c r="N255" t="s">
        <v>771</v>
      </c>
      <c r="O255">
        <v>2001</v>
      </c>
      <c r="S255" t="s">
        <v>773</v>
      </c>
      <c r="T255">
        <v>1500059778</v>
      </c>
    </row>
    <row r="256" spans="1:20" x14ac:dyDescent="0.25">
      <c r="A256">
        <v>5100601822</v>
      </c>
      <c r="B256">
        <v>12480</v>
      </c>
      <c r="C256" t="s">
        <v>768</v>
      </c>
      <c r="D256" s="143">
        <v>46086</v>
      </c>
      <c r="E256" s="55">
        <v>607324.51</v>
      </c>
      <c r="F256" t="s">
        <v>769</v>
      </c>
      <c r="G256">
        <v>1500046131</v>
      </c>
      <c r="H256" t="s">
        <v>755</v>
      </c>
      <c r="I256" t="s">
        <v>784</v>
      </c>
      <c r="K256" s="143">
        <v>46090</v>
      </c>
      <c r="L256" s="143">
        <v>46086</v>
      </c>
      <c r="M256">
        <v>32026</v>
      </c>
      <c r="N256" t="s">
        <v>771</v>
      </c>
      <c r="O256">
        <v>2001</v>
      </c>
      <c r="S256" t="s">
        <v>777</v>
      </c>
      <c r="T256">
        <v>1500059778</v>
      </c>
    </row>
    <row r="257" spans="1:20" x14ac:dyDescent="0.25">
      <c r="A257">
        <v>5100132245</v>
      </c>
      <c r="B257">
        <v>12480</v>
      </c>
      <c r="C257" t="s">
        <v>768</v>
      </c>
      <c r="D257" s="143">
        <v>46079</v>
      </c>
      <c r="E257" s="55">
        <v>181292.48</v>
      </c>
      <c r="F257" t="s">
        <v>769</v>
      </c>
      <c r="G257">
        <v>1500061397</v>
      </c>
      <c r="H257" t="s">
        <v>755</v>
      </c>
      <c r="I257" t="s">
        <v>785</v>
      </c>
      <c r="K257" s="143">
        <v>46083</v>
      </c>
      <c r="L257" s="143">
        <v>46079</v>
      </c>
      <c r="M257">
        <v>22026</v>
      </c>
      <c r="N257" t="s">
        <v>771</v>
      </c>
      <c r="O257">
        <v>2001</v>
      </c>
      <c r="S257" t="s">
        <v>783</v>
      </c>
      <c r="T257">
        <v>1500059778</v>
      </c>
    </row>
    <row r="258" spans="1:20" x14ac:dyDescent="0.25">
      <c r="A258">
        <v>5100745431</v>
      </c>
      <c r="B258">
        <v>12480</v>
      </c>
      <c r="C258" t="s">
        <v>768</v>
      </c>
      <c r="D258" s="143">
        <v>46093</v>
      </c>
      <c r="E258" s="55">
        <v>29488.86</v>
      </c>
      <c r="F258" t="s">
        <v>769</v>
      </c>
      <c r="G258">
        <v>1500067157</v>
      </c>
      <c r="H258" t="s">
        <v>755</v>
      </c>
      <c r="I258" t="s">
        <v>788</v>
      </c>
      <c r="K258" s="143">
        <v>46098</v>
      </c>
      <c r="L258" s="143">
        <v>46093</v>
      </c>
      <c r="M258">
        <v>32026</v>
      </c>
      <c r="N258" t="s">
        <v>771</v>
      </c>
      <c r="O258">
        <v>2001</v>
      </c>
      <c r="S258" t="s">
        <v>778</v>
      </c>
      <c r="T258">
        <v>1500059778</v>
      </c>
    </row>
    <row r="259" spans="1:20" x14ac:dyDescent="0.25">
      <c r="A259">
        <v>5101902208</v>
      </c>
      <c r="B259">
        <v>12480</v>
      </c>
      <c r="C259" t="s">
        <v>768</v>
      </c>
      <c r="D259" s="143">
        <v>46100</v>
      </c>
      <c r="E259" s="55">
        <v>237191.39</v>
      </c>
      <c r="F259" t="s">
        <v>769</v>
      </c>
      <c r="G259">
        <v>1500122066</v>
      </c>
      <c r="H259" t="s">
        <v>755</v>
      </c>
      <c r="I259" t="s">
        <v>786</v>
      </c>
      <c r="K259" s="143">
        <v>46104</v>
      </c>
      <c r="L259" s="143">
        <v>46100</v>
      </c>
      <c r="M259">
        <v>32026</v>
      </c>
      <c r="N259" t="s">
        <v>771</v>
      </c>
      <c r="O259">
        <v>2001</v>
      </c>
      <c r="S259" t="s">
        <v>776</v>
      </c>
      <c r="T259">
        <v>1500059778</v>
      </c>
    </row>
    <row r="260" spans="1:20" x14ac:dyDescent="0.25">
      <c r="A260">
        <v>5100601827</v>
      </c>
      <c r="B260">
        <v>13835</v>
      </c>
      <c r="C260" t="s">
        <v>768</v>
      </c>
      <c r="D260" s="143">
        <v>46086</v>
      </c>
      <c r="E260" s="55">
        <v>1113317.25</v>
      </c>
      <c r="F260" t="s">
        <v>769</v>
      </c>
      <c r="G260">
        <v>1500015323</v>
      </c>
      <c r="H260" t="s">
        <v>755</v>
      </c>
      <c r="I260" t="s">
        <v>784</v>
      </c>
      <c r="K260" s="143">
        <v>46090</v>
      </c>
      <c r="L260" s="143">
        <v>46086</v>
      </c>
      <c r="M260">
        <v>32026</v>
      </c>
      <c r="N260" t="s">
        <v>771</v>
      </c>
      <c r="O260">
        <v>2001</v>
      </c>
      <c r="T260">
        <v>1500059778</v>
      </c>
    </row>
    <row r="261" spans="1:20" x14ac:dyDescent="0.25">
      <c r="A261">
        <v>5100132251</v>
      </c>
      <c r="B261">
        <v>13835</v>
      </c>
      <c r="C261" t="s">
        <v>768</v>
      </c>
      <c r="D261" s="143">
        <v>46079</v>
      </c>
      <c r="E261" s="55">
        <v>447428.6</v>
      </c>
      <c r="F261" t="s">
        <v>769</v>
      </c>
      <c r="G261">
        <v>1500061398</v>
      </c>
      <c r="H261" t="s">
        <v>755</v>
      </c>
      <c r="I261" t="s">
        <v>785</v>
      </c>
      <c r="K261" s="143">
        <v>46083</v>
      </c>
      <c r="L261" s="143">
        <v>46079</v>
      </c>
      <c r="M261">
        <v>22026</v>
      </c>
      <c r="N261" t="s">
        <v>771</v>
      </c>
      <c r="O261">
        <v>2001</v>
      </c>
      <c r="S261" t="s">
        <v>783</v>
      </c>
      <c r="T261">
        <v>1500059778</v>
      </c>
    </row>
    <row r="262" spans="1:20" x14ac:dyDescent="0.25">
      <c r="A262">
        <v>5100025327</v>
      </c>
      <c r="B262">
        <v>13835</v>
      </c>
      <c r="C262" t="s">
        <v>768</v>
      </c>
      <c r="D262" s="143">
        <v>46072</v>
      </c>
      <c r="E262" s="55">
        <v>4568.3900000000003</v>
      </c>
      <c r="F262" t="s">
        <v>769</v>
      </c>
      <c r="G262">
        <v>1500091607</v>
      </c>
      <c r="H262" t="s">
        <v>755</v>
      </c>
      <c r="I262" t="s">
        <v>791</v>
      </c>
      <c r="K262" s="143">
        <v>46076</v>
      </c>
      <c r="L262" s="143">
        <v>46072</v>
      </c>
      <c r="M262">
        <v>22026</v>
      </c>
      <c r="N262" t="s">
        <v>771</v>
      </c>
      <c r="O262">
        <v>2001</v>
      </c>
      <c r="S262" t="s">
        <v>773</v>
      </c>
      <c r="T262">
        <v>1500059778</v>
      </c>
    </row>
    <row r="263" spans="1:20" x14ac:dyDescent="0.25">
      <c r="A263">
        <v>5100745433</v>
      </c>
      <c r="B263">
        <v>14833</v>
      </c>
      <c r="C263" t="s">
        <v>768</v>
      </c>
      <c r="D263" s="143">
        <v>46093</v>
      </c>
      <c r="E263" s="55">
        <v>438343</v>
      </c>
      <c r="F263" t="s">
        <v>769</v>
      </c>
      <c r="G263">
        <v>1500033669</v>
      </c>
      <c r="H263" t="s">
        <v>755</v>
      </c>
      <c r="I263" t="s">
        <v>788</v>
      </c>
      <c r="K263" s="143">
        <v>46098</v>
      </c>
      <c r="L263" s="143">
        <v>46093</v>
      </c>
      <c r="M263">
        <v>32026</v>
      </c>
      <c r="N263" t="s">
        <v>771</v>
      </c>
      <c r="O263">
        <v>2001</v>
      </c>
      <c r="S263" t="s">
        <v>778</v>
      </c>
      <c r="T263">
        <v>1500059778</v>
      </c>
    </row>
    <row r="264" spans="1:20" x14ac:dyDescent="0.25">
      <c r="A264">
        <v>1900128103</v>
      </c>
      <c r="B264">
        <v>16068</v>
      </c>
      <c r="C264" t="s">
        <v>792</v>
      </c>
      <c r="D264" s="143">
        <v>46066</v>
      </c>
      <c r="E264" s="55">
        <v>-502421.38</v>
      </c>
      <c r="F264" t="s">
        <v>769</v>
      </c>
      <c r="H264" t="s">
        <v>787</v>
      </c>
      <c r="I264" t="s">
        <v>789</v>
      </c>
      <c r="L264" s="143">
        <v>46066</v>
      </c>
      <c r="M264">
        <v>22026</v>
      </c>
      <c r="N264" t="s">
        <v>771</v>
      </c>
      <c r="O264">
        <v>2001</v>
      </c>
      <c r="Q264" t="s">
        <v>793</v>
      </c>
      <c r="T264">
        <v>1500059778</v>
      </c>
    </row>
    <row r="265" spans="1:20" x14ac:dyDescent="0.25">
      <c r="A265">
        <v>5100005131</v>
      </c>
      <c r="B265">
        <v>16068</v>
      </c>
      <c r="C265" t="s">
        <v>768</v>
      </c>
      <c r="D265" s="143">
        <v>46066</v>
      </c>
      <c r="E265" s="55">
        <v>502421.38</v>
      </c>
      <c r="F265" t="s">
        <v>769</v>
      </c>
      <c r="H265" t="s">
        <v>787</v>
      </c>
      <c r="I265" t="s">
        <v>789</v>
      </c>
      <c r="L265" s="143">
        <v>46066</v>
      </c>
      <c r="M265">
        <v>22026</v>
      </c>
      <c r="N265" t="s">
        <v>771</v>
      </c>
      <c r="O265">
        <v>2001</v>
      </c>
      <c r="S265" t="s">
        <v>783</v>
      </c>
      <c r="T265">
        <v>1500059778</v>
      </c>
    </row>
    <row r="266" spans="1:20" x14ac:dyDescent="0.25">
      <c r="A266">
        <v>5101902205</v>
      </c>
      <c r="B266">
        <v>17921</v>
      </c>
      <c r="C266" t="s">
        <v>768</v>
      </c>
      <c r="D266" s="143">
        <v>46100</v>
      </c>
      <c r="E266" s="55">
        <v>1438808.03</v>
      </c>
      <c r="F266" t="s">
        <v>769</v>
      </c>
      <c r="G266">
        <v>1500122067</v>
      </c>
      <c r="H266" t="s">
        <v>755</v>
      </c>
      <c r="I266" t="s">
        <v>786</v>
      </c>
      <c r="K266" s="143">
        <v>46104</v>
      </c>
      <c r="L266" s="143">
        <v>46100</v>
      </c>
      <c r="M266">
        <v>32026</v>
      </c>
      <c r="N266" t="s">
        <v>771</v>
      </c>
      <c r="O266">
        <v>2001</v>
      </c>
      <c r="S266" t="s">
        <v>776</v>
      </c>
      <c r="T266">
        <v>1500059778</v>
      </c>
    </row>
    <row r="267" spans="1:20" x14ac:dyDescent="0.25">
      <c r="A267">
        <v>5100508906</v>
      </c>
      <c r="B267">
        <v>20125</v>
      </c>
      <c r="C267" t="s">
        <v>768</v>
      </c>
      <c r="D267" s="143">
        <v>46079</v>
      </c>
      <c r="E267" s="55">
        <v>3000000</v>
      </c>
      <c r="F267" t="s">
        <v>769</v>
      </c>
      <c r="G267">
        <v>1500007480</v>
      </c>
      <c r="H267" t="s">
        <v>755</v>
      </c>
      <c r="I267" t="s">
        <v>785</v>
      </c>
      <c r="K267" s="143">
        <v>46080</v>
      </c>
      <c r="L267" s="143">
        <v>46079</v>
      </c>
      <c r="M267">
        <v>22026</v>
      </c>
      <c r="N267" t="s">
        <v>771</v>
      </c>
      <c r="O267">
        <v>2001</v>
      </c>
      <c r="T267">
        <v>1500059778</v>
      </c>
    </row>
    <row r="268" spans="1:20" x14ac:dyDescent="0.25">
      <c r="A268">
        <v>5100132250</v>
      </c>
      <c r="B268">
        <v>21367</v>
      </c>
      <c r="C268" t="s">
        <v>768</v>
      </c>
      <c r="D268" s="143">
        <v>46079</v>
      </c>
      <c r="E268" s="55">
        <v>215041.48</v>
      </c>
      <c r="F268" t="s">
        <v>769</v>
      </c>
      <c r="H268" t="s">
        <v>787</v>
      </c>
      <c r="I268" t="s">
        <v>785</v>
      </c>
      <c r="L268" s="143">
        <v>46079</v>
      </c>
      <c r="M268">
        <v>22026</v>
      </c>
      <c r="N268" t="s">
        <v>771</v>
      </c>
      <c r="O268">
        <v>2001</v>
      </c>
      <c r="S268" t="s">
        <v>783</v>
      </c>
      <c r="T268">
        <v>1500059778</v>
      </c>
    </row>
    <row r="269" spans="1:20" x14ac:dyDescent="0.25">
      <c r="A269">
        <v>5100601831</v>
      </c>
      <c r="B269">
        <v>21845</v>
      </c>
      <c r="C269" t="s">
        <v>768</v>
      </c>
      <c r="D269" s="143">
        <v>46086</v>
      </c>
      <c r="E269" s="55">
        <v>679123.12</v>
      </c>
      <c r="F269" t="s">
        <v>769</v>
      </c>
      <c r="G269">
        <v>1500046128</v>
      </c>
      <c r="H269" t="s">
        <v>755</v>
      </c>
      <c r="I269" t="s">
        <v>784</v>
      </c>
      <c r="K269" s="143">
        <v>46090</v>
      </c>
      <c r="L269" s="143">
        <v>46086</v>
      </c>
      <c r="M269">
        <v>32026</v>
      </c>
      <c r="N269" t="s">
        <v>771</v>
      </c>
      <c r="O269">
        <v>2001</v>
      </c>
      <c r="S269" t="s">
        <v>777</v>
      </c>
      <c r="T269">
        <v>1500059778</v>
      </c>
    </row>
    <row r="270" spans="1:20" x14ac:dyDescent="0.25">
      <c r="A270">
        <v>5100132257</v>
      </c>
      <c r="B270">
        <v>21845</v>
      </c>
      <c r="C270" t="s">
        <v>768</v>
      </c>
      <c r="D270" s="143">
        <v>46079</v>
      </c>
      <c r="E270" s="55">
        <v>385241.76</v>
      </c>
      <c r="F270" t="s">
        <v>769</v>
      </c>
      <c r="G270">
        <v>1500099001</v>
      </c>
      <c r="H270" t="s">
        <v>755</v>
      </c>
      <c r="I270" t="s">
        <v>785</v>
      </c>
      <c r="K270" s="143">
        <v>46083</v>
      </c>
      <c r="L270" s="143">
        <v>46079</v>
      </c>
      <c r="M270">
        <v>22026</v>
      </c>
      <c r="N270" t="s">
        <v>771</v>
      </c>
      <c r="O270">
        <v>2001</v>
      </c>
      <c r="S270" t="s">
        <v>783</v>
      </c>
      <c r="T270">
        <v>1500059778</v>
      </c>
    </row>
    <row r="271" spans="1:20" x14ac:dyDescent="0.25">
      <c r="A271">
        <v>5100005137</v>
      </c>
      <c r="B271">
        <v>21853</v>
      </c>
      <c r="C271" t="s">
        <v>768</v>
      </c>
      <c r="D271" s="143">
        <v>46066</v>
      </c>
      <c r="E271" s="55">
        <v>457353.2</v>
      </c>
      <c r="F271" t="s">
        <v>769</v>
      </c>
      <c r="G271">
        <v>100164320</v>
      </c>
      <c r="H271" t="s">
        <v>755</v>
      </c>
      <c r="I271" t="s">
        <v>789</v>
      </c>
      <c r="J271">
        <v>0</v>
      </c>
      <c r="K271" s="143">
        <v>46132</v>
      </c>
      <c r="L271" s="143">
        <v>46066</v>
      </c>
      <c r="M271">
        <v>22026</v>
      </c>
      <c r="N271" t="s">
        <v>771</v>
      </c>
      <c r="O271">
        <v>2001</v>
      </c>
      <c r="S271">
        <v>2.00159000121112E+17</v>
      </c>
      <c r="T271">
        <v>1500059778</v>
      </c>
    </row>
    <row r="272" spans="1:20" x14ac:dyDescent="0.25">
      <c r="A272">
        <v>5100132269</v>
      </c>
      <c r="B272">
        <v>21853</v>
      </c>
      <c r="C272" t="s">
        <v>768</v>
      </c>
      <c r="D272" s="143">
        <v>46079</v>
      </c>
      <c r="E272" s="55">
        <v>83662.95</v>
      </c>
      <c r="F272" t="s">
        <v>769</v>
      </c>
      <c r="G272">
        <v>101576089</v>
      </c>
      <c r="H272" t="s">
        <v>755</v>
      </c>
      <c r="I272" t="s">
        <v>785</v>
      </c>
      <c r="J272">
        <v>0</v>
      </c>
      <c r="K272" s="143">
        <v>46146</v>
      </c>
      <c r="L272" s="143">
        <v>46079</v>
      </c>
      <c r="M272">
        <v>22026</v>
      </c>
      <c r="N272" t="s">
        <v>771</v>
      </c>
      <c r="O272">
        <v>2001</v>
      </c>
      <c r="S272">
        <v>2.0015900028804198E+17</v>
      </c>
      <c r="T272">
        <v>1500059778</v>
      </c>
    </row>
    <row r="273" spans="1:20" x14ac:dyDescent="0.25">
      <c r="A273">
        <v>5100236719</v>
      </c>
      <c r="B273">
        <v>21853</v>
      </c>
      <c r="C273" t="s">
        <v>768</v>
      </c>
      <c r="D273" s="143">
        <v>46072</v>
      </c>
      <c r="E273" s="55">
        <v>133457.72</v>
      </c>
      <c r="F273" t="s">
        <v>769</v>
      </c>
      <c r="G273">
        <v>1500091611</v>
      </c>
      <c r="H273" t="s">
        <v>755</v>
      </c>
      <c r="I273" t="s">
        <v>791</v>
      </c>
      <c r="K273" s="143">
        <v>46076</v>
      </c>
      <c r="L273" s="143">
        <v>46072</v>
      </c>
      <c r="M273">
        <v>22026</v>
      </c>
      <c r="N273" t="s">
        <v>771</v>
      </c>
      <c r="O273">
        <v>2001</v>
      </c>
      <c r="S273" t="s">
        <v>773</v>
      </c>
      <c r="T273">
        <v>1500059778</v>
      </c>
    </row>
    <row r="274" spans="1:20" x14ac:dyDescent="0.25">
      <c r="A274">
        <v>5100745440</v>
      </c>
      <c r="B274">
        <v>21869</v>
      </c>
      <c r="C274" t="s">
        <v>768</v>
      </c>
      <c r="D274" s="143">
        <v>46093</v>
      </c>
      <c r="E274" s="55">
        <v>421706.2</v>
      </c>
      <c r="F274" t="s">
        <v>769</v>
      </c>
      <c r="G274">
        <v>1500030310</v>
      </c>
      <c r="H274" t="s">
        <v>755</v>
      </c>
      <c r="I274" t="s">
        <v>788</v>
      </c>
      <c r="K274" s="143">
        <v>46098</v>
      </c>
      <c r="L274" s="143">
        <v>46093</v>
      </c>
      <c r="M274">
        <v>32026</v>
      </c>
      <c r="N274" t="s">
        <v>771</v>
      </c>
      <c r="O274">
        <v>2001</v>
      </c>
      <c r="S274" t="s">
        <v>778</v>
      </c>
      <c r="T274">
        <v>1500059778</v>
      </c>
    </row>
    <row r="275" spans="1:20" x14ac:dyDescent="0.25">
      <c r="A275">
        <v>5100601836</v>
      </c>
      <c r="B275">
        <v>21869</v>
      </c>
      <c r="C275" t="s">
        <v>768</v>
      </c>
      <c r="D275" s="143">
        <v>46086</v>
      </c>
      <c r="E275" s="55">
        <v>51850.29</v>
      </c>
      <c r="F275" t="s">
        <v>769</v>
      </c>
      <c r="G275">
        <v>1500043739</v>
      </c>
      <c r="H275" t="s">
        <v>755</v>
      </c>
      <c r="I275" t="s">
        <v>784</v>
      </c>
      <c r="K275" s="143">
        <v>46090</v>
      </c>
      <c r="L275" s="143">
        <v>46086</v>
      </c>
      <c r="M275">
        <v>32026</v>
      </c>
      <c r="N275" t="s">
        <v>771</v>
      </c>
      <c r="O275">
        <v>2001</v>
      </c>
      <c r="S275" t="s">
        <v>777</v>
      </c>
      <c r="T275">
        <v>1500059778</v>
      </c>
    </row>
    <row r="276" spans="1:20" x14ac:dyDescent="0.25">
      <c r="A276">
        <v>5100236721</v>
      </c>
      <c r="B276">
        <v>21869</v>
      </c>
      <c r="C276" t="s">
        <v>768</v>
      </c>
      <c r="D276" s="143">
        <v>46072</v>
      </c>
      <c r="E276" s="55">
        <v>39048.879999999997</v>
      </c>
      <c r="F276" t="s">
        <v>769</v>
      </c>
      <c r="G276">
        <v>1500091612</v>
      </c>
      <c r="H276" t="s">
        <v>755</v>
      </c>
      <c r="I276" t="s">
        <v>791</v>
      </c>
      <c r="K276" s="143">
        <v>46076</v>
      </c>
      <c r="L276" s="143">
        <v>46072</v>
      </c>
      <c r="M276">
        <v>22026</v>
      </c>
      <c r="N276" t="s">
        <v>771</v>
      </c>
      <c r="O276">
        <v>2001</v>
      </c>
      <c r="S276" t="s">
        <v>773</v>
      </c>
      <c r="T276">
        <v>1500059778</v>
      </c>
    </row>
    <row r="277" spans="1:20" x14ac:dyDescent="0.25">
      <c r="A277">
        <v>5100132271</v>
      </c>
      <c r="B277">
        <v>21869</v>
      </c>
      <c r="C277" t="s">
        <v>768</v>
      </c>
      <c r="D277" s="143">
        <v>46079</v>
      </c>
      <c r="E277" s="55">
        <v>108916.91</v>
      </c>
      <c r="F277" t="s">
        <v>769</v>
      </c>
      <c r="G277">
        <v>1500099002</v>
      </c>
      <c r="H277" t="s">
        <v>755</v>
      </c>
      <c r="I277" t="s">
        <v>785</v>
      </c>
      <c r="K277" s="143">
        <v>46083</v>
      </c>
      <c r="L277" s="143">
        <v>46079</v>
      </c>
      <c r="M277">
        <v>22026</v>
      </c>
      <c r="N277" t="s">
        <v>771</v>
      </c>
      <c r="O277">
        <v>2001</v>
      </c>
      <c r="S277" t="s">
        <v>783</v>
      </c>
      <c r="T277">
        <v>1500059778</v>
      </c>
    </row>
    <row r="278" spans="1:20" x14ac:dyDescent="0.25">
      <c r="A278">
        <v>5100745425</v>
      </c>
      <c r="B278">
        <v>24232</v>
      </c>
      <c r="C278" t="s">
        <v>768</v>
      </c>
      <c r="D278" s="143">
        <v>46093</v>
      </c>
      <c r="E278" s="55">
        <v>5500000</v>
      </c>
      <c r="F278" t="s">
        <v>769</v>
      </c>
      <c r="G278">
        <v>1500028227</v>
      </c>
      <c r="H278" t="s">
        <v>755</v>
      </c>
      <c r="I278" t="s">
        <v>788</v>
      </c>
      <c r="K278" s="143">
        <v>46098</v>
      </c>
      <c r="L278" s="143">
        <v>46093</v>
      </c>
      <c r="M278">
        <v>32026</v>
      </c>
      <c r="N278" t="s">
        <v>771</v>
      </c>
      <c r="O278">
        <v>2001</v>
      </c>
      <c r="S278" t="s">
        <v>778</v>
      </c>
      <c r="T278">
        <v>1500059778</v>
      </c>
    </row>
    <row r="279" spans="1:20" x14ac:dyDescent="0.25">
      <c r="A279">
        <v>5100601815</v>
      </c>
      <c r="B279">
        <v>24232</v>
      </c>
      <c r="C279" t="s">
        <v>768</v>
      </c>
      <c r="D279" s="143">
        <v>46086</v>
      </c>
      <c r="E279" s="55">
        <v>4592296.8600000003</v>
      </c>
      <c r="F279" t="s">
        <v>769</v>
      </c>
      <c r="G279">
        <v>1500046132</v>
      </c>
      <c r="H279" t="s">
        <v>755</v>
      </c>
      <c r="I279" t="s">
        <v>784</v>
      </c>
      <c r="K279" s="143">
        <v>46090</v>
      </c>
      <c r="L279" s="143">
        <v>46086</v>
      </c>
      <c r="M279">
        <v>32026</v>
      </c>
      <c r="N279" t="s">
        <v>771</v>
      </c>
      <c r="O279">
        <v>2001</v>
      </c>
      <c r="S279" t="s">
        <v>777</v>
      </c>
      <c r="T279">
        <v>1500059778</v>
      </c>
    </row>
    <row r="280" spans="1:20" x14ac:dyDescent="0.25">
      <c r="A280">
        <v>5100132238</v>
      </c>
      <c r="B280">
        <v>24232</v>
      </c>
      <c r="C280" t="s">
        <v>768</v>
      </c>
      <c r="D280" s="143">
        <v>46079</v>
      </c>
      <c r="E280" s="55">
        <v>792493.27</v>
      </c>
      <c r="F280" t="s">
        <v>769</v>
      </c>
      <c r="G280">
        <v>1500099003</v>
      </c>
      <c r="H280" t="s">
        <v>755</v>
      </c>
      <c r="I280" t="s">
        <v>785</v>
      </c>
      <c r="K280" s="143">
        <v>46083</v>
      </c>
      <c r="L280" s="143">
        <v>46079</v>
      </c>
      <c r="M280">
        <v>22026</v>
      </c>
      <c r="N280" t="s">
        <v>771</v>
      </c>
      <c r="O280">
        <v>2001</v>
      </c>
      <c r="S280" t="s">
        <v>783</v>
      </c>
      <c r="T280">
        <v>1500059778</v>
      </c>
    </row>
    <row r="281" spans="1:20" x14ac:dyDescent="0.25">
      <c r="A281">
        <v>5101902200</v>
      </c>
      <c r="B281">
        <v>24232</v>
      </c>
      <c r="C281" t="s">
        <v>768</v>
      </c>
      <c r="D281" s="143">
        <v>46100</v>
      </c>
      <c r="E281" s="55">
        <v>7084621</v>
      </c>
      <c r="F281" t="s">
        <v>769</v>
      </c>
      <c r="G281">
        <v>1500122068</v>
      </c>
      <c r="H281" t="s">
        <v>755</v>
      </c>
      <c r="I281" t="s">
        <v>786</v>
      </c>
      <c r="K281" s="143">
        <v>46104</v>
      </c>
      <c r="L281" s="143">
        <v>46100</v>
      </c>
      <c r="M281">
        <v>32026</v>
      </c>
      <c r="N281" t="s">
        <v>771</v>
      </c>
      <c r="O281">
        <v>2001</v>
      </c>
      <c r="S281" t="s">
        <v>776</v>
      </c>
      <c r="T281">
        <v>1500059778</v>
      </c>
    </row>
    <row r="282" spans="1:20" x14ac:dyDescent="0.25">
      <c r="A282">
        <v>5100745427</v>
      </c>
      <c r="B282">
        <v>24489</v>
      </c>
      <c r="C282" t="s">
        <v>768</v>
      </c>
      <c r="D282" s="143">
        <v>46093</v>
      </c>
      <c r="E282" s="55">
        <v>489771.88</v>
      </c>
      <c r="F282" t="s">
        <v>769</v>
      </c>
      <c r="H282" t="s">
        <v>787</v>
      </c>
      <c r="I282" t="s">
        <v>788</v>
      </c>
      <c r="J282">
        <v>0</v>
      </c>
      <c r="L282" s="143">
        <v>46093</v>
      </c>
      <c r="M282">
        <v>32026</v>
      </c>
      <c r="N282" t="s">
        <v>771</v>
      </c>
      <c r="O282">
        <v>2001</v>
      </c>
      <c r="T282">
        <v>1500059778</v>
      </c>
    </row>
    <row r="283" spans="1:20" x14ac:dyDescent="0.25">
      <c r="A283">
        <v>5100601818</v>
      </c>
      <c r="B283">
        <v>24489</v>
      </c>
      <c r="C283" t="s">
        <v>768</v>
      </c>
      <c r="D283" s="143">
        <v>46086</v>
      </c>
      <c r="E283" s="55">
        <v>2681699</v>
      </c>
      <c r="F283" t="s">
        <v>769</v>
      </c>
      <c r="G283">
        <v>1500043740</v>
      </c>
      <c r="H283" t="s">
        <v>755</v>
      </c>
      <c r="I283" t="s">
        <v>784</v>
      </c>
      <c r="K283" s="143">
        <v>46090</v>
      </c>
      <c r="L283" s="143">
        <v>46086</v>
      </c>
      <c r="M283">
        <v>32026</v>
      </c>
      <c r="N283" t="s">
        <v>771</v>
      </c>
      <c r="O283">
        <v>2001</v>
      </c>
      <c r="S283" t="s">
        <v>777</v>
      </c>
      <c r="T283">
        <v>1500059778</v>
      </c>
    </row>
    <row r="284" spans="1:20" x14ac:dyDescent="0.25">
      <c r="A284">
        <v>5100601826</v>
      </c>
      <c r="B284">
        <v>29272</v>
      </c>
      <c r="C284" t="s">
        <v>768</v>
      </c>
      <c r="D284" s="143">
        <v>46086</v>
      </c>
      <c r="E284" s="55">
        <v>810689.98</v>
      </c>
      <c r="F284" t="s">
        <v>769</v>
      </c>
      <c r="G284">
        <v>1500030109</v>
      </c>
      <c r="H284" t="s">
        <v>755</v>
      </c>
      <c r="I284" t="s">
        <v>784</v>
      </c>
      <c r="K284" s="143">
        <v>46090</v>
      </c>
      <c r="L284" s="143">
        <v>46086</v>
      </c>
      <c r="M284">
        <v>32026</v>
      </c>
      <c r="N284" t="s">
        <v>771</v>
      </c>
      <c r="O284">
        <v>2001</v>
      </c>
      <c r="S284" t="s">
        <v>777</v>
      </c>
      <c r="T284">
        <v>1500059778</v>
      </c>
    </row>
    <row r="285" spans="1:20" x14ac:dyDescent="0.25">
      <c r="A285">
        <v>5100132249</v>
      </c>
      <c r="B285">
        <v>29272</v>
      </c>
      <c r="C285" t="s">
        <v>768</v>
      </c>
      <c r="D285" s="143">
        <v>46079</v>
      </c>
      <c r="E285" s="55">
        <v>991759.2</v>
      </c>
      <c r="F285" t="s">
        <v>769</v>
      </c>
      <c r="G285">
        <v>1500099004</v>
      </c>
      <c r="H285" t="s">
        <v>755</v>
      </c>
      <c r="I285" t="s">
        <v>785</v>
      </c>
      <c r="K285" s="143">
        <v>46083</v>
      </c>
      <c r="L285" s="143">
        <v>46079</v>
      </c>
      <c r="M285">
        <v>22026</v>
      </c>
      <c r="N285" t="s">
        <v>771</v>
      </c>
      <c r="O285">
        <v>2001</v>
      </c>
      <c r="S285" t="s">
        <v>783</v>
      </c>
      <c r="T285">
        <v>1500059778</v>
      </c>
    </row>
    <row r="286" spans="1:20" x14ac:dyDescent="0.25">
      <c r="A286">
        <v>5100601837</v>
      </c>
      <c r="B286">
        <v>32953</v>
      </c>
      <c r="C286" t="s">
        <v>768</v>
      </c>
      <c r="D286" s="143">
        <v>46086</v>
      </c>
      <c r="E286" s="55">
        <v>147952.95000000001</v>
      </c>
      <c r="F286" t="s">
        <v>769</v>
      </c>
      <c r="G286">
        <v>1500015325</v>
      </c>
      <c r="H286" t="s">
        <v>755</v>
      </c>
      <c r="I286" t="s">
        <v>784</v>
      </c>
      <c r="K286" s="143">
        <v>46090</v>
      </c>
      <c r="L286" s="143">
        <v>46086</v>
      </c>
      <c r="M286">
        <v>32026</v>
      </c>
      <c r="N286" t="s">
        <v>771</v>
      </c>
      <c r="O286">
        <v>2001</v>
      </c>
      <c r="T286">
        <v>1500059778</v>
      </c>
    </row>
    <row r="287" spans="1:20" x14ac:dyDescent="0.25">
      <c r="A287">
        <v>5100655118</v>
      </c>
      <c r="B287">
        <v>32953</v>
      </c>
      <c r="C287" t="s">
        <v>768</v>
      </c>
      <c r="D287" s="143">
        <v>46072</v>
      </c>
      <c r="E287" s="55">
        <v>247315.23</v>
      </c>
      <c r="F287" t="s">
        <v>769</v>
      </c>
      <c r="G287">
        <v>1500091615</v>
      </c>
      <c r="H287" t="s">
        <v>755</v>
      </c>
      <c r="I287" t="s">
        <v>791</v>
      </c>
      <c r="K287" s="143">
        <v>46076</v>
      </c>
      <c r="L287" s="143">
        <v>46072</v>
      </c>
      <c r="M287">
        <v>22026</v>
      </c>
      <c r="N287" t="s">
        <v>771</v>
      </c>
      <c r="O287">
        <v>2001</v>
      </c>
      <c r="S287" t="s">
        <v>773</v>
      </c>
      <c r="T287">
        <v>1500059778</v>
      </c>
    </row>
    <row r="288" spans="1:20" x14ac:dyDescent="0.25">
      <c r="A288">
        <v>5100132272</v>
      </c>
      <c r="B288">
        <v>32953</v>
      </c>
      <c r="C288" t="s">
        <v>768</v>
      </c>
      <c r="D288" s="143">
        <v>46079</v>
      </c>
      <c r="E288" s="55">
        <v>93815.2</v>
      </c>
      <c r="F288" t="s">
        <v>769</v>
      </c>
      <c r="G288">
        <v>1500099005</v>
      </c>
      <c r="H288" t="s">
        <v>755</v>
      </c>
      <c r="I288" t="s">
        <v>785</v>
      </c>
      <c r="K288" s="143">
        <v>46083</v>
      </c>
      <c r="L288" s="143">
        <v>46079</v>
      </c>
      <c r="M288">
        <v>22026</v>
      </c>
      <c r="N288" t="s">
        <v>771</v>
      </c>
      <c r="O288">
        <v>2001</v>
      </c>
      <c r="S288" t="s">
        <v>783</v>
      </c>
      <c r="T288">
        <v>1500059778</v>
      </c>
    </row>
    <row r="289" spans="1:20" x14ac:dyDescent="0.25">
      <c r="A289">
        <v>5100601833</v>
      </c>
      <c r="B289">
        <v>33571</v>
      </c>
      <c r="C289" t="s">
        <v>768</v>
      </c>
      <c r="D289" s="143">
        <v>46086</v>
      </c>
      <c r="E289" s="55">
        <v>163462.82999999999</v>
      </c>
      <c r="F289" t="s">
        <v>769</v>
      </c>
      <c r="G289">
        <v>1500015327</v>
      </c>
      <c r="H289" t="s">
        <v>755</v>
      </c>
      <c r="I289" t="s">
        <v>784</v>
      </c>
      <c r="K289" s="143">
        <v>46090</v>
      </c>
      <c r="L289" s="143">
        <v>46086</v>
      </c>
      <c r="M289">
        <v>32026</v>
      </c>
      <c r="N289" t="s">
        <v>771</v>
      </c>
      <c r="O289">
        <v>2001</v>
      </c>
      <c r="T289">
        <v>1500059778</v>
      </c>
    </row>
    <row r="290" spans="1:20" x14ac:dyDescent="0.25">
      <c r="A290">
        <v>5100424425</v>
      </c>
      <c r="B290">
        <v>33571</v>
      </c>
      <c r="C290" t="s">
        <v>768</v>
      </c>
      <c r="D290" s="143">
        <v>46072</v>
      </c>
      <c r="E290" s="55">
        <v>561412.55000000005</v>
      </c>
      <c r="F290" t="s">
        <v>769</v>
      </c>
      <c r="G290">
        <v>1500091617</v>
      </c>
      <c r="H290" t="s">
        <v>755</v>
      </c>
      <c r="I290" t="s">
        <v>791</v>
      </c>
      <c r="K290" s="143">
        <v>46076</v>
      </c>
      <c r="L290" s="143">
        <v>46072</v>
      </c>
      <c r="M290">
        <v>22026</v>
      </c>
      <c r="N290" t="s">
        <v>771</v>
      </c>
      <c r="O290">
        <v>2001</v>
      </c>
      <c r="S290" t="s">
        <v>773</v>
      </c>
      <c r="T290">
        <v>1500059778</v>
      </c>
    </row>
    <row r="291" spans="1:20" x14ac:dyDescent="0.25">
      <c r="A291">
        <v>5100132260</v>
      </c>
      <c r="B291">
        <v>33571</v>
      </c>
      <c r="C291" t="s">
        <v>768</v>
      </c>
      <c r="D291" s="143">
        <v>46079</v>
      </c>
      <c r="E291" s="55">
        <v>220221.37</v>
      </c>
      <c r="F291" t="s">
        <v>769</v>
      </c>
      <c r="G291">
        <v>1500099006</v>
      </c>
      <c r="H291" t="s">
        <v>755</v>
      </c>
      <c r="I291" t="s">
        <v>785</v>
      </c>
      <c r="K291" s="143">
        <v>46083</v>
      </c>
      <c r="L291" s="143">
        <v>46079</v>
      </c>
      <c r="M291">
        <v>22026</v>
      </c>
      <c r="N291" t="s">
        <v>771</v>
      </c>
      <c r="O291">
        <v>2001</v>
      </c>
      <c r="S291" t="s">
        <v>783</v>
      </c>
      <c r="T291">
        <v>1500059778</v>
      </c>
    </row>
    <row r="292" spans="1:20" x14ac:dyDescent="0.25">
      <c r="A292">
        <v>5100601828</v>
      </c>
      <c r="B292">
        <v>34801</v>
      </c>
      <c r="C292" t="s">
        <v>768</v>
      </c>
      <c r="D292" s="143">
        <v>46086</v>
      </c>
      <c r="E292" s="55">
        <v>454253.26</v>
      </c>
      <c r="F292" t="s">
        <v>769</v>
      </c>
      <c r="G292">
        <v>1500046133</v>
      </c>
      <c r="H292" t="s">
        <v>755</v>
      </c>
      <c r="I292" t="s">
        <v>784</v>
      </c>
      <c r="K292" s="143">
        <v>46090</v>
      </c>
      <c r="L292" s="143">
        <v>46086</v>
      </c>
      <c r="M292">
        <v>32026</v>
      </c>
      <c r="N292" t="s">
        <v>771</v>
      </c>
      <c r="O292">
        <v>2001</v>
      </c>
      <c r="S292" t="s">
        <v>777</v>
      </c>
      <c r="T292">
        <v>1500059778</v>
      </c>
    </row>
    <row r="293" spans="1:20" x14ac:dyDescent="0.25">
      <c r="A293">
        <v>5101902204</v>
      </c>
      <c r="B293">
        <v>38893</v>
      </c>
      <c r="C293" t="s">
        <v>768</v>
      </c>
      <c r="D293" s="143">
        <v>46100</v>
      </c>
      <c r="E293" s="55">
        <v>3960385.58</v>
      </c>
      <c r="F293" t="s">
        <v>769</v>
      </c>
      <c r="G293">
        <v>1500122069</v>
      </c>
      <c r="H293" t="s">
        <v>755</v>
      </c>
      <c r="I293" t="s">
        <v>786</v>
      </c>
      <c r="K293" s="143">
        <v>46104</v>
      </c>
      <c r="L293" s="143">
        <v>46100</v>
      </c>
      <c r="M293">
        <v>32026</v>
      </c>
      <c r="N293" t="s">
        <v>771</v>
      </c>
      <c r="O293">
        <v>2001</v>
      </c>
      <c r="S293" t="s">
        <v>776</v>
      </c>
      <c r="T293">
        <v>1500059778</v>
      </c>
    </row>
    <row r="294" spans="1:20" x14ac:dyDescent="0.25">
      <c r="A294">
        <v>5100005134</v>
      </c>
      <c r="B294">
        <v>43463</v>
      </c>
      <c r="C294" t="s">
        <v>768</v>
      </c>
      <c r="D294" s="143">
        <v>46066</v>
      </c>
      <c r="E294" s="55">
        <v>194888.65</v>
      </c>
      <c r="F294" t="s">
        <v>769</v>
      </c>
      <c r="G294">
        <v>1500060323</v>
      </c>
      <c r="H294" t="s">
        <v>755</v>
      </c>
      <c r="I294" t="s">
        <v>789</v>
      </c>
      <c r="K294" s="143">
        <v>46069</v>
      </c>
      <c r="L294" s="143">
        <v>46066</v>
      </c>
      <c r="M294">
        <v>22026</v>
      </c>
      <c r="N294" t="s">
        <v>771</v>
      </c>
      <c r="O294">
        <v>2001</v>
      </c>
      <c r="S294" t="s">
        <v>783</v>
      </c>
      <c r="T294">
        <v>1500059778</v>
      </c>
    </row>
    <row r="295" spans="1:20" x14ac:dyDescent="0.25">
      <c r="A295">
        <v>5100655117</v>
      </c>
      <c r="B295">
        <v>43463</v>
      </c>
      <c r="C295" t="s">
        <v>768</v>
      </c>
      <c r="D295" s="143">
        <v>46072</v>
      </c>
      <c r="E295" s="55">
        <v>218542.56</v>
      </c>
      <c r="F295" t="s">
        <v>769</v>
      </c>
      <c r="G295">
        <v>1500091619</v>
      </c>
      <c r="H295" t="s">
        <v>755</v>
      </c>
      <c r="I295" t="s">
        <v>791</v>
      </c>
      <c r="K295" s="143">
        <v>46076</v>
      </c>
      <c r="L295" s="143">
        <v>46072</v>
      </c>
      <c r="M295">
        <v>22026</v>
      </c>
      <c r="N295" t="s">
        <v>771</v>
      </c>
      <c r="O295">
        <v>2001</v>
      </c>
      <c r="S295" t="s">
        <v>773</v>
      </c>
      <c r="T295">
        <v>1500059778</v>
      </c>
    </row>
    <row r="296" spans="1:20" x14ac:dyDescent="0.25">
      <c r="A296">
        <v>5100132264</v>
      </c>
      <c r="B296">
        <v>43463</v>
      </c>
      <c r="C296" t="s">
        <v>768</v>
      </c>
      <c r="D296" s="143">
        <v>46079</v>
      </c>
      <c r="E296" s="55">
        <v>318745.03000000003</v>
      </c>
      <c r="F296" t="s">
        <v>769</v>
      </c>
      <c r="G296">
        <v>1500099206</v>
      </c>
      <c r="H296" t="s">
        <v>755</v>
      </c>
      <c r="I296" t="s">
        <v>785</v>
      </c>
      <c r="K296" s="143">
        <v>46083</v>
      </c>
      <c r="L296" s="143">
        <v>46079</v>
      </c>
      <c r="M296">
        <v>22026</v>
      </c>
      <c r="N296" t="s">
        <v>771</v>
      </c>
      <c r="O296">
        <v>2001</v>
      </c>
      <c r="S296" t="s">
        <v>783</v>
      </c>
      <c r="T296">
        <v>1500059778</v>
      </c>
    </row>
    <row r="297" spans="1:20" x14ac:dyDescent="0.25">
      <c r="A297">
        <v>5101902214</v>
      </c>
      <c r="B297">
        <v>48298</v>
      </c>
      <c r="C297" t="s">
        <v>768</v>
      </c>
      <c r="D297" s="143">
        <v>46100</v>
      </c>
      <c r="E297" s="55">
        <v>28918.45</v>
      </c>
      <c r="F297" t="s">
        <v>769</v>
      </c>
      <c r="H297" t="s">
        <v>787</v>
      </c>
      <c r="I297" t="s">
        <v>786</v>
      </c>
      <c r="J297">
        <v>0</v>
      </c>
      <c r="L297" s="143">
        <v>46100</v>
      </c>
      <c r="M297">
        <v>32026</v>
      </c>
      <c r="N297" t="s">
        <v>771</v>
      </c>
      <c r="O297">
        <v>2001</v>
      </c>
      <c r="T297">
        <v>1500059778</v>
      </c>
    </row>
    <row r="298" spans="1:20" x14ac:dyDescent="0.25">
      <c r="A298">
        <v>5100745436</v>
      </c>
      <c r="B298">
        <v>48298</v>
      </c>
      <c r="C298" t="s">
        <v>768</v>
      </c>
      <c r="D298" s="143">
        <v>46093</v>
      </c>
      <c r="E298" s="55">
        <v>250000</v>
      </c>
      <c r="F298" t="s">
        <v>769</v>
      </c>
      <c r="G298">
        <v>1500028228</v>
      </c>
      <c r="H298" t="s">
        <v>755</v>
      </c>
      <c r="I298" t="s">
        <v>788</v>
      </c>
      <c r="K298" s="143">
        <v>46098</v>
      </c>
      <c r="L298" s="143">
        <v>46093</v>
      </c>
      <c r="M298">
        <v>32026</v>
      </c>
      <c r="N298" t="s">
        <v>771</v>
      </c>
      <c r="O298">
        <v>2001</v>
      </c>
      <c r="S298" t="s">
        <v>778</v>
      </c>
      <c r="T298">
        <v>1500059778</v>
      </c>
    </row>
    <row r="299" spans="1:20" x14ac:dyDescent="0.25">
      <c r="A299">
        <v>5100132266</v>
      </c>
      <c r="B299">
        <v>48298</v>
      </c>
      <c r="C299" t="s">
        <v>768</v>
      </c>
      <c r="D299" s="143">
        <v>46079</v>
      </c>
      <c r="E299" s="55">
        <v>121222.77</v>
      </c>
      <c r="F299" t="s">
        <v>769</v>
      </c>
      <c r="G299">
        <v>1500099007</v>
      </c>
      <c r="H299" t="s">
        <v>755</v>
      </c>
      <c r="I299" t="s">
        <v>785</v>
      </c>
      <c r="K299" s="143">
        <v>46083</v>
      </c>
      <c r="L299" s="143">
        <v>46079</v>
      </c>
      <c r="M299">
        <v>22026</v>
      </c>
      <c r="N299" t="s">
        <v>771</v>
      </c>
      <c r="O299">
        <v>2001</v>
      </c>
      <c r="S299" t="s">
        <v>783</v>
      </c>
      <c r="T299">
        <v>1500059778</v>
      </c>
    </row>
    <row r="300" spans="1:20" x14ac:dyDescent="0.25">
      <c r="A300">
        <v>5100601821</v>
      </c>
      <c r="B300">
        <v>51698</v>
      </c>
      <c r="C300" t="s">
        <v>768</v>
      </c>
      <c r="D300" s="143">
        <v>46086</v>
      </c>
      <c r="E300" s="55">
        <v>502542.02</v>
      </c>
      <c r="F300" t="s">
        <v>769</v>
      </c>
      <c r="G300">
        <v>1500033671</v>
      </c>
      <c r="H300" t="s">
        <v>755</v>
      </c>
      <c r="I300" t="s">
        <v>784</v>
      </c>
      <c r="K300" s="143">
        <v>46098</v>
      </c>
      <c r="L300" s="143">
        <v>46086</v>
      </c>
      <c r="M300">
        <v>32026</v>
      </c>
      <c r="N300" t="s">
        <v>771</v>
      </c>
      <c r="O300">
        <v>2001</v>
      </c>
      <c r="S300" t="s">
        <v>778</v>
      </c>
      <c r="T300">
        <v>1500059778</v>
      </c>
    </row>
    <row r="301" spans="1:20" x14ac:dyDescent="0.25">
      <c r="A301">
        <v>5100745430</v>
      </c>
      <c r="B301">
        <v>51698</v>
      </c>
      <c r="C301" t="s">
        <v>768</v>
      </c>
      <c r="D301" s="143">
        <v>46093</v>
      </c>
      <c r="E301" s="55">
        <v>502894</v>
      </c>
      <c r="F301" t="s">
        <v>769</v>
      </c>
      <c r="G301">
        <v>1500033671</v>
      </c>
      <c r="H301" t="s">
        <v>755</v>
      </c>
      <c r="I301" t="s">
        <v>788</v>
      </c>
      <c r="K301" s="143">
        <v>46098</v>
      </c>
      <c r="L301" s="143">
        <v>46093</v>
      </c>
      <c r="M301">
        <v>32026</v>
      </c>
      <c r="N301" t="s">
        <v>771</v>
      </c>
      <c r="O301">
        <v>2001</v>
      </c>
      <c r="S301" t="s">
        <v>778</v>
      </c>
      <c r="T301">
        <v>1500059778</v>
      </c>
    </row>
    <row r="302" spans="1:20" x14ac:dyDescent="0.25">
      <c r="A302">
        <v>5100132244</v>
      </c>
      <c r="B302">
        <v>51698</v>
      </c>
      <c r="C302" t="s">
        <v>768</v>
      </c>
      <c r="D302" s="143">
        <v>46079</v>
      </c>
      <c r="E302" s="55">
        <v>201638.13</v>
      </c>
      <c r="F302" t="s">
        <v>769</v>
      </c>
      <c r="G302">
        <v>1500099009</v>
      </c>
      <c r="H302" t="s">
        <v>755</v>
      </c>
      <c r="I302" t="s">
        <v>785</v>
      </c>
      <c r="K302" s="143">
        <v>46083</v>
      </c>
      <c r="L302" s="143">
        <v>46079</v>
      </c>
      <c r="M302">
        <v>22026</v>
      </c>
      <c r="N302" t="s">
        <v>771</v>
      </c>
      <c r="O302">
        <v>2001</v>
      </c>
      <c r="S302" t="s">
        <v>783</v>
      </c>
      <c r="T302">
        <v>1500059778</v>
      </c>
    </row>
    <row r="303" spans="1:20" x14ac:dyDescent="0.25">
      <c r="A303">
        <v>5100745432</v>
      </c>
      <c r="B303">
        <v>51987</v>
      </c>
      <c r="C303" t="s">
        <v>768</v>
      </c>
      <c r="D303" s="143">
        <v>46093</v>
      </c>
      <c r="E303" s="55">
        <v>460000</v>
      </c>
      <c r="F303" t="s">
        <v>769</v>
      </c>
      <c r="G303">
        <v>1500028229</v>
      </c>
      <c r="H303" t="s">
        <v>755</v>
      </c>
      <c r="I303" t="s">
        <v>788</v>
      </c>
      <c r="K303" s="143">
        <v>46098</v>
      </c>
      <c r="L303" s="143">
        <v>46093</v>
      </c>
      <c r="M303">
        <v>32026</v>
      </c>
      <c r="N303" t="s">
        <v>771</v>
      </c>
      <c r="O303">
        <v>2001</v>
      </c>
      <c r="S303" t="s">
        <v>778</v>
      </c>
      <c r="T303">
        <v>1500059778</v>
      </c>
    </row>
    <row r="304" spans="1:20" x14ac:dyDescent="0.25">
      <c r="A304">
        <v>5100601829</v>
      </c>
      <c r="B304">
        <v>51987</v>
      </c>
      <c r="C304" t="s">
        <v>768</v>
      </c>
      <c r="D304" s="143">
        <v>46086</v>
      </c>
      <c r="E304" s="55">
        <v>274535.34000000003</v>
      </c>
      <c r="F304" t="s">
        <v>769</v>
      </c>
      <c r="G304">
        <v>1500043741</v>
      </c>
      <c r="H304" t="s">
        <v>755</v>
      </c>
      <c r="I304" t="s">
        <v>784</v>
      </c>
      <c r="K304" s="143">
        <v>46090</v>
      </c>
      <c r="L304" s="143">
        <v>46086</v>
      </c>
      <c r="M304">
        <v>32026</v>
      </c>
      <c r="N304" t="s">
        <v>771</v>
      </c>
      <c r="O304">
        <v>2001</v>
      </c>
      <c r="S304" t="s">
        <v>777</v>
      </c>
      <c r="T304">
        <v>1500059778</v>
      </c>
    </row>
    <row r="305" spans="1:20" x14ac:dyDescent="0.25">
      <c r="A305">
        <v>5100132255</v>
      </c>
      <c r="B305">
        <v>51987</v>
      </c>
      <c r="C305" t="s">
        <v>768</v>
      </c>
      <c r="D305" s="143">
        <v>46079</v>
      </c>
      <c r="E305" s="55">
        <v>68582.100000000006</v>
      </c>
      <c r="F305" t="s">
        <v>769</v>
      </c>
      <c r="G305">
        <v>1500099010</v>
      </c>
      <c r="H305" t="s">
        <v>755</v>
      </c>
      <c r="I305" t="s">
        <v>785</v>
      </c>
      <c r="K305" s="143">
        <v>46083</v>
      </c>
      <c r="L305" s="143">
        <v>46079</v>
      </c>
      <c r="M305">
        <v>22026</v>
      </c>
      <c r="N305" t="s">
        <v>771</v>
      </c>
      <c r="O305">
        <v>2001</v>
      </c>
      <c r="S305" t="s">
        <v>783</v>
      </c>
      <c r="T305">
        <v>1500059778</v>
      </c>
    </row>
    <row r="306" spans="1:20" x14ac:dyDescent="0.25">
      <c r="A306">
        <v>5101902210</v>
      </c>
      <c r="B306">
        <v>51987</v>
      </c>
      <c r="C306" t="s">
        <v>768</v>
      </c>
      <c r="D306" s="143">
        <v>46100</v>
      </c>
      <c r="E306" s="55">
        <v>599333.1</v>
      </c>
      <c r="F306" t="s">
        <v>769</v>
      </c>
      <c r="G306">
        <v>1500122070</v>
      </c>
      <c r="H306" t="s">
        <v>755</v>
      </c>
      <c r="I306" t="s">
        <v>786</v>
      </c>
      <c r="K306" s="143">
        <v>46104</v>
      </c>
      <c r="L306" s="143">
        <v>46100</v>
      </c>
      <c r="M306">
        <v>32026</v>
      </c>
      <c r="N306" t="s">
        <v>771</v>
      </c>
      <c r="O306">
        <v>2001</v>
      </c>
      <c r="S306" t="s">
        <v>776</v>
      </c>
      <c r="T306">
        <v>1500059778</v>
      </c>
    </row>
    <row r="307" spans="1:20" x14ac:dyDescent="0.25">
      <c r="A307">
        <v>5100745435</v>
      </c>
      <c r="B307">
        <v>52480</v>
      </c>
      <c r="C307" t="s">
        <v>768</v>
      </c>
      <c r="D307" s="143">
        <v>46093</v>
      </c>
      <c r="E307" s="55">
        <v>174997.75</v>
      </c>
      <c r="F307" t="s">
        <v>769</v>
      </c>
      <c r="G307">
        <v>1500030311</v>
      </c>
      <c r="H307" t="s">
        <v>755</v>
      </c>
      <c r="I307" t="s">
        <v>788</v>
      </c>
      <c r="K307" s="143">
        <v>46098</v>
      </c>
      <c r="L307" s="143">
        <v>46093</v>
      </c>
      <c r="M307">
        <v>32026</v>
      </c>
      <c r="N307" t="s">
        <v>771</v>
      </c>
      <c r="O307">
        <v>2001</v>
      </c>
      <c r="S307" t="s">
        <v>778</v>
      </c>
      <c r="T307">
        <v>1500059778</v>
      </c>
    </row>
    <row r="308" spans="1:20" x14ac:dyDescent="0.25">
      <c r="A308">
        <v>5100005133</v>
      </c>
      <c r="B308">
        <v>52480</v>
      </c>
      <c r="C308" t="s">
        <v>768</v>
      </c>
      <c r="D308" s="143">
        <v>46066</v>
      </c>
      <c r="E308" s="55">
        <v>437096.76</v>
      </c>
      <c r="F308" t="s">
        <v>769</v>
      </c>
      <c r="G308">
        <v>1500060325</v>
      </c>
      <c r="H308" t="s">
        <v>755</v>
      </c>
      <c r="I308" t="s">
        <v>789</v>
      </c>
      <c r="K308" s="143">
        <v>46069</v>
      </c>
      <c r="L308" s="143">
        <v>46066</v>
      </c>
      <c r="M308">
        <v>22026</v>
      </c>
      <c r="N308" t="s">
        <v>771</v>
      </c>
      <c r="O308">
        <v>2001</v>
      </c>
      <c r="S308" t="s">
        <v>783</v>
      </c>
      <c r="T308">
        <v>1500059778</v>
      </c>
    </row>
    <row r="309" spans="1:20" x14ac:dyDescent="0.25">
      <c r="A309">
        <v>5100655116</v>
      </c>
      <c r="B309">
        <v>52480</v>
      </c>
      <c r="C309" t="s">
        <v>768</v>
      </c>
      <c r="D309" s="143">
        <v>46072</v>
      </c>
      <c r="E309" s="55">
        <v>43007.59</v>
      </c>
      <c r="F309" t="s">
        <v>769</v>
      </c>
      <c r="G309">
        <v>1500091621</v>
      </c>
      <c r="H309" t="s">
        <v>755</v>
      </c>
      <c r="I309" t="s">
        <v>791</v>
      </c>
      <c r="K309" s="143">
        <v>46076</v>
      </c>
      <c r="L309" s="143">
        <v>46072</v>
      </c>
      <c r="M309">
        <v>22026</v>
      </c>
      <c r="N309" t="s">
        <v>771</v>
      </c>
      <c r="O309">
        <v>2001</v>
      </c>
      <c r="S309" t="s">
        <v>773</v>
      </c>
      <c r="T309">
        <v>1500059778</v>
      </c>
    </row>
    <row r="310" spans="1:20" x14ac:dyDescent="0.25">
      <c r="A310">
        <v>5100132263</v>
      </c>
      <c r="B310">
        <v>52480</v>
      </c>
      <c r="C310" t="s">
        <v>768</v>
      </c>
      <c r="D310" s="143">
        <v>46079</v>
      </c>
      <c r="E310" s="55">
        <v>85215.18</v>
      </c>
      <c r="F310" t="s">
        <v>769</v>
      </c>
      <c r="G310">
        <v>1500099011</v>
      </c>
      <c r="H310" t="s">
        <v>755</v>
      </c>
      <c r="I310" t="s">
        <v>785</v>
      </c>
      <c r="K310" s="143">
        <v>46083</v>
      </c>
      <c r="L310" s="143">
        <v>46079</v>
      </c>
      <c r="M310">
        <v>22026</v>
      </c>
      <c r="N310" t="s">
        <v>771</v>
      </c>
      <c r="O310">
        <v>2001</v>
      </c>
      <c r="S310" t="s">
        <v>783</v>
      </c>
      <c r="T310">
        <v>1500059778</v>
      </c>
    </row>
    <row r="311" spans="1:20" x14ac:dyDescent="0.25">
      <c r="A311">
        <v>5100601832</v>
      </c>
      <c r="B311">
        <v>53256</v>
      </c>
      <c r="C311" t="s">
        <v>768</v>
      </c>
      <c r="D311" s="143">
        <v>46086</v>
      </c>
      <c r="E311" s="55">
        <v>192834.44</v>
      </c>
      <c r="F311" t="s">
        <v>769</v>
      </c>
      <c r="G311">
        <v>1500015329</v>
      </c>
      <c r="H311" t="s">
        <v>755</v>
      </c>
      <c r="I311" t="s">
        <v>784</v>
      </c>
      <c r="K311" s="143">
        <v>46090</v>
      </c>
      <c r="L311" s="143">
        <v>46086</v>
      </c>
      <c r="M311">
        <v>32026</v>
      </c>
      <c r="N311" t="s">
        <v>771</v>
      </c>
      <c r="O311">
        <v>2001</v>
      </c>
      <c r="T311">
        <v>1500059778</v>
      </c>
    </row>
    <row r="312" spans="1:20" x14ac:dyDescent="0.25">
      <c r="A312">
        <v>5100424424</v>
      </c>
      <c r="B312">
        <v>53256</v>
      </c>
      <c r="C312" t="s">
        <v>768</v>
      </c>
      <c r="D312" s="143">
        <v>46072</v>
      </c>
      <c r="E312" s="55">
        <v>538287.15</v>
      </c>
      <c r="F312" t="s">
        <v>769</v>
      </c>
      <c r="G312">
        <v>1500091622</v>
      </c>
      <c r="H312" t="s">
        <v>755</v>
      </c>
      <c r="I312" t="s">
        <v>791</v>
      </c>
      <c r="K312" s="143">
        <v>46076</v>
      </c>
      <c r="L312" s="143">
        <v>46072</v>
      </c>
      <c r="M312">
        <v>22026</v>
      </c>
      <c r="N312" t="s">
        <v>771</v>
      </c>
      <c r="O312">
        <v>2001</v>
      </c>
      <c r="S312" t="s">
        <v>773</v>
      </c>
      <c r="T312">
        <v>1500059778</v>
      </c>
    </row>
    <row r="313" spans="1:20" x14ac:dyDescent="0.25">
      <c r="A313">
        <v>5100132259</v>
      </c>
      <c r="B313">
        <v>53256</v>
      </c>
      <c r="C313" t="s">
        <v>768</v>
      </c>
      <c r="D313" s="143">
        <v>46079</v>
      </c>
      <c r="E313" s="55">
        <v>82521.759999999995</v>
      </c>
      <c r="F313" t="s">
        <v>769</v>
      </c>
      <c r="G313">
        <v>1500099012</v>
      </c>
      <c r="H313" t="s">
        <v>755</v>
      </c>
      <c r="I313" t="s">
        <v>785</v>
      </c>
      <c r="K313" s="143">
        <v>46083</v>
      </c>
      <c r="L313" s="143">
        <v>46079</v>
      </c>
      <c r="M313">
        <v>22026</v>
      </c>
      <c r="N313" t="s">
        <v>771</v>
      </c>
      <c r="O313">
        <v>2001</v>
      </c>
      <c r="S313" t="s">
        <v>783</v>
      </c>
      <c r="T313">
        <v>1500059778</v>
      </c>
    </row>
    <row r="314" spans="1:20" x14ac:dyDescent="0.25">
      <c r="A314">
        <v>5100601853</v>
      </c>
      <c r="B314">
        <v>56150</v>
      </c>
      <c r="C314" t="s">
        <v>768</v>
      </c>
      <c r="D314" s="143">
        <v>46086</v>
      </c>
      <c r="E314" s="55">
        <v>4911449.5599999996</v>
      </c>
      <c r="F314" t="s">
        <v>769</v>
      </c>
      <c r="G314">
        <v>1500030110</v>
      </c>
      <c r="H314" t="s">
        <v>755</v>
      </c>
      <c r="I314" t="s">
        <v>784</v>
      </c>
      <c r="K314" s="143">
        <v>46090</v>
      </c>
      <c r="L314" s="143">
        <v>46086</v>
      </c>
      <c r="M314">
        <v>32026</v>
      </c>
      <c r="N314" t="s">
        <v>771</v>
      </c>
      <c r="O314">
        <v>2001</v>
      </c>
      <c r="S314" t="s">
        <v>777</v>
      </c>
      <c r="T314">
        <v>1500059778</v>
      </c>
    </row>
    <row r="315" spans="1:20" x14ac:dyDescent="0.25">
      <c r="A315">
        <v>5101902201</v>
      </c>
      <c r="B315">
        <v>56150</v>
      </c>
      <c r="C315" t="s">
        <v>768</v>
      </c>
      <c r="D315" s="143">
        <v>46100</v>
      </c>
      <c r="E315" s="55">
        <v>9000</v>
      </c>
      <c r="F315" t="s">
        <v>769</v>
      </c>
      <c r="G315">
        <v>1500122071</v>
      </c>
      <c r="H315" t="s">
        <v>755</v>
      </c>
      <c r="I315" t="s">
        <v>786</v>
      </c>
      <c r="K315" s="143">
        <v>46104</v>
      </c>
      <c r="L315" s="143">
        <v>46100</v>
      </c>
      <c r="M315">
        <v>32026</v>
      </c>
      <c r="N315" t="s">
        <v>771</v>
      </c>
      <c r="O315">
        <v>2001</v>
      </c>
      <c r="S315" t="s">
        <v>776</v>
      </c>
      <c r="T315">
        <v>1500059778</v>
      </c>
    </row>
    <row r="316" spans="1:20" x14ac:dyDescent="0.25">
      <c r="A316">
        <v>5101902216</v>
      </c>
      <c r="B316">
        <v>58487</v>
      </c>
      <c r="C316" t="s">
        <v>768</v>
      </c>
      <c r="D316" s="143">
        <v>46100</v>
      </c>
      <c r="E316" s="55">
        <v>483962.07</v>
      </c>
      <c r="F316" t="s">
        <v>769</v>
      </c>
      <c r="G316">
        <v>1500070203</v>
      </c>
      <c r="H316" t="s">
        <v>755</v>
      </c>
      <c r="I316" t="s">
        <v>786</v>
      </c>
      <c r="K316" s="143">
        <v>46104</v>
      </c>
      <c r="L316" s="143">
        <v>46100</v>
      </c>
      <c r="M316">
        <v>32026</v>
      </c>
      <c r="N316" t="s">
        <v>771</v>
      </c>
      <c r="O316">
        <v>2001</v>
      </c>
      <c r="S316" t="s">
        <v>776</v>
      </c>
      <c r="T316">
        <v>1500059778</v>
      </c>
    </row>
    <row r="317" spans="1:20" x14ac:dyDescent="0.25">
      <c r="A317">
        <v>5100655120</v>
      </c>
      <c r="B317">
        <v>58487</v>
      </c>
      <c r="C317" t="s">
        <v>768</v>
      </c>
      <c r="D317" s="143">
        <v>46072</v>
      </c>
      <c r="E317" s="55">
        <v>81994.509999999995</v>
      </c>
      <c r="F317" t="s">
        <v>769</v>
      </c>
      <c r="G317">
        <v>1500091623</v>
      </c>
      <c r="H317" t="s">
        <v>755</v>
      </c>
      <c r="I317" t="s">
        <v>791</v>
      </c>
      <c r="K317" s="143">
        <v>46076</v>
      </c>
      <c r="L317" s="143">
        <v>46072</v>
      </c>
      <c r="M317">
        <v>22026</v>
      </c>
      <c r="N317" t="s">
        <v>771</v>
      </c>
      <c r="O317">
        <v>2001</v>
      </c>
      <c r="S317" t="s">
        <v>773</v>
      </c>
      <c r="T317">
        <v>1500059778</v>
      </c>
    </row>
    <row r="318" spans="1:20" x14ac:dyDescent="0.25">
      <c r="A318">
        <v>5100365922</v>
      </c>
      <c r="B318">
        <v>58958</v>
      </c>
      <c r="C318" t="s">
        <v>768</v>
      </c>
      <c r="D318" s="143">
        <v>46072</v>
      </c>
      <c r="E318" s="55">
        <v>76727.899999999994</v>
      </c>
      <c r="F318" t="s">
        <v>769</v>
      </c>
      <c r="H318" t="s">
        <v>787</v>
      </c>
      <c r="I318" t="s">
        <v>791</v>
      </c>
      <c r="L318" s="143">
        <v>46072</v>
      </c>
      <c r="M318">
        <v>22026</v>
      </c>
      <c r="N318" t="s">
        <v>771</v>
      </c>
      <c r="O318">
        <v>2001</v>
      </c>
      <c r="S318" t="s">
        <v>773</v>
      </c>
      <c r="T318">
        <v>1500059778</v>
      </c>
    </row>
    <row r="319" spans="1:20" x14ac:dyDescent="0.25">
      <c r="A319">
        <v>5101902203</v>
      </c>
      <c r="B319">
        <v>61713</v>
      </c>
      <c r="C319" t="s">
        <v>768</v>
      </c>
      <c r="D319" s="143">
        <v>46100</v>
      </c>
      <c r="E319" s="55">
        <v>2790756.51</v>
      </c>
      <c r="F319" t="s">
        <v>769</v>
      </c>
      <c r="G319">
        <v>1500122072</v>
      </c>
      <c r="H319" t="s">
        <v>755</v>
      </c>
      <c r="I319" t="s">
        <v>786</v>
      </c>
      <c r="K319" s="143">
        <v>46104</v>
      </c>
      <c r="L319" s="143">
        <v>46100</v>
      </c>
      <c r="M319">
        <v>32026</v>
      </c>
      <c r="N319" t="s">
        <v>771</v>
      </c>
      <c r="O319">
        <v>2001</v>
      </c>
      <c r="S319" t="s">
        <v>776</v>
      </c>
      <c r="T319">
        <v>1500059778</v>
      </c>
    </row>
    <row r="320" spans="1:20" x14ac:dyDescent="0.25">
      <c r="A320">
        <v>1900053520</v>
      </c>
      <c r="B320">
        <v>62760</v>
      </c>
      <c r="C320" t="s">
        <v>792</v>
      </c>
      <c r="D320" s="143">
        <v>46072</v>
      </c>
      <c r="E320" s="55">
        <v>-64495.13</v>
      </c>
      <c r="F320" t="s">
        <v>769</v>
      </c>
      <c r="H320" t="s">
        <v>787</v>
      </c>
      <c r="I320" t="s">
        <v>791</v>
      </c>
      <c r="J320">
        <v>0</v>
      </c>
      <c r="L320" s="143">
        <v>46072</v>
      </c>
      <c r="M320">
        <v>22026</v>
      </c>
      <c r="N320" t="s">
        <v>771</v>
      </c>
      <c r="O320">
        <v>2001</v>
      </c>
      <c r="Q320" t="s">
        <v>794</v>
      </c>
      <c r="S320" t="s">
        <v>795</v>
      </c>
      <c r="T320">
        <v>1500059778</v>
      </c>
    </row>
    <row r="321" spans="1:20" x14ac:dyDescent="0.25">
      <c r="A321">
        <v>5100424428</v>
      </c>
      <c r="B321">
        <v>62760</v>
      </c>
      <c r="C321" t="s">
        <v>768</v>
      </c>
      <c r="D321" s="143">
        <v>46072</v>
      </c>
      <c r="E321" s="55">
        <v>64495.13</v>
      </c>
      <c r="F321" t="s">
        <v>769</v>
      </c>
      <c r="H321" t="s">
        <v>787</v>
      </c>
      <c r="I321" t="s">
        <v>791</v>
      </c>
      <c r="J321">
        <v>0</v>
      </c>
      <c r="L321" s="143">
        <v>46072</v>
      </c>
      <c r="M321">
        <v>22026</v>
      </c>
      <c r="N321" t="s">
        <v>771</v>
      </c>
      <c r="O321">
        <v>2001</v>
      </c>
      <c r="S321" t="s">
        <v>795</v>
      </c>
      <c r="T321">
        <v>1500059778</v>
      </c>
    </row>
    <row r="322" spans="1:20" x14ac:dyDescent="0.25">
      <c r="A322">
        <v>5100226329</v>
      </c>
      <c r="B322">
        <v>64014</v>
      </c>
      <c r="C322" t="s">
        <v>768</v>
      </c>
      <c r="D322" s="143">
        <v>46077</v>
      </c>
      <c r="E322" s="55">
        <v>674670</v>
      </c>
      <c r="F322" t="s">
        <v>769</v>
      </c>
      <c r="G322">
        <v>1500094700</v>
      </c>
      <c r="H322" t="s">
        <v>755</v>
      </c>
      <c r="I322" t="s">
        <v>796</v>
      </c>
      <c r="K322" s="143">
        <v>46078</v>
      </c>
      <c r="L322" s="143">
        <v>46077</v>
      </c>
      <c r="M322">
        <v>22026</v>
      </c>
      <c r="N322" t="s">
        <v>771</v>
      </c>
      <c r="O322">
        <v>2001</v>
      </c>
      <c r="S322" t="s">
        <v>783</v>
      </c>
      <c r="T322">
        <v>693262785</v>
      </c>
    </row>
    <row r="323" spans="1:20" x14ac:dyDescent="0.25">
      <c r="A323">
        <v>5100132267</v>
      </c>
      <c r="B323">
        <v>71233</v>
      </c>
      <c r="C323" t="s">
        <v>768</v>
      </c>
      <c r="D323" s="143">
        <v>46079</v>
      </c>
      <c r="E323" s="55">
        <v>589993.88</v>
      </c>
      <c r="F323" t="s">
        <v>769</v>
      </c>
      <c r="G323">
        <v>1500099208</v>
      </c>
      <c r="H323" t="s">
        <v>755</v>
      </c>
      <c r="I323" t="s">
        <v>785</v>
      </c>
      <c r="K323" s="143">
        <v>46083</v>
      </c>
      <c r="L323" s="143">
        <v>46079</v>
      </c>
      <c r="M323">
        <v>22026</v>
      </c>
      <c r="N323" t="s">
        <v>771</v>
      </c>
      <c r="O323">
        <v>2001</v>
      </c>
      <c r="S323" t="s">
        <v>783</v>
      </c>
      <c r="T323">
        <v>1500059778</v>
      </c>
    </row>
    <row r="324" spans="1:20" x14ac:dyDescent="0.25">
      <c r="A324">
        <v>5100236723</v>
      </c>
      <c r="B324">
        <v>71233</v>
      </c>
      <c r="C324" t="s">
        <v>768</v>
      </c>
      <c r="D324" s="143">
        <v>46072</v>
      </c>
      <c r="E324" s="55">
        <v>119339.73</v>
      </c>
      <c r="F324" t="s">
        <v>769</v>
      </c>
      <c r="G324">
        <v>1500099208</v>
      </c>
      <c r="H324" t="s">
        <v>755</v>
      </c>
      <c r="I324" t="s">
        <v>791</v>
      </c>
      <c r="K324" s="143">
        <v>46083</v>
      </c>
      <c r="L324" s="143">
        <v>46072</v>
      </c>
      <c r="M324">
        <v>22026</v>
      </c>
      <c r="N324" t="s">
        <v>771</v>
      </c>
      <c r="O324">
        <v>2001</v>
      </c>
      <c r="S324" t="s">
        <v>783</v>
      </c>
      <c r="T324">
        <v>1500059778</v>
      </c>
    </row>
    <row r="325" spans="1:20" x14ac:dyDescent="0.25">
      <c r="A325">
        <v>5100132253</v>
      </c>
      <c r="B325">
        <v>75390</v>
      </c>
      <c r="C325" t="s">
        <v>768</v>
      </c>
      <c r="D325" s="143">
        <v>46079</v>
      </c>
      <c r="E325" s="55">
        <v>1384859.78</v>
      </c>
      <c r="F325" t="s">
        <v>769</v>
      </c>
      <c r="G325">
        <v>1500099209</v>
      </c>
      <c r="H325" t="s">
        <v>755</v>
      </c>
      <c r="I325" t="s">
        <v>785</v>
      </c>
      <c r="K325" s="143">
        <v>46083</v>
      </c>
      <c r="L325" s="143">
        <v>46079</v>
      </c>
      <c r="M325">
        <v>22026</v>
      </c>
      <c r="N325" t="s">
        <v>771</v>
      </c>
      <c r="O325">
        <v>2001</v>
      </c>
      <c r="S325" t="s">
        <v>783</v>
      </c>
      <c r="T325">
        <v>1500059778</v>
      </c>
    </row>
    <row r="326" spans="1:20" x14ac:dyDescent="0.25">
      <c r="A326">
        <v>5100745426</v>
      </c>
      <c r="B326">
        <v>76471</v>
      </c>
      <c r="C326" t="s">
        <v>768</v>
      </c>
      <c r="D326" s="143">
        <v>46093</v>
      </c>
      <c r="E326" s="55">
        <v>6154061.8099999996</v>
      </c>
      <c r="F326" t="s">
        <v>769</v>
      </c>
      <c r="G326">
        <v>1500030312</v>
      </c>
      <c r="H326" t="s">
        <v>755</v>
      </c>
      <c r="I326" t="s">
        <v>788</v>
      </c>
      <c r="K326" s="143">
        <v>46098</v>
      </c>
      <c r="L326" s="143">
        <v>46093</v>
      </c>
      <c r="M326">
        <v>32026</v>
      </c>
      <c r="N326" t="s">
        <v>771</v>
      </c>
      <c r="O326">
        <v>2001</v>
      </c>
      <c r="S326" t="s">
        <v>778</v>
      </c>
      <c r="T326">
        <v>1500059778</v>
      </c>
    </row>
    <row r="327" spans="1:20" x14ac:dyDescent="0.25">
      <c r="A327">
        <v>5100601816</v>
      </c>
      <c r="B327">
        <v>76471</v>
      </c>
      <c r="C327" t="s">
        <v>768</v>
      </c>
      <c r="D327" s="143">
        <v>46086</v>
      </c>
      <c r="E327" s="55">
        <v>7285186.3399999999</v>
      </c>
      <c r="F327" t="s">
        <v>769</v>
      </c>
      <c r="G327">
        <v>1500046134</v>
      </c>
      <c r="H327" t="s">
        <v>755</v>
      </c>
      <c r="I327" t="s">
        <v>784</v>
      </c>
      <c r="K327" s="143">
        <v>46090</v>
      </c>
      <c r="L327" s="143">
        <v>46086</v>
      </c>
      <c r="M327">
        <v>32026</v>
      </c>
      <c r="N327" t="s">
        <v>771</v>
      </c>
      <c r="O327">
        <v>2001</v>
      </c>
      <c r="S327" t="s">
        <v>777</v>
      </c>
      <c r="T327">
        <v>1500059778</v>
      </c>
    </row>
    <row r="328" spans="1:20" x14ac:dyDescent="0.25">
      <c r="A328">
        <v>5100745441</v>
      </c>
      <c r="B328">
        <v>79087</v>
      </c>
      <c r="C328" t="s">
        <v>768</v>
      </c>
      <c r="D328" s="143">
        <v>46093</v>
      </c>
      <c r="E328" s="55">
        <v>118071.44</v>
      </c>
      <c r="F328" t="s">
        <v>769</v>
      </c>
      <c r="G328">
        <v>1500030313</v>
      </c>
      <c r="H328" t="s">
        <v>755</v>
      </c>
      <c r="I328" t="s">
        <v>788</v>
      </c>
      <c r="K328" s="143">
        <v>46098</v>
      </c>
      <c r="L328" s="143">
        <v>46093</v>
      </c>
      <c r="M328">
        <v>32026</v>
      </c>
      <c r="N328" t="s">
        <v>771</v>
      </c>
      <c r="O328">
        <v>2001</v>
      </c>
      <c r="S328" t="s">
        <v>778</v>
      </c>
      <c r="T328">
        <v>1500059778</v>
      </c>
    </row>
    <row r="329" spans="1:20" x14ac:dyDescent="0.25">
      <c r="A329">
        <v>5101902206</v>
      </c>
      <c r="B329">
        <v>80622</v>
      </c>
      <c r="C329" t="s">
        <v>768</v>
      </c>
      <c r="D329" s="143">
        <v>46100</v>
      </c>
      <c r="E329" s="55">
        <v>2310641.62</v>
      </c>
      <c r="F329" t="s">
        <v>769</v>
      </c>
      <c r="G329">
        <v>1500122073</v>
      </c>
      <c r="H329" t="s">
        <v>755</v>
      </c>
      <c r="I329" t="s">
        <v>786</v>
      </c>
      <c r="K329" s="143">
        <v>46104</v>
      </c>
      <c r="L329" s="143">
        <v>46100</v>
      </c>
      <c r="M329">
        <v>32026</v>
      </c>
      <c r="N329" t="s">
        <v>771</v>
      </c>
      <c r="O329">
        <v>2001</v>
      </c>
      <c r="S329" t="s">
        <v>776</v>
      </c>
      <c r="T329">
        <v>1500059778</v>
      </c>
    </row>
    <row r="330" spans="1:20" x14ac:dyDescent="0.25">
      <c r="A330">
        <v>5100132240</v>
      </c>
      <c r="B330">
        <v>81653</v>
      </c>
      <c r="C330" t="s">
        <v>768</v>
      </c>
      <c r="D330" s="143">
        <v>46079</v>
      </c>
      <c r="E330" s="55">
        <v>788390.22</v>
      </c>
      <c r="F330" t="s">
        <v>769</v>
      </c>
      <c r="G330">
        <v>1500099014</v>
      </c>
      <c r="H330" t="s">
        <v>755</v>
      </c>
      <c r="I330" t="s">
        <v>785</v>
      </c>
      <c r="K330" s="143">
        <v>46083</v>
      </c>
      <c r="L330" s="143">
        <v>46079</v>
      </c>
      <c r="M330">
        <v>22026</v>
      </c>
      <c r="N330" t="s">
        <v>771</v>
      </c>
      <c r="O330">
        <v>2001</v>
      </c>
      <c r="S330" t="s">
        <v>783</v>
      </c>
      <c r="T330">
        <v>1500059778</v>
      </c>
    </row>
    <row r="331" spans="1:20" x14ac:dyDescent="0.25">
      <c r="A331">
        <v>5101902202</v>
      </c>
      <c r="B331">
        <v>81653</v>
      </c>
      <c r="C331" t="s">
        <v>768</v>
      </c>
      <c r="D331" s="143">
        <v>46100</v>
      </c>
      <c r="E331" s="55">
        <v>3346436.93</v>
      </c>
      <c r="F331" t="s">
        <v>769</v>
      </c>
      <c r="G331">
        <v>1500122074</v>
      </c>
      <c r="H331" t="s">
        <v>755</v>
      </c>
      <c r="I331" t="s">
        <v>786</v>
      </c>
      <c r="K331" s="143">
        <v>46104</v>
      </c>
      <c r="L331" s="143">
        <v>46100</v>
      </c>
      <c r="M331">
        <v>32026</v>
      </c>
      <c r="N331" t="s">
        <v>771</v>
      </c>
      <c r="O331">
        <v>2001</v>
      </c>
      <c r="S331" t="s">
        <v>776</v>
      </c>
      <c r="T331">
        <v>1500059778</v>
      </c>
    </row>
    <row r="332" spans="1:20" x14ac:dyDescent="0.25">
      <c r="A332">
        <v>5100601819</v>
      </c>
      <c r="B332">
        <v>82511</v>
      </c>
      <c r="C332" t="s">
        <v>768</v>
      </c>
      <c r="D332" s="143">
        <v>46086</v>
      </c>
      <c r="E332" s="55">
        <v>1425743.37</v>
      </c>
      <c r="F332" t="s">
        <v>769</v>
      </c>
      <c r="G332">
        <v>1500015330</v>
      </c>
      <c r="H332" t="s">
        <v>755</v>
      </c>
      <c r="I332" t="s">
        <v>784</v>
      </c>
      <c r="K332" s="143">
        <v>46090</v>
      </c>
      <c r="L332" s="143">
        <v>46086</v>
      </c>
      <c r="M332">
        <v>32026</v>
      </c>
      <c r="N332" t="s">
        <v>771</v>
      </c>
      <c r="O332">
        <v>2001</v>
      </c>
      <c r="T332">
        <v>1500059778</v>
      </c>
    </row>
    <row r="333" spans="1:20" x14ac:dyDescent="0.25">
      <c r="A333">
        <v>5100132242</v>
      </c>
      <c r="B333">
        <v>82511</v>
      </c>
      <c r="C333" t="s">
        <v>768</v>
      </c>
      <c r="D333" s="143">
        <v>46079</v>
      </c>
      <c r="E333" s="55">
        <v>1335125.43</v>
      </c>
      <c r="F333" t="s">
        <v>769</v>
      </c>
      <c r="G333">
        <v>1500099015</v>
      </c>
      <c r="H333" t="s">
        <v>755</v>
      </c>
      <c r="I333" t="s">
        <v>785</v>
      </c>
      <c r="K333" s="143">
        <v>46083</v>
      </c>
      <c r="L333" s="143">
        <v>46079</v>
      </c>
      <c r="M333">
        <v>22026</v>
      </c>
      <c r="N333" t="s">
        <v>771</v>
      </c>
      <c r="O333">
        <v>2001</v>
      </c>
      <c r="S333" t="s">
        <v>783</v>
      </c>
      <c r="T333">
        <v>1500059778</v>
      </c>
    </row>
    <row r="334" spans="1:20" x14ac:dyDescent="0.25">
      <c r="A334">
        <v>5101389000</v>
      </c>
      <c r="B334">
        <v>83394</v>
      </c>
      <c r="C334" t="s">
        <v>768</v>
      </c>
      <c r="D334" s="143">
        <v>46079</v>
      </c>
      <c r="E334" s="55">
        <v>82743.259999999995</v>
      </c>
      <c r="F334" t="s">
        <v>769</v>
      </c>
      <c r="G334">
        <v>1500099210</v>
      </c>
      <c r="H334" t="s">
        <v>755</v>
      </c>
      <c r="I334" t="s">
        <v>785</v>
      </c>
      <c r="K334" s="143">
        <v>46083</v>
      </c>
      <c r="L334" s="143">
        <v>46079</v>
      </c>
      <c r="M334">
        <v>22026</v>
      </c>
      <c r="N334" t="s">
        <v>771</v>
      </c>
      <c r="O334">
        <v>2001</v>
      </c>
      <c r="S334" t="s">
        <v>783</v>
      </c>
      <c r="T334">
        <v>1500059778</v>
      </c>
    </row>
    <row r="335" spans="1:20" x14ac:dyDescent="0.25">
      <c r="A335">
        <v>5100745439</v>
      </c>
      <c r="B335">
        <v>86520</v>
      </c>
      <c r="C335" t="s">
        <v>768</v>
      </c>
      <c r="D335" s="143">
        <v>46093</v>
      </c>
      <c r="E335" s="55">
        <v>238235.11</v>
      </c>
      <c r="F335" t="s">
        <v>769</v>
      </c>
      <c r="G335">
        <v>1500030314</v>
      </c>
      <c r="H335" t="s">
        <v>755</v>
      </c>
      <c r="I335" t="s">
        <v>788</v>
      </c>
      <c r="K335" s="143">
        <v>46098</v>
      </c>
      <c r="L335" s="143">
        <v>46093</v>
      </c>
      <c r="M335">
        <v>32026</v>
      </c>
      <c r="N335" t="s">
        <v>771</v>
      </c>
      <c r="O335">
        <v>2001</v>
      </c>
      <c r="S335" t="s">
        <v>778</v>
      </c>
      <c r="T335">
        <v>1500059778</v>
      </c>
    </row>
    <row r="336" spans="1:20" x14ac:dyDescent="0.25">
      <c r="A336">
        <v>5100005138</v>
      </c>
      <c r="B336">
        <v>86520</v>
      </c>
      <c r="C336" t="s">
        <v>768</v>
      </c>
      <c r="D336" s="143">
        <v>46066</v>
      </c>
      <c r="E336" s="55">
        <v>174759.39</v>
      </c>
      <c r="F336" t="s">
        <v>769</v>
      </c>
      <c r="G336">
        <v>1500049216</v>
      </c>
      <c r="H336" t="s">
        <v>755</v>
      </c>
      <c r="I336" t="s">
        <v>789</v>
      </c>
      <c r="K336" s="143">
        <v>46069</v>
      </c>
      <c r="L336" s="143">
        <v>46066</v>
      </c>
      <c r="M336">
        <v>22026</v>
      </c>
      <c r="N336" t="s">
        <v>771</v>
      </c>
      <c r="O336">
        <v>2001</v>
      </c>
      <c r="S336" t="s">
        <v>783</v>
      </c>
      <c r="T336">
        <v>1500059778</v>
      </c>
    </row>
    <row r="337" spans="1:20" x14ac:dyDescent="0.25">
      <c r="A337">
        <v>5100132270</v>
      </c>
      <c r="B337">
        <v>86520</v>
      </c>
      <c r="C337" t="s">
        <v>768</v>
      </c>
      <c r="D337" s="143">
        <v>46079</v>
      </c>
      <c r="E337" s="55">
        <v>258402.12</v>
      </c>
      <c r="F337" t="s">
        <v>769</v>
      </c>
      <c r="G337">
        <v>1500099016</v>
      </c>
      <c r="H337" t="s">
        <v>755</v>
      </c>
      <c r="I337" t="s">
        <v>785</v>
      </c>
      <c r="K337" s="143">
        <v>46083</v>
      </c>
      <c r="L337" s="143">
        <v>46079</v>
      </c>
      <c r="M337">
        <v>22026</v>
      </c>
      <c r="N337" t="s">
        <v>771</v>
      </c>
      <c r="O337">
        <v>2001</v>
      </c>
      <c r="S337" t="s">
        <v>783</v>
      </c>
      <c r="T337">
        <v>1500059778</v>
      </c>
    </row>
    <row r="338" spans="1:20" x14ac:dyDescent="0.25">
      <c r="A338">
        <v>5100025324</v>
      </c>
      <c r="B338">
        <v>90738</v>
      </c>
      <c r="C338" t="s">
        <v>768</v>
      </c>
      <c r="D338" s="143">
        <v>46072</v>
      </c>
      <c r="E338" s="55">
        <v>590233.49</v>
      </c>
      <c r="F338" t="s">
        <v>769</v>
      </c>
      <c r="G338">
        <v>1500091627</v>
      </c>
      <c r="H338" t="s">
        <v>755</v>
      </c>
      <c r="I338" t="s">
        <v>791</v>
      </c>
      <c r="K338" s="143">
        <v>46076</v>
      </c>
      <c r="L338" s="143">
        <v>46072</v>
      </c>
      <c r="M338">
        <v>22026</v>
      </c>
      <c r="N338" t="s">
        <v>771</v>
      </c>
      <c r="O338">
        <v>2001</v>
      </c>
      <c r="S338" t="s">
        <v>773</v>
      </c>
      <c r="T338">
        <v>1500059778</v>
      </c>
    </row>
    <row r="339" spans="1:20" x14ac:dyDescent="0.25">
      <c r="A339">
        <v>5100132239</v>
      </c>
      <c r="B339">
        <v>90738</v>
      </c>
      <c r="C339" t="s">
        <v>768</v>
      </c>
      <c r="D339" s="143">
        <v>46079</v>
      </c>
      <c r="E339" s="55">
        <v>3159254.47</v>
      </c>
      <c r="F339" t="s">
        <v>769</v>
      </c>
      <c r="G339">
        <v>1500099211</v>
      </c>
      <c r="H339" t="s">
        <v>755</v>
      </c>
      <c r="I339" t="s">
        <v>785</v>
      </c>
      <c r="K339" s="143">
        <v>46083</v>
      </c>
      <c r="L339" s="143">
        <v>46079</v>
      </c>
      <c r="M339">
        <v>22026</v>
      </c>
      <c r="N339" t="s">
        <v>771</v>
      </c>
      <c r="O339">
        <v>2001</v>
      </c>
      <c r="S339" t="s">
        <v>783</v>
      </c>
      <c r="T339">
        <v>1500059778</v>
      </c>
    </row>
    <row r="340" spans="1:20" x14ac:dyDescent="0.25">
      <c r="A340">
        <v>5100226328</v>
      </c>
      <c r="B340">
        <v>99457</v>
      </c>
      <c r="C340" t="s">
        <v>768</v>
      </c>
      <c r="D340" s="143">
        <v>46077</v>
      </c>
      <c r="E340" s="55">
        <v>2355255</v>
      </c>
      <c r="F340" t="s">
        <v>769</v>
      </c>
      <c r="G340">
        <v>1500094701</v>
      </c>
      <c r="H340" t="s">
        <v>755</v>
      </c>
      <c r="I340" t="s">
        <v>796</v>
      </c>
      <c r="K340" s="143">
        <v>46078</v>
      </c>
      <c r="L340" s="143">
        <v>46077</v>
      </c>
      <c r="M340">
        <v>22026</v>
      </c>
      <c r="N340" t="s">
        <v>771</v>
      </c>
      <c r="O340">
        <v>2001</v>
      </c>
      <c r="S340" t="s">
        <v>783</v>
      </c>
      <c r="T340">
        <v>693262785</v>
      </c>
    </row>
    <row r="341" spans="1:20" x14ac:dyDescent="0.25">
      <c r="A341">
        <v>5100601835</v>
      </c>
      <c r="B341">
        <v>208892</v>
      </c>
      <c r="C341" t="s">
        <v>768</v>
      </c>
      <c r="D341" s="143">
        <v>46086</v>
      </c>
      <c r="E341" s="55">
        <v>10467.75</v>
      </c>
      <c r="F341" t="s">
        <v>769</v>
      </c>
      <c r="G341">
        <v>1500043742</v>
      </c>
      <c r="H341" t="s">
        <v>755</v>
      </c>
      <c r="I341" t="s">
        <v>784</v>
      </c>
      <c r="K341" s="143">
        <v>46090</v>
      </c>
      <c r="L341" s="143">
        <v>46086</v>
      </c>
      <c r="M341">
        <v>32026</v>
      </c>
      <c r="N341" t="s">
        <v>771</v>
      </c>
      <c r="O341">
        <v>2001</v>
      </c>
      <c r="S341" t="s">
        <v>777</v>
      </c>
      <c r="T341">
        <v>1500059778</v>
      </c>
    </row>
    <row r="342" spans="1:20" x14ac:dyDescent="0.25">
      <c r="A342">
        <v>5100005136</v>
      </c>
      <c r="B342">
        <v>208892</v>
      </c>
      <c r="C342" t="s">
        <v>768</v>
      </c>
      <c r="D342" s="143">
        <v>46066</v>
      </c>
      <c r="E342" s="55">
        <v>96615</v>
      </c>
      <c r="F342" t="s">
        <v>769</v>
      </c>
      <c r="G342">
        <v>1500049219</v>
      </c>
      <c r="H342" t="s">
        <v>755</v>
      </c>
      <c r="I342" t="s">
        <v>789</v>
      </c>
      <c r="K342" s="143">
        <v>46069</v>
      </c>
      <c r="L342" s="143">
        <v>46066</v>
      </c>
      <c r="M342">
        <v>22026</v>
      </c>
      <c r="N342" t="s">
        <v>771</v>
      </c>
      <c r="O342">
        <v>2001</v>
      </c>
      <c r="S342" t="s">
        <v>783</v>
      </c>
      <c r="T342">
        <v>1500059778</v>
      </c>
    </row>
    <row r="343" spans="1:20" x14ac:dyDescent="0.25">
      <c r="A343">
        <v>5100745438</v>
      </c>
      <c r="B343">
        <v>208892</v>
      </c>
      <c r="C343" t="s">
        <v>768</v>
      </c>
      <c r="D343" s="143">
        <v>46093</v>
      </c>
      <c r="E343" s="55">
        <v>92076.36</v>
      </c>
      <c r="F343" t="s">
        <v>769</v>
      </c>
      <c r="G343">
        <v>1500067160</v>
      </c>
      <c r="H343" t="s">
        <v>755</v>
      </c>
      <c r="I343" t="s">
        <v>788</v>
      </c>
      <c r="K343" s="143">
        <v>46098</v>
      </c>
      <c r="L343" s="143">
        <v>46093</v>
      </c>
      <c r="M343">
        <v>32026</v>
      </c>
      <c r="N343" t="s">
        <v>771</v>
      </c>
      <c r="O343">
        <v>2001</v>
      </c>
      <c r="S343" t="s">
        <v>778</v>
      </c>
      <c r="T343">
        <v>1500059778</v>
      </c>
    </row>
    <row r="344" spans="1:20" x14ac:dyDescent="0.25">
      <c r="A344">
        <v>5100236718</v>
      </c>
      <c r="B344">
        <v>208892</v>
      </c>
      <c r="C344" t="s">
        <v>768</v>
      </c>
      <c r="D344" s="143">
        <v>46072</v>
      </c>
      <c r="E344" s="55">
        <v>25299.61</v>
      </c>
      <c r="F344" t="s">
        <v>769</v>
      </c>
      <c r="G344">
        <v>1500091630</v>
      </c>
      <c r="H344" t="s">
        <v>755</v>
      </c>
      <c r="I344" t="s">
        <v>791</v>
      </c>
      <c r="K344" s="143">
        <v>46076</v>
      </c>
      <c r="L344" s="143">
        <v>46072</v>
      </c>
      <c r="M344">
        <v>22026</v>
      </c>
      <c r="N344" t="s">
        <v>771</v>
      </c>
      <c r="O344">
        <v>2001</v>
      </c>
      <c r="S344" t="s">
        <v>773</v>
      </c>
      <c r="T344">
        <v>1500059778</v>
      </c>
    </row>
    <row r="345" spans="1:20" x14ac:dyDescent="0.25">
      <c r="A345">
        <v>5100132268</v>
      </c>
      <c r="B345">
        <v>208892</v>
      </c>
      <c r="C345" t="s">
        <v>768</v>
      </c>
      <c r="D345" s="143">
        <v>46079</v>
      </c>
      <c r="E345" s="55">
        <v>116494.65</v>
      </c>
      <c r="F345" t="s">
        <v>769</v>
      </c>
      <c r="G345">
        <v>1500099017</v>
      </c>
      <c r="H345" t="s">
        <v>755</v>
      </c>
      <c r="I345" t="s">
        <v>785</v>
      </c>
      <c r="K345" s="143">
        <v>46083</v>
      </c>
      <c r="L345" s="143">
        <v>46079</v>
      </c>
      <c r="M345">
        <v>22026</v>
      </c>
      <c r="N345" t="s">
        <v>771</v>
      </c>
      <c r="O345">
        <v>2001</v>
      </c>
      <c r="S345" t="s">
        <v>783</v>
      </c>
      <c r="T345">
        <v>1500059778</v>
      </c>
    </row>
    <row r="346" spans="1:20" x14ac:dyDescent="0.25">
      <c r="A346">
        <v>5101902215</v>
      </c>
      <c r="B346">
        <v>208892</v>
      </c>
      <c r="C346" t="s">
        <v>768</v>
      </c>
      <c r="D346" s="143">
        <v>46100</v>
      </c>
      <c r="E346" s="55">
        <v>41182.83</v>
      </c>
      <c r="F346" t="s">
        <v>769</v>
      </c>
      <c r="G346">
        <v>1500122075</v>
      </c>
      <c r="H346" t="s">
        <v>755</v>
      </c>
      <c r="I346" t="s">
        <v>786</v>
      </c>
      <c r="K346" s="143">
        <v>46104</v>
      </c>
      <c r="L346" s="143">
        <v>46100</v>
      </c>
      <c r="M346">
        <v>32026</v>
      </c>
      <c r="N346" t="s">
        <v>771</v>
      </c>
      <c r="O346">
        <v>2001</v>
      </c>
      <c r="S346" t="s">
        <v>776</v>
      </c>
      <c r="T346">
        <v>1500059778</v>
      </c>
    </row>
    <row r="347" spans="1:20" x14ac:dyDescent="0.25">
      <c r="A347">
        <v>5100601825</v>
      </c>
      <c r="B347">
        <v>303974</v>
      </c>
      <c r="C347" t="s">
        <v>768</v>
      </c>
      <c r="D347" s="143">
        <v>46086</v>
      </c>
      <c r="E347" s="55">
        <v>824220.2</v>
      </c>
      <c r="F347" t="s">
        <v>769</v>
      </c>
      <c r="G347">
        <v>1500015333</v>
      </c>
      <c r="H347" t="s">
        <v>755</v>
      </c>
      <c r="I347" t="s">
        <v>784</v>
      </c>
      <c r="K347" s="143">
        <v>46090</v>
      </c>
      <c r="L347" s="143">
        <v>46086</v>
      </c>
      <c r="M347">
        <v>32026</v>
      </c>
      <c r="N347" t="s">
        <v>771</v>
      </c>
      <c r="O347">
        <v>2001</v>
      </c>
      <c r="T347">
        <v>1500059778</v>
      </c>
    </row>
    <row r="348" spans="1:20" x14ac:dyDescent="0.25">
      <c r="A348">
        <v>5100025325</v>
      </c>
      <c r="B348">
        <v>303974</v>
      </c>
      <c r="C348" t="s">
        <v>768</v>
      </c>
      <c r="D348" s="143">
        <v>46072</v>
      </c>
      <c r="E348" s="55">
        <v>606726.71</v>
      </c>
      <c r="F348" t="s">
        <v>769</v>
      </c>
      <c r="G348">
        <v>1500091631</v>
      </c>
      <c r="H348" t="s">
        <v>755</v>
      </c>
      <c r="I348" t="s">
        <v>791</v>
      </c>
      <c r="K348" s="143">
        <v>46076</v>
      </c>
      <c r="L348" s="143">
        <v>46072</v>
      </c>
      <c r="M348">
        <v>22026</v>
      </c>
      <c r="N348" t="s">
        <v>771</v>
      </c>
      <c r="O348">
        <v>2001</v>
      </c>
      <c r="S348" t="s">
        <v>773</v>
      </c>
      <c r="T348">
        <v>1500059778</v>
      </c>
    </row>
    <row r="349" spans="1:20" x14ac:dyDescent="0.25">
      <c r="A349">
        <v>5100132248</v>
      </c>
      <c r="B349">
        <v>303974</v>
      </c>
      <c r="C349" t="s">
        <v>768</v>
      </c>
      <c r="D349" s="143">
        <v>46079</v>
      </c>
      <c r="E349" s="55">
        <v>368438.08</v>
      </c>
      <c r="F349" t="s">
        <v>769</v>
      </c>
      <c r="G349">
        <v>1500099019</v>
      </c>
      <c r="H349" t="s">
        <v>755</v>
      </c>
      <c r="I349" t="s">
        <v>785</v>
      </c>
      <c r="K349" s="143">
        <v>46083</v>
      </c>
      <c r="L349" s="143">
        <v>46079</v>
      </c>
      <c r="M349">
        <v>22026</v>
      </c>
      <c r="N349" t="s">
        <v>771</v>
      </c>
      <c r="O349">
        <v>2001</v>
      </c>
      <c r="S349" t="s">
        <v>783</v>
      </c>
      <c r="T349">
        <v>1500059778</v>
      </c>
    </row>
    <row r="350" spans="1:20" x14ac:dyDescent="0.25">
      <c r="A350">
        <v>5100424426</v>
      </c>
      <c r="B350">
        <v>304196</v>
      </c>
      <c r="C350" t="s">
        <v>768</v>
      </c>
      <c r="D350" s="143">
        <v>46072</v>
      </c>
      <c r="E350" s="55">
        <v>39399.81</v>
      </c>
      <c r="F350" t="s">
        <v>769</v>
      </c>
      <c r="G350">
        <v>1500091632</v>
      </c>
      <c r="H350" t="s">
        <v>755</v>
      </c>
      <c r="I350" t="s">
        <v>791</v>
      </c>
      <c r="K350" s="143">
        <v>46076</v>
      </c>
      <c r="L350" s="143">
        <v>46072</v>
      </c>
      <c r="M350">
        <v>22026</v>
      </c>
      <c r="N350" t="s">
        <v>771</v>
      </c>
      <c r="O350">
        <v>2001</v>
      </c>
      <c r="S350" t="s">
        <v>773</v>
      </c>
      <c r="T350">
        <v>1500059778</v>
      </c>
    </row>
    <row r="351" spans="1:20" x14ac:dyDescent="0.25">
      <c r="A351">
        <v>5100601834</v>
      </c>
      <c r="B351">
        <v>306225</v>
      </c>
      <c r="C351" t="s">
        <v>768</v>
      </c>
      <c r="D351" s="143">
        <v>46086</v>
      </c>
      <c r="E351" s="55">
        <v>226147.33</v>
      </c>
      <c r="F351" t="s">
        <v>769</v>
      </c>
      <c r="G351">
        <v>1500043743</v>
      </c>
      <c r="H351" t="s">
        <v>755</v>
      </c>
      <c r="I351" t="s">
        <v>784</v>
      </c>
      <c r="K351" s="143">
        <v>46090</v>
      </c>
      <c r="L351" s="143">
        <v>46086</v>
      </c>
      <c r="M351">
        <v>32026</v>
      </c>
      <c r="N351" t="s">
        <v>771</v>
      </c>
      <c r="O351">
        <v>2001</v>
      </c>
      <c r="S351" t="s">
        <v>777</v>
      </c>
      <c r="T351">
        <v>1500059778</v>
      </c>
    </row>
    <row r="352" spans="1:20" x14ac:dyDescent="0.25">
      <c r="A352">
        <v>5100424427</v>
      </c>
      <c r="B352">
        <v>306225</v>
      </c>
      <c r="C352" t="s">
        <v>768</v>
      </c>
      <c r="D352" s="143">
        <v>46072</v>
      </c>
      <c r="E352" s="55">
        <v>12352.15</v>
      </c>
      <c r="F352" t="s">
        <v>769</v>
      </c>
      <c r="G352">
        <v>1500091634</v>
      </c>
      <c r="H352" t="s">
        <v>755</v>
      </c>
      <c r="I352" t="s">
        <v>791</v>
      </c>
      <c r="K352" s="143">
        <v>46076</v>
      </c>
      <c r="L352" s="143">
        <v>46072</v>
      </c>
      <c r="M352">
        <v>22026</v>
      </c>
      <c r="N352" t="s">
        <v>771</v>
      </c>
      <c r="O352">
        <v>2001</v>
      </c>
      <c r="S352" t="s">
        <v>773</v>
      </c>
      <c r="T352">
        <v>1500059778</v>
      </c>
    </row>
    <row r="353" spans="1:20" x14ac:dyDescent="0.25">
      <c r="A353">
        <v>5100132261</v>
      </c>
      <c r="B353">
        <v>306225</v>
      </c>
      <c r="C353" t="s">
        <v>768</v>
      </c>
      <c r="D353" s="143">
        <v>46079</v>
      </c>
      <c r="E353" s="55">
        <v>10522.46</v>
      </c>
      <c r="F353" t="s">
        <v>769</v>
      </c>
      <c r="G353">
        <v>1500099020</v>
      </c>
      <c r="H353" t="s">
        <v>755</v>
      </c>
      <c r="I353" t="s">
        <v>785</v>
      </c>
      <c r="K353" s="143">
        <v>46083</v>
      </c>
      <c r="L353" s="143">
        <v>46079</v>
      </c>
      <c r="M353">
        <v>22026</v>
      </c>
      <c r="N353" t="s">
        <v>771</v>
      </c>
      <c r="O353">
        <v>2001</v>
      </c>
      <c r="S353" t="s">
        <v>783</v>
      </c>
      <c r="T353">
        <v>1500059778</v>
      </c>
    </row>
    <row r="354" spans="1:20" x14ac:dyDescent="0.25">
      <c r="A354">
        <v>5101902212</v>
      </c>
      <c r="B354">
        <v>306225</v>
      </c>
      <c r="C354" t="s">
        <v>768</v>
      </c>
      <c r="D354" s="143">
        <v>46100</v>
      </c>
      <c r="E354" s="55">
        <v>334950</v>
      </c>
      <c r="F354" t="s">
        <v>769</v>
      </c>
      <c r="G354">
        <v>1500122076</v>
      </c>
      <c r="H354" t="s">
        <v>755</v>
      </c>
      <c r="I354" t="s">
        <v>786</v>
      </c>
      <c r="K354" s="143">
        <v>46104</v>
      </c>
      <c r="L354" s="143">
        <v>46100</v>
      </c>
      <c r="M354">
        <v>32026</v>
      </c>
      <c r="N354" t="s">
        <v>771</v>
      </c>
      <c r="O354">
        <v>2001</v>
      </c>
      <c r="S354" t="s">
        <v>776</v>
      </c>
      <c r="T354">
        <v>1500059778</v>
      </c>
    </row>
    <row r="355" spans="1:20" x14ac:dyDescent="0.25">
      <c r="A355">
        <v>1900053529</v>
      </c>
      <c r="B355">
        <v>306571</v>
      </c>
      <c r="C355" t="s">
        <v>792</v>
      </c>
      <c r="D355" s="143">
        <v>46072</v>
      </c>
      <c r="E355" s="55">
        <v>-326963.59000000003</v>
      </c>
      <c r="F355" t="s">
        <v>769</v>
      </c>
      <c r="G355">
        <v>101555600</v>
      </c>
      <c r="H355" t="s">
        <v>755</v>
      </c>
      <c r="I355" t="s">
        <v>791</v>
      </c>
      <c r="K355" s="143">
        <v>46077</v>
      </c>
      <c r="L355" s="143">
        <v>46072</v>
      </c>
      <c r="M355">
        <v>22026</v>
      </c>
      <c r="N355" t="s">
        <v>771</v>
      </c>
      <c r="O355">
        <v>2001</v>
      </c>
      <c r="Q355" t="s">
        <v>794</v>
      </c>
      <c r="S355" t="s">
        <v>795</v>
      </c>
      <c r="T355">
        <v>1500059778</v>
      </c>
    </row>
    <row r="356" spans="1:20" x14ac:dyDescent="0.25">
      <c r="A356">
        <v>5100236720</v>
      </c>
      <c r="B356">
        <v>306571</v>
      </c>
      <c r="C356" t="s">
        <v>768</v>
      </c>
      <c r="D356" s="143">
        <v>46072</v>
      </c>
      <c r="E356" s="55">
        <v>326963.59000000003</v>
      </c>
      <c r="F356" t="s">
        <v>769</v>
      </c>
      <c r="G356">
        <v>101555600</v>
      </c>
      <c r="H356" t="s">
        <v>755</v>
      </c>
      <c r="I356" t="s">
        <v>791</v>
      </c>
      <c r="K356" s="143">
        <v>46077</v>
      </c>
      <c r="L356" s="143">
        <v>46072</v>
      </c>
      <c r="M356">
        <v>22026</v>
      </c>
      <c r="N356" t="s">
        <v>771</v>
      </c>
      <c r="O356">
        <v>2001</v>
      </c>
      <c r="S356" t="s">
        <v>795</v>
      </c>
      <c r="T356">
        <v>1500059778</v>
      </c>
    </row>
    <row r="357" spans="1:20" x14ac:dyDescent="0.25">
      <c r="A357">
        <v>5100601823</v>
      </c>
      <c r="B357">
        <v>307988</v>
      </c>
      <c r="C357" t="s">
        <v>768</v>
      </c>
      <c r="D357" s="143">
        <v>46086</v>
      </c>
      <c r="E357" s="55">
        <v>1161854.8500000001</v>
      </c>
      <c r="F357" t="s">
        <v>769</v>
      </c>
      <c r="G357">
        <v>1500046129</v>
      </c>
      <c r="H357" t="s">
        <v>755</v>
      </c>
      <c r="I357" t="s">
        <v>784</v>
      </c>
      <c r="K357" s="143">
        <v>46090</v>
      </c>
      <c r="L357" s="143">
        <v>46086</v>
      </c>
      <c r="M357">
        <v>32026</v>
      </c>
      <c r="N357" t="s">
        <v>771</v>
      </c>
      <c r="O357">
        <v>2001</v>
      </c>
      <c r="S357" t="s">
        <v>777</v>
      </c>
      <c r="T357">
        <v>1500059778</v>
      </c>
    </row>
    <row r="358" spans="1:20" x14ac:dyDescent="0.25">
      <c r="A358">
        <v>5100132246</v>
      </c>
      <c r="B358">
        <v>307988</v>
      </c>
      <c r="C358" t="s">
        <v>768</v>
      </c>
      <c r="D358" s="143">
        <v>46079</v>
      </c>
      <c r="E358" s="55">
        <v>889554.36</v>
      </c>
      <c r="F358" t="s">
        <v>769</v>
      </c>
      <c r="G358">
        <v>1500099021</v>
      </c>
      <c r="H358" t="s">
        <v>755</v>
      </c>
      <c r="I358" t="s">
        <v>785</v>
      </c>
      <c r="K358" s="143">
        <v>46083</v>
      </c>
      <c r="L358" s="143">
        <v>46079</v>
      </c>
      <c r="M358">
        <v>22026</v>
      </c>
      <c r="N358" t="s">
        <v>771</v>
      </c>
      <c r="O358">
        <v>2001</v>
      </c>
      <c r="S358" t="s">
        <v>783</v>
      </c>
      <c r="T358">
        <v>1500059778</v>
      </c>
    </row>
    <row r="359" spans="1:20" x14ac:dyDescent="0.25">
      <c r="A359">
        <v>5100745429</v>
      </c>
      <c r="B359">
        <v>313387</v>
      </c>
      <c r="C359" t="s">
        <v>768</v>
      </c>
      <c r="D359" s="143">
        <v>46093</v>
      </c>
      <c r="E359" s="55">
        <v>583931.71</v>
      </c>
      <c r="F359" t="s">
        <v>769</v>
      </c>
      <c r="G359">
        <v>1500013617</v>
      </c>
      <c r="H359" t="s">
        <v>755</v>
      </c>
      <c r="I359" t="s">
        <v>788</v>
      </c>
      <c r="K359" s="143">
        <v>46104</v>
      </c>
      <c r="L359" s="143">
        <v>46093</v>
      </c>
      <c r="M359">
        <v>32026</v>
      </c>
      <c r="N359" t="s">
        <v>771</v>
      </c>
      <c r="O359">
        <v>2001</v>
      </c>
      <c r="S359" t="s">
        <v>776</v>
      </c>
      <c r="T359">
        <v>1500059778</v>
      </c>
    </row>
    <row r="360" spans="1:20" x14ac:dyDescent="0.25">
      <c r="A360">
        <v>5100601850</v>
      </c>
      <c r="B360">
        <v>313387</v>
      </c>
      <c r="C360" t="s">
        <v>768</v>
      </c>
      <c r="D360" s="143">
        <v>46086</v>
      </c>
      <c r="E360" s="55">
        <v>2239945</v>
      </c>
      <c r="F360" t="s">
        <v>769</v>
      </c>
      <c r="G360">
        <v>1500046136</v>
      </c>
      <c r="H360" t="s">
        <v>755</v>
      </c>
      <c r="I360" t="s">
        <v>784</v>
      </c>
      <c r="K360" s="143">
        <v>46090</v>
      </c>
      <c r="L360" s="143">
        <v>46086</v>
      </c>
      <c r="M360">
        <v>32026</v>
      </c>
      <c r="N360" t="s">
        <v>771</v>
      </c>
      <c r="O360">
        <v>2001</v>
      </c>
      <c r="S360" t="s">
        <v>777</v>
      </c>
      <c r="T360">
        <v>1500059778</v>
      </c>
    </row>
    <row r="361" spans="1:20" x14ac:dyDescent="0.25">
      <c r="A361">
        <v>5100005135</v>
      </c>
      <c r="B361">
        <v>316877</v>
      </c>
      <c r="C361" t="s">
        <v>768</v>
      </c>
      <c r="D361" s="143">
        <v>46066</v>
      </c>
      <c r="E361" s="55">
        <v>68684.62</v>
      </c>
      <c r="F361" t="s">
        <v>769</v>
      </c>
      <c r="G361">
        <v>1500013618</v>
      </c>
      <c r="H361" t="s">
        <v>755</v>
      </c>
      <c r="I361" t="s">
        <v>789</v>
      </c>
      <c r="K361" s="143">
        <v>46104</v>
      </c>
      <c r="L361" s="143">
        <v>46066</v>
      </c>
      <c r="M361">
        <v>22026</v>
      </c>
      <c r="N361" t="s">
        <v>771</v>
      </c>
      <c r="O361">
        <v>2001</v>
      </c>
      <c r="S361" t="s">
        <v>776</v>
      </c>
      <c r="T361">
        <v>1500059778</v>
      </c>
    </row>
    <row r="362" spans="1:20" x14ac:dyDescent="0.25">
      <c r="A362">
        <v>5100745437</v>
      </c>
      <c r="B362">
        <v>316877</v>
      </c>
      <c r="C362" t="s">
        <v>768</v>
      </c>
      <c r="D362" s="143">
        <v>46093</v>
      </c>
      <c r="E362" s="55">
        <v>647029.69999999995</v>
      </c>
      <c r="F362" t="s">
        <v>769</v>
      </c>
      <c r="G362">
        <v>1500013618</v>
      </c>
      <c r="H362" t="s">
        <v>755</v>
      </c>
      <c r="I362" t="s">
        <v>788</v>
      </c>
      <c r="K362" s="143">
        <v>46104</v>
      </c>
      <c r="L362" s="143">
        <v>46093</v>
      </c>
      <c r="M362">
        <v>32026</v>
      </c>
      <c r="N362" t="s">
        <v>771</v>
      </c>
      <c r="O362">
        <v>2001</v>
      </c>
      <c r="S362" t="s">
        <v>776</v>
      </c>
      <c r="T362">
        <v>1500059778</v>
      </c>
    </row>
    <row r="363" spans="1:20" x14ac:dyDescent="0.25">
      <c r="A363">
        <v>5100132265</v>
      </c>
      <c r="B363">
        <v>318196</v>
      </c>
      <c r="C363" t="s">
        <v>768</v>
      </c>
      <c r="D363" s="143">
        <v>46079</v>
      </c>
      <c r="E363" s="55">
        <v>320567.09000000003</v>
      </c>
      <c r="F363" t="s">
        <v>769</v>
      </c>
      <c r="G363">
        <v>1500075058</v>
      </c>
      <c r="H363" t="s">
        <v>755</v>
      </c>
      <c r="I363" t="s">
        <v>785</v>
      </c>
      <c r="K363" s="143">
        <v>46090</v>
      </c>
      <c r="L363" s="143">
        <v>46079</v>
      </c>
      <c r="M363">
        <v>22026</v>
      </c>
      <c r="N363" t="s">
        <v>771</v>
      </c>
      <c r="O363">
        <v>2001</v>
      </c>
      <c r="T363">
        <v>1500059778</v>
      </c>
    </row>
    <row r="364" spans="1:20" x14ac:dyDescent="0.25">
      <c r="A364">
        <v>5100236717</v>
      </c>
      <c r="B364">
        <v>318196</v>
      </c>
      <c r="C364" t="s">
        <v>768</v>
      </c>
      <c r="D364" s="143">
        <v>46072</v>
      </c>
      <c r="E364" s="55">
        <v>357865.37</v>
      </c>
      <c r="F364" t="s">
        <v>769</v>
      </c>
      <c r="G364">
        <v>1500091637</v>
      </c>
      <c r="H364" t="s">
        <v>755</v>
      </c>
      <c r="I364" t="s">
        <v>791</v>
      </c>
      <c r="K364" s="143">
        <v>46076</v>
      </c>
      <c r="L364" s="143">
        <v>46072</v>
      </c>
      <c r="M364">
        <v>22026</v>
      </c>
      <c r="N364" t="s">
        <v>771</v>
      </c>
      <c r="O364">
        <v>2001</v>
      </c>
      <c r="S364" t="s">
        <v>773</v>
      </c>
      <c r="T364">
        <v>1500059778</v>
      </c>
    </row>
    <row r="365" spans="1:20" x14ac:dyDescent="0.25">
      <c r="A365">
        <v>5100601824</v>
      </c>
      <c r="B365">
        <v>319178</v>
      </c>
      <c r="C365" t="s">
        <v>768</v>
      </c>
      <c r="D365" s="143">
        <v>46086</v>
      </c>
      <c r="E365" s="55">
        <v>1022722.59</v>
      </c>
      <c r="F365" t="s">
        <v>769</v>
      </c>
      <c r="G365">
        <v>1500046137</v>
      </c>
      <c r="H365" t="s">
        <v>755</v>
      </c>
      <c r="I365" t="s">
        <v>784</v>
      </c>
      <c r="K365" s="143">
        <v>46090</v>
      </c>
      <c r="L365" s="143">
        <v>46086</v>
      </c>
      <c r="M365">
        <v>32026</v>
      </c>
      <c r="N365" t="s">
        <v>771</v>
      </c>
      <c r="O365">
        <v>2001</v>
      </c>
      <c r="S365" t="s">
        <v>777</v>
      </c>
      <c r="T365">
        <v>1500059778</v>
      </c>
    </row>
    <row r="366" spans="1:20" x14ac:dyDescent="0.25">
      <c r="A366">
        <v>5100132247</v>
      </c>
      <c r="B366">
        <v>319178</v>
      </c>
      <c r="C366" t="s">
        <v>768</v>
      </c>
      <c r="D366" s="143">
        <v>46079</v>
      </c>
      <c r="E366" s="55">
        <v>285096.55</v>
      </c>
      <c r="F366" t="s">
        <v>769</v>
      </c>
      <c r="G366">
        <v>1500099022</v>
      </c>
      <c r="H366" t="s">
        <v>755</v>
      </c>
      <c r="I366" t="s">
        <v>785</v>
      </c>
      <c r="K366" s="143">
        <v>46083</v>
      </c>
      <c r="L366" s="143">
        <v>46079</v>
      </c>
      <c r="M366">
        <v>22026</v>
      </c>
      <c r="N366" t="s">
        <v>771</v>
      </c>
      <c r="O366">
        <v>2001</v>
      </c>
      <c r="S366" t="s">
        <v>783</v>
      </c>
      <c r="T366">
        <v>1500059778</v>
      </c>
    </row>
    <row r="367" spans="1:20" x14ac:dyDescent="0.25">
      <c r="A367">
        <v>5100601830</v>
      </c>
      <c r="B367">
        <v>325258</v>
      </c>
      <c r="C367" t="s">
        <v>768</v>
      </c>
      <c r="D367" s="143">
        <v>46086</v>
      </c>
      <c r="E367" s="55">
        <v>326883.88</v>
      </c>
      <c r="F367" t="s">
        <v>769</v>
      </c>
      <c r="G367">
        <v>1500015334</v>
      </c>
      <c r="H367" t="s">
        <v>755</v>
      </c>
      <c r="I367" t="s">
        <v>784</v>
      </c>
      <c r="K367" s="143">
        <v>46090</v>
      </c>
      <c r="L367" s="143">
        <v>46086</v>
      </c>
      <c r="M367">
        <v>32026</v>
      </c>
      <c r="N367" t="s">
        <v>771</v>
      </c>
      <c r="O367">
        <v>2001</v>
      </c>
      <c r="T367">
        <v>1500059778</v>
      </c>
    </row>
    <row r="368" spans="1:20" x14ac:dyDescent="0.25">
      <c r="A368">
        <v>5101902211</v>
      </c>
      <c r="B368">
        <v>325258</v>
      </c>
      <c r="C368" t="s">
        <v>768</v>
      </c>
      <c r="D368" s="143">
        <v>46100</v>
      </c>
      <c r="E368" s="55">
        <v>81753</v>
      </c>
      <c r="F368" t="s">
        <v>769</v>
      </c>
      <c r="G368">
        <v>1500122078</v>
      </c>
      <c r="H368" t="s">
        <v>755</v>
      </c>
      <c r="I368" t="s">
        <v>786</v>
      </c>
      <c r="K368" s="143">
        <v>46104</v>
      </c>
      <c r="L368" s="143">
        <v>46100</v>
      </c>
      <c r="M368">
        <v>32026</v>
      </c>
      <c r="N368" t="s">
        <v>771</v>
      </c>
      <c r="O368">
        <v>2001</v>
      </c>
      <c r="S368" t="s">
        <v>776</v>
      </c>
      <c r="T368">
        <v>1500059778</v>
      </c>
    </row>
    <row r="369" spans="1:20" x14ac:dyDescent="0.25">
      <c r="A369">
        <v>5100132252</v>
      </c>
      <c r="B369">
        <v>327197</v>
      </c>
      <c r="C369" t="s">
        <v>768</v>
      </c>
      <c r="D369" s="143">
        <v>46079</v>
      </c>
      <c r="E369" s="55">
        <v>366487.82</v>
      </c>
      <c r="F369" t="s">
        <v>769</v>
      </c>
      <c r="G369">
        <v>1500061120</v>
      </c>
      <c r="H369" t="s">
        <v>755</v>
      </c>
      <c r="I369" t="s">
        <v>785</v>
      </c>
      <c r="K369" s="143">
        <v>46098</v>
      </c>
      <c r="L369" s="143">
        <v>46079</v>
      </c>
      <c r="M369">
        <v>22026</v>
      </c>
      <c r="N369" t="s">
        <v>771</v>
      </c>
      <c r="O369">
        <v>2001</v>
      </c>
      <c r="S369" t="s">
        <v>778</v>
      </c>
      <c r="T369">
        <v>1500059778</v>
      </c>
    </row>
    <row r="370" spans="1:20" x14ac:dyDescent="0.25">
      <c r="A370">
        <v>5100236908</v>
      </c>
      <c r="B370">
        <v>327197</v>
      </c>
      <c r="C370" t="s">
        <v>768</v>
      </c>
      <c r="D370" s="143">
        <v>46072</v>
      </c>
      <c r="E370" s="55">
        <v>824522.1</v>
      </c>
      <c r="F370" t="s">
        <v>769</v>
      </c>
      <c r="G370">
        <v>1500061120</v>
      </c>
      <c r="H370" t="s">
        <v>755</v>
      </c>
      <c r="I370" t="s">
        <v>791</v>
      </c>
      <c r="K370" s="143">
        <v>46098</v>
      </c>
      <c r="L370" s="143">
        <v>46072</v>
      </c>
      <c r="M370">
        <v>22026</v>
      </c>
      <c r="N370" t="s">
        <v>771</v>
      </c>
      <c r="O370">
        <v>2001</v>
      </c>
      <c r="S370" t="s">
        <v>778</v>
      </c>
      <c r="T370">
        <v>1500059778</v>
      </c>
    </row>
    <row r="371" spans="1:20" x14ac:dyDescent="0.25">
      <c r="A371">
        <v>5100601839</v>
      </c>
      <c r="B371">
        <v>328724</v>
      </c>
      <c r="C371" t="s">
        <v>768</v>
      </c>
      <c r="D371" s="143">
        <v>46086</v>
      </c>
      <c r="E371" s="55">
        <v>178157.44</v>
      </c>
      <c r="F371" t="s">
        <v>769</v>
      </c>
      <c r="G371">
        <v>1500015335</v>
      </c>
      <c r="H371" t="s">
        <v>755</v>
      </c>
      <c r="I371" t="s">
        <v>784</v>
      </c>
      <c r="K371" s="143">
        <v>46090</v>
      </c>
      <c r="L371" s="143">
        <v>46086</v>
      </c>
      <c r="M371">
        <v>32026</v>
      </c>
      <c r="N371" t="s">
        <v>771</v>
      </c>
      <c r="O371">
        <v>2001</v>
      </c>
      <c r="T371">
        <v>1500059778</v>
      </c>
    </row>
    <row r="372" spans="1:20" x14ac:dyDescent="0.25">
      <c r="A372">
        <v>5100090625</v>
      </c>
      <c r="B372">
        <v>328724</v>
      </c>
      <c r="C372" t="s">
        <v>768</v>
      </c>
      <c r="D372" s="143">
        <v>46066</v>
      </c>
      <c r="E372" s="55">
        <v>219047.95</v>
      </c>
      <c r="F372" t="s">
        <v>769</v>
      </c>
      <c r="G372">
        <v>1500049221</v>
      </c>
      <c r="H372" t="s">
        <v>755</v>
      </c>
      <c r="I372" t="s">
        <v>789</v>
      </c>
      <c r="K372" s="143">
        <v>46069</v>
      </c>
      <c r="L372" s="143">
        <v>46066</v>
      </c>
      <c r="M372">
        <v>22026</v>
      </c>
      <c r="N372" t="s">
        <v>771</v>
      </c>
      <c r="O372">
        <v>2001</v>
      </c>
      <c r="S372" t="s">
        <v>783</v>
      </c>
      <c r="T372">
        <v>1500059778</v>
      </c>
    </row>
    <row r="373" spans="1:20" x14ac:dyDescent="0.25">
      <c r="A373">
        <v>5100104516</v>
      </c>
      <c r="B373">
        <v>328724</v>
      </c>
      <c r="C373" t="s">
        <v>768</v>
      </c>
      <c r="D373" s="143">
        <v>46072</v>
      </c>
      <c r="E373" s="55">
        <v>69024.639999999999</v>
      </c>
      <c r="F373" t="s">
        <v>769</v>
      </c>
      <c r="G373">
        <v>1500091642</v>
      </c>
      <c r="H373" t="s">
        <v>755</v>
      </c>
      <c r="I373" t="s">
        <v>791</v>
      </c>
      <c r="K373" s="143">
        <v>46076</v>
      </c>
      <c r="L373" s="143">
        <v>46072</v>
      </c>
      <c r="M373">
        <v>22026</v>
      </c>
      <c r="N373" t="s">
        <v>771</v>
      </c>
      <c r="O373">
        <v>2001</v>
      </c>
      <c r="S373" t="s">
        <v>773</v>
      </c>
      <c r="T373">
        <v>1500059778</v>
      </c>
    </row>
    <row r="374" spans="1:20" x14ac:dyDescent="0.25">
      <c r="A374">
        <v>5100132273</v>
      </c>
      <c r="B374">
        <v>328724</v>
      </c>
      <c r="C374" t="s">
        <v>768</v>
      </c>
      <c r="D374" s="143">
        <v>46079</v>
      </c>
      <c r="E374" s="55">
        <v>72117.179999999993</v>
      </c>
      <c r="F374" t="s">
        <v>769</v>
      </c>
      <c r="G374">
        <v>1500099023</v>
      </c>
      <c r="H374" t="s">
        <v>755</v>
      </c>
      <c r="I374" t="s">
        <v>785</v>
      </c>
      <c r="K374" s="143">
        <v>46083</v>
      </c>
      <c r="L374" s="143">
        <v>46079</v>
      </c>
      <c r="M374">
        <v>22026</v>
      </c>
      <c r="N374" t="s">
        <v>771</v>
      </c>
      <c r="O374">
        <v>2001</v>
      </c>
      <c r="S374" t="s">
        <v>783</v>
      </c>
      <c r="T374">
        <v>1500059778</v>
      </c>
    </row>
    <row r="375" spans="1:20" x14ac:dyDescent="0.25">
      <c r="A375">
        <v>5100132254</v>
      </c>
      <c r="B375">
        <v>379495</v>
      </c>
      <c r="C375" t="s">
        <v>768</v>
      </c>
      <c r="D375" s="143">
        <v>46079</v>
      </c>
      <c r="E375" s="55">
        <v>792039.85</v>
      </c>
      <c r="F375" t="s">
        <v>769</v>
      </c>
      <c r="G375">
        <v>100316863</v>
      </c>
      <c r="H375" t="s">
        <v>755</v>
      </c>
      <c r="I375" t="s">
        <v>785</v>
      </c>
      <c r="J375">
        <v>0</v>
      </c>
      <c r="K375" s="143">
        <v>46146</v>
      </c>
      <c r="L375" s="143">
        <v>46079</v>
      </c>
      <c r="M375">
        <v>22026</v>
      </c>
      <c r="N375" t="s">
        <v>771</v>
      </c>
      <c r="O375">
        <v>2001</v>
      </c>
      <c r="S375">
        <v>2.00159000293052E+17</v>
      </c>
      <c r="T375">
        <v>1500059778</v>
      </c>
    </row>
    <row r="376" spans="1:20" x14ac:dyDescent="0.25">
      <c r="A376">
        <v>5100745453</v>
      </c>
      <c r="B376">
        <v>379495</v>
      </c>
      <c r="C376" t="s">
        <v>768</v>
      </c>
      <c r="D376" s="143">
        <v>46093</v>
      </c>
      <c r="E376" s="55">
        <v>614317.06999999995</v>
      </c>
      <c r="F376" t="s">
        <v>769</v>
      </c>
      <c r="G376">
        <v>1500030316</v>
      </c>
      <c r="H376" t="s">
        <v>755</v>
      </c>
      <c r="I376" t="s">
        <v>788</v>
      </c>
      <c r="K376" s="143">
        <v>46098</v>
      </c>
      <c r="L376" s="143">
        <v>46093</v>
      </c>
      <c r="M376">
        <v>32026</v>
      </c>
      <c r="N376" t="s">
        <v>771</v>
      </c>
      <c r="O376">
        <v>2001</v>
      </c>
      <c r="S376" t="s">
        <v>778</v>
      </c>
      <c r="T376">
        <v>1500059778</v>
      </c>
    </row>
    <row r="377" spans="1:20" x14ac:dyDescent="0.25">
      <c r="A377">
        <v>5100745434</v>
      </c>
      <c r="B377">
        <v>389783</v>
      </c>
      <c r="C377" t="s">
        <v>768</v>
      </c>
      <c r="D377" s="143">
        <v>46093</v>
      </c>
      <c r="E377" s="55">
        <v>331196.48</v>
      </c>
      <c r="F377" t="s">
        <v>769</v>
      </c>
      <c r="G377">
        <v>1500067161</v>
      </c>
      <c r="H377" t="s">
        <v>755</v>
      </c>
      <c r="I377" t="s">
        <v>788</v>
      </c>
      <c r="K377" s="143">
        <v>46098</v>
      </c>
      <c r="L377" s="143">
        <v>46093</v>
      </c>
      <c r="M377">
        <v>32026</v>
      </c>
      <c r="N377" t="s">
        <v>771</v>
      </c>
      <c r="O377">
        <v>2001</v>
      </c>
      <c r="S377" t="s">
        <v>778</v>
      </c>
      <c r="T377">
        <v>1500059778</v>
      </c>
    </row>
    <row r="378" spans="1:20" x14ac:dyDescent="0.25">
      <c r="A378">
        <v>5100132256</v>
      </c>
      <c r="B378">
        <v>389783</v>
      </c>
      <c r="C378" t="s">
        <v>768</v>
      </c>
      <c r="D378" s="143">
        <v>46079</v>
      </c>
      <c r="E378" s="55">
        <v>504574.86</v>
      </c>
      <c r="F378" t="s">
        <v>769</v>
      </c>
      <c r="G378">
        <v>1500099024</v>
      </c>
      <c r="H378" t="s">
        <v>755</v>
      </c>
      <c r="I378" t="s">
        <v>785</v>
      </c>
      <c r="K378" s="143">
        <v>46083</v>
      </c>
      <c r="L378" s="143">
        <v>46079</v>
      </c>
      <c r="M378">
        <v>22026</v>
      </c>
      <c r="N378" t="s">
        <v>771</v>
      </c>
      <c r="O378">
        <v>2001</v>
      </c>
      <c r="S378" t="s">
        <v>783</v>
      </c>
      <c r="T378">
        <v>1500059778</v>
      </c>
    </row>
    <row r="379" spans="1:20" x14ac:dyDescent="0.25">
      <c r="A379">
        <v>5100005130</v>
      </c>
      <c r="B379">
        <v>394189</v>
      </c>
      <c r="C379" t="s">
        <v>768</v>
      </c>
      <c r="D379" s="143">
        <v>46066</v>
      </c>
      <c r="E379" s="55">
        <v>207728.45</v>
      </c>
      <c r="F379" t="s">
        <v>769</v>
      </c>
      <c r="G379">
        <v>1500062516</v>
      </c>
      <c r="H379" t="s">
        <v>755</v>
      </c>
      <c r="I379" t="s">
        <v>789</v>
      </c>
      <c r="K379" s="143">
        <v>46077</v>
      </c>
      <c r="L379" s="143">
        <v>46066</v>
      </c>
      <c r="M379">
        <v>22026</v>
      </c>
      <c r="N379" t="s">
        <v>771</v>
      </c>
      <c r="O379">
        <v>2001</v>
      </c>
      <c r="S379" t="s">
        <v>773</v>
      </c>
      <c r="T379">
        <v>1500059778</v>
      </c>
    </row>
    <row r="380" spans="1:20" x14ac:dyDescent="0.25">
      <c r="A380">
        <v>5100099716</v>
      </c>
      <c r="B380">
        <v>394189</v>
      </c>
      <c r="C380" t="s">
        <v>768</v>
      </c>
      <c r="D380" s="143">
        <v>46072</v>
      </c>
      <c r="E380" s="55">
        <v>485938.29</v>
      </c>
      <c r="F380" t="s">
        <v>769</v>
      </c>
      <c r="G380">
        <v>1500062516</v>
      </c>
      <c r="H380" t="s">
        <v>755</v>
      </c>
      <c r="I380" t="s">
        <v>791</v>
      </c>
      <c r="K380" s="143">
        <v>46077</v>
      </c>
      <c r="L380" s="143">
        <v>46072</v>
      </c>
      <c r="M380">
        <v>22026</v>
      </c>
      <c r="N380" t="s">
        <v>771</v>
      </c>
      <c r="O380">
        <v>2001</v>
      </c>
      <c r="S380" t="s">
        <v>773</v>
      </c>
      <c r="T380">
        <v>1500059778</v>
      </c>
    </row>
    <row r="381" spans="1:20" x14ac:dyDescent="0.25">
      <c r="A381">
        <v>5100132258</v>
      </c>
      <c r="B381">
        <v>394189</v>
      </c>
      <c r="C381" t="s">
        <v>768</v>
      </c>
      <c r="D381" s="143">
        <v>46079</v>
      </c>
      <c r="E381" s="55">
        <v>305710.68</v>
      </c>
      <c r="F381" t="s">
        <v>769</v>
      </c>
      <c r="G381">
        <v>1500099220</v>
      </c>
      <c r="H381" t="s">
        <v>755</v>
      </c>
      <c r="I381" t="s">
        <v>785</v>
      </c>
      <c r="K381" s="143">
        <v>46083</v>
      </c>
      <c r="L381" s="143">
        <v>46079</v>
      </c>
      <c r="M381">
        <v>22026</v>
      </c>
      <c r="N381" t="s">
        <v>771</v>
      </c>
      <c r="O381">
        <v>2001</v>
      </c>
      <c r="S381" t="s">
        <v>783</v>
      </c>
      <c r="T381">
        <v>1500059778</v>
      </c>
    </row>
    <row r="382" spans="1:20" x14ac:dyDescent="0.25">
      <c r="A382">
        <v>5100601817</v>
      </c>
      <c r="B382">
        <v>398024</v>
      </c>
      <c r="C382" t="s">
        <v>768</v>
      </c>
      <c r="D382" s="143">
        <v>46086</v>
      </c>
      <c r="E382" s="55">
        <v>2635560.23</v>
      </c>
      <c r="F382" t="s">
        <v>769</v>
      </c>
      <c r="G382">
        <v>1500015336</v>
      </c>
      <c r="H382" t="s">
        <v>755</v>
      </c>
      <c r="I382" t="s">
        <v>784</v>
      </c>
      <c r="K382" s="143">
        <v>46090</v>
      </c>
      <c r="L382" s="143">
        <v>46086</v>
      </c>
      <c r="M382">
        <v>32026</v>
      </c>
      <c r="N382" t="s">
        <v>771</v>
      </c>
      <c r="O382">
        <v>2001</v>
      </c>
      <c r="T382">
        <v>1500059778</v>
      </c>
    </row>
    <row r="383" spans="1:20" x14ac:dyDescent="0.25">
      <c r="A383">
        <v>5100132241</v>
      </c>
      <c r="B383">
        <v>398024</v>
      </c>
      <c r="C383" t="s">
        <v>768</v>
      </c>
      <c r="D383" s="143">
        <v>46079</v>
      </c>
      <c r="E383" s="55">
        <v>2265804.4</v>
      </c>
      <c r="F383" t="s">
        <v>769</v>
      </c>
      <c r="G383">
        <v>1500099025</v>
      </c>
      <c r="H383" t="s">
        <v>755</v>
      </c>
      <c r="I383" t="s">
        <v>785</v>
      </c>
      <c r="K383" s="143">
        <v>46083</v>
      </c>
      <c r="L383" s="143">
        <v>46079</v>
      </c>
      <c r="M383">
        <v>22026</v>
      </c>
      <c r="N383" t="s">
        <v>771</v>
      </c>
      <c r="O383">
        <v>2001</v>
      </c>
      <c r="S383" t="s">
        <v>783</v>
      </c>
      <c r="T383">
        <v>1500059778</v>
      </c>
    </row>
    <row r="384" spans="1:20" x14ac:dyDescent="0.25">
      <c r="A384">
        <v>5100361627</v>
      </c>
      <c r="B384">
        <v>201</v>
      </c>
      <c r="C384" t="s">
        <v>768</v>
      </c>
      <c r="D384" s="143">
        <v>46035</v>
      </c>
      <c r="E384">
        <v>725.5</v>
      </c>
      <c r="F384" t="s">
        <v>769</v>
      </c>
      <c r="G384">
        <v>101578638</v>
      </c>
      <c r="H384" t="s">
        <v>755</v>
      </c>
      <c r="I384" t="s">
        <v>770</v>
      </c>
      <c r="J384">
        <v>0</v>
      </c>
      <c r="K384" s="143">
        <v>46146</v>
      </c>
      <c r="L384" s="143">
        <v>46035</v>
      </c>
      <c r="M384">
        <v>22025</v>
      </c>
      <c r="N384" t="s">
        <v>771</v>
      </c>
      <c r="O384">
        <v>2001</v>
      </c>
      <c r="S384">
        <v>2.00159000280092E+17</v>
      </c>
      <c r="T384" t="s">
        <v>772</v>
      </c>
    </row>
    <row r="385" spans="1:20" x14ac:dyDescent="0.25">
      <c r="A385">
        <v>5100361628</v>
      </c>
      <c r="B385">
        <v>201</v>
      </c>
      <c r="C385" t="s">
        <v>768</v>
      </c>
      <c r="D385" s="143">
        <v>46035</v>
      </c>
      <c r="E385" s="55">
        <v>6408.54</v>
      </c>
      <c r="F385" t="s">
        <v>769</v>
      </c>
      <c r="G385">
        <v>101578638</v>
      </c>
      <c r="H385" t="s">
        <v>755</v>
      </c>
      <c r="I385" t="s">
        <v>770</v>
      </c>
      <c r="J385">
        <v>0</v>
      </c>
      <c r="K385" s="143">
        <v>46146</v>
      </c>
      <c r="L385" s="143">
        <v>46035</v>
      </c>
      <c r="M385">
        <v>32025</v>
      </c>
      <c r="N385" t="s">
        <v>771</v>
      </c>
      <c r="O385">
        <v>2001</v>
      </c>
      <c r="S385">
        <v>2.00159000280092E+17</v>
      </c>
      <c r="T385" t="s">
        <v>772</v>
      </c>
    </row>
    <row r="386" spans="1:20" x14ac:dyDescent="0.25">
      <c r="A386">
        <v>5100361629</v>
      </c>
      <c r="B386">
        <v>201</v>
      </c>
      <c r="C386" t="s">
        <v>768</v>
      </c>
      <c r="D386" s="143">
        <v>46035</v>
      </c>
      <c r="E386" s="55">
        <v>10631.06</v>
      </c>
      <c r="F386" t="s">
        <v>769</v>
      </c>
      <c r="G386">
        <v>101578638</v>
      </c>
      <c r="H386" t="s">
        <v>755</v>
      </c>
      <c r="I386" t="s">
        <v>770</v>
      </c>
      <c r="J386">
        <v>0</v>
      </c>
      <c r="K386" s="143">
        <v>46146</v>
      </c>
      <c r="L386" s="143">
        <v>46035</v>
      </c>
      <c r="M386">
        <v>42025</v>
      </c>
      <c r="N386" t="s">
        <v>771</v>
      </c>
      <c r="O386">
        <v>2001</v>
      </c>
      <c r="S386">
        <v>2.00159000280092E+17</v>
      </c>
      <c r="T386" t="s">
        <v>772</v>
      </c>
    </row>
    <row r="387" spans="1:20" x14ac:dyDescent="0.25">
      <c r="A387">
        <v>5100361630</v>
      </c>
      <c r="B387">
        <v>201</v>
      </c>
      <c r="C387" t="s">
        <v>768</v>
      </c>
      <c r="D387" s="143">
        <v>46035</v>
      </c>
      <c r="E387" s="55">
        <v>270378.73</v>
      </c>
      <c r="F387" t="s">
        <v>769</v>
      </c>
      <c r="G387">
        <v>101578638</v>
      </c>
      <c r="H387" t="s">
        <v>755</v>
      </c>
      <c r="I387" t="s">
        <v>770</v>
      </c>
      <c r="J387">
        <v>0</v>
      </c>
      <c r="K387" s="143">
        <v>46146</v>
      </c>
      <c r="L387" s="143">
        <v>46035</v>
      </c>
      <c r="M387">
        <v>52025</v>
      </c>
      <c r="N387" t="s">
        <v>771</v>
      </c>
      <c r="O387">
        <v>2001</v>
      </c>
      <c r="S387">
        <v>2.00159000280092E+17</v>
      </c>
      <c r="T387" t="s">
        <v>772</v>
      </c>
    </row>
    <row r="388" spans="1:20" x14ac:dyDescent="0.25">
      <c r="A388">
        <v>5100423620</v>
      </c>
      <c r="B388">
        <v>696</v>
      </c>
      <c r="C388" t="s">
        <v>768</v>
      </c>
      <c r="D388" s="143">
        <v>46035</v>
      </c>
      <c r="E388">
        <v>956.01</v>
      </c>
      <c r="F388" t="s">
        <v>769</v>
      </c>
      <c r="G388">
        <v>1500038735</v>
      </c>
      <c r="H388" t="s">
        <v>755</v>
      </c>
      <c r="I388" t="s">
        <v>770</v>
      </c>
      <c r="K388" s="143">
        <v>46069</v>
      </c>
      <c r="L388" s="143">
        <v>46035</v>
      </c>
      <c r="M388">
        <v>42025</v>
      </c>
      <c r="N388" t="s">
        <v>771</v>
      </c>
      <c r="O388">
        <v>2001</v>
      </c>
      <c r="S388">
        <v>0</v>
      </c>
      <c r="T388" t="s">
        <v>772</v>
      </c>
    </row>
    <row r="389" spans="1:20" x14ac:dyDescent="0.25">
      <c r="A389">
        <v>5100423624</v>
      </c>
      <c r="B389">
        <v>696</v>
      </c>
      <c r="C389" t="s">
        <v>768</v>
      </c>
      <c r="D389" s="143">
        <v>46035</v>
      </c>
      <c r="E389" s="55">
        <v>15051.47</v>
      </c>
      <c r="F389" t="s">
        <v>769</v>
      </c>
      <c r="G389">
        <v>1500038735</v>
      </c>
      <c r="H389" t="s">
        <v>755</v>
      </c>
      <c r="I389" t="s">
        <v>770</v>
      </c>
      <c r="K389" s="143">
        <v>46069</v>
      </c>
      <c r="L389" s="143">
        <v>46035</v>
      </c>
      <c r="M389">
        <v>92025</v>
      </c>
      <c r="N389" t="s">
        <v>771</v>
      </c>
      <c r="O389">
        <v>2001</v>
      </c>
      <c r="S389">
        <v>0</v>
      </c>
      <c r="T389" t="s">
        <v>772</v>
      </c>
    </row>
    <row r="390" spans="1:20" x14ac:dyDescent="0.25">
      <c r="A390">
        <v>5100423619</v>
      </c>
      <c r="B390">
        <v>696</v>
      </c>
      <c r="C390" t="s">
        <v>768</v>
      </c>
      <c r="D390" s="143">
        <v>46035</v>
      </c>
      <c r="E390">
        <v>528.58000000000004</v>
      </c>
      <c r="F390" t="s">
        <v>769</v>
      </c>
      <c r="G390">
        <v>1500038735</v>
      </c>
      <c r="H390" t="s">
        <v>755</v>
      </c>
      <c r="I390" t="s">
        <v>770</v>
      </c>
      <c r="K390" s="143">
        <v>46069</v>
      </c>
      <c r="L390" s="143">
        <v>46035</v>
      </c>
      <c r="M390">
        <v>22025</v>
      </c>
      <c r="N390" t="s">
        <v>771</v>
      </c>
      <c r="O390">
        <v>2001</v>
      </c>
      <c r="S390">
        <v>514396</v>
      </c>
      <c r="T390" t="s">
        <v>772</v>
      </c>
    </row>
    <row r="391" spans="1:20" x14ac:dyDescent="0.25">
      <c r="A391">
        <v>5100423621</v>
      </c>
      <c r="B391">
        <v>696</v>
      </c>
      <c r="C391" t="s">
        <v>768</v>
      </c>
      <c r="D391" s="143">
        <v>46035</v>
      </c>
      <c r="E391" s="55">
        <v>430341.16</v>
      </c>
      <c r="F391" t="s">
        <v>769</v>
      </c>
      <c r="G391">
        <v>1500038735</v>
      </c>
      <c r="H391" t="s">
        <v>755</v>
      </c>
      <c r="I391" t="s">
        <v>770</v>
      </c>
      <c r="K391" s="143">
        <v>46069</v>
      </c>
      <c r="L391" s="143">
        <v>46035</v>
      </c>
      <c r="M391">
        <v>52025</v>
      </c>
      <c r="N391" t="s">
        <v>771</v>
      </c>
      <c r="O391">
        <v>2001</v>
      </c>
      <c r="S391">
        <v>514396</v>
      </c>
      <c r="T391" t="s">
        <v>772</v>
      </c>
    </row>
    <row r="392" spans="1:20" x14ac:dyDescent="0.25">
      <c r="A392">
        <v>5100423622</v>
      </c>
      <c r="B392">
        <v>696</v>
      </c>
      <c r="C392" t="s">
        <v>768</v>
      </c>
      <c r="D392" s="143">
        <v>46035</v>
      </c>
      <c r="E392" s="55">
        <v>12348.89</v>
      </c>
      <c r="F392" t="s">
        <v>769</v>
      </c>
      <c r="G392">
        <v>1500038735</v>
      </c>
      <c r="H392" t="s">
        <v>755</v>
      </c>
      <c r="I392" t="s">
        <v>770</v>
      </c>
      <c r="K392" s="143">
        <v>46069</v>
      </c>
      <c r="L392" s="143">
        <v>46035</v>
      </c>
      <c r="M392">
        <v>72025</v>
      </c>
      <c r="N392" t="s">
        <v>771</v>
      </c>
      <c r="O392">
        <v>2001</v>
      </c>
      <c r="S392">
        <v>514396</v>
      </c>
      <c r="T392" t="s">
        <v>772</v>
      </c>
    </row>
    <row r="393" spans="1:20" x14ac:dyDescent="0.25">
      <c r="A393">
        <v>5100423623</v>
      </c>
      <c r="B393">
        <v>696</v>
      </c>
      <c r="C393" t="s">
        <v>768</v>
      </c>
      <c r="D393" s="143">
        <v>46035</v>
      </c>
      <c r="E393" s="55">
        <v>6413.05</v>
      </c>
      <c r="F393" t="s">
        <v>769</v>
      </c>
      <c r="G393">
        <v>1500038735</v>
      </c>
      <c r="H393" t="s">
        <v>755</v>
      </c>
      <c r="I393" t="s">
        <v>770</v>
      </c>
      <c r="K393" s="143">
        <v>46069</v>
      </c>
      <c r="L393" s="143">
        <v>46035</v>
      </c>
      <c r="M393">
        <v>82025</v>
      </c>
      <c r="N393" t="s">
        <v>771</v>
      </c>
      <c r="O393">
        <v>2001</v>
      </c>
      <c r="S393">
        <v>514396</v>
      </c>
      <c r="T393" t="s">
        <v>772</v>
      </c>
    </row>
    <row r="394" spans="1:20" x14ac:dyDescent="0.25">
      <c r="A394">
        <v>5100424063</v>
      </c>
      <c r="B394">
        <v>943</v>
      </c>
      <c r="C394" t="s">
        <v>768</v>
      </c>
      <c r="D394" s="143">
        <v>46035</v>
      </c>
      <c r="E394" s="55">
        <v>1344.22</v>
      </c>
      <c r="F394" t="s">
        <v>769</v>
      </c>
      <c r="G394">
        <v>1500027551</v>
      </c>
      <c r="H394" t="s">
        <v>755</v>
      </c>
      <c r="I394" t="s">
        <v>770</v>
      </c>
      <c r="K394" s="143">
        <v>46069</v>
      </c>
      <c r="L394" s="143">
        <v>46035</v>
      </c>
      <c r="M394">
        <v>12025</v>
      </c>
      <c r="N394" t="s">
        <v>771</v>
      </c>
      <c r="O394">
        <v>2001</v>
      </c>
      <c r="S394" t="s">
        <v>783</v>
      </c>
      <c r="T394" t="s">
        <v>772</v>
      </c>
    </row>
    <row r="395" spans="1:20" x14ac:dyDescent="0.25">
      <c r="A395">
        <v>5100424064</v>
      </c>
      <c r="B395">
        <v>943</v>
      </c>
      <c r="C395" t="s">
        <v>768</v>
      </c>
      <c r="D395" s="143">
        <v>46035</v>
      </c>
      <c r="E395" s="55">
        <v>21052.04</v>
      </c>
      <c r="F395" t="s">
        <v>769</v>
      </c>
      <c r="G395">
        <v>1500027551</v>
      </c>
      <c r="H395" t="s">
        <v>755</v>
      </c>
      <c r="I395" t="s">
        <v>770</v>
      </c>
      <c r="K395" s="143">
        <v>46069</v>
      </c>
      <c r="L395" s="143">
        <v>46035</v>
      </c>
      <c r="M395">
        <v>22025</v>
      </c>
      <c r="N395" t="s">
        <v>771</v>
      </c>
      <c r="O395">
        <v>2001</v>
      </c>
      <c r="S395" t="s">
        <v>783</v>
      </c>
      <c r="T395" t="s">
        <v>772</v>
      </c>
    </row>
    <row r="396" spans="1:20" x14ac:dyDescent="0.25">
      <c r="A396">
        <v>5100424065</v>
      </c>
      <c r="B396">
        <v>943</v>
      </c>
      <c r="C396" t="s">
        <v>768</v>
      </c>
      <c r="D396" s="143">
        <v>46035</v>
      </c>
      <c r="E396" s="55">
        <v>51606</v>
      </c>
      <c r="F396" t="s">
        <v>769</v>
      </c>
      <c r="G396">
        <v>1500027551</v>
      </c>
      <c r="H396" t="s">
        <v>755</v>
      </c>
      <c r="I396" t="s">
        <v>770</v>
      </c>
      <c r="K396" s="143">
        <v>46069</v>
      </c>
      <c r="L396" s="143">
        <v>46035</v>
      </c>
      <c r="M396">
        <v>32025</v>
      </c>
      <c r="N396" t="s">
        <v>771</v>
      </c>
      <c r="O396">
        <v>2001</v>
      </c>
      <c r="S396" t="s">
        <v>783</v>
      </c>
      <c r="T396" t="s">
        <v>772</v>
      </c>
    </row>
    <row r="397" spans="1:20" x14ac:dyDescent="0.25">
      <c r="A397">
        <v>5100424066</v>
      </c>
      <c r="B397">
        <v>943</v>
      </c>
      <c r="C397" t="s">
        <v>768</v>
      </c>
      <c r="D397" s="143">
        <v>46035</v>
      </c>
      <c r="E397" s="55">
        <v>26368.34</v>
      </c>
      <c r="F397" t="s">
        <v>769</v>
      </c>
      <c r="G397">
        <v>1500027551</v>
      </c>
      <c r="H397" t="s">
        <v>755</v>
      </c>
      <c r="I397" t="s">
        <v>770</v>
      </c>
      <c r="K397" s="143">
        <v>46069</v>
      </c>
      <c r="L397" s="143">
        <v>46035</v>
      </c>
      <c r="M397">
        <v>42025</v>
      </c>
      <c r="N397" t="s">
        <v>771</v>
      </c>
      <c r="O397">
        <v>2001</v>
      </c>
      <c r="S397" t="s">
        <v>783</v>
      </c>
      <c r="T397" t="s">
        <v>772</v>
      </c>
    </row>
    <row r="398" spans="1:20" x14ac:dyDescent="0.25">
      <c r="A398">
        <v>5100424067</v>
      </c>
      <c r="B398">
        <v>943</v>
      </c>
      <c r="C398" t="s">
        <v>768</v>
      </c>
      <c r="D398" s="143">
        <v>46035</v>
      </c>
      <c r="E398" s="55">
        <v>85693.69</v>
      </c>
      <c r="F398" t="s">
        <v>769</v>
      </c>
      <c r="G398">
        <v>1500027551</v>
      </c>
      <c r="H398" t="s">
        <v>755</v>
      </c>
      <c r="I398" t="s">
        <v>770</v>
      </c>
      <c r="K398" s="143">
        <v>46069</v>
      </c>
      <c r="L398" s="143">
        <v>46035</v>
      </c>
      <c r="M398">
        <v>52025</v>
      </c>
      <c r="N398" t="s">
        <v>771</v>
      </c>
      <c r="O398">
        <v>2001</v>
      </c>
      <c r="S398" t="s">
        <v>783</v>
      </c>
      <c r="T398" t="s">
        <v>772</v>
      </c>
    </row>
    <row r="399" spans="1:20" x14ac:dyDescent="0.25">
      <c r="A399">
        <v>5100424068</v>
      </c>
      <c r="B399">
        <v>943</v>
      </c>
      <c r="C399" t="s">
        <v>768</v>
      </c>
      <c r="D399" s="143">
        <v>46035</v>
      </c>
      <c r="E399" s="55">
        <v>73285.59</v>
      </c>
      <c r="F399" t="s">
        <v>769</v>
      </c>
      <c r="G399">
        <v>1500027551</v>
      </c>
      <c r="H399" t="s">
        <v>755</v>
      </c>
      <c r="I399" t="s">
        <v>770</v>
      </c>
      <c r="K399" s="143">
        <v>46069</v>
      </c>
      <c r="L399" s="143">
        <v>46035</v>
      </c>
      <c r="M399">
        <v>62025</v>
      </c>
      <c r="N399" t="s">
        <v>771</v>
      </c>
      <c r="O399">
        <v>2001</v>
      </c>
      <c r="S399" t="s">
        <v>783</v>
      </c>
      <c r="T399" t="s">
        <v>772</v>
      </c>
    </row>
    <row r="400" spans="1:20" x14ac:dyDescent="0.25">
      <c r="A400">
        <v>5100424069</v>
      </c>
      <c r="B400">
        <v>943</v>
      </c>
      <c r="C400" t="s">
        <v>768</v>
      </c>
      <c r="D400" s="143">
        <v>46035</v>
      </c>
      <c r="E400" s="55">
        <v>13819.57</v>
      </c>
      <c r="F400" t="s">
        <v>769</v>
      </c>
      <c r="G400">
        <v>1500027551</v>
      </c>
      <c r="H400" t="s">
        <v>755</v>
      </c>
      <c r="I400" t="s">
        <v>770</v>
      </c>
      <c r="K400" s="143">
        <v>46069</v>
      </c>
      <c r="L400" s="143">
        <v>46035</v>
      </c>
      <c r="M400">
        <v>72025</v>
      </c>
      <c r="N400" t="s">
        <v>771</v>
      </c>
      <c r="O400">
        <v>2001</v>
      </c>
      <c r="S400" t="s">
        <v>783</v>
      </c>
      <c r="T400" t="s">
        <v>772</v>
      </c>
    </row>
    <row r="401" spans="1:20" x14ac:dyDescent="0.25">
      <c r="A401">
        <v>5100424070</v>
      </c>
      <c r="B401">
        <v>943</v>
      </c>
      <c r="C401" t="s">
        <v>768</v>
      </c>
      <c r="D401" s="143">
        <v>46035</v>
      </c>
      <c r="E401" s="55">
        <v>18768.5</v>
      </c>
      <c r="F401" t="s">
        <v>769</v>
      </c>
      <c r="G401">
        <v>1500027551</v>
      </c>
      <c r="H401" t="s">
        <v>755</v>
      </c>
      <c r="I401" t="s">
        <v>770</v>
      </c>
      <c r="K401" s="143">
        <v>46069</v>
      </c>
      <c r="L401" s="143">
        <v>46035</v>
      </c>
      <c r="M401">
        <v>82025</v>
      </c>
      <c r="N401" t="s">
        <v>771</v>
      </c>
      <c r="O401">
        <v>2001</v>
      </c>
      <c r="S401" t="s">
        <v>783</v>
      </c>
      <c r="T401" t="s">
        <v>772</v>
      </c>
    </row>
    <row r="402" spans="1:20" x14ac:dyDescent="0.25">
      <c r="A402">
        <v>5100424071</v>
      </c>
      <c r="B402">
        <v>943</v>
      </c>
      <c r="C402" t="s">
        <v>768</v>
      </c>
      <c r="D402" s="143">
        <v>46035</v>
      </c>
      <c r="E402" s="55">
        <v>6940.29</v>
      </c>
      <c r="F402" t="s">
        <v>769</v>
      </c>
      <c r="G402">
        <v>1500027551</v>
      </c>
      <c r="H402" t="s">
        <v>755</v>
      </c>
      <c r="I402" t="s">
        <v>770</v>
      </c>
      <c r="K402" s="143">
        <v>46069</v>
      </c>
      <c r="L402" s="143">
        <v>46035</v>
      </c>
      <c r="M402">
        <v>92025</v>
      </c>
      <c r="N402" t="s">
        <v>771</v>
      </c>
      <c r="O402">
        <v>2001</v>
      </c>
      <c r="S402" t="s">
        <v>783</v>
      </c>
      <c r="T402" t="s">
        <v>772</v>
      </c>
    </row>
    <row r="403" spans="1:20" x14ac:dyDescent="0.25">
      <c r="A403">
        <v>5100422920</v>
      </c>
      <c r="B403">
        <v>3860</v>
      </c>
      <c r="C403" t="s">
        <v>768</v>
      </c>
      <c r="D403" s="143">
        <v>46035</v>
      </c>
      <c r="E403" s="55">
        <v>7461.9</v>
      </c>
      <c r="F403" t="s">
        <v>769</v>
      </c>
      <c r="G403">
        <v>1500038740</v>
      </c>
      <c r="H403" t="s">
        <v>755</v>
      </c>
      <c r="I403" t="s">
        <v>770</v>
      </c>
      <c r="K403" s="143">
        <v>46069</v>
      </c>
      <c r="L403" s="143">
        <v>46035</v>
      </c>
      <c r="M403">
        <v>22025</v>
      </c>
      <c r="N403" t="s">
        <v>771</v>
      </c>
      <c r="O403">
        <v>2001</v>
      </c>
      <c r="S403">
        <v>525214</v>
      </c>
      <c r="T403" t="s">
        <v>772</v>
      </c>
    </row>
    <row r="404" spans="1:20" x14ac:dyDescent="0.25">
      <c r="A404">
        <v>5100422921</v>
      </c>
      <c r="B404">
        <v>3860</v>
      </c>
      <c r="C404" t="s">
        <v>768</v>
      </c>
      <c r="D404" s="143">
        <v>46035</v>
      </c>
      <c r="E404" s="55">
        <v>3066.86</v>
      </c>
      <c r="F404" t="s">
        <v>769</v>
      </c>
      <c r="G404">
        <v>1500038740</v>
      </c>
      <c r="H404" t="s">
        <v>755</v>
      </c>
      <c r="I404" t="s">
        <v>770</v>
      </c>
      <c r="K404" s="143">
        <v>46069</v>
      </c>
      <c r="L404" s="143">
        <v>46035</v>
      </c>
      <c r="M404">
        <v>32025</v>
      </c>
      <c r="N404" t="s">
        <v>771</v>
      </c>
      <c r="O404">
        <v>2001</v>
      </c>
      <c r="S404">
        <v>525214</v>
      </c>
      <c r="T404" t="s">
        <v>772</v>
      </c>
    </row>
    <row r="405" spans="1:20" x14ac:dyDescent="0.25">
      <c r="A405">
        <v>5100422922</v>
      </c>
      <c r="B405">
        <v>3860</v>
      </c>
      <c r="C405" t="s">
        <v>768</v>
      </c>
      <c r="D405" s="143">
        <v>46035</v>
      </c>
      <c r="E405" s="55">
        <v>173077.69</v>
      </c>
      <c r="F405" t="s">
        <v>769</v>
      </c>
      <c r="G405">
        <v>1500038740</v>
      </c>
      <c r="H405" t="s">
        <v>755</v>
      </c>
      <c r="I405" t="s">
        <v>770</v>
      </c>
      <c r="K405" s="143">
        <v>46069</v>
      </c>
      <c r="L405" s="143">
        <v>46035</v>
      </c>
      <c r="M405">
        <v>52025</v>
      </c>
      <c r="N405" t="s">
        <v>771</v>
      </c>
      <c r="O405">
        <v>2001</v>
      </c>
      <c r="S405">
        <v>525214</v>
      </c>
      <c r="T405" t="s">
        <v>772</v>
      </c>
    </row>
    <row r="406" spans="1:20" x14ac:dyDescent="0.25">
      <c r="A406">
        <v>5100422923</v>
      </c>
      <c r="B406">
        <v>3860</v>
      </c>
      <c r="C406" t="s">
        <v>768</v>
      </c>
      <c r="D406" s="143">
        <v>46035</v>
      </c>
      <c r="E406" s="55">
        <v>17312.650000000001</v>
      </c>
      <c r="F406" t="s">
        <v>769</v>
      </c>
      <c r="G406">
        <v>1500038740</v>
      </c>
      <c r="H406" t="s">
        <v>755</v>
      </c>
      <c r="I406" t="s">
        <v>770</v>
      </c>
      <c r="K406" s="143">
        <v>46069</v>
      </c>
      <c r="L406" s="143">
        <v>46035</v>
      </c>
      <c r="M406">
        <v>62025</v>
      </c>
      <c r="N406" t="s">
        <v>771</v>
      </c>
      <c r="O406">
        <v>2001</v>
      </c>
      <c r="S406">
        <v>525214</v>
      </c>
      <c r="T406" t="s">
        <v>772</v>
      </c>
    </row>
    <row r="407" spans="1:20" x14ac:dyDescent="0.25">
      <c r="A407">
        <v>5100422924</v>
      </c>
      <c r="B407">
        <v>3860</v>
      </c>
      <c r="C407" t="s">
        <v>768</v>
      </c>
      <c r="D407" s="143">
        <v>46035</v>
      </c>
      <c r="E407" s="55">
        <v>1538.56</v>
      </c>
      <c r="F407" t="s">
        <v>769</v>
      </c>
      <c r="G407">
        <v>1500038740</v>
      </c>
      <c r="H407" t="s">
        <v>755</v>
      </c>
      <c r="I407" t="s">
        <v>770</v>
      </c>
      <c r="K407" s="143">
        <v>46069</v>
      </c>
      <c r="L407" s="143">
        <v>46035</v>
      </c>
      <c r="M407">
        <v>72025</v>
      </c>
      <c r="N407" t="s">
        <v>771</v>
      </c>
      <c r="O407">
        <v>2001</v>
      </c>
      <c r="S407">
        <v>525214</v>
      </c>
      <c r="T407" t="s">
        <v>772</v>
      </c>
    </row>
    <row r="408" spans="1:20" x14ac:dyDescent="0.25">
      <c r="A408">
        <v>5100422925</v>
      </c>
      <c r="B408">
        <v>3860</v>
      </c>
      <c r="C408" t="s">
        <v>768</v>
      </c>
      <c r="D408" s="143">
        <v>46035</v>
      </c>
      <c r="E408" s="55">
        <v>6414.68</v>
      </c>
      <c r="F408" t="s">
        <v>769</v>
      </c>
      <c r="G408">
        <v>1500038740</v>
      </c>
      <c r="H408" t="s">
        <v>755</v>
      </c>
      <c r="I408" t="s">
        <v>770</v>
      </c>
      <c r="K408" s="143">
        <v>46069</v>
      </c>
      <c r="L408" s="143">
        <v>46035</v>
      </c>
      <c r="M408">
        <v>92025</v>
      </c>
      <c r="N408" t="s">
        <v>771</v>
      </c>
      <c r="O408">
        <v>2001</v>
      </c>
      <c r="S408">
        <v>525214</v>
      </c>
      <c r="T408" t="s">
        <v>772</v>
      </c>
    </row>
    <row r="409" spans="1:20" x14ac:dyDescent="0.25">
      <c r="A409">
        <v>5100423544</v>
      </c>
      <c r="B409">
        <v>6346</v>
      </c>
      <c r="C409" t="s">
        <v>768</v>
      </c>
      <c r="D409" s="143">
        <v>46035</v>
      </c>
      <c r="E409" s="55">
        <v>23138.03</v>
      </c>
      <c r="F409" t="s">
        <v>769</v>
      </c>
      <c r="G409">
        <v>1500032786</v>
      </c>
      <c r="H409" t="s">
        <v>755</v>
      </c>
      <c r="I409" t="s">
        <v>770</v>
      </c>
      <c r="K409" s="143">
        <v>46083</v>
      </c>
      <c r="L409" s="143">
        <v>46035</v>
      </c>
      <c r="M409">
        <v>12025</v>
      </c>
      <c r="N409" t="s">
        <v>771</v>
      </c>
      <c r="O409">
        <v>2001</v>
      </c>
      <c r="S409">
        <v>515537</v>
      </c>
      <c r="T409" t="s">
        <v>772</v>
      </c>
    </row>
    <row r="410" spans="1:20" x14ac:dyDescent="0.25">
      <c r="A410">
        <v>5100423545</v>
      </c>
      <c r="B410">
        <v>6346</v>
      </c>
      <c r="C410" t="s">
        <v>768</v>
      </c>
      <c r="D410" s="143">
        <v>46035</v>
      </c>
      <c r="E410" s="55">
        <v>13500.87</v>
      </c>
      <c r="F410" t="s">
        <v>769</v>
      </c>
      <c r="G410">
        <v>1500032786</v>
      </c>
      <c r="H410" t="s">
        <v>755</v>
      </c>
      <c r="I410" t="s">
        <v>770</v>
      </c>
      <c r="K410" s="143">
        <v>46083</v>
      </c>
      <c r="L410" s="143">
        <v>46035</v>
      </c>
      <c r="M410">
        <v>22025</v>
      </c>
      <c r="N410" t="s">
        <v>771</v>
      </c>
      <c r="O410">
        <v>2001</v>
      </c>
      <c r="S410">
        <v>515537</v>
      </c>
      <c r="T410" t="s">
        <v>772</v>
      </c>
    </row>
    <row r="411" spans="1:20" x14ac:dyDescent="0.25">
      <c r="A411">
        <v>5100423546</v>
      </c>
      <c r="B411">
        <v>6346</v>
      </c>
      <c r="C411" t="s">
        <v>768</v>
      </c>
      <c r="D411" s="143">
        <v>46035</v>
      </c>
      <c r="E411" s="55">
        <v>88302.09</v>
      </c>
      <c r="F411" t="s">
        <v>769</v>
      </c>
      <c r="G411">
        <v>1500032786</v>
      </c>
      <c r="H411" t="s">
        <v>755</v>
      </c>
      <c r="I411" t="s">
        <v>770</v>
      </c>
      <c r="K411" s="143">
        <v>46083</v>
      </c>
      <c r="L411" s="143">
        <v>46035</v>
      </c>
      <c r="M411">
        <v>32025</v>
      </c>
      <c r="N411" t="s">
        <v>771</v>
      </c>
      <c r="O411">
        <v>2001</v>
      </c>
      <c r="S411">
        <v>515537</v>
      </c>
      <c r="T411" t="s">
        <v>772</v>
      </c>
    </row>
    <row r="412" spans="1:20" x14ac:dyDescent="0.25">
      <c r="A412">
        <v>5100423547</v>
      </c>
      <c r="B412">
        <v>6346</v>
      </c>
      <c r="C412" t="s">
        <v>768</v>
      </c>
      <c r="D412" s="143">
        <v>46035</v>
      </c>
      <c r="E412" s="55">
        <v>84924.1</v>
      </c>
      <c r="F412" t="s">
        <v>769</v>
      </c>
      <c r="G412">
        <v>1500032786</v>
      </c>
      <c r="H412" t="s">
        <v>755</v>
      </c>
      <c r="I412" t="s">
        <v>770</v>
      </c>
      <c r="K412" s="143">
        <v>46083</v>
      </c>
      <c r="L412" s="143">
        <v>46035</v>
      </c>
      <c r="M412">
        <v>42025</v>
      </c>
      <c r="N412" t="s">
        <v>771</v>
      </c>
      <c r="O412">
        <v>2001</v>
      </c>
      <c r="S412">
        <v>515537</v>
      </c>
      <c r="T412" t="s">
        <v>772</v>
      </c>
    </row>
    <row r="413" spans="1:20" x14ac:dyDescent="0.25">
      <c r="A413">
        <v>5100423548</v>
      </c>
      <c r="B413">
        <v>6346</v>
      </c>
      <c r="C413" t="s">
        <v>768</v>
      </c>
      <c r="D413" s="143">
        <v>46035</v>
      </c>
      <c r="E413">
        <v>99.35</v>
      </c>
      <c r="F413" t="s">
        <v>769</v>
      </c>
      <c r="G413">
        <v>1500032786</v>
      </c>
      <c r="H413" t="s">
        <v>755</v>
      </c>
      <c r="I413" t="s">
        <v>770</v>
      </c>
      <c r="K413" s="143">
        <v>46083</v>
      </c>
      <c r="L413" s="143">
        <v>46035</v>
      </c>
      <c r="M413">
        <v>52025</v>
      </c>
      <c r="N413" t="s">
        <v>771</v>
      </c>
      <c r="O413">
        <v>2001</v>
      </c>
      <c r="S413">
        <v>515537</v>
      </c>
      <c r="T413" t="s">
        <v>772</v>
      </c>
    </row>
    <row r="414" spans="1:20" x14ac:dyDescent="0.25">
      <c r="A414">
        <v>5100423549</v>
      </c>
      <c r="B414">
        <v>6346</v>
      </c>
      <c r="C414" t="s">
        <v>768</v>
      </c>
      <c r="D414" s="143">
        <v>46035</v>
      </c>
      <c r="E414" s="55">
        <v>106527.71</v>
      </c>
      <c r="F414" t="s">
        <v>769</v>
      </c>
      <c r="G414">
        <v>1500032786</v>
      </c>
      <c r="H414" t="s">
        <v>755</v>
      </c>
      <c r="I414" t="s">
        <v>770</v>
      </c>
      <c r="K414" s="143">
        <v>46083</v>
      </c>
      <c r="L414" s="143">
        <v>46035</v>
      </c>
      <c r="M414">
        <v>62025</v>
      </c>
      <c r="N414" t="s">
        <v>771</v>
      </c>
      <c r="O414">
        <v>2001</v>
      </c>
      <c r="S414">
        <v>515537</v>
      </c>
      <c r="T414" t="s">
        <v>772</v>
      </c>
    </row>
    <row r="415" spans="1:20" x14ac:dyDescent="0.25">
      <c r="A415">
        <v>5100423550</v>
      </c>
      <c r="B415">
        <v>6346</v>
      </c>
      <c r="C415" t="s">
        <v>768</v>
      </c>
      <c r="D415" s="143">
        <v>46035</v>
      </c>
      <c r="E415" s="55">
        <v>14836.6</v>
      </c>
      <c r="F415" t="s">
        <v>769</v>
      </c>
      <c r="G415">
        <v>1500032786</v>
      </c>
      <c r="H415" t="s">
        <v>755</v>
      </c>
      <c r="I415" t="s">
        <v>770</v>
      </c>
      <c r="K415" s="143">
        <v>46083</v>
      </c>
      <c r="L415" s="143">
        <v>46035</v>
      </c>
      <c r="M415">
        <v>72025</v>
      </c>
      <c r="N415" t="s">
        <v>771</v>
      </c>
      <c r="O415">
        <v>2001</v>
      </c>
      <c r="S415">
        <v>515537</v>
      </c>
      <c r="T415" t="s">
        <v>772</v>
      </c>
    </row>
    <row r="416" spans="1:20" x14ac:dyDescent="0.25">
      <c r="A416">
        <v>5100423551</v>
      </c>
      <c r="B416">
        <v>6346</v>
      </c>
      <c r="C416" t="s">
        <v>768</v>
      </c>
      <c r="D416" s="143">
        <v>46035</v>
      </c>
      <c r="E416" s="55">
        <v>15311.28</v>
      </c>
      <c r="F416" t="s">
        <v>769</v>
      </c>
      <c r="G416">
        <v>1500032786</v>
      </c>
      <c r="H416" t="s">
        <v>755</v>
      </c>
      <c r="I416" t="s">
        <v>770</v>
      </c>
      <c r="K416" s="143">
        <v>46083</v>
      </c>
      <c r="L416" s="143">
        <v>46035</v>
      </c>
      <c r="M416">
        <v>82025</v>
      </c>
      <c r="N416" t="s">
        <v>771</v>
      </c>
      <c r="O416">
        <v>2001</v>
      </c>
      <c r="S416">
        <v>515537</v>
      </c>
      <c r="T416" t="s">
        <v>772</v>
      </c>
    </row>
    <row r="417" spans="1:20" x14ac:dyDescent="0.25">
      <c r="A417">
        <v>5100423552</v>
      </c>
      <c r="B417">
        <v>6346</v>
      </c>
      <c r="C417" t="s">
        <v>768</v>
      </c>
      <c r="D417" s="143">
        <v>46035</v>
      </c>
      <c r="E417" s="55">
        <v>21482.16</v>
      </c>
      <c r="F417" t="s">
        <v>769</v>
      </c>
      <c r="G417">
        <v>1500032786</v>
      </c>
      <c r="H417" t="s">
        <v>755</v>
      </c>
      <c r="I417" t="s">
        <v>770</v>
      </c>
      <c r="K417" s="143">
        <v>46083</v>
      </c>
      <c r="L417" s="143">
        <v>46035</v>
      </c>
      <c r="M417">
        <v>92025</v>
      </c>
      <c r="N417" t="s">
        <v>771</v>
      </c>
      <c r="O417">
        <v>2001</v>
      </c>
      <c r="S417">
        <v>515537</v>
      </c>
      <c r="T417" t="s">
        <v>772</v>
      </c>
    </row>
    <row r="418" spans="1:20" x14ac:dyDescent="0.25">
      <c r="A418">
        <v>5100423704</v>
      </c>
      <c r="B418">
        <v>7542</v>
      </c>
      <c r="C418" t="s">
        <v>768</v>
      </c>
      <c r="D418" s="143">
        <v>46035</v>
      </c>
      <c r="E418" s="55">
        <v>82339.64</v>
      </c>
      <c r="F418" t="s">
        <v>769</v>
      </c>
      <c r="G418">
        <v>1500038743</v>
      </c>
      <c r="H418" t="s">
        <v>755</v>
      </c>
      <c r="I418" t="s">
        <v>770</v>
      </c>
      <c r="K418" s="143">
        <v>46069</v>
      </c>
      <c r="L418" s="143">
        <v>46035</v>
      </c>
      <c r="M418">
        <v>12025</v>
      </c>
      <c r="N418" t="s">
        <v>779</v>
      </c>
      <c r="O418">
        <v>2001</v>
      </c>
      <c r="S418">
        <v>517652</v>
      </c>
      <c r="T418" t="s">
        <v>772</v>
      </c>
    </row>
    <row r="419" spans="1:20" x14ac:dyDescent="0.25">
      <c r="A419">
        <v>5100423705</v>
      </c>
      <c r="B419">
        <v>7542</v>
      </c>
      <c r="C419" t="s">
        <v>768</v>
      </c>
      <c r="D419" s="143">
        <v>46035</v>
      </c>
      <c r="E419" s="55">
        <v>78942.179999999993</v>
      </c>
      <c r="F419" t="s">
        <v>769</v>
      </c>
      <c r="G419">
        <v>1500038743</v>
      </c>
      <c r="H419" t="s">
        <v>755</v>
      </c>
      <c r="I419" t="s">
        <v>770</v>
      </c>
      <c r="K419" s="143">
        <v>46069</v>
      </c>
      <c r="L419" s="143">
        <v>46035</v>
      </c>
      <c r="M419">
        <v>22025</v>
      </c>
      <c r="N419" t="s">
        <v>779</v>
      </c>
      <c r="O419">
        <v>2001</v>
      </c>
      <c r="S419">
        <v>517652</v>
      </c>
      <c r="T419" t="s">
        <v>772</v>
      </c>
    </row>
    <row r="420" spans="1:20" x14ac:dyDescent="0.25">
      <c r="A420">
        <v>5100423706</v>
      </c>
      <c r="B420">
        <v>7542</v>
      </c>
      <c r="C420" t="s">
        <v>768</v>
      </c>
      <c r="D420" s="143">
        <v>46035</v>
      </c>
      <c r="E420">
        <v>155.25</v>
      </c>
      <c r="F420" t="s">
        <v>769</v>
      </c>
      <c r="G420">
        <v>1500038743</v>
      </c>
      <c r="H420" t="s">
        <v>755</v>
      </c>
      <c r="I420" t="s">
        <v>770</v>
      </c>
      <c r="K420" s="143">
        <v>46069</v>
      </c>
      <c r="L420" s="143">
        <v>46035</v>
      </c>
      <c r="M420">
        <v>32025</v>
      </c>
      <c r="N420" t="s">
        <v>779</v>
      </c>
      <c r="O420">
        <v>2001</v>
      </c>
      <c r="S420">
        <v>517652</v>
      </c>
      <c r="T420" t="s">
        <v>772</v>
      </c>
    </row>
    <row r="421" spans="1:20" x14ac:dyDescent="0.25">
      <c r="A421">
        <v>5100423707</v>
      </c>
      <c r="B421">
        <v>7542</v>
      </c>
      <c r="C421" t="s">
        <v>768</v>
      </c>
      <c r="D421" s="143">
        <v>46035</v>
      </c>
      <c r="E421" s="55">
        <v>3479.88</v>
      </c>
      <c r="F421" t="s">
        <v>769</v>
      </c>
      <c r="G421">
        <v>1500038743</v>
      </c>
      <c r="H421" t="s">
        <v>755</v>
      </c>
      <c r="I421" t="s">
        <v>770</v>
      </c>
      <c r="K421" s="143">
        <v>46069</v>
      </c>
      <c r="L421" s="143">
        <v>46035</v>
      </c>
      <c r="M421">
        <v>42025</v>
      </c>
      <c r="N421" t="s">
        <v>779</v>
      </c>
      <c r="O421">
        <v>2001</v>
      </c>
      <c r="S421">
        <v>517652</v>
      </c>
      <c r="T421" t="s">
        <v>772</v>
      </c>
    </row>
    <row r="422" spans="1:20" x14ac:dyDescent="0.25">
      <c r="A422">
        <v>5100423709</v>
      </c>
      <c r="B422">
        <v>7542</v>
      </c>
      <c r="C422" t="s">
        <v>768</v>
      </c>
      <c r="D422" s="143">
        <v>46035</v>
      </c>
      <c r="E422" s="55">
        <v>51698.82</v>
      </c>
      <c r="F422" t="s">
        <v>769</v>
      </c>
      <c r="G422">
        <v>1500038743</v>
      </c>
      <c r="H422" t="s">
        <v>755</v>
      </c>
      <c r="I422" t="s">
        <v>770</v>
      </c>
      <c r="K422" s="143">
        <v>46069</v>
      </c>
      <c r="L422" s="143">
        <v>46035</v>
      </c>
      <c r="M422">
        <v>62025</v>
      </c>
      <c r="N422" t="s">
        <v>779</v>
      </c>
      <c r="O422">
        <v>2001</v>
      </c>
      <c r="S422">
        <v>517652</v>
      </c>
      <c r="T422" t="s">
        <v>772</v>
      </c>
    </row>
    <row r="423" spans="1:20" x14ac:dyDescent="0.25">
      <c r="A423">
        <v>5100423711</v>
      </c>
      <c r="B423">
        <v>7542</v>
      </c>
      <c r="C423" t="s">
        <v>768</v>
      </c>
      <c r="D423" s="143">
        <v>46035</v>
      </c>
      <c r="E423">
        <v>395.73</v>
      </c>
      <c r="F423" t="s">
        <v>769</v>
      </c>
      <c r="G423">
        <v>1500038743</v>
      </c>
      <c r="H423" t="s">
        <v>755</v>
      </c>
      <c r="I423" t="s">
        <v>770</v>
      </c>
      <c r="K423" s="143">
        <v>46069</v>
      </c>
      <c r="L423" s="143">
        <v>46035</v>
      </c>
      <c r="M423">
        <v>72025</v>
      </c>
      <c r="N423" t="s">
        <v>779</v>
      </c>
      <c r="O423">
        <v>2001</v>
      </c>
      <c r="S423">
        <v>517652</v>
      </c>
      <c r="T423" t="s">
        <v>772</v>
      </c>
    </row>
    <row r="424" spans="1:20" x14ac:dyDescent="0.25">
      <c r="A424">
        <v>5100423708</v>
      </c>
      <c r="B424">
        <v>7542</v>
      </c>
      <c r="C424" t="s">
        <v>768</v>
      </c>
      <c r="D424" s="143">
        <v>46035</v>
      </c>
      <c r="E424" s="55">
        <v>40981.42</v>
      </c>
      <c r="F424" t="s">
        <v>769</v>
      </c>
      <c r="G424">
        <v>1500038743</v>
      </c>
      <c r="H424" t="s">
        <v>755</v>
      </c>
      <c r="I424" t="s">
        <v>770</v>
      </c>
      <c r="K424" s="143">
        <v>46069</v>
      </c>
      <c r="L424" s="143">
        <v>46035</v>
      </c>
      <c r="M424">
        <v>42025</v>
      </c>
      <c r="N424" t="s">
        <v>771</v>
      </c>
      <c r="O424">
        <v>2001</v>
      </c>
      <c r="S424">
        <v>525235</v>
      </c>
      <c r="T424" t="s">
        <v>772</v>
      </c>
    </row>
    <row r="425" spans="1:20" x14ac:dyDescent="0.25">
      <c r="A425">
        <v>5100423710</v>
      </c>
      <c r="B425">
        <v>7542</v>
      </c>
      <c r="C425" t="s">
        <v>768</v>
      </c>
      <c r="D425" s="143">
        <v>46035</v>
      </c>
      <c r="E425" s="55">
        <v>62416.89</v>
      </c>
      <c r="F425" t="s">
        <v>769</v>
      </c>
      <c r="G425">
        <v>1500038743</v>
      </c>
      <c r="H425" t="s">
        <v>755</v>
      </c>
      <c r="I425" t="s">
        <v>770</v>
      </c>
      <c r="K425" s="143">
        <v>46069</v>
      </c>
      <c r="L425" s="143">
        <v>46035</v>
      </c>
      <c r="M425">
        <v>62025</v>
      </c>
      <c r="N425" t="s">
        <v>771</v>
      </c>
      <c r="O425">
        <v>2001</v>
      </c>
      <c r="S425">
        <v>525235</v>
      </c>
      <c r="T425" t="s">
        <v>772</v>
      </c>
    </row>
    <row r="426" spans="1:20" x14ac:dyDescent="0.25">
      <c r="A426">
        <v>5100423712</v>
      </c>
      <c r="B426">
        <v>7542</v>
      </c>
      <c r="C426" t="s">
        <v>768</v>
      </c>
      <c r="D426" s="143">
        <v>46035</v>
      </c>
      <c r="E426">
        <v>862.17</v>
      </c>
      <c r="F426" t="s">
        <v>769</v>
      </c>
      <c r="G426">
        <v>1500038743</v>
      </c>
      <c r="H426" t="s">
        <v>755</v>
      </c>
      <c r="I426" t="s">
        <v>770</v>
      </c>
      <c r="K426" s="143">
        <v>46069</v>
      </c>
      <c r="L426" s="143">
        <v>46035</v>
      </c>
      <c r="M426">
        <v>72025</v>
      </c>
      <c r="N426" t="s">
        <v>771</v>
      </c>
      <c r="O426">
        <v>2001</v>
      </c>
      <c r="S426">
        <v>525235</v>
      </c>
      <c r="T426" t="s">
        <v>772</v>
      </c>
    </row>
    <row r="427" spans="1:20" x14ac:dyDescent="0.25">
      <c r="A427">
        <v>5100423713</v>
      </c>
      <c r="B427">
        <v>7542</v>
      </c>
      <c r="C427" t="s">
        <v>768</v>
      </c>
      <c r="D427" s="143">
        <v>46035</v>
      </c>
      <c r="E427">
        <v>696.37</v>
      </c>
      <c r="F427" t="s">
        <v>769</v>
      </c>
      <c r="G427">
        <v>1500038743</v>
      </c>
      <c r="H427" t="s">
        <v>755</v>
      </c>
      <c r="I427" t="s">
        <v>770</v>
      </c>
      <c r="K427" s="143">
        <v>46069</v>
      </c>
      <c r="L427" s="143">
        <v>46035</v>
      </c>
      <c r="M427">
        <v>82025</v>
      </c>
      <c r="N427" t="s">
        <v>771</v>
      </c>
      <c r="O427">
        <v>2001</v>
      </c>
      <c r="S427">
        <v>525235</v>
      </c>
      <c r="T427" t="s">
        <v>772</v>
      </c>
    </row>
    <row r="428" spans="1:20" x14ac:dyDescent="0.25">
      <c r="A428">
        <v>5100424014</v>
      </c>
      <c r="B428">
        <v>9264</v>
      </c>
      <c r="C428" t="s">
        <v>768</v>
      </c>
      <c r="D428" s="143">
        <v>46035</v>
      </c>
      <c r="E428" s="55">
        <v>82892.160000000003</v>
      </c>
      <c r="F428" t="s">
        <v>769</v>
      </c>
      <c r="G428">
        <v>1500096528</v>
      </c>
      <c r="H428" t="s">
        <v>755</v>
      </c>
      <c r="I428" t="s">
        <v>770</v>
      </c>
      <c r="K428" s="143">
        <v>46083</v>
      </c>
      <c r="L428" s="143">
        <v>46035</v>
      </c>
      <c r="M428">
        <v>12025</v>
      </c>
      <c r="N428" t="s">
        <v>779</v>
      </c>
      <c r="O428">
        <v>2001</v>
      </c>
      <c r="S428">
        <v>517695</v>
      </c>
      <c r="T428" t="s">
        <v>772</v>
      </c>
    </row>
    <row r="429" spans="1:20" x14ac:dyDescent="0.25">
      <c r="A429">
        <v>5100424015</v>
      </c>
      <c r="B429">
        <v>9264</v>
      </c>
      <c r="C429" t="s">
        <v>768</v>
      </c>
      <c r="D429" s="143">
        <v>46035</v>
      </c>
      <c r="E429" s="55">
        <v>33035.129999999997</v>
      </c>
      <c r="F429" t="s">
        <v>769</v>
      </c>
      <c r="G429">
        <v>1500096528</v>
      </c>
      <c r="H429" t="s">
        <v>755</v>
      </c>
      <c r="I429" t="s">
        <v>770</v>
      </c>
      <c r="K429" s="143">
        <v>46083</v>
      </c>
      <c r="L429" s="143">
        <v>46035</v>
      </c>
      <c r="M429">
        <v>12025</v>
      </c>
      <c r="N429" t="s">
        <v>779</v>
      </c>
      <c r="O429">
        <v>2001</v>
      </c>
      <c r="S429">
        <v>517695</v>
      </c>
      <c r="T429" t="s">
        <v>772</v>
      </c>
    </row>
    <row r="430" spans="1:20" x14ac:dyDescent="0.25">
      <c r="A430">
        <v>5100424016</v>
      </c>
      <c r="B430">
        <v>9264</v>
      </c>
      <c r="C430" t="s">
        <v>768</v>
      </c>
      <c r="D430" s="143">
        <v>46035</v>
      </c>
      <c r="E430" s="55">
        <v>13952.15</v>
      </c>
      <c r="F430" t="s">
        <v>769</v>
      </c>
      <c r="G430">
        <v>1500096528</v>
      </c>
      <c r="H430" t="s">
        <v>755</v>
      </c>
      <c r="I430" t="s">
        <v>770</v>
      </c>
      <c r="K430" s="143">
        <v>46083</v>
      </c>
      <c r="L430" s="143">
        <v>46035</v>
      </c>
      <c r="M430">
        <v>22025</v>
      </c>
      <c r="N430" t="s">
        <v>779</v>
      </c>
      <c r="O430">
        <v>2001</v>
      </c>
      <c r="S430">
        <v>517695</v>
      </c>
      <c r="T430" t="s">
        <v>772</v>
      </c>
    </row>
    <row r="431" spans="1:20" x14ac:dyDescent="0.25">
      <c r="A431">
        <v>5100424017</v>
      </c>
      <c r="B431">
        <v>9264</v>
      </c>
      <c r="C431" t="s">
        <v>768</v>
      </c>
      <c r="D431" s="143">
        <v>46035</v>
      </c>
      <c r="E431" s="55">
        <v>24996.29</v>
      </c>
      <c r="F431" t="s">
        <v>769</v>
      </c>
      <c r="G431">
        <v>1500096528</v>
      </c>
      <c r="H431" t="s">
        <v>755</v>
      </c>
      <c r="I431" t="s">
        <v>770</v>
      </c>
      <c r="K431" s="143">
        <v>46083</v>
      </c>
      <c r="L431" s="143">
        <v>46035</v>
      </c>
      <c r="M431">
        <v>22025</v>
      </c>
      <c r="N431" t="s">
        <v>779</v>
      </c>
      <c r="O431">
        <v>2001</v>
      </c>
      <c r="S431">
        <v>517695</v>
      </c>
      <c r="T431" t="s">
        <v>772</v>
      </c>
    </row>
    <row r="432" spans="1:20" x14ac:dyDescent="0.25">
      <c r="A432">
        <v>5100424018</v>
      </c>
      <c r="B432">
        <v>9264</v>
      </c>
      <c r="C432" t="s">
        <v>768</v>
      </c>
      <c r="D432" s="143">
        <v>46035</v>
      </c>
      <c r="E432" s="55">
        <v>3191.28</v>
      </c>
      <c r="F432" t="s">
        <v>769</v>
      </c>
      <c r="G432">
        <v>1500096528</v>
      </c>
      <c r="H432" t="s">
        <v>755</v>
      </c>
      <c r="I432" t="s">
        <v>770</v>
      </c>
      <c r="K432" s="143">
        <v>46083</v>
      </c>
      <c r="L432" s="143">
        <v>46035</v>
      </c>
      <c r="M432">
        <v>32025</v>
      </c>
      <c r="N432" t="s">
        <v>779</v>
      </c>
      <c r="O432">
        <v>2001</v>
      </c>
      <c r="S432">
        <v>517695</v>
      </c>
      <c r="T432" t="s">
        <v>772</v>
      </c>
    </row>
    <row r="433" spans="1:20" x14ac:dyDescent="0.25">
      <c r="A433">
        <v>5100424019</v>
      </c>
      <c r="B433">
        <v>9264</v>
      </c>
      <c r="C433" t="s">
        <v>768</v>
      </c>
      <c r="D433" s="143">
        <v>46035</v>
      </c>
      <c r="E433" s="55">
        <v>33401.42</v>
      </c>
      <c r="F433" t="s">
        <v>769</v>
      </c>
      <c r="G433">
        <v>1500096528</v>
      </c>
      <c r="H433" t="s">
        <v>755</v>
      </c>
      <c r="I433" t="s">
        <v>770</v>
      </c>
      <c r="K433" s="143">
        <v>46083</v>
      </c>
      <c r="L433" s="143">
        <v>46035</v>
      </c>
      <c r="M433">
        <v>32025</v>
      </c>
      <c r="N433" t="s">
        <v>779</v>
      </c>
      <c r="O433">
        <v>2001</v>
      </c>
      <c r="S433">
        <v>517695</v>
      </c>
      <c r="T433" t="s">
        <v>772</v>
      </c>
    </row>
    <row r="434" spans="1:20" x14ac:dyDescent="0.25">
      <c r="A434">
        <v>5100424020</v>
      </c>
      <c r="B434">
        <v>9264</v>
      </c>
      <c r="C434" t="s">
        <v>768</v>
      </c>
      <c r="D434" s="143">
        <v>46035</v>
      </c>
      <c r="E434" s="55">
        <v>32741.9</v>
      </c>
      <c r="F434" t="s">
        <v>769</v>
      </c>
      <c r="G434">
        <v>1500096528</v>
      </c>
      <c r="H434" t="s">
        <v>755</v>
      </c>
      <c r="I434" t="s">
        <v>770</v>
      </c>
      <c r="K434" s="143">
        <v>46083</v>
      </c>
      <c r="L434" s="143">
        <v>46035</v>
      </c>
      <c r="M434">
        <v>42025</v>
      </c>
      <c r="N434" t="s">
        <v>779</v>
      </c>
      <c r="O434">
        <v>2001</v>
      </c>
      <c r="S434">
        <v>517695</v>
      </c>
      <c r="T434" t="s">
        <v>772</v>
      </c>
    </row>
    <row r="435" spans="1:20" x14ac:dyDescent="0.25">
      <c r="A435">
        <v>5100424021</v>
      </c>
      <c r="B435">
        <v>9264</v>
      </c>
      <c r="C435" t="s">
        <v>768</v>
      </c>
      <c r="D435" s="143">
        <v>46035</v>
      </c>
      <c r="E435" s="55">
        <v>4274.53</v>
      </c>
      <c r="F435" t="s">
        <v>769</v>
      </c>
      <c r="G435">
        <v>1500096528</v>
      </c>
      <c r="H435" t="s">
        <v>755</v>
      </c>
      <c r="I435" t="s">
        <v>770</v>
      </c>
      <c r="K435" s="143">
        <v>46083</v>
      </c>
      <c r="L435" s="143">
        <v>46035</v>
      </c>
      <c r="M435">
        <v>52025</v>
      </c>
      <c r="N435" t="s">
        <v>779</v>
      </c>
      <c r="O435">
        <v>2001</v>
      </c>
      <c r="S435">
        <v>517695</v>
      </c>
      <c r="T435" t="s">
        <v>772</v>
      </c>
    </row>
    <row r="436" spans="1:20" x14ac:dyDescent="0.25">
      <c r="A436">
        <v>5100424022</v>
      </c>
      <c r="B436">
        <v>9264</v>
      </c>
      <c r="C436" t="s">
        <v>768</v>
      </c>
      <c r="D436" s="143">
        <v>46035</v>
      </c>
      <c r="E436">
        <v>818.67</v>
      </c>
      <c r="F436" t="s">
        <v>769</v>
      </c>
      <c r="G436">
        <v>1500096528</v>
      </c>
      <c r="H436" t="s">
        <v>755</v>
      </c>
      <c r="I436" t="s">
        <v>770</v>
      </c>
      <c r="K436" s="143">
        <v>46083</v>
      </c>
      <c r="L436" s="143">
        <v>46035</v>
      </c>
      <c r="M436">
        <v>62025</v>
      </c>
      <c r="N436" t="s">
        <v>779</v>
      </c>
      <c r="O436">
        <v>2001</v>
      </c>
      <c r="S436">
        <v>517695</v>
      </c>
      <c r="T436" t="s">
        <v>772</v>
      </c>
    </row>
    <row r="437" spans="1:20" x14ac:dyDescent="0.25">
      <c r="A437">
        <v>5100424023</v>
      </c>
      <c r="B437">
        <v>9264</v>
      </c>
      <c r="C437" t="s">
        <v>768</v>
      </c>
      <c r="D437" s="143">
        <v>46035</v>
      </c>
      <c r="E437" s="55">
        <v>2726.87</v>
      </c>
      <c r="F437" t="s">
        <v>769</v>
      </c>
      <c r="G437">
        <v>1500096528</v>
      </c>
      <c r="H437" t="s">
        <v>755</v>
      </c>
      <c r="I437" t="s">
        <v>770</v>
      </c>
      <c r="K437" s="143">
        <v>46083</v>
      </c>
      <c r="L437" s="143">
        <v>46035</v>
      </c>
      <c r="M437">
        <v>92025</v>
      </c>
      <c r="N437" t="s">
        <v>779</v>
      </c>
      <c r="O437">
        <v>2001</v>
      </c>
      <c r="S437">
        <v>517695</v>
      </c>
      <c r="T437" t="s">
        <v>772</v>
      </c>
    </row>
    <row r="438" spans="1:20" x14ac:dyDescent="0.25">
      <c r="A438">
        <v>5100424073</v>
      </c>
      <c r="B438">
        <v>9506</v>
      </c>
      <c r="C438" t="s">
        <v>768</v>
      </c>
      <c r="D438" s="143">
        <v>46035</v>
      </c>
      <c r="E438">
        <v>221.75</v>
      </c>
      <c r="F438" t="s">
        <v>769</v>
      </c>
      <c r="G438">
        <v>1500038744</v>
      </c>
      <c r="H438" t="s">
        <v>755</v>
      </c>
      <c r="I438" t="s">
        <v>770</v>
      </c>
      <c r="K438" s="143">
        <v>46069</v>
      </c>
      <c r="L438" s="143">
        <v>46035</v>
      </c>
      <c r="M438">
        <v>22025</v>
      </c>
      <c r="N438" t="s">
        <v>771</v>
      </c>
      <c r="O438">
        <v>2001</v>
      </c>
      <c r="S438">
        <v>515691</v>
      </c>
      <c r="T438" t="s">
        <v>772</v>
      </c>
    </row>
    <row r="439" spans="1:20" x14ac:dyDescent="0.25">
      <c r="A439">
        <v>5100424075</v>
      </c>
      <c r="B439">
        <v>9506</v>
      </c>
      <c r="C439" t="s">
        <v>768</v>
      </c>
      <c r="D439" s="143">
        <v>46035</v>
      </c>
      <c r="E439" s="55">
        <v>2608.62</v>
      </c>
      <c r="F439" t="s">
        <v>769</v>
      </c>
      <c r="G439">
        <v>1500038744</v>
      </c>
      <c r="H439" t="s">
        <v>755</v>
      </c>
      <c r="I439" t="s">
        <v>770</v>
      </c>
      <c r="K439" s="143">
        <v>46069</v>
      </c>
      <c r="L439" s="143">
        <v>46035</v>
      </c>
      <c r="M439">
        <v>32025</v>
      </c>
      <c r="N439" t="s">
        <v>771</v>
      </c>
      <c r="O439">
        <v>2001</v>
      </c>
      <c r="S439">
        <v>515691</v>
      </c>
      <c r="T439" t="s">
        <v>772</v>
      </c>
    </row>
    <row r="440" spans="1:20" x14ac:dyDescent="0.25">
      <c r="A440">
        <v>5100424076</v>
      </c>
      <c r="B440">
        <v>9506</v>
      </c>
      <c r="C440" t="s">
        <v>768</v>
      </c>
      <c r="D440" s="143">
        <v>46035</v>
      </c>
      <c r="E440" s="55">
        <v>3772.29</v>
      </c>
      <c r="F440" t="s">
        <v>769</v>
      </c>
      <c r="G440">
        <v>1500038744</v>
      </c>
      <c r="H440" t="s">
        <v>755</v>
      </c>
      <c r="I440" t="s">
        <v>770</v>
      </c>
      <c r="K440" s="143">
        <v>46069</v>
      </c>
      <c r="L440" s="143">
        <v>46035</v>
      </c>
      <c r="M440">
        <v>42025</v>
      </c>
      <c r="N440" t="s">
        <v>771</v>
      </c>
      <c r="O440">
        <v>2001</v>
      </c>
      <c r="S440">
        <v>515691</v>
      </c>
      <c r="T440" t="s">
        <v>772</v>
      </c>
    </row>
    <row r="441" spans="1:20" x14ac:dyDescent="0.25">
      <c r="A441">
        <v>5100424077</v>
      </c>
      <c r="B441">
        <v>9506</v>
      </c>
      <c r="C441" t="s">
        <v>768</v>
      </c>
      <c r="D441" s="143">
        <v>46035</v>
      </c>
      <c r="E441" s="55">
        <v>1387.68</v>
      </c>
      <c r="F441" t="s">
        <v>769</v>
      </c>
      <c r="G441">
        <v>1500038744</v>
      </c>
      <c r="H441" t="s">
        <v>755</v>
      </c>
      <c r="I441" t="s">
        <v>770</v>
      </c>
      <c r="K441" s="143">
        <v>46069</v>
      </c>
      <c r="L441" s="143">
        <v>46035</v>
      </c>
      <c r="M441">
        <v>52025</v>
      </c>
      <c r="N441" t="s">
        <v>771</v>
      </c>
      <c r="O441">
        <v>2001</v>
      </c>
      <c r="S441">
        <v>515691</v>
      </c>
      <c r="T441" t="s">
        <v>772</v>
      </c>
    </row>
    <row r="442" spans="1:20" x14ac:dyDescent="0.25">
      <c r="A442">
        <v>5100424079</v>
      </c>
      <c r="B442">
        <v>9506</v>
      </c>
      <c r="C442" t="s">
        <v>768</v>
      </c>
      <c r="D442" s="143">
        <v>46035</v>
      </c>
      <c r="E442" s="55">
        <v>7799.65</v>
      </c>
      <c r="F442" t="s">
        <v>769</v>
      </c>
      <c r="G442">
        <v>1500038744</v>
      </c>
      <c r="H442" t="s">
        <v>755</v>
      </c>
      <c r="I442" t="s">
        <v>770</v>
      </c>
      <c r="K442" s="143">
        <v>46069</v>
      </c>
      <c r="L442" s="143">
        <v>46035</v>
      </c>
      <c r="M442">
        <v>62025</v>
      </c>
      <c r="N442" t="s">
        <v>771</v>
      </c>
      <c r="O442">
        <v>2001</v>
      </c>
      <c r="S442">
        <v>515691</v>
      </c>
      <c r="T442" t="s">
        <v>772</v>
      </c>
    </row>
    <row r="443" spans="1:20" x14ac:dyDescent="0.25">
      <c r="A443">
        <v>5100424080</v>
      </c>
      <c r="B443">
        <v>9506</v>
      </c>
      <c r="C443" t="s">
        <v>768</v>
      </c>
      <c r="D443" s="143">
        <v>46035</v>
      </c>
      <c r="E443" s="55">
        <v>10446.42</v>
      </c>
      <c r="F443" t="s">
        <v>769</v>
      </c>
      <c r="G443">
        <v>1500038744</v>
      </c>
      <c r="H443" t="s">
        <v>755</v>
      </c>
      <c r="I443" t="s">
        <v>770</v>
      </c>
      <c r="K443" s="143">
        <v>46069</v>
      </c>
      <c r="L443" s="143">
        <v>46035</v>
      </c>
      <c r="M443">
        <v>72025</v>
      </c>
      <c r="N443" t="s">
        <v>771</v>
      </c>
      <c r="O443">
        <v>2001</v>
      </c>
      <c r="S443">
        <v>515691</v>
      </c>
      <c r="T443" t="s">
        <v>772</v>
      </c>
    </row>
    <row r="444" spans="1:20" x14ac:dyDescent="0.25">
      <c r="A444">
        <v>5100424082</v>
      </c>
      <c r="B444">
        <v>9506</v>
      </c>
      <c r="C444" t="s">
        <v>768</v>
      </c>
      <c r="D444" s="143">
        <v>46035</v>
      </c>
      <c r="E444" s="55">
        <v>9761.02</v>
      </c>
      <c r="F444" t="s">
        <v>769</v>
      </c>
      <c r="G444">
        <v>1500038744</v>
      </c>
      <c r="H444" t="s">
        <v>755</v>
      </c>
      <c r="I444" t="s">
        <v>770</v>
      </c>
      <c r="K444" s="143">
        <v>46069</v>
      </c>
      <c r="L444" s="143">
        <v>46035</v>
      </c>
      <c r="M444">
        <v>82025</v>
      </c>
      <c r="N444" t="s">
        <v>771</v>
      </c>
      <c r="O444">
        <v>2001</v>
      </c>
      <c r="S444">
        <v>515691</v>
      </c>
      <c r="T444" t="s">
        <v>772</v>
      </c>
    </row>
    <row r="445" spans="1:20" x14ac:dyDescent="0.25">
      <c r="A445">
        <v>5100424084</v>
      </c>
      <c r="B445">
        <v>9506</v>
      </c>
      <c r="C445" t="s">
        <v>768</v>
      </c>
      <c r="D445" s="143">
        <v>46035</v>
      </c>
      <c r="E445" s="55">
        <v>1597.9</v>
      </c>
      <c r="F445" t="s">
        <v>769</v>
      </c>
      <c r="G445">
        <v>1500038744</v>
      </c>
      <c r="H445" t="s">
        <v>755</v>
      </c>
      <c r="I445" t="s">
        <v>770</v>
      </c>
      <c r="K445" s="143">
        <v>46069</v>
      </c>
      <c r="L445" s="143">
        <v>46035</v>
      </c>
      <c r="M445">
        <v>92025</v>
      </c>
      <c r="N445" t="s">
        <v>771</v>
      </c>
      <c r="O445">
        <v>2001</v>
      </c>
      <c r="S445">
        <v>515691</v>
      </c>
      <c r="T445" t="s">
        <v>772</v>
      </c>
    </row>
    <row r="446" spans="1:20" x14ac:dyDescent="0.25">
      <c r="A446">
        <v>5100424072</v>
      </c>
      <c r="B446">
        <v>9506</v>
      </c>
      <c r="C446" t="s">
        <v>768</v>
      </c>
      <c r="D446" s="143">
        <v>46035</v>
      </c>
      <c r="E446" s="55">
        <v>11971.15</v>
      </c>
      <c r="F446" t="s">
        <v>769</v>
      </c>
      <c r="G446">
        <v>1500038744</v>
      </c>
      <c r="H446" t="s">
        <v>755</v>
      </c>
      <c r="I446" t="s">
        <v>770</v>
      </c>
      <c r="K446" s="143">
        <v>46069</v>
      </c>
      <c r="L446" s="143">
        <v>46035</v>
      </c>
      <c r="M446">
        <v>12025</v>
      </c>
      <c r="N446" t="s">
        <v>771</v>
      </c>
      <c r="O446">
        <v>2001</v>
      </c>
      <c r="S446">
        <v>525245</v>
      </c>
      <c r="T446" t="s">
        <v>772</v>
      </c>
    </row>
    <row r="447" spans="1:20" x14ac:dyDescent="0.25">
      <c r="A447">
        <v>5100424074</v>
      </c>
      <c r="B447">
        <v>9506</v>
      </c>
      <c r="C447" t="s">
        <v>768</v>
      </c>
      <c r="D447" s="143">
        <v>46035</v>
      </c>
      <c r="E447" s="55">
        <v>45397.11</v>
      </c>
      <c r="F447" t="s">
        <v>769</v>
      </c>
      <c r="G447">
        <v>1500038744</v>
      </c>
      <c r="H447" t="s">
        <v>755</v>
      </c>
      <c r="I447" t="s">
        <v>770</v>
      </c>
      <c r="K447" s="143">
        <v>46069</v>
      </c>
      <c r="L447" s="143">
        <v>46035</v>
      </c>
      <c r="M447">
        <v>22025</v>
      </c>
      <c r="N447" t="s">
        <v>771</v>
      </c>
      <c r="O447">
        <v>2001</v>
      </c>
      <c r="S447">
        <v>525245</v>
      </c>
      <c r="T447" t="s">
        <v>772</v>
      </c>
    </row>
    <row r="448" spans="1:20" x14ac:dyDescent="0.25">
      <c r="A448">
        <v>5100424078</v>
      </c>
      <c r="B448">
        <v>9506</v>
      </c>
      <c r="C448" t="s">
        <v>768</v>
      </c>
      <c r="D448" s="143">
        <v>46035</v>
      </c>
      <c r="E448" s="55">
        <v>49513.99</v>
      </c>
      <c r="F448" t="s">
        <v>769</v>
      </c>
      <c r="G448">
        <v>1500038744</v>
      </c>
      <c r="H448" t="s">
        <v>755</v>
      </c>
      <c r="I448" t="s">
        <v>770</v>
      </c>
      <c r="K448" s="143">
        <v>46069</v>
      </c>
      <c r="L448" s="143">
        <v>46035</v>
      </c>
      <c r="M448">
        <v>52025</v>
      </c>
      <c r="N448" t="s">
        <v>771</v>
      </c>
      <c r="O448">
        <v>2001</v>
      </c>
      <c r="S448">
        <v>525245</v>
      </c>
      <c r="T448" t="s">
        <v>772</v>
      </c>
    </row>
    <row r="449" spans="1:20" x14ac:dyDescent="0.25">
      <c r="A449">
        <v>5100424081</v>
      </c>
      <c r="B449">
        <v>9506</v>
      </c>
      <c r="C449" t="s">
        <v>768</v>
      </c>
      <c r="D449" s="143">
        <v>46035</v>
      </c>
      <c r="E449" s="55">
        <v>25507.16</v>
      </c>
      <c r="F449" t="s">
        <v>769</v>
      </c>
      <c r="G449">
        <v>1500038744</v>
      </c>
      <c r="H449" t="s">
        <v>755</v>
      </c>
      <c r="I449" t="s">
        <v>770</v>
      </c>
      <c r="K449" s="143">
        <v>46069</v>
      </c>
      <c r="L449" s="143">
        <v>46035</v>
      </c>
      <c r="M449">
        <v>72025</v>
      </c>
      <c r="N449" t="s">
        <v>771</v>
      </c>
      <c r="O449">
        <v>2001</v>
      </c>
      <c r="S449">
        <v>525245</v>
      </c>
      <c r="T449" t="s">
        <v>772</v>
      </c>
    </row>
    <row r="450" spans="1:20" x14ac:dyDescent="0.25">
      <c r="A450">
        <v>5100424083</v>
      </c>
      <c r="B450">
        <v>9506</v>
      </c>
      <c r="C450" t="s">
        <v>768</v>
      </c>
      <c r="D450" s="143">
        <v>46035</v>
      </c>
      <c r="E450" s="55">
        <v>16495.080000000002</v>
      </c>
      <c r="F450" t="s">
        <v>769</v>
      </c>
      <c r="G450">
        <v>1500038744</v>
      </c>
      <c r="H450" t="s">
        <v>755</v>
      </c>
      <c r="I450" t="s">
        <v>770</v>
      </c>
      <c r="K450" s="143">
        <v>46069</v>
      </c>
      <c r="L450" s="143">
        <v>46035</v>
      </c>
      <c r="M450">
        <v>82025</v>
      </c>
      <c r="N450" t="s">
        <v>771</v>
      </c>
      <c r="O450">
        <v>2001</v>
      </c>
      <c r="S450">
        <v>525245</v>
      </c>
      <c r="T450" t="s">
        <v>772</v>
      </c>
    </row>
    <row r="451" spans="1:20" x14ac:dyDescent="0.25">
      <c r="A451">
        <v>5100424149</v>
      </c>
      <c r="B451">
        <v>9943</v>
      </c>
      <c r="C451" t="s">
        <v>768</v>
      </c>
      <c r="D451" s="143">
        <v>46035</v>
      </c>
      <c r="E451">
        <v>455.42</v>
      </c>
      <c r="F451" t="s">
        <v>769</v>
      </c>
      <c r="G451">
        <v>1500087615</v>
      </c>
      <c r="H451" t="s">
        <v>755</v>
      </c>
      <c r="I451" t="s">
        <v>770</v>
      </c>
      <c r="K451" s="143">
        <v>46076</v>
      </c>
      <c r="L451" s="143">
        <v>46035</v>
      </c>
      <c r="M451">
        <v>12025</v>
      </c>
      <c r="N451" t="s">
        <v>771</v>
      </c>
      <c r="O451">
        <v>2001</v>
      </c>
      <c r="S451">
        <v>515493</v>
      </c>
      <c r="T451" t="s">
        <v>772</v>
      </c>
    </row>
    <row r="452" spans="1:20" x14ac:dyDescent="0.25">
      <c r="A452">
        <v>5100424150</v>
      </c>
      <c r="B452">
        <v>9943</v>
      </c>
      <c r="C452" t="s">
        <v>768</v>
      </c>
      <c r="D452" s="143">
        <v>46035</v>
      </c>
      <c r="E452" s="55">
        <v>3626.21</v>
      </c>
      <c r="F452" t="s">
        <v>769</v>
      </c>
      <c r="G452">
        <v>1500087615</v>
      </c>
      <c r="H452" t="s">
        <v>755</v>
      </c>
      <c r="I452" t="s">
        <v>770</v>
      </c>
      <c r="K452" s="143">
        <v>46076</v>
      </c>
      <c r="L452" s="143">
        <v>46035</v>
      </c>
      <c r="M452">
        <v>12025</v>
      </c>
      <c r="N452" t="s">
        <v>771</v>
      </c>
      <c r="O452">
        <v>2001</v>
      </c>
      <c r="S452">
        <v>515493</v>
      </c>
      <c r="T452" t="s">
        <v>772</v>
      </c>
    </row>
    <row r="453" spans="1:20" x14ac:dyDescent="0.25">
      <c r="A453">
        <v>5100424151</v>
      </c>
      <c r="B453">
        <v>9943</v>
      </c>
      <c r="C453" t="s">
        <v>768</v>
      </c>
      <c r="D453" s="143">
        <v>46035</v>
      </c>
      <c r="E453" s="55">
        <v>1370.22</v>
      </c>
      <c r="F453" t="s">
        <v>769</v>
      </c>
      <c r="G453">
        <v>1500087615</v>
      </c>
      <c r="H453" t="s">
        <v>755</v>
      </c>
      <c r="I453" t="s">
        <v>770</v>
      </c>
      <c r="K453" s="143">
        <v>46076</v>
      </c>
      <c r="L453" s="143">
        <v>46035</v>
      </c>
      <c r="M453">
        <v>22025</v>
      </c>
      <c r="N453" t="s">
        <v>771</v>
      </c>
      <c r="O453">
        <v>2001</v>
      </c>
      <c r="S453">
        <v>515493</v>
      </c>
      <c r="T453" t="s">
        <v>772</v>
      </c>
    </row>
    <row r="454" spans="1:20" x14ac:dyDescent="0.25">
      <c r="A454">
        <v>5100424152</v>
      </c>
      <c r="B454">
        <v>9943</v>
      </c>
      <c r="C454" t="s">
        <v>768</v>
      </c>
      <c r="D454" s="143">
        <v>46035</v>
      </c>
      <c r="E454" s="55">
        <v>35843.68</v>
      </c>
      <c r="F454" t="s">
        <v>769</v>
      </c>
      <c r="G454">
        <v>1500087615</v>
      </c>
      <c r="H454" t="s">
        <v>755</v>
      </c>
      <c r="I454" t="s">
        <v>770</v>
      </c>
      <c r="K454" s="143">
        <v>46076</v>
      </c>
      <c r="L454" s="143">
        <v>46035</v>
      </c>
      <c r="M454">
        <v>22025</v>
      </c>
      <c r="N454" t="s">
        <v>771</v>
      </c>
      <c r="O454">
        <v>2001</v>
      </c>
      <c r="S454">
        <v>515493</v>
      </c>
      <c r="T454" t="s">
        <v>772</v>
      </c>
    </row>
    <row r="455" spans="1:20" x14ac:dyDescent="0.25">
      <c r="A455">
        <v>5100424153</v>
      </c>
      <c r="B455">
        <v>9943</v>
      </c>
      <c r="C455" t="s">
        <v>768</v>
      </c>
      <c r="D455" s="143">
        <v>46035</v>
      </c>
      <c r="E455" s="55">
        <v>10543.92</v>
      </c>
      <c r="F455" t="s">
        <v>769</v>
      </c>
      <c r="G455">
        <v>1500087615</v>
      </c>
      <c r="H455" t="s">
        <v>755</v>
      </c>
      <c r="I455" t="s">
        <v>770</v>
      </c>
      <c r="K455" s="143">
        <v>46076</v>
      </c>
      <c r="L455" s="143">
        <v>46035</v>
      </c>
      <c r="M455">
        <v>32025</v>
      </c>
      <c r="N455" t="s">
        <v>771</v>
      </c>
      <c r="O455">
        <v>2001</v>
      </c>
      <c r="S455">
        <v>515493</v>
      </c>
      <c r="T455" t="s">
        <v>772</v>
      </c>
    </row>
    <row r="456" spans="1:20" x14ac:dyDescent="0.25">
      <c r="A456">
        <v>5100424154</v>
      </c>
      <c r="B456">
        <v>9943</v>
      </c>
      <c r="C456" t="s">
        <v>768</v>
      </c>
      <c r="D456" s="143">
        <v>46035</v>
      </c>
      <c r="E456" s="55">
        <v>18131.04</v>
      </c>
      <c r="F456" t="s">
        <v>769</v>
      </c>
      <c r="G456">
        <v>1500087615</v>
      </c>
      <c r="H456" t="s">
        <v>755</v>
      </c>
      <c r="I456" t="s">
        <v>770</v>
      </c>
      <c r="K456" s="143">
        <v>46076</v>
      </c>
      <c r="L456" s="143">
        <v>46035</v>
      </c>
      <c r="M456">
        <v>32025</v>
      </c>
      <c r="N456" t="s">
        <v>771</v>
      </c>
      <c r="O456">
        <v>2001</v>
      </c>
      <c r="S456">
        <v>515493</v>
      </c>
      <c r="T456" t="s">
        <v>772</v>
      </c>
    </row>
    <row r="457" spans="1:20" x14ac:dyDescent="0.25">
      <c r="A457">
        <v>5100424155</v>
      </c>
      <c r="B457">
        <v>9943</v>
      </c>
      <c r="C457" t="s">
        <v>768</v>
      </c>
      <c r="D457" s="143">
        <v>46035</v>
      </c>
      <c r="E457" s="55">
        <v>2432.4899999999998</v>
      </c>
      <c r="F457" t="s">
        <v>769</v>
      </c>
      <c r="G457">
        <v>1500087615</v>
      </c>
      <c r="H457" t="s">
        <v>755</v>
      </c>
      <c r="I457" t="s">
        <v>770</v>
      </c>
      <c r="K457" s="143">
        <v>46076</v>
      </c>
      <c r="L457" s="143">
        <v>46035</v>
      </c>
      <c r="M457">
        <v>32025</v>
      </c>
      <c r="N457" t="s">
        <v>771</v>
      </c>
      <c r="O457">
        <v>2001</v>
      </c>
      <c r="S457">
        <v>515493</v>
      </c>
      <c r="T457" t="s">
        <v>772</v>
      </c>
    </row>
    <row r="458" spans="1:20" x14ac:dyDescent="0.25">
      <c r="A458">
        <v>5100424156</v>
      </c>
      <c r="B458">
        <v>9943</v>
      </c>
      <c r="C458" t="s">
        <v>768</v>
      </c>
      <c r="D458" s="143">
        <v>46035</v>
      </c>
      <c r="E458" s="55">
        <v>23908.61</v>
      </c>
      <c r="F458" t="s">
        <v>769</v>
      </c>
      <c r="G458">
        <v>1500087615</v>
      </c>
      <c r="H458" t="s">
        <v>755</v>
      </c>
      <c r="I458" t="s">
        <v>770</v>
      </c>
      <c r="K458" s="143">
        <v>46076</v>
      </c>
      <c r="L458" s="143">
        <v>46035</v>
      </c>
      <c r="M458">
        <v>42025</v>
      </c>
      <c r="N458" t="s">
        <v>771</v>
      </c>
      <c r="O458">
        <v>2001</v>
      </c>
      <c r="S458">
        <v>515493</v>
      </c>
      <c r="T458" t="s">
        <v>772</v>
      </c>
    </row>
    <row r="459" spans="1:20" x14ac:dyDescent="0.25">
      <c r="A459">
        <v>5100424157</v>
      </c>
      <c r="B459">
        <v>9943</v>
      </c>
      <c r="C459" t="s">
        <v>768</v>
      </c>
      <c r="D459" s="143">
        <v>46035</v>
      </c>
      <c r="E459" s="55">
        <v>8554.82</v>
      </c>
      <c r="F459" t="s">
        <v>769</v>
      </c>
      <c r="G459">
        <v>1500087615</v>
      </c>
      <c r="H459" t="s">
        <v>755</v>
      </c>
      <c r="I459" t="s">
        <v>770</v>
      </c>
      <c r="K459" s="143">
        <v>46076</v>
      </c>
      <c r="L459" s="143">
        <v>46035</v>
      </c>
      <c r="M459">
        <v>52025</v>
      </c>
      <c r="N459" t="s">
        <v>771</v>
      </c>
      <c r="O459">
        <v>2001</v>
      </c>
      <c r="S459">
        <v>515493</v>
      </c>
      <c r="T459" t="s">
        <v>772</v>
      </c>
    </row>
    <row r="460" spans="1:20" x14ac:dyDescent="0.25">
      <c r="A460">
        <v>5100424158</v>
      </c>
      <c r="B460">
        <v>9943</v>
      </c>
      <c r="C460" t="s">
        <v>768</v>
      </c>
      <c r="D460" s="143">
        <v>46035</v>
      </c>
      <c r="E460" s="55">
        <v>11920.98</v>
      </c>
      <c r="F460" t="s">
        <v>769</v>
      </c>
      <c r="G460">
        <v>1500087615</v>
      </c>
      <c r="H460" t="s">
        <v>755</v>
      </c>
      <c r="I460" t="s">
        <v>770</v>
      </c>
      <c r="K460" s="143">
        <v>46076</v>
      </c>
      <c r="L460" s="143">
        <v>46035</v>
      </c>
      <c r="M460">
        <v>52025</v>
      </c>
      <c r="N460" t="s">
        <v>771</v>
      </c>
      <c r="O460">
        <v>2001</v>
      </c>
      <c r="S460">
        <v>515493</v>
      </c>
      <c r="T460" t="s">
        <v>772</v>
      </c>
    </row>
    <row r="461" spans="1:20" x14ac:dyDescent="0.25">
      <c r="A461">
        <v>5100424159</v>
      </c>
      <c r="B461">
        <v>9943</v>
      </c>
      <c r="C461" t="s">
        <v>768</v>
      </c>
      <c r="D461" s="143">
        <v>46035</v>
      </c>
      <c r="E461" s="55">
        <v>27139.26</v>
      </c>
      <c r="F461" t="s">
        <v>769</v>
      </c>
      <c r="G461">
        <v>1500087615</v>
      </c>
      <c r="H461" t="s">
        <v>755</v>
      </c>
      <c r="I461" t="s">
        <v>770</v>
      </c>
      <c r="K461" s="143">
        <v>46076</v>
      </c>
      <c r="L461" s="143">
        <v>46035</v>
      </c>
      <c r="M461">
        <v>62025</v>
      </c>
      <c r="N461" t="s">
        <v>771</v>
      </c>
      <c r="O461">
        <v>2001</v>
      </c>
      <c r="S461">
        <v>515493</v>
      </c>
      <c r="T461" t="s">
        <v>772</v>
      </c>
    </row>
    <row r="462" spans="1:20" x14ac:dyDescent="0.25">
      <c r="A462">
        <v>5100424160</v>
      </c>
      <c r="B462">
        <v>9943</v>
      </c>
      <c r="C462" t="s">
        <v>768</v>
      </c>
      <c r="D462" s="143">
        <v>46035</v>
      </c>
      <c r="E462" s="55">
        <v>39567.53</v>
      </c>
      <c r="F462" t="s">
        <v>769</v>
      </c>
      <c r="G462">
        <v>1500087615</v>
      </c>
      <c r="H462" t="s">
        <v>755</v>
      </c>
      <c r="I462" t="s">
        <v>770</v>
      </c>
      <c r="K462" s="143">
        <v>46076</v>
      </c>
      <c r="L462" s="143">
        <v>46035</v>
      </c>
      <c r="M462">
        <v>72025</v>
      </c>
      <c r="N462" t="s">
        <v>771</v>
      </c>
      <c r="O462">
        <v>2001</v>
      </c>
      <c r="S462">
        <v>515493</v>
      </c>
      <c r="T462" t="s">
        <v>772</v>
      </c>
    </row>
    <row r="463" spans="1:20" x14ac:dyDescent="0.25">
      <c r="A463">
        <v>5100424161</v>
      </c>
      <c r="B463">
        <v>9943</v>
      </c>
      <c r="C463" t="s">
        <v>768</v>
      </c>
      <c r="D463" s="143">
        <v>46035</v>
      </c>
      <c r="E463" s="55">
        <v>24729.71</v>
      </c>
      <c r="F463" t="s">
        <v>769</v>
      </c>
      <c r="G463">
        <v>1500087615</v>
      </c>
      <c r="H463" t="s">
        <v>755</v>
      </c>
      <c r="I463" t="s">
        <v>770</v>
      </c>
      <c r="K463" s="143">
        <v>46076</v>
      </c>
      <c r="L463" s="143">
        <v>46035</v>
      </c>
      <c r="M463">
        <v>82025</v>
      </c>
      <c r="N463" t="s">
        <v>771</v>
      </c>
      <c r="O463">
        <v>2001</v>
      </c>
      <c r="S463">
        <v>515493</v>
      </c>
      <c r="T463" t="s">
        <v>772</v>
      </c>
    </row>
    <row r="464" spans="1:20" x14ac:dyDescent="0.25">
      <c r="A464">
        <v>5100424162</v>
      </c>
      <c r="B464">
        <v>9943</v>
      </c>
      <c r="C464" t="s">
        <v>768</v>
      </c>
      <c r="D464" s="143">
        <v>46035</v>
      </c>
      <c r="E464" s="55">
        <v>32338.85</v>
      </c>
      <c r="F464" t="s">
        <v>769</v>
      </c>
      <c r="G464">
        <v>1500087615</v>
      </c>
      <c r="H464" t="s">
        <v>755</v>
      </c>
      <c r="I464" t="s">
        <v>770</v>
      </c>
      <c r="K464" s="143">
        <v>46076</v>
      </c>
      <c r="L464" s="143">
        <v>46035</v>
      </c>
      <c r="M464">
        <v>92025</v>
      </c>
      <c r="N464" t="s">
        <v>771</v>
      </c>
      <c r="O464">
        <v>2001</v>
      </c>
      <c r="S464">
        <v>515493</v>
      </c>
      <c r="T464" t="s">
        <v>772</v>
      </c>
    </row>
    <row r="465" spans="1:20" x14ac:dyDescent="0.25">
      <c r="A465">
        <v>5100227636</v>
      </c>
      <c r="B465">
        <v>11077</v>
      </c>
      <c r="C465" t="s">
        <v>768</v>
      </c>
      <c r="D465" s="143">
        <v>46035</v>
      </c>
      <c r="E465" s="55">
        <v>15292.7</v>
      </c>
      <c r="F465" t="s">
        <v>769</v>
      </c>
      <c r="G465">
        <v>1500087618</v>
      </c>
      <c r="H465" t="s">
        <v>755</v>
      </c>
      <c r="I465" t="s">
        <v>770</v>
      </c>
      <c r="K465" s="143">
        <v>46076</v>
      </c>
      <c r="L465" s="143">
        <v>46035</v>
      </c>
      <c r="M465">
        <v>12025</v>
      </c>
      <c r="N465" t="s">
        <v>771</v>
      </c>
      <c r="O465">
        <v>2001</v>
      </c>
      <c r="S465">
        <v>525254</v>
      </c>
      <c r="T465" t="s">
        <v>772</v>
      </c>
    </row>
    <row r="466" spans="1:20" x14ac:dyDescent="0.25">
      <c r="A466">
        <v>5100227637</v>
      </c>
      <c r="B466">
        <v>11077</v>
      </c>
      <c r="C466" t="s">
        <v>768</v>
      </c>
      <c r="D466" s="143">
        <v>46035</v>
      </c>
      <c r="E466" s="55">
        <v>197784.85</v>
      </c>
      <c r="F466" t="s">
        <v>769</v>
      </c>
      <c r="G466">
        <v>1500087618</v>
      </c>
      <c r="H466" t="s">
        <v>755</v>
      </c>
      <c r="I466" t="s">
        <v>770</v>
      </c>
      <c r="K466" s="143">
        <v>46076</v>
      </c>
      <c r="L466" s="143">
        <v>46035</v>
      </c>
      <c r="M466">
        <v>32025</v>
      </c>
      <c r="N466" t="s">
        <v>771</v>
      </c>
      <c r="O466">
        <v>2001</v>
      </c>
      <c r="S466">
        <v>525254</v>
      </c>
      <c r="T466" t="s">
        <v>772</v>
      </c>
    </row>
    <row r="467" spans="1:20" x14ac:dyDescent="0.25">
      <c r="A467">
        <v>5100227638</v>
      </c>
      <c r="B467">
        <v>11077</v>
      </c>
      <c r="C467" t="s">
        <v>768</v>
      </c>
      <c r="D467" s="143">
        <v>46035</v>
      </c>
      <c r="E467" s="55">
        <v>3349.91</v>
      </c>
      <c r="F467" t="s">
        <v>769</v>
      </c>
      <c r="G467">
        <v>1500087618</v>
      </c>
      <c r="H467" t="s">
        <v>755</v>
      </c>
      <c r="I467" t="s">
        <v>770</v>
      </c>
      <c r="K467" s="143">
        <v>46076</v>
      </c>
      <c r="L467" s="143">
        <v>46035</v>
      </c>
      <c r="M467">
        <v>52025</v>
      </c>
      <c r="N467" t="s">
        <v>771</v>
      </c>
      <c r="O467">
        <v>2001</v>
      </c>
      <c r="S467">
        <v>525254</v>
      </c>
      <c r="T467" t="s">
        <v>772</v>
      </c>
    </row>
    <row r="468" spans="1:20" x14ac:dyDescent="0.25">
      <c r="A468">
        <v>5100227639</v>
      </c>
      <c r="B468">
        <v>11077</v>
      </c>
      <c r="C468" t="s">
        <v>768</v>
      </c>
      <c r="D468" s="143">
        <v>46035</v>
      </c>
      <c r="E468" s="55">
        <v>2852.94</v>
      </c>
      <c r="F468" t="s">
        <v>769</v>
      </c>
      <c r="G468">
        <v>1500087618</v>
      </c>
      <c r="H468" t="s">
        <v>755</v>
      </c>
      <c r="I468" t="s">
        <v>770</v>
      </c>
      <c r="K468" s="143">
        <v>46076</v>
      </c>
      <c r="L468" s="143">
        <v>46035</v>
      </c>
      <c r="M468">
        <v>62025</v>
      </c>
      <c r="N468" t="s">
        <v>771</v>
      </c>
      <c r="O468">
        <v>2001</v>
      </c>
      <c r="S468">
        <v>525254</v>
      </c>
      <c r="T468" t="s">
        <v>772</v>
      </c>
    </row>
    <row r="469" spans="1:20" x14ac:dyDescent="0.25">
      <c r="A469">
        <v>5100227640</v>
      </c>
      <c r="B469">
        <v>11077</v>
      </c>
      <c r="C469" t="s">
        <v>768</v>
      </c>
      <c r="D469" s="143">
        <v>46035</v>
      </c>
      <c r="E469">
        <v>962.57</v>
      </c>
      <c r="F469" t="s">
        <v>769</v>
      </c>
      <c r="G469">
        <v>1500087618</v>
      </c>
      <c r="H469" t="s">
        <v>755</v>
      </c>
      <c r="I469" t="s">
        <v>770</v>
      </c>
      <c r="K469" s="143">
        <v>46076</v>
      </c>
      <c r="L469" s="143">
        <v>46035</v>
      </c>
      <c r="M469">
        <v>72025</v>
      </c>
      <c r="N469" t="s">
        <v>771</v>
      </c>
      <c r="O469">
        <v>2001</v>
      </c>
      <c r="S469">
        <v>525254</v>
      </c>
      <c r="T469" t="s">
        <v>772</v>
      </c>
    </row>
    <row r="470" spans="1:20" x14ac:dyDescent="0.25">
      <c r="A470">
        <v>5100227654</v>
      </c>
      <c r="B470">
        <v>11544</v>
      </c>
      <c r="C470" t="s">
        <v>768</v>
      </c>
      <c r="D470" s="143">
        <v>46035</v>
      </c>
      <c r="E470" s="55">
        <v>9533.94</v>
      </c>
      <c r="F470" t="s">
        <v>769</v>
      </c>
      <c r="G470">
        <v>1500038747</v>
      </c>
      <c r="H470" t="s">
        <v>755</v>
      </c>
      <c r="I470" t="s">
        <v>770</v>
      </c>
      <c r="K470" s="143">
        <v>46069</v>
      </c>
      <c r="L470" s="143">
        <v>46035</v>
      </c>
      <c r="M470">
        <v>12025</v>
      </c>
      <c r="N470" t="s">
        <v>771</v>
      </c>
      <c r="O470">
        <v>2001</v>
      </c>
      <c r="S470">
        <v>514493</v>
      </c>
      <c r="T470" t="s">
        <v>772</v>
      </c>
    </row>
    <row r="471" spans="1:20" x14ac:dyDescent="0.25">
      <c r="A471">
        <v>5100227656</v>
      </c>
      <c r="B471">
        <v>11544</v>
      </c>
      <c r="C471" t="s">
        <v>768</v>
      </c>
      <c r="D471" s="143">
        <v>46035</v>
      </c>
      <c r="E471" s="55">
        <v>22439.39</v>
      </c>
      <c r="F471" t="s">
        <v>769</v>
      </c>
      <c r="G471">
        <v>1500038747</v>
      </c>
      <c r="H471" t="s">
        <v>755</v>
      </c>
      <c r="I471" t="s">
        <v>770</v>
      </c>
      <c r="K471" s="143">
        <v>46069</v>
      </c>
      <c r="L471" s="143">
        <v>46035</v>
      </c>
      <c r="M471">
        <v>22025</v>
      </c>
      <c r="N471" t="s">
        <v>771</v>
      </c>
      <c r="O471">
        <v>2001</v>
      </c>
      <c r="S471">
        <v>514493</v>
      </c>
      <c r="T471" t="s">
        <v>772</v>
      </c>
    </row>
    <row r="472" spans="1:20" x14ac:dyDescent="0.25">
      <c r="A472">
        <v>5100227657</v>
      </c>
      <c r="B472">
        <v>11544</v>
      </c>
      <c r="C472" t="s">
        <v>768</v>
      </c>
      <c r="D472" s="143">
        <v>46035</v>
      </c>
      <c r="E472" s="55">
        <v>18537.89</v>
      </c>
      <c r="F472" t="s">
        <v>769</v>
      </c>
      <c r="G472">
        <v>1500038747</v>
      </c>
      <c r="H472" t="s">
        <v>755</v>
      </c>
      <c r="I472" t="s">
        <v>770</v>
      </c>
      <c r="K472" s="143">
        <v>46069</v>
      </c>
      <c r="L472" s="143">
        <v>46035</v>
      </c>
      <c r="M472">
        <v>22025</v>
      </c>
      <c r="N472" t="s">
        <v>771</v>
      </c>
      <c r="O472">
        <v>2001</v>
      </c>
      <c r="S472">
        <v>514493</v>
      </c>
      <c r="T472" t="s">
        <v>772</v>
      </c>
    </row>
    <row r="473" spans="1:20" x14ac:dyDescent="0.25">
      <c r="A473">
        <v>5100227658</v>
      </c>
      <c r="B473">
        <v>11544</v>
      </c>
      <c r="C473" t="s">
        <v>768</v>
      </c>
      <c r="D473" s="143">
        <v>46035</v>
      </c>
      <c r="E473" s="55">
        <v>18868.23</v>
      </c>
      <c r="F473" t="s">
        <v>769</v>
      </c>
      <c r="G473">
        <v>1500038747</v>
      </c>
      <c r="H473" t="s">
        <v>755</v>
      </c>
      <c r="I473" t="s">
        <v>770</v>
      </c>
      <c r="K473" s="143">
        <v>46069</v>
      </c>
      <c r="L473" s="143">
        <v>46035</v>
      </c>
      <c r="M473">
        <v>32025</v>
      </c>
      <c r="N473" t="s">
        <v>771</v>
      </c>
      <c r="O473">
        <v>2001</v>
      </c>
      <c r="S473">
        <v>514493</v>
      </c>
      <c r="T473" t="s">
        <v>772</v>
      </c>
    </row>
    <row r="474" spans="1:20" x14ac:dyDescent="0.25">
      <c r="A474">
        <v>5100227659</v>
      </c>
      <c r="B474">
        <v>11544</v>
      </c>
      <c r="C474" t="s">
        <v>768</v>
      </c>
      <c r="D474" s="143">
        <v>46035</v>
      </c>
      <c r="E474" s="55">
        <v>8302.49</v>
      </c>
      <c r="F474" t="s">
        <v>769</v>
      </c>
      <c r="G474">
        <v>1500038747</v>
      </c>
      <c r="H474" t="s">
        <v>755</v>
      </c>
      <c r="I474" t="s">
        <v>770</v>
      </c>
      <c r="K474" s="143">
        <v>46069</v>
      </c>
      <c r="L474" s="143">
        <v>46035</v>
      </c>
      <c r="M474">
        <v>32025</v>
      </c>
      <c r="N474" t="s">
        <v>771</v>
      </c>
      <c r="O474">
        <v>2001</v>
      </c>
      <c r="S474">
        <v>514493</v>
      </c>
      <c r="T474" t="s">
        <v>772</v>
      </c>
    </row>
    <row r="475" spans="1:20" x14ac:dyDescent="0.25">
      <c r="A475">
        <v>5100227660</v>
      </c>
      <c r="B475">
        <v>11544</v>
      </c>
      <c r="C475" t="s">
        <v>768</v>
      </c>
      <c r="D475" s="143">
        <v>46035</v>
      </c>
      <c r="E475" s="55">
        <v>19698.37</v>
      </c>
      <c r="F475" t="s">
        <v>769</v>
      </c>
      <c r="G475">
        <v>1500038747</v>
      </c>
      <c r="H475" t="s">
        <v>755</v>
      </c>
      <c r="I475" t="s">
        <v>770</v>
      </c>
      <c r="K475" s="143">
        <v>46069</v>
      </c>
      <c r="L475" s="143">
        <v>46035</v>
      </c>
      <c r="M475">
        <v>42025</v>
      </c>
      <c r="N475" t="s">
        <v>771</v>
      </c>
      <c r="O475">
        <v>2001</v>
      </c>
      <c r="S475">
        <v>514493</v>
      </c>
      <c r="T475" t="s">
        <v>772</v>
      </c>
    </row>
    <row r="476" spans="1:20" x14ac:dyDescent="0.25">
      <c r="A476">
        <v>5100227661</v>
      </c>
      <c r="B476">
        <v>11544</v>
      </c>
      <c r="C476" t="s">
        <v>768</v>
      </c>
      <c r="D476" s="143">
        <v>46035</v>
      </c>
      <c r="E476" s="55">
        <v>2628.76</v>
      </c>
      <c r="F476" t="s">
        <v>769</v>
      </c>
      <c r="G476">
        <v>1500038747</v>
      </c>
      <c r="H476" t="s">
        <v>755</v>
      </c>
      <c r="I476" t="s">
        <v>770</v>
      </c>
      <c r="K476" s="143">
        <v>46069</v>
      </c>
      <c r="L476" s="143">
        <v>46035</v>
      </c>
      <c r="M476">
        <v>42025</v>
      </c>
      <c r="N476" t="s">
        <v>771</v>
      </c>
      <c r="O476">
        <v>2001</v>
      </c>
      <c r="S476">
        <v>514493</v>
      </c>
      <c r="T476" t="s">
        <v>772</v>
      </c>
    </row>
    <row r="477" spans="1:20" x14ac:dyDescent="0.25">
      <c r="A477">
        <v>5100227664</v>
      </c>
      <c r="B477">
        <v>11544</v>
      </c>
      <c r="C477" t="s">
        <v>768</v>
      </c>
      <c r="D477" s="143">
        <v>46035</v>
      </c>
      <c r="E477" s="55">
        <v>57480.51</v>
      </c>
      <c r="F477" t="s">
        <v>769</v>
      </c>
      <c r="G477">
        <v>1500038747</v>
      </c>
      <c r="H477" t="s">
        <v>755</v>
      </c>
      <c r="I477" t="s">
        <v>770</v>
      </c>
      <c r="K477" s="143">
        <v>46069</v>
      </c>
      <c r="L477" s="143">
        <v>46035</v>
      </c>
      <c r="M477">
        <v>52025</v>
      </c>
      <c r="N477" t="s">
        <v>771</v>
      </c>
      <c r="O477">
        <v>2001</v>
      </c>
      <c r="S477">
        <v>514493</v>
      </c>
      <c r="T477" t="s">
        <v>772</v>
      </c>
    </row>
    <row r="478" spans="1:20" x14ac:dyDescent="0.25">
      <c r="A478">
        <v>5100227665</v>
      </c>
      <c r="B478">
        <v>11544</v>
      </c>
      <c r="C478" t="s">
        <v>768</v>
      </c>
      <c r="D478" s="143">
        <v>46035</v>
      </c>
      <c r="E478" s="55">
        <v>6976.29</v>
      </c>
      <c r="F478" t="s">
        <v>769</v>
      </c>
      <c r="G478">
        <v>1500038747</v>
      </c>
      <c r="H478" t="s">
        <v>755</v>
      </c>
      <c r="I478" t="s">
        <v>770</v>
      </c>
      <c r="K478" s="143">
        <v>46069</v>
      </c>
      <c r="L478" s="143">
        <v>46035</v>
      </c>
      <c r="M478">
        <v>52025</v>
      </c>
      <c r="N478" t="s">
        <v>771</v>
      </c>
      <c r="O478">
        <v>2001</v>
      </c>
      <c r="S478">
        <v>514493</v>
      </c>
      <c r="T478" t="s">
        <v>772</v>
      </c>
    </row>
    <row r="479" spans="1:20" x14ac:dyDescent="0.25">
      <c r="A479">
        <v>5100227666</v>
      </c>
      <c r="B479">
        <v>11544</v>
      </c>
      <c r="C479" t="s">
        <v>768</v>
      </c>
      <c r="D479" s="143">
        <v>46035</v>
      </c>
      <c r="E479" s="55">
        <v>37024.54</v>
      </c>
      <c r="F479" t="s">
        <v>769</v>
      </c>
      <c r="G479">
        <v>1500038747</v>
      </c>
      <c r="H479" t="s">
        <v>755</v>
      </c>
      <c r="I479" t="s">
        <v>770</v>
      </c>
      <c r="K479" s="143">
        <v>46069</v>
      </c>
      <c r="L479" s="143">
        <v>46035</v>
      </c>
      <c r="M479">
        <v>62025</v>
      </c>
      <c r="N479" t="s">
        <v>771</v>
      </c>
      <c r="O479">
        <v>2001</v>
      </c>
      <c r="S479">
        <v>514493</v>
      </c>
      <c r="T479" t="s">
        <v>772</v>
      </c>
    </row>
    <row r="480" spans="1:20" x14ac:dyDescent="0.25">
      <c r="A480">
        <v>5100227667</v>
      </c>
      <c r="B480">
        <v>11544</v>
      </c>
      <c r="C480" t="s">
        <v>768</v>
      </c>
      <c r="D480" s="143">
        <v>46035</v>
      </c>
      <c r="E480" s="55">
        <v>15728.89</v>
      </c>
      <c r="F480" t="s">
        <v>769</v>
      </c>
      <c r="G480">
        <v>1500038747</v>
      </c>
      <c r="H480" t="s">
        <v>755</v>
      </c>
      <c r="I480" t="s">
        <v>770</v>
      </c>
      <c r="K480" s="143">
        <v>46069</v>
      </c>
      <c r="L480" s="143">
        <v>46035</v>
      </c>
      <c r="M480">
        <v>62025</v>
      </c>
      <c r="N480" t="s">
        <v>771</v>
      </c>
      <c r="O480">
        <v>2001</v>
      </c>
      <c r="S480">
        <v>514493</v>
      </c>
      <c r="T480" t="s">
        <v>772</v>
      </c>
    </row>
    <row r="481" spans="1:20" x14ac:dyDescent="0.25">
      <c r="A481">
        <v>5100227668</v>
      </c>
      <c r="B481">
        <v>11544</v>
      </c>
      <c r="C481" t="s">
        <v>768</v>
      </c>
      <c r="D481" s="143">
        <v>46035</v>
      </c>
      <c r="E481" s="55">
        <v>58381.17</v>
      </c>
      <c r="F481" t="s">
        <v>769</v>
      </c>
      <c r="G481">
        <v>1500038747</v>
      </c>
      <c r="H481" t="s">
        <v>755</v>
      </c>
      <c r="I481" t="s">
        <v>770</v>
      </c>
      <c r="K481" s="143">
        <v>46069</v>
      </c>
      <c r="L481" s="143">
        <v>46035</v>
      </c>
      <c r="M481">
        <v>72025</v>
      </c>
      <c r="N481" t="s">
        <v>771</v>
      </c>
      <c r="O481">
        <v>2001</v>
      </c>
      <c r="S481">
        <v>514493</v>
      </c>
      <c r="T481" t="s">
        <v>772</v>
      </c>
    </row>
    <row r="482" spans="1:20" x14ac:dyDescent="0.25">
      <c r="A482">
        <v>5100227669</v>
      </c>
      <c r="B482">
        <v>11544</v>
      </c>
      <c r="C482" t="s">
        <v>768</v>
      </c>
      <c r="D482" s="143">
        <v>46035</v>
      </c>
      <c r="E482" s="55">
        <v>10157.36</v>
      </c>
      <c r="F482" t="s">
        <v>769</v>
      </c>
      <c r="G482">
        <v>1500038747</v>
      </c>
      <c r="H482" t="s">
        <v>755</v>
      </c>
      <c r="I482" t="s">
        <v>770</v>
      </c>
      <c r="K482" s="143">
        <v>46069</v>
      </c>
      <c r="L482" s="143">
        <v>46035</v>
      </c>
      <c r="M482">
        <v>72025</v>
      </c>
      <c r="N482" t="s">
        <v>771</v>
      </c>
      <c r="O482">
        <v>2001</v>
      </c>
      <c r="S482">
        <v>514493</v>
      </c>
      <c r="T482" t="s">
        <v>772</v>
      </c>
    </row>
    <row r="483" spans="1:20" x14ac:dyDescent="0.25">
      <c r="A483">
        <v>5100227670</v>
      </c>
      <c r="B483">
        <v>11544</v>
      </c>
      <c r="C483" t="s">
        <v>768</v>
      </c>
      <c r="D483" s="143">
        <v>46035</v>
      </c>
      <c r="E483" s="55">
        <v>33303.29</v>
      </c>
      <c r="F483" t="s">
        <v>769</v>
      </c>
      <c r="G483">
        <v>1500038747</v>
      </c>
      <c r="H483" t="s">
        <v>755</v>
      </c>
      <c r="I483" t="s">
        <v>770</v>
      </c>
      <c r="K483" s="143">
        <v>46069</v>
      </c>
      <c r="L483" s="143">
        <v>46035</v>
      </c>
      <c r="M483">
        <v>82025</v>
      </c>
      <c r="N483" t="s">
        <v>771</v>
      </c>
      <c r="O483">
        <v>2001</v>
      </c>
      <c r="S483">
        <v>514493</v>
      </c>
      <c r="T483" t="s">
        <v>772</v>
      </c>
    </row>
    <row r="484" spans="1:20" x14ac:dyDescent="0.25">
      <c r="A484">
        <v>5100227671</v>
      </c>
      <c r="B484">
        <v>11544</v>
      </c>
      <c r="C484" t="s">
        <v>768</v>
      </c>
      <c r="D484" s="143">
        <v>46035</v>
      </c>
      <c r="E484" s="55">
        <v>1709.12</v>
      </c>
      <c r="F484" t="s">
        <v>769</v>
      </c>
      <c r="G484">
        <v>1500038747</v>
      </c>
      <c r="H484" t="s">
        <v>755</v>
      </c>
      <c r="I484" t="s">
        <v>770</v>
      </c>
      <c r="K484" s="143">
        <v>46069</v>
      </c>
      <c r="L484" s="143">
        <v>46035</v>
      </c>
      <c r="M484">
        <v>82025</v>
      </c>
      <c r="N484" t="s">
        <v>771</v>
      </c>
      <c r="O484">
        <v>2001</v>
      </c>
      <c r="S484">
        <v>514493</v>
      </c>
      <c r="T484" t="s">
        <v>772</v>
      </c>
    </row>
    <row r="485" spans="1:20" x14ac:dyDescent="0.25">
      <c r="A485">
        <v>5100227672</v>
      </c>
      <c r="B485">
        <v>11544</v>
      </c>
      <c r="C485" t="s">
        <v>768</v>
      </c>
      <c r="D485" s="143">
        <v>46035</v>
      </c>
      <c r="E485" s="55">
        <v>6461.57</v>
      </c>
      <c r="F485" t="s">
        <v>769</v>
      </c>
      <c r="G485">
        <v>1500038747</v>
      </c>
      <c r="H485" t="s">
        <v>755</v>
      </c>
      <c r="I485" t="s">
        <v>770</v>
      </c>
      <c r="K485" s="143">
        <v>46069</v>
      </c>
      <c r="L485" s="143">
        <v>46035</v>
      </c>
      <c r="M485">
        <v>92025</v>
      </c>
      <c r="N485" t="s">
        <v>771</v>
      </c>
      <c r="O485">
        <v>2001</v>
      </c>
      <c r="S485">
        <v>514493</v>
      </c>
      <c r="T485" t="s">
        <v>772</v>
      </c>
    </row>
    <row r="486" spans="1:20" x14ac:dyDescent="0.25">
      <c r="A486">
        <v>5100227673</v>
      </c>
      <c r="B486">
        <v>11544</v>
      </c>
      <c r="C486" t="s">
        <v>768</v>
      </c>
      <c r="D486" s="143">
        <v>46035</v>
      </c>
      <c r="E486" s="55">
        <v>1267.3399999999999</v>
      </c>
      <c r="F486" t="s">
        <v>769</v>
      </c>
      <c r="G486">
        <v>1500038747</v>
      </c>
      <c r="H486" t="s">
        <v>755</v>
      </c>
      <c r="I486" t="s">
        <v>770</v>
      </c>
      <c r="K486" s="143">
        <v>46069</v>
      </c>
      <c r="L486" s="143">
        <v>46035</v>
      </c>
      <c r="M486">
        <v>92025</v>
      </c>
      <c r="N486" t="s">
        <v>771</v>
      </c>
      <c r="O486">
        <v>2001</v>
      </c>
      <c r="S486">
        <v>514493</v>
      </c>
      <c r="T486" t="s">
        <v>772</v>
      </c>
    </row>
    <row r="487" spans="1:20" x14ac:dyDescent="0.25">
      <c r="A487">
        <v>5100227655</v>
      </c>
      <c r="B487">
        <v>11544</v>
      </c>
      <c r="C487" t="s">
        <v>768</v>
      </c>
      <c r="D487" s="143">
        <v>46035</v>
      </c>
      <c r="E487" s="55">
        <v>1052.58</v>
      </c>
      <c r="F487" t="s">
        <v>769</v>
      </c>
      <c r="G487">
        <v>1500038747</v>
      </c>
      <c r="H487" t="s">
        <v>755</v>
      </c>
      <c r="I487" t="s">
        <v>770</v>
      </c>
      <c r="K487" s="143">
        <v>46069</v>
      </c>
      <c r="L487" s="143">
        <v>46035</v>
      </c>
      <c r="M487">
        <v>12025</v>
      </c>
      <c r="N487" t="s">
        <v>771</v>
      </c>
      <c r="O487">
        <v>2001</v>
      </c>
      <c r="S487">
        <v>525258</v>
      </c>
      <c r="T487" t="s">
        <v>772</v>
      </c>
    </row>
    <row r="488" spans="1:20" x14ac:dyDescent="0.25">
      <c r="A488">
        <v>5100227662</v>
      </c>
      <c r="B488">
        <v>11544</v>
      </c>
      <c r="C488" t="s">
        <v>768</v>
      </c>
      <c r="D488" s="143">
        <v>46035</v>
      </c>
      <c r="E488" s="55">
        <v>10260.469999999999</v>
      </c>
      <c r="F488" t="s">
        <v>769</v>
      </c>
      <c r="G488">
        <v>1500038747</v>
      </c>
      <c r="H488" t="s">
        <v>755</v>
      </c>
      <c r="I488" t="s">
        <v>770</v>
      </c>
      <c r="K488" s="143">
        <v>46069</v>
      </c>
      <c r="L488" s="143">
        <v>46035</v>
      </c>
      <c r="M488">
        <v>42025</v>
      </c>
      <c r="N488" t="s">
        <v>771</v>
      </c>
      <c r="O488">
        <v>2001</v>
      </c>
      <c r="S488">
        <v>525258</v>
      </c>
      <c r="T488" t="s">
        <v>772</v>
      </c>
    </row>
    <row r="489" spans="1:20" x14ac:dyDescent="0.25">
      <c r="A489">
        <v>5100227663</v>
      </c>
      <c r="B489">
        <v>11544</v>
      </c>
      <c r="C489" t="s">
        <v>768</v>
      </c>
      <c r="D489" s="143">
        <v>46035</v>
      </c>
      <c r="E489" s="55">
        <v>1840.97</v>
      </c>
      <c r="F489" t="s">
        <v>769</v>
      </c>
      <c r="G489">
        <v>1500038747</v>
      </c>
      <c r="H489" t="s">
        <v>755</v>
      </c>
      <c r="I489" t="s">
        <v>770</v>
      </c>
      <c r="K489" s="143">
        <v>46069</v>
      </c>
      <c r="L489" s="143">
        <v>46035</v>
      </c>
      <c r="M489">
        <v>42025</v>
      </c>
      <c r="N489" t="s">
        <v>771</v>
      </c>
      <c r="O489">
        <v>2001</v>
      </c>
      <c r="S489">
        <v>525258</v>
      </c>
      <c r="T489" t="s">
        <v>772</v>
      </c>
    </row>
    <row r="490" spans="1:20" x14ac:dyDescent="0.25">
      <c r="A490">
        <v>5100227679</v>
      </c>
      <c r="B490">
        <v>11619</v>
      </c>
      <c r="C490" t="s">
        <v>768</v>
      </c>
      <c r="D490" s="143">
        <v>46035</v>
      </c>
      <c r="E490">
        <v>800.54</v>
      </c>
      <c r="F490" t="s">
        <v>769</v>
      </c>
      <c r="G490">
        <v>1500096560</v>
      </c>
      <c r="H490" t="s">
        <v>755</v>
      </c>
      <c r="I490" t="s">
        <v>770</v>
      </c>
      <c r="K490" s="143">
        <v>46083</v>
      </c>
      <c r="L490" s="143">
        <v>46035</v>
      </c>
      <c r="M490">
        <v>12025</v>
      </c>
      <c r="N490" t="s">
        <v>771</v>
      </c>
      <c r="O490">
        <v>2001</v>
      </c>
      <c r="S490" t="s">
        <v>783</v>
      </c>
      <c r="T490" t="s">
        <v>772</v>
      </c>
    </row>
    <row r="491" spans="1:20" x14ac:dyDescent="0.25">
      <c r="A491">
        <v>5100227680</v>
      </c>
      <c r="B491">
        <v>11619</v>
      </c>
      <c r="C491" t="s">
        <v>768</v>
      </c>
      <c r="D491" s="143">
        <v>46035</v>
      </c>
      <c r="E491" s="55">
        <v>2041.95</v>
      </c>
      <c r="F491" t="s">
        <v>769</v>
      </c>
      <c r="G491">
        <v>1500096560</v>
      </c>
      <c r="H491" t="s">
        <v>755</v>
      </c>
      <c r="I491" t="s">
        <v>770</v>
      </c>
      <c r="K491" s="143">
        <v>46083</v>
      </c>
      <c r="L491" s="143">
        <v>46035</v>
      </c>
      <c r="M491">
        <v>22025</v>
      </c>
      <c r="N491" t="s">
        <v>771</v>
      </c>
      <c r="O491">
        <v>2001</v>
      </c>
      <c r="S491" t="s">
        <v>783</v>
      </c>
      <c r="T491" t="s">
        <v>772</v>
      </c>
    </row>
    <row r="492" spans="1:20" x14ac:dyDescent="0.25">
      <c r="A492">
        <v>5100227681</v>
      </c>
      <c r="B492">
        <v>11619</v>
      </c>
      <c r="C492" t="s">
        <v>768</v>
      </c>
      <c r="D492" s="143">
        <v>46035</v>
      </c>
      <c r="E492" s="55">
        <v>4100.26</v>
      </c>
      <c r="F492" t="s">
        <v>769</v>
      </c>
      <c r="G492">
        <v>1500096560</v>
      </c>
      <c r="H492" t="s">
        <v>755</v>
      </c>
      <c r="I492" t="s">
        <v>770</v>
      </c>
      <c r="K492" s="143">
        <v>46083</v>
      </c>
      <c r="L492" s="143">
        <v>46035</v>
      </c>
      <c r="M492">
        <v>52025</v>
      </c>
      <c r="N492" t="s">
        <v>771</v>
      </c>
      <c r="O492">
        <v>2001</v>
      </c>
      <c r="S492" t="s">
        <v>783</v>
      </c>
      <c r="T492" t="s">
        <v>772</v>
      </c>
    </row>
    <row r="493" spans="1:20" x14ac:dyDescent="0.25">
      <c r="A493">
        <v>5100227682</v>
      </c>
      <c r="B493">
        <v>11619</v>
      </c>
      <c r="C493" t="s">
        <v>768</v>
      </c>
      <c r="D493" s="143">
        <v>46035</v>
      </c>
      <c r="E493" s="55">
        <v>74435.88</v>
      </c>
      <c r="F493" t="s">
        <v>769</v>
      </c>
      <c r="G493">
        <v>1500096560</v>
      </c>
      <c r="H493" t="s">
        <v>755</v>
      </c>
      <c r="I493" t="s">
        <v>770</v>
      </c>
      <c r="K493" s="143">
        <v>46083</v>
      </c>
      <c r="L493" s="143">
        <v>46035</v>
      </c>
      <c r="M493">
        <v>62025</v>
      </c>
      <c r="N493" t="s">
        <v>771</v>
      </c>
      <c r="O493">
        <v>2001</v>
      </c>
      <c r="S493" t="s">
        <v>783</v>
      </c>
      <c r="T493" t="s">
        <v>772</v>
      </c>
    </row>
    <row r="494" spans="1:20" x14ac:dyDescent="0.25">
      <c r="A494">
        <v>5100227683</v>
      </c>
      <c r="B494">
        <v>11619</v>
      </c>
      <c r="C494" t="s">
        <v>768</v>
      </c>
      <c r="D494" s="143">
        <v>46035</v>
      </c>
      <c r="E494" s="55">
        <v>64091.44</v>
      </c>
      <c r="F494" t="s">
        <v>769</v>
      </c>
      <c r="G494">
        <v>1500096560</v>
      </c>
      <c r="H494" t="s">
        <v>755</v>
      </c>
      <c r="I494" t="s">
        <v>770</v>
      </c>
      <c r="K494" s="143">
        <v>46083</v>
      </c>
      <c r="L494" s="143">
        <v>46035</v>
      </c>
      <c r="M494">
        <v>72025</v>
      </c>
      <c r="N494" t="s">
        <v>771</v>
      </c>
      <c r="O494">
        <v>2001</v>
      </c>
      <c r="S494" t="s">
        <v>783</v>
      </c>
      <c r="T494" t="s">
        <v>772</v>
      </c>
    </row>
    <row r="495" spans="1:20" x14ac:dyDescent="0.25">
      <c r="A495">
        <v>5100227684</v>
      </c>
      <c r="B495">
        <v>11619</v>
      </c>
      <c r="C495" t="s">
        <v>768</v>
      </c>
      <c r="D495" s="143">
        <v>46035</v>
      </c>
      <c r="E495">
        <v>481.73</v>
      </c>
      <c r="F495" t="s">
        <v>769</v>
      </c>
      <c r="G495">
        <v>1500096560</v>
      </c>
      <c r="H495" t="s">
        <v>755</v>
      </c>
      <c r="I495" t="s">
        <v>770</v>
      </c>
      <c r="K495" s="143">
        <v>46083</v>
      </c>
      <c r="L495" s="143">
        <v>46035</v>
      </c>
      <c r="M495">
        <v>72025</v>
      </c>
      <c r="N495" t="s">
        <v>771</v>
      </c>
      <c r="O495">
        <v>2001</v>
      </c>
      <c r="S495" t="s">
        <v>783</v>
      </c>
      <c r="T495" t="s">
        <v>772</v>
      </c>
    </row>
    <row r="496" spans="1:20" x14ac:dyDescent="0.25">
      <c r="A496">
        <v>5100421601</v>
      </c>
      <c r="B496">
        <v>14680</v>
      </c>
      <c r="C496" t="s">
        <v>768</v>
      </c>
      <c r="D496" s="143">
        <v>46035</v>
      </c>
      <c r="E496" s="55">
        <v>399806.26</v>
      </c>
      <c r="F496" t="s">
        <v>769</v>
      </c>
      <c r="G496">
        <v>1500061115</v>
      </c>
      <c r="H496" t="s">
        <v>755</v>
      </c>
      <c r="I496" t="s">
        <v>770</v>
      </c>
      <c r="K496" s="143">
        <v>46098</v>
      </c>
      <c r="L496" s="143">
        <v>46035</v>
      </c>
      <c r="M496">
        <v>42025</v>
      </c>
      <c r="N496" t="s">
        <v>771</v>
      </c>
      <c r="O496">
        <v>2001</v>
      </c>
      <c r="S496" t="s">
        <v>778</v>
      </c>
      <c r="T496" t="s">
        <v>772</v>
      </c>
    </row>
    <row r="497" spans="1:20" x14ac:dyDescent="0.25">
      <c r="A497">
        <v>5100395305</v>
      </c>
      <c r="B497">
        <v>14680</v>
      </c>
      <c r="C497" t="s">
        <v>768</v>
      </c>
      <c r="D497" s="143">
        <v>46035</v>
      </c>
      <c r="E497" s="55">
        <v>399806.26</v>
      </c>
      <c r="F497" t="s">
        <v>769</v>
      </c>
      <c r="G497">
        <v>5100420503</v>
      </c>
      <c r="H497" t="s">
        <v>755</v>
      </c>
      <c r="I497" t="s">
        <v>770</v>
      </c>
      <c r="J497">
        <v>8</v>
      </c>
      <c r="K497" s="143">
        <v>46035</v>
      </c>
      <c r="L497" s="143">
        <v>46035</v>
      </c>
      <c r="M497">
        <v>42025</v>
      </c>
      <c r="N497">
        <v>0</v>
      </c>
      <c r="O497">
        <v>2001</v>
      </c>
      <c r="S497">
        <v>0</v>
      </c>
      <c r="T497" t="s">
        <v>772</v>
      </c>
    </row>
    <row r="498" spans="1:20" x14ac:dyDescent="0.25">
      <c r="A498">
        <v>5100420503</v>
      </c>
      <c r="B498">
        <v>14680</v>
      </c>
      <c r="C498" t="s">
        <v>768</v>
      </c>
      <c r="D498" s="143">
        <v>46035</v>
      </c>
      <c r="E498" s="55">
        <v>-399806.26</v>
      </c>
      <c r="F498" t="s">
        <v>769</v>
      </c>
      <c r="G498">
        <v>5100420503</v>
      </c>
      <c r="H498" t="s">
        <v>755</v>
      </c>
      <c r="I498" t="s">
        <v>770</v>
      </c>
      <c r="J498">
        <v>8</v>
      </c>
      <c r="K498" s="143">
        <v>46035</v>
      </c>
      <c r="L498" s="143">
        <v>46035</v>
      </c>
      <c r="M498">
        <v>42025</v>
      </c>
      <c r="N498">
        <v>0</v>
      </c>
      <c r="O498">
        <v>2001</v>
      </c>
      <c r="S498">
        <v>0</v>
      </c>
      <c r="T498">
        <v>900505604</v>
      </c>
    </row>
    <row r="499" spans="1:20" x14ac:dyDescent="0.25">
      <c r="A499">
        <v>5100421627</v>
      </c>
      <c r="B499">
        <v>15606</v>
      </c>
      <c r="C499" t="s">
        <v>768</v>
      </c>
      <c r="D499" s="143">
        <v>46035</v>
      </c>
      <c r="E499" s="55">
        <v>4541.2299999999996</v>
      </c>
      <c r="F499" t="s">
        <v>769</v>
      </c>
      <c r="G499">
        <v>1500087622</v>
      </c>
      <c r="H499" t="s">
        <v>755</v>
      </c>
      <c r="I499" t="s">
        <v>770</v>
      </c>
      <c r="K499" s="143">
        <v>46076</v>
      </c>
      <c r="L499" s="143">
        <v>46035</v>
      </c>
      <c r="M499">
        <v>22025</v>
      </c>
      <c r="N499" t="s">
        <v>779</v>
      </c>
      <c r="O499">
        <v>2001</v>
      </c>
      <c r="S499">
        <v>517699</v>
      </c>
      <c r="T499" t="s">
        <v>772</v>
      </c>
    </row>
    <row r="500" spans="1:20" x14ac:dyDescent="0.25">
      <c r="A500">
        <v>5100421628</v>
      </c>
      <c r="B500">
        <v>15606</v>
      </c>
      <c r="C500" t="s">
        <v>768</v>
      </c>
      <c r="D500" s="143">
        <v>46035</v>
      </c>
      <c r="E500">
        <v>278.66000000000003</v>
      </c>
      <c r="F500" t="s">
        <v>769</v>
      </c>
      <c r="G500">
        <v>1500087622</v>
      </c>
      <c r="H500" t="s">
        <v>755</v>
      </c>
      <c r="I500" t="s">
        <v>770</v>
      </c>
      <c r="K500" s="143">
        <v>46076</v>
      </c>
      <c r="L500" s="143">
        <v>46035</v>
      </c>
      <c r="M500">
        <v>32025</v>
      </c>
      <c r="N500" t="s">
        <v>779</v>
      </c>
      <c r="O500">
        <v>2001</v>
      </c>
      <c r="S500">
        <v>517699</v>
      </c>
      <c r="T500" t="s">
        <v>772</v>
      </c>
    </row>
    <row r="501" spans="1:20" x14ac:dyDescent="0.25">
      <c r="A501">
        <v>5100421629</v>
      </c>
      <c r="B501">
        <v>15606</v>
      </c>
      <c r="C501" t="s">
        <v>768</v>
      </c>
      <c r="D501" s="143">
        <v>46035</v>
      </c>
      <c r="E501" s="55">
        <v>78464.39</v>
      </c>
      <c r="F501" t="s">
        <v>769</v>
      </c>
      <c r="G501">
        <v>1500087622</v>
      </c>
      <c r="H501" t="s">
        <v>755</v>
      </c>
      <c r="I501" t="s">
        <v>770</v>
      </c>
      <c r="K501" s="143">
        <v>46076</v>
      </c>
      <c r="L501" s="143">
        <v>46035</v>
      </c>
      <c r="M501">
        <v>42025</v>
      </c>
      <c r="N501" t="s">
        <v>779</v>
      </c>
      <c r="O501">
        <v>2001</v>
      </c>
      <c r="S501">
        <v>517699</v>
      </c>
      <c r="T501" t="s">
        <v>772</v>
      </c>
    </row>
    <row r="502" spans="1:20" x14ac:dyDescent="0.25">
      <c r="A502">
        <v>5100421630</v>
      </c>
      <c r="B502">
        <v>15606</v>
      </c>
      <c r="C502" t="s">
        <v>768</v>
      </c>
      <c r="D502" s="143">
        <v>46035</v>
      </c>
      <c r="E502" s="55">
        <v>219975.76</v>
      </c>
      <c r="F502" t="s">
        <v>769</v>
      </c>
      <c r="G502">
        <v>1500087622</v>
      </c>
      <c r="H502" t="s">
        <v>755</v>
      </c>
      <c r="I502" t="s">
        <v>770</v>
      </c>
      <c r="K502" s="143">
        <v>46076</v>
      </c>
      <c r="L502" s="143">
        <v>46035</v>
      </c>
      <c r="M502">
        <v>52025</v>
      </c>
      <c r="N502" t="s">
        <v>779</v>
      </c>
      <c r="O502">
        <v>2001</v>
      </c>
      <c r="S502">
        <v>517699</v>
      </c>
      <c r="T502" t="s">
        <v>772</v>
      </c>
    </row>
    <row r="503" spans="1:20" x14ac:dyDescent="0.25">
      <c r="A503">
        <v>5100421631</v>
      </c>
      <c r="B503">
        <v>15606</v>
      </c>
      <c r="C503" t="s">
        <v>768</v>
      </c>
      <c r="D503" s="143">
        <v>46035</v>
      </c>
      <c r="E503" s="55">
        <v>41128.18</v>
      </c>
      <c r="F503" t="s">
        <v>769</v>
      </c>
      <c r="G503">
        <v>1500087622</v>
      </c>
      <c r="H503" t="s">
        <v>755</v>
      </c>
      <c r="I503" t="s">
        <v>770</v>
      </c>
      <c r="K503" s="143">
        <v>46076</v>
      </c>
      <c r="L503" s="143">
        <v>46035</v>
      </c>
      <c r="M503">
        <v>62025</v>
      </c>
      <c r="N503" t="s">
        <v>779</v>
      </c>
      <c r="O503">
        <v>2001</v>
      </c>
      <c r="S503">
        <v>517699</v>
      </c>
      <c r="T503" t="s">
        <v>772</v>
      </c>
    </row>
    <row r="504" spans="1:20" x14ac:dyDescent="0.25">
      <c r="A504">
        <v>5100421632</v>
      </c>
      <c r="B504">
        <v>15606</v>
      </c>
      <c r="C504" t="s">
        <v>768</v>
      </c>
      <c r="D504" s="143">
        <v>46035</v>
      </c>
      <c r="E504" s="55">
        <v>1246.01</v>
      </c>
      <c r="F504" t="s">
        <v>769</v>
      </c>
      <c r="G504">
        <v>1500087622</v>
      </c>
      <c r="H504" t="s">
        <v>755</v>
      </c>
      <c r="I504" t="s">
        <v>770</v>
      </c>
      <c r="K504" s="143">
        <v>46076</v>
      </c>
      <c r="L504" s="143">
        <v>46035</v>
      </c>
      <c r="M504">
        <v>72025</v>
      </c>
      <c r="N504" t="s">
        <v>779</v>
      </c>
      <c r="O504">
        <v>2001</v>
      </c>
      <c r="S504">
        <v>517699</v>
      </c>
      <c r="T504" t="s">
        <v>772</v>
      </c>
    </row>
    <row r="505" spans="1:20" x14ac:dyDescent="0.25">
      <c r="A505">
        <v>5100421633</v>
      </c>
      <c r="B505">
        <v>15606</v>
      </c>
      <c r="C505" t="s">
        <v>768</v>
      </c>
      <c r="D505" s="143">
        <v>46035</v>
      </c>
      <c r="E505" s="55">
        <v>1052.54</v>
      </c>
      <c r="F505" t="s">
        <v>769</v>
      </c>
      <c r="G505">
        <v>1500087622</v>
      </c>
      <c r="H505" t="s">
        <v>755</v>
      </c>
      <c r="I505" t="s">
        <v>770</v>
      </c>
      <c r="K505" s="143">
        <v>46076</v>
      </c>
      <c r="L505" s="143">
        <v>46035</v>
      </c>
      <c r="M505">
        <v>82025</v>
      </c>
      <c r="N505" t="s">
        <v>779</v>
      </c>
      <c r="O505">
        <v>2001</v>
      </c>
      <c r="S505">
        <v>517699</v>
      </c>
      <c r="T505" t="s">
        <v>772</v>
      </c>
    </row>
    <row r="506" spans="1:20" x14ac:dyDescent="0.25">
      <c r="A506">
        <v>5100421634</v>
      </c>
      <c r="B506">
        <v>15606</v>
      </c>
      <c r="C506" t="s">
        <v>768</v>
      </c>
      <c r="D506" s="143">
        <v>46035</v>
      </c>
      <c r="E506" s="55">
        <v>5037.9799999999996</v>
      </c>
      <c r="F506" t="s">
        <v>769</v>
      </c>
      <c r="G506">
        <v>1500087622</v>
      </c>
      <c r="H506" t="s">
        <v>755</v>
      </c>
      <c r="I506" t="s">
        <v>770</v>
      </c>
      <c r="K506" s="143">
        <v>46076</v>
      </c>
      <c r="L506" s="143">
        <v>46035</v>
      </c>
      <c r="M506">
        <v>92025</v>
      </c>
      <c r="N506" t="s">
        <v>779</v>
      </c>
      <c r="O506">
        <v>2001</v>
      </c>
      <c r="S506">
        <v>517699</v>
      </c>
      <c r="T506" t="s">
        <v>772</v>
      </c>
    </row>
    <row r="507" spans="1:20" x14ac:dyDescent="0.25">
      <c r="A507">
        <v>5100421695</v>
      </c>
      <c r="B507">
        <v>17183</v>
      </c>
      <c r="C507" t="s">
        <v>768</v>
      </c>
      <c r="D507" s="143">
        <v>46035</v>
      </c>
      <c r="E507" s="55">
        <v>49489.24</v>
      </c>
      <c r="F507" t="s">
        <v>769</v>
      </c>
      <c r="G507">
        <v>1500033670</v>
      </c>
      <c r="H507" t="s">
        <v>755</v>
      </c>
      <c r="I507" t="s">
        <v>770</v>
      </c>
      <c r="K507" s="143">
        <v>46098</v>
      </c>
      <c r="L507" s="143">
        <v>46035</v>
      </c>
      <c r="M507">
        <v>22025</v>
      </c>
      <c r="N507" t="s">
        <v>771</v>
      </c>
      <c r="O507">
        <v>2001</v>
      </c>
      <c r="S507" t="s">
        <v>778</v>
      </c>
      <c r="T507" t="s">
        <v>772</v>
      </c>
    </row>
    <row r="508" spans="1:20" x14ac:dyDescent="0.25">
      <c r="A508">
        <v>5100421696</v>
      </c>
      <c r="B508">
        <v>17183</v>
      </c>
      <c r="C508" t="s">
        <v>768</v>
      </c>
      <c r="D508" s="143">
        <v>46035</v>
      </c>
      <c r="E508" s="55">
        <v>50497.97</v>
      </c>
      <c r="F508" t="s">
        <v>769</v>
      </c>
      <c r="G508">
        <v>1500033670</v>
      </c>
      <c r="H508" t="s">
        <v>755</v>
      </c>
      <c r="I508" t="s">
        <v>770</v>
      </c>
      <c r="K508" s="143">
        <v>46098</v>
      </c>
      <c r="L508" s="143">
        <v>46035</v>
      </c>
      <c r="M508">
        <v>32025</v>
      </c>
      <c r="N508" t="s">
        <v>771</v>
      </c>
      <c r="O508">
        <v>2001</v>
      </c>
      <c r="S508" t="s">
        <v>778</v>
      </c>
      <c r="T508" t="s">
        <v>772</v>
      </c>
    </row>
    <row r="509" spans="1:20" x14ac:dyDescent="0.25">
      <c r="A509">
        <v>5100421697</v>
      </c>
      <c r="B509">
        <v>17183</v>
      </c>
      <c r="C509" t="s">
        <v>768</v>
      </c>
      <c r="D509" s="143">
        <v>46035</v>
      </c>
      <c r="E509" s="55">
        <v>87340.98</v>
      </c>
      <c r="F509" t="s">
        <v>769</v>
      </c>
      <c r="G509">
        <v>1500033670</v>
      </c>
      <c r="H509" t="s">
        <v>755</v>
      </c>
      <c r="I509" t="s">
        <v>770</v>
      </c>
      <c r="K509" s="143">
        <v>46098</v>
      </c>
      <c r="L509" s="143">
        <v>46035</v>
      </c>
      <c r="M509">
        <v>42025</v>
      </c>
      <c r="N509" t="s">
        <v>771</v>
      </c>
      <c r="O509">
        <v>2001</v>
      </c>
      <c r="S509" t="s">
        <v>778</v>
      </c>
      <c r="T509" t="s">
        <v>772</v>
      </c>
    </row>
    <row r="510" spans="1:20" x14ac:dyDescent="0.25">
      <c r="A510">
        <v>5100421698</v>
      </c>
      <c r="B510">
        <v>17183</v>
      </c>
      <c r="C510" t="s">
        <v>768</v>
      </c>
      <c r="D510" s="143">
        <v>46035</v>
      </c>
      <c r="E510" s="55">
        <v>6876.23</v>
      </c>
      <c r="F510" t="s">
        <v>769</v>
      </c>
      <c r="G510">
        <v>1500033670</v>
      </c>
      <c r="H510" t="s">
        <v>755</v>
      </c>
      <c r="I510" t="s">
        <v>770</v>
      </c>
      <c r="K510" s="143">
        <v>46098</v>
      </c>
      <c r="L510" s="143">
        <v>46035</v>
      </c>
      <c r="M510">
        <v>52025</v>
      </c>
      <c r="N510" t="s">
        <v>771</v>
      </c>
      <c r="O510">
        <v>2001</v>
      </c>
      <c r="S510" t="s">
        <v>778</v>
      </c>
      <c r="T510" t="s">
        <v>772</v>
      </c>
    </row>
    <row r="511" spans="1:20" x14ac:dyDescent="0.25">
      <c r="A511">
        <v>5100421699</v>
      </c>
      <c r="B511">
        <v>17183</v>
      </c>
      <c r="C511" t="s">
        <v>768</v>
      </c>
      <c r="D511" s="143">
        <v>46035</v>
      </c>
      <c r="E511" s="55">
        <v>1361.88</v>
      </c>
      <c r="F511" t="s">
        <v>769</v>
      </c>
      <c r="G511">
        <v>1500033670</v>
      </c>
      <c r="H511" t="s">
        <v>755</v>
      </c>
      <c r="I511" t="s">
        <v>770</v>
      </c>
      <c r="K511" s="143">
        <v>46098</v>
      </c>
      <c r="L511" s="143">
        <v>46035</v>
      </c>
      <c r="M511">
        <v>62025</v>
      </c>
      <c r="N511" t="s">
        <v>771</v>
      </c>
      <c r="O511">
        <v>2001</v>
      </c>
      <c r="S511" t="s">
        <v>778</v>
      </c>
      <c r="T511" t="s">
        <v>772</v>
      </c>
    </row>
    <row r="512" spans="1:20" x14ac:dyDescent="0.25">
      <c r="A512">
        <v>5100361650</v>
      </c>
      <c r="B512">
        <v>20436</v>
      </c>
      <c r="C512" t="s">
        <v>768</v>
      </c>
      <c r="D512" s="143">
        <v>46035</v>
      </c>
      <c r="E512" s="55">
        <v>95020.72</v>
      </c>
      <c r="F512" t="s">
        <v>769</v>
      </c>
      <c r="G512">
        <v>1500007032</v>
      </c>
      <c r="H512" t="s">
        <v>755</v>
      </c>
      <c r="I512" t="s">
        <v>770</v>
      </c>
      <c r="K512" s="143">
        <v>46083</v>
      </c>
      <c r="L512" s="143">
        <v>46035</v>
      </c>
      <c r="M512">
        <v>12025</v>
      </c>
      <c r="N512" t="s">
        <v>771</v>
      </c>
      <c r="O512">
        <v>2001</v>
      </c>
      <c r="S512" t="s">
        <v>797</v>
      </c>
      <c r="T512" t="s">
        <v>772</v>
      </c>
    </row>
    <row r="513" spans="1:20" x14ac:dyDescent="0.25">
      <c r="A513">
        <v>5100361651</v>
      </c>
      <c r="B513">
        <v>20436</v>
      </c>
      <c r="C513" t="s">
        <v>768</v>
      </c>
      <c r="D513" s="143">
        <v>46035</v>
      </c>
      <c r="E513" s="55">
        <v>161567.18</v>
      </c>
      <c r="F513" t="s">
        <v>769</v>
      </c>
      <c r="G513">
        <v>1500007032</v>
      </c>
      <c r="H513" t="s">
        <v>755</v>
      </c>
      <c r="I513" t="s">
        <v>770</v>
      </c>
      <c r="K513" s="143">
        <v>46083</v>
      </c>
      <c r="L513" s="143">
        <v>46035</v>
      </c>
      <c r="M513">
        <v>22025</v>
      </c>
      <c r="N513" t="s">
        <v>771</v>
      </c>
      <c r="O513">
        <v>2001</v>
      </c>
      <c r="S513" t="s">
        <v>797</v>
      </c>
      <c r="T513" t="s">
        <v>772</v>
      </c>
    </row>
    <row r="514" spans="1:20" x14ac:dyDescent="0.25">
      <c r="A514">
        <v>5100361652</v>
      </c>
      <c r="B514">
        <v>20436</v>
      </c>
      <c r="C514" t="s">
        <v>768</v>
      </c>
      <c r="D514" s="143">
        <v>46035</v>
      </c>
      <c r="E514" s="55">
        <v>62517.47</v>
      </c>
      <c r="F514" t="s">
        <v>769</v>
      </c>
      <c r="G514">
        <v>1500007032</v>
      </c>
      <c r="H514" t="s">
        <v>755</v>
      </c>
      <c r="I514" t="s">
        <v>770</v>
      </c>
      <c r="K514" s="143">
        <v>46083</v>
      </c>
      <c r="L514" s="143">
        <v>46035</v>
      </c>
      <c r="M514">
        <v>32025</v>
      </c>
      <c r="N514" t="s">
        <v>771</v>
      </c>
      <c r="O514">
        <v>2001</v>
      </c>
      <c r="S514" t="s">
        <v>797</v>
      </c>
      <c r="T514" t="s">
        <v>772</v>
      </c>
    </row>
    <row r="515" spans="1:20" x14ac:dyDescent="0.25">
      <c r="A515">
        <v>5100361653</v>
      </c>
      <c r="B515">
        <v>20436</v>
      </c>
      <c r="C515" t="s">
        <v>768</v>
      </c>
      <c r="D515" s="143">
        <v>46035</v>
      </c>
      <c r="E515" s="55">
        <v>7481.12</v>
      </c>
      <c r="F515" t="s">
        <v>769</v>
      </c>
      <c r="G515">
        <v>1500007032</v>
      </c>
      <c r="H515" t="s">
        <v>755</v>
      </c>
      <c r="I515" t="s">
        <v>770</v>
      </c>
      <c r="K515" s="143">
        <v>46083</v>
      </c>
      <c r="L515" s="143">
        <v>46035</v>
      </c>
      <c r="M515">
        <v>42025</v>
      </c>
      <c r="N515" t="s">
        <v>771</v>
      </c>
      <c r="O515">
        <v>2001</v>
      </c>
      <c r="S515" t="s">
        <v>797</v>
      </c>
      <c r="T515" t="s">
        <v>772</v>
      </c>
    </row>
    <row r="516" spans="1:20" x14ac:dyDescent="0.25">
      <c r="A516">
        <v>5100361654</v>
      </c>
      <c r="B516">
        <v>20436</v>
      </c>
      <c r="C516" t="s">
        <v>768</v>
      </c>
      <c r="D516" s="143">
        <v>46035</v>
      </c>
      <c r="E516" s="55">
        <v>1380.45</v>
      </c>
      <c r="F516" t="s">
        <v>769</v>
      </c>
      <c r="G516">
        <v>1500007032</v>
      </c>
      <c r="H516" t="s">
        <v>755</v>
      </c>
      <c r="I516" t="s">
        <v>770</v>
      </c>
      <c r="K516" s="143">
        <v>46083</v>
      </c>
      <c r="L516" s="143">
        <v>46035</v>
      </c>
      <c r="M516">
        <v>62025</v>
      </c>
      <c r="N516" t="s">
        <v>771</v>
      </c>
      <c r="O516">
        <v>2001</v>
      </c>
      <c r="S516" t="s">
        <v>797</v>
      </c>
      <c r="T516" t="s">
        <v>772</v>
      </c>
    </row>
    <row r="517" spans="1:20" x14ac:dyDescent="0.25">
      <c r="A517">
        <v>5100361655</v>
      </c>
      <c r="B517">
        <v>20436</v>
      </c>
      <c r="C517" t="s">
        <v>768</v>
      </c>
      <c r="D517" s="143">
        <v>46035</v>
      </c>
      <c r="E517" s="55">
        <v>3793.21</v>
      </c>
      <c r="F517" t="s">
        <v>769</v>
      </c>
      <c r="G517">
        <v>1500007032</v>
      </c>
      <c r="H517" t="s">
        <v>755</v>
      </c>
      <c r="I517" t="s">
        <v>770</v>
      </c>
      <c r="K517" s="143">
        <v>46083</v>
      </c>
      <c r="L517" s="143">
        <v>46035</v>
      </c>
      <c r="M517">
        <v>72025</v>
      </c>
      <c r="N517" t="s">
        <v>771</v>
      </c>
      <c r="O517">
        <v>2001</v>
      </c>
      <c r="S517" t="s">
        <v>797</v>
      </c>
      <c r="T517" t="s">
        <v>772</v>
      </c>
    </row>
    <row r="518" spans="1:20" x14ac:dyDescent="0.25">
      <c r="A518">
        <v>5100361656</v>
      </c>
      <c r="B518">
        <v>20436</v>
      </c>
      <c r="C518" t="s">
        <v>768</v>
      </c>
      <c r="D518" s="143">
        <v>46035</v>
      </c>
      <c r="E518" s="55">
        <v>5376.08</v>
      </c>
      <c r="F518" t="s">
        <v>769</v>
      </c>
      <c r="G518">
        <v>1500007032</v>
      </c>
      <c r="H518" t="s">
        <v>755</v>
      </c>
      <c r="I518" t="s">
        <v>770</v>
      </c>
      <c r="K518" s="143">
        <v>46083</v>
      </c>
      <c r="L518" s="143">
        <v>46035</v>
      </c>
      <c r="M518">
        <v>82025</v>
      </c>
      <c r="N518" t="s">
        <v>771</v>
      </c>
      <c r="O518">
        <v>2001</v>
      </c>
      <c r="S518" t="s">
        <v>797</v>
      </c>
      <c r="T518" t="s">
        <v>772</v>
      </c>
    </row>
    <row r="519" spans="1:20" x14ac:dyDescent="0.25">
      <c r="A519">
        <v>5100361657</v>
      </c>
      <c r="B519">
        <v>20436</v>
      </c>
      <c r="C519" t="s">
        <v>768</v>
      </c>
      <c r="D519" s="143">
        <v>46035</v>
      </c>
      <c r="E519" s="55">
        <v>11884.81</v>
      </c>
      <c r="F519" t="s">
        <v>769</v>
      </c>
      <c r="G519">
        <v>1500007032</v>
      </c>
      <c r="H519" t="s">
        <v>755</v>
      </c>
      <c r="I519" t="s">
        <v>770</v>
      </c>
      <c r="K519" s="143">
        <v>46083</v>
      </c>
      <c r="L519" s="143">
        <v>46035</v>
      </c>
      <c r="M519">
        <v>82025</v>
      </c>
      <c r="N519" t="s">
        <v>774</v>
      </c>
      <c r="O519">
        <v>2001</v>
      </c>
      <c r="S519" t="s">
        <v>797</v>
      </c>
      <c r="T519" t="s">
        <v>772</v>
      </c>
    </row>
    <row r="520" spans="1:20" x14ac:dyDescent="0.25">
      <c r="A520">
        <v>5100361658</v>
      </c>
      <c r="B520">
        <v>20436</v>
      </c>
      <c r="C520" t="s">
        <v>768</v>
      </c>
      <c r="D520" s="143">
        <v>46035</v>
      </c>
      <c r="E520" s="55">
        <v>2363.5300000000002</v>
      </c>
      <c r="F520" t="s">
        <v>769</v>
      </c>
      <c r="G520">
        <v>1500007032</v>
      </c>
      <c r="H520" t="s">
        <v>755</v>
      </c>
      <c r="I520" t="s">
        <v>770</v>
      </c>
      <c r="K520" s="143">
        <v>46083</v>
      </c>
      <c r="L520" s="143">
        <v>46035</v>
      </c>
      <c r="M520">
        <v>92025</v>
      </c>
      <c r="N520" t="s">
        <v>771</v>
      </c>
      <c r="O520">
        <v>2001</v>
      </c>
      <c r="S520" t="s">
        <v>797</v>
      </c>
      <c r="T520" t="s">
        <v>772</v>
      </c>
    </row>
    <row r="521" spans="1:20" x14ac:dyDescent="0.25">
      <c r="A521">
        <v>5100421813</v>
      </c>
      <c r="B521">
        <v>20851</v>
      </c>
      <c r="C521" t="s">
        <v>768</v>
      </c>
      <c r="D521" s="143">
        <v>46035</v>
      </c>
      <c r="E521" s="55">
        <v>113262.88</v>
      </c>
      <c r="F521" t="s">
        <v>769</v>
      </c>
      <c r="G521">
        <v>1500100700</v>
      </c>
      <c r="H521" t="s">
        <v>755</v>
      </c>
      <c r="I521" t="s">
        <v>770</v>
      </c>
      <c r="K521" s="143">
        <v>46083</v>
      </c>
      <c r="L521" s="143">
        <v>46035</v>
      </c>
      <c r="M521">
        <v>12025</v>
      </c>
      <c r="N521" t="s">
        <v>771</v>
      </c>
      <c r="O521">
        <v>2001</v>
      </c>
      <c r="R521" t="s">
        <v>780</v>
      </c>
      <c r="S521" t="s">
        <v>781</v>
      </c>
      <c r="T521" t="s">
        <v>772</v>
      </c>
    </row>
    <row r="522" spans="1:20" x14ac:dyDescent="0.25">
      <c r="A522">
        <v>5100421814</v>
      </c>
      <c r="B522">
        <v>20851</v>
      </c>
      <c r="C522" t="s">
        <v>768</v>
      </c>
      <c r="D522" s="143">
        <v>46035</v>
      </c>
      <c r="E522">
        <v>212.78</v>
      </c>
      <c r="F522" t="s">
        <v>769</v>
      </c>
      <c r="G522">
        <v>1500100700</v>
      </c>
      <c r="H522" t="s">
        <v>755</v>
      </c>
      <c r="I522" t="s">
        <v>770</v>
      </c>
      <c r="K522" s="143">
        <v>46083</v>
      </c>
      <c r="L522" s="143">
        <v>46035</v>
      </c>
      <c r="M522">
        <v>42025</v>
      </c>
      <c r="N522" t="s">
        <v>771</v>
      </c>
      <c r="O522">
        <v>2001</v>
      </c>
      <c r="R522" t="s">
        <v>780</v>
      </c>
      <c r="S522" t="s">
        <v>781</v>
      </c>
      <c r="T522" t="s">
        <v>772</v>
      </c>
    </row>
    <row r="523" spans="1:20" x14ac:dyDescent="0.25">
      <c r="A523">
        <v>5100421815</v>
      </c>
      <c r="B523">
        <v>20851</v>
      </c>
      <c r="C523" t="s">
        <v>768</v>
      </c>
      <c r="D523" s="143">
        <v>46035</v>
      </c>
      <c r="E523" s="55">
        <v>8024.24</v>
      </c>
      <c r="F523" t="s">
        <v>769</v>
      </c>
      <c r="G523">
        <v>1500100700</v>
      </c>
      <c r="H523" t="s">
        <v>755</v>
      </c>
      <c r="I523" t="s">
        <v>770</v>
      </c>
      <c r="K523" s="143">
        <v>46083</v>
      </c>
      <c r="L523" s="143">
        <v>46035</v>
      </c>
      <c r="M523">
        <v>42025</v>
      </c>
      <c r="N523" t="s">
        <v>771</v>
      </c>
      <c r="O523">
        <v>2001</v>
      </c>
      <c r="R523" t="s">
        <v>780</v>
      </c>
      <c r="S523" t="s">
        <v>781</v>
      </c>
      <c r="T523" t="s">
        <v>772</v>
      </c>
    </row>
    <row r="524" spans="1:20" x14ac:dyDescent="0.25">
      <c r="A524">
        <v>5100421816</v>
      </c>
      <c r="B524">
        <v>20851</v>
      </c>
      <c r="C524" t="s">
        <v>768</v>
      </c>
      <c r="D524" s="143">
        <v>46035</v>
      </c>
      <c r="E524" s="55">
        <v>236030.59</v>
      </c>
      <c r="F524" t="s">
        <v>769</v>
      </c>
      <c r="G524">
        <v>1500100700</v>
      </c>
      <c r="H524" t="s">
        <v>755</v>
      </c>
      <c r="I524" t="s">
        <v>770</v>
      </c>
      <c r="K524" s="143">
        <v>46083</v>
      </c>
      <c r="L524" s="143">
        <v>46035</v>
      </c>
      <c r="M524">
        <v>52025</v>
      </c>
      <c r="N524" t="s">
        <v>771</v>
      </c>
      <c r="O524">
        <v>2001</v>
      </c>
      <c r="R524" t="s">
        <v>780</v>
      </c>
      <c r="S524" t="s">
        <v>781</v>
      </c>
      <c r="T524" t="s">
        <v>772</v>
      </c>
    </row>
    <row r="525" spans="1:20" x14ac:dyDescent="0.25">
      <c r="A525">
        <v>5100421817</v>
      </c>
      <c r="B525">
        <v>20851</v>
      </c>
      <c r="C525" t="s">
        <v>768</v>
      </c>
      <c r="D525" s="143">
        <v>46035</v>
      </c>
      <c r="E525">
        <v>638.36</v>
      </c>
      <c r="F525" t="s">
        <v>769</v>
      </c>
      <c r="G525">
        <v>1500100700</v>
      </c>
      <c r="H525" t="s">
        <v>755</v>
      </c>
      <c r="I525" t="s">
        <v>770</v>
      </c>
      <c r="K525" s="143">
        <v>46083</v>
      </c>
      <c r="L525" s="143">
        <v>46035</v>
      </c>
      <c r="M525">
        <v>62025</v>
      </c>
      <c r="N525" t="s">
        <v>771</v>
      </c>
      <c r="O525">
        <v>2001</v>
      </c>
      <c r="R525" t="s">
        <v>780</v>
      </c>
      <c r="S525" t="s">
        <v>781</v>
      </c>
      <c r="T525" t="s">
        <v>772</v>
      </c>
    </row>
    <row r="526" spans="1:20" x14ac:dyDescent="0.25">
      <c r="A526">
        <v>5100421818</v>
      </c>
      <c r="B526">
        <v>20851</v>
      </c>
      <c r="C526" t="s">
        <v>768</v>
      </c>
      <c r="D526" s="143">
        <v>46035</v>
      </c>
      <c r="E526" s="55">
        <v>43592.02</v>
      </c>
      <c r="F526" t="s">
        <v>769</v>
      </c>
      <c r="G526">
        <v>1500100700</v>
      </c>
      <c r="H526" t="s">
        <v>755</v>
      </c>
      <c r="I526" t="s">
        <v>770</v>
      </c>
      <c r="K526" s="143">
        <v>46083</v>
      </c>
      <c r="L526" s="143">
        <v>46035</v>
      </c>
      <c r="M526">
        <v>62025</v>
      </c>
      <c r="N526" t="s">
        <v>771</v>
      </c>
      <c r="O526">
        <v>2001</v>
      </c>
      <c r="R526" t="s">
        <v>780</v>
      </c>
      <c r="S526" t="s">
        <v>781</v>
      </c>
      <c r="T526" t="s">
        <v>772</v>
      </c>
    </row>
    <row r="527" spans="1:20" x14ac:dyDescent="0.25">
      <c r="A527">
        <v>5100421819</v>
      </c>
      <c r="B527">
        <v>20851</v>
      </c>
      <c r="C527" t="s">
        <v>768</v>
      </c>
      <c r="D527" s="143">
        <v>46035</v>
      </c>
      <c r="E527">
        <v>425.57</v>
      </c>
      <c r="F527" t="s">
        <v>769</v>
      </c>
      <c r="G527">
        <v>1500100700</v>
      </c>
      <c r="H527" t="s">
        <v>755</v>
      </c>
      <c r="I527" t="s">
        <v>770</v>
      </c>
      <c r="K527" s="143">
        <v>46083</v>
      </c>
      <c r="L527" s="143">
        <v>46035</v>
      </c>
      <c r="M527">
        <v>72025</v>
      </c>
      <c r="N527" t="s">
        <v>771</v>
      </c>
      <c r="O527">
        <v>2001</v>
      </c>
      <c r="R527" t="s">
        <v>780</v>
      </c>
      <c r="S527" t="s">
        <v>781</v>
      </c>
      <c r="T527" t="s">
        <v>772</v>
      </c>
    </row>
    <row r="528" spans="1:20" x14ac:dyDescent="0.25">
      <c r="A528">
        <v>5100421820</v>
      </c>
      <c r="B528">
        <v>20851</v>
      </c>
      <c r="C528" t="s">
        <v>768</v>
      </c>
      <c r="D528" s="143">
        <v>46035</v>
      </c>
      <c r="E528" s="55">
        <v>3682.26</v>
      </c>
      <c r="F528" t="s">
        <v>769</v>
      </c>
      <c r="G528">
        <v>1500100700</v>
      </c>
      <c r="H528" t="s">
        <v>755</v>
      </c>
      <c r="I528" t="s">
        <v>770</v>
      </c>
      <c r="K528" s="143">
        <v>46083</v>
      </c>
      <c r="L528" s="143">
        <v>46035</v>
      </c>
      <c r="M528">
        <v>72025</v>
      </c>
      <c r="N528" t="s">
        <v>771</v>
      </c>
      <c r="O528">
        <v>2001</v>
      </c>
      <c r="R528" t="s">
        <v>780</v>
      </c>
      <c r="S528" t="s">
        <v>781</v>
      </c>
      <c r="T528" t="s">
        <v>772</v>
      </c>
    </row>
    <row r="529" spans="1:20" x14ac:dyDescent="0.25">
      <c r="A529">
        <v>5100421821</v>
      </c>
      <c r="B529">
        <v>20851</v>
      </c>
      <c r="C529" t="s">
        <v>768</v>
      </c>
      <c r="D529" s="143">
        <v>46035</v>
      </c>
      <c r="E529" s="55">
        <v>4263.54</v>
      </c>
      <c r="F529" t="s">
        <v>769</v>
      </c>
      <c r="G529">
        <v>1500100700</v>
      </c>
      <c r="H529" t="s">
        <v>755</v>
      </c>
      <c r="I529" t="s">
        <v>770</v>
      </c>
      <c r="K529" s="143">
        <v>46083</v>
      </c>
      <c r="L529" s="143">
        <v>46035</v>
      </c>
      <c r="M529">
        <v>92025</v>
      </c>
      <c r="N529" t="s">
        <v>771</v>
      </c>
      <c r="O529">
        <v>2001</v>
      </c>
      <c r="R529" t="s">
        <v>780</v>
      </c>
      <c r="S529" t="s">
        <v>781</v>
      </c>
      <c r="T529" t="s">
        <v>772</v>
      </c>
    </row>
    <row r="530" spans="1:20" x14ac:dyDescent="0.25">
      <c r="A530">
        <v>5100421822</v>
      </c>
      <c r="B530">
        <v>20851</v>
      </c>
      <c r="C530" t="s">
        <v>768</v>
      </c>
      <c r="D530" s="143">
        <v>46035</v>
      </c>
      <c r="E530" s="55">
        <v>2769.77</v>
      </c>
      <c r="F530" t="s">
        <v>769</v>
      </c>
      <c r="G530">
        <v>1500100700</v>
      </c>
      <c r="H530" t="s">
        <v>755</v>
      </c>
      <c r="I530" t="s">
        <v>770</v>
      </c>
      <c r="K530" s="143">
        <v>46083</v>
      </c>
      <c r="L530" s="143">
        <v>46035</v>
      </c>
      <c r="M530">
        <v>92025</v>
      </c>
      <c r="N530" t="s">
        <v>771</v>
      </c>
      <c r="O530">
        <v>2001</v>
      </c>
      <c r="R530" t="s">
        <v>780</v>
      </c>
      <c r="S530" t="s">
        <v>781</v>
      </c>
      <c r="T530" t="s">
        <v>772</v>
      </c>
    </row>
    <row r="531" spans="1:20" x14ac:dyDescent="0.25">
      <c r="A531">
        <v>5100421850</v>
      </c>
      <c r="B531">
        <v>21356</v>
      </c>
      <c r="C531" t="s">
        <v>768</v>
      </c>
      <c r="D531" s="143">
        <v>46035</v>
      </c>
      <c r="E531" s="55">
        <v>2249.2600000000002</v>
      </c>
      <c r="F531" t="s">
        <v>769</v>
      </c>
      <c r="G531">
        <v>1500100600</v>
      </c>
      <c r="H531" t="s">
        <v>755</v>
      </c>
      <c r="I531" t="s">
        <v>770</v>
      </c>
      <c r="K531" s="143">
        <v>46083</v>
      </c>
      <c r="L531" s="143">
        <v>46035</v>
      </c>
      <c r="M531">
        <v>22025</v>
      </c>
      <c r="N531" t="s">
        <v>771</v>
      </c>
      <c r="O531">
        <v>2001</v>
      </c>
      <c r="S531" t="s">
        <v>798</v>
      </c>
      <c r="T531" t="s">
        <v>772</v>
      </c>
    </row>
    <row r="532" spans="1:20" x14ac:dyDescent="0.25">
      <c r="A532">
        <v>5100421851</v>
      </c>
      <c r="B532">
        <v>21356</v>
      </c>
      <c r="C532" t="s">
        <v>768</v>
      </c>
      <c r="D532" s="143">
        <v>46035</v>
      </c>
      <c r="E532" s="55">
        <v>46357.45</v>
      </c>
      <c r="F532" t="s">
        <v>769</v>
      </c>
      <c r="G532">
        <v>1500100600</v>
      </c>
      <c r="H532" t="s">
        <v>755</v>
      </c>
      <c r="I532" t="s">
        <v>770</v>
      </c>
      <c r="K532" s="143">
        <v>46083</v>
      </c>
      <c r="L532" s="143">
        <v>46035</v>
      </c>
      <c r="M532">
        <v>52025</v>
      </c>
      <c r="N532" t="s">
        <v>771</v>
      </c>
      <c r="O532">
        <v>2001</v>
      </c>
      <c r="S532" t="s">
        <v>798</v>
      </c>
      <c r="T532" t="s">
        <v>772</v>
      </c>
    </row>
    <row r="533" spans="1:20" x14ac:dyDescent="0.25">
      <c r="A533">
        <v>5100421852</v>
      </c>
      <c r="B533">
        <v>21356</v>
      </c>
      <c r="C533" t="s">
        <v>768</v>
      </c>
      <c r="D533" s="143">
        <v>46035</v>
      </c>
      <c r="E533" s="55">
        <v>48210.99</v>
      </c>
      <c r="F533" t="s">
        <v>769</v>
      </c>
      <c r="G533">
        <v>1500100600</v>
      </c>
      <c r="H533" t="s">
        <v>755</v>
      </c>
      <c r="I533" t="s">
        <v>770</v>
      </c>
      <c r="K533" s="143">
        <v>46083</v>
      </c>
      <c r="L533" s="143">
        <v>46035</v>
      </c>
      <c r="M533">
        <v>62025</v>
      </c>
      <c r="N533" t="s">
        <v>771</v>
      </c>
      <c r="O533">
        <v>2001</v>
      </c>
      <c r="S533" t="s">
        <v>798</v>
      </c>
      <c r="T533" t="s">
        <v>772</v>
      </c>
    </row>
    <row r="534" spans="1:20" x14ac:dyDescent="0.25">
      <c r="A534">
        <v>5100421853</v>
      </c>
      <c r="B534">
        <v>21356</v>
      </c>
      <c r="C534" t="s">
        <v>768</v>
      </c>
      <c r="D534" s="143">
        <v>46035</v>
      </c>
      <c r="E534" s="55">
        <v>44667.63</v>
      </c>
      <c r="F534" t="s">
        <v>769</v>
      </c>
      <c r="G534">
        <v>1500100600</v>
      </c>
      <c r="H534" t="s">
        <v>755</v>
      </c>
      <c r="I534" t="s">
        <v>770</v>
      </c>
      <c r="K534" s="143">
        <v>46083</v>
      </c>
      <c r="L534" s="143">
        <v>46035</v>
      </c>
      <c r="M534">
        <v>72025</v>
      </c>
      <c r="N534" t="s">
        <v>771</v>
      </c>
      <c r="O534">
        <v>2001</v>
      </c>
      <c r="S534" t="s">
        <v>798</v>
      </c>
      <c r="T534" t="s">
        <v>772</v>
      </c>
    </row>
    <row r="535" spans="1:20" x14ac:dyDescent="0.25">
      <c r="A535">
        <v>5100422030</v>
      </c>
      <c r="B535">
        <v>23597</v>
      </c>
      <c r="C535" t="s">
        <v>768</v>
      </c>
      <c r="D535" s="143">
        <v>46035</v>
      </c>
      <c r="E535" s="55">
        <v>18248.21</v>
      </c>
      <c r="F535" t="s">
        <v>769</v>
      </c>
      <c r="G535">
        <v>1500034258</v>
      </c>
      <c r="H535" t="s">
        <v>755</v>
      </c>
      <c r="I535" t="s">
        <v>770</v>
      </c>
      <c r="K535" s="143">
        <v>46080</v>
      </c>
      <c r="L535" s="143">
        <v>46035</v>
      </c>
      <c r="M535">
        <v>72025</v>
      </c>
      <c r="N535" t="s">
        <v>771</v>
      </c>
      <c r="O535">
        <v>2001</v>
      </c>
      <c r="S535">
        <v>525396</v>
      </c>
      <c r="T535" t="s">
        <v>772</v>
      </c>
    </row>
    <row r="536" spans="1:20" x14ac:dyDescent="0.25">
      <c r="A536">
        <v>5100422031</v>
      </c>
      <c r="B536">
        <v>23597</v>
      </c>
      <c r="C536" t="s">
        <v>768</v>
      </c>
      <c r="D536" s="143">
        <v>46035</v>
      </c>
      <c r="E536" s="55">
        <v>121734.68</v>
      </c>
      <c r="F536" t="s">
        <v>769</v>
      </c>
      <c r="G536">
        <v>1500034258</v>
      </c>
      <c r="H536" t="s">
        <v>755</v>
      </c>
      <c r="I536" t="s">
        <v>770</v>
      </c>
      <c r="K536" s="143">
        <v>46080</v>
      </c>
      <c r="L536" s="143">
        <v>46035</v>
      </c>
      <c r="M536">
        <v>82025</v>
      </c>
      <c r="N536" t="s">
        <v>771</v>
      </c>
      <c r="O536">
        <v>2001</v>
      </c>
      <c r="S536">
        <v>525396</v>
      </c>
      <c r="T536" t="s">
        <v>772</v>
      </c>
    </row>
    <row r="537" spans="1:20" x14ac:dyDescent="0.25">
      <c r="A537">
        <v>5100422070</v>
      </c>
      <c r="B537">
        <v>24927</v>
      </c>
      <c r="C537" t="s">
        <v>768</v>
      </c>
      <c r="D537" s="143">
        <v>46035</v>
      </c>
      <c r="E537" s="55">
        <v>123112.33</v>
      </c>
      <c r="F537" t="s">
        <v>769</v>
      </c>
      <c r="G537">
        <v>1500097957</v>
      </c>
      <c r="H537" t="s">
        <v>755</v>
      </c>
      <c r="I537" t="s">
        <v>770</v>
      </c>
      <c r="K537" s="143">
        <v>46083</v>
      </c>
      <c r="L537" s="143">
        <v>46035</v>
      </c>
      <c r="M537">
        <v>22025</v>
      </c>
      <c r="N537" t="s">
        <v>771</v>
      </c>
      <c r="O537">
        <v>2001</v>
      </c>
      <c r="S537" t="s">
        <v>781</v>
      </c>
      <c r="T537" t="s">
        <v>772</v>
      </c>
    </row>
    <row r="538" spans="1:20" x14ac:dyDescent="0.25">
      <c r="A538">
        <v>5100422071</v>
      </c>
      <c r="B538">
        <v>24927</v>
      </c>
      <c r="C538" t="s">
        <v>768</v>
      </c>
      <c r="D538" s="143">
        <v>46035</v>
      </c>
      <c r="E538">
        <v>148.07</v>
      </c>
      <c r="F538" t="s">
        <v>769</v>
      </c>
      <c r="G538">
        <v>1500097957</v>
      </c>
      <c r="H538" t="s">
        <v>755</v>
      </c>
      <c r="I538" t="s">
        <v>770</v>
      </c>
      <c r="K538" s="143">
        <v>46083</v>
      </c>
      <c r="L538" s="143">
        <v>46035</v>
      </c>
      <c r="M538">
        <v>22025</v>
      </c>
      <c r="N538" t="s">
        <v>771</v>
      </c>
      <c r="O538">
        <v>2001</v>
      </c>
      <c r="S538" t="s">
        <v>781</v>
      </c>
      <c r="T538" t="s">
        <v>772</v>
      </c>
    </row>
    <row r="539" spans="1:20" x14ac:dyDescent="0.25">
      <c r="A539">
        <v>5100422072</v>
      </c>
      <c r="B539">
        <v>24927</v>
      </c>
      <c r="C539" t="s">
        <v>768</v>
      </c>
      <c r="D539" s="143">
        <v>46035</v>
      </c>
      <c r="E539">
        <v>191.6</v>
      </c>
      <c r="F539" t="s">
        <v>769</v>
      </c>
      <c r="G539">
        <v>1500097957</v>
      </c>
      <c r="H539" t="s">
        <v>755</v>
      </c>
      <c r="I539" t="s">
        <v>770</v>
      </c>
      <c r="K539" s="143">
        <v>46083</v>
      </c>
      <c r="L539" s="143">
        <v>46035</v>
      </c>
      <c r="M539">
        <v>42025</v>
      </c>
      <c r="N539" t="s">
        <v>771</v>
      </c>
      <c r="O539">
        <v>2001</v>
      </c>
      <c r="S539" t="s">
        <v>781</v>
      </c>
      <c r="T539" t="s">
        <v>772</v>
      </c>
    </row>
    <row r="540" spans="1:20" x14ac:dyDescent="0.25">
      <c r="A540">
        <v>5100422073</v>
      </c>
      <c r="B540">
        <v>24927</v>
      </c>
      <c r="C540" t="s">
        <v>768</v>
      </c>
      <c r="D540" s="143">
        <v>46035</v>
      </c>
      <c r="E540" s="55">
        <v>21937.07</v>
      </c>
      <c r="F540" t="s">
        <v>769</v>
      </c>
      <c r="G540">
        <v>1500097957</v>
      </c>
      <c r="H540" t="s">
        <v>755</v>
      </c>
      <c r="I540" t="s">
        <v>770</v>
      </c>
      <c r="K540" s="143">
        <v>46083</v>
      </c>
      <c r="L540" s="143">
        <v>46035</v>
      </c>
      <c r="M540">
        <v>52025</v>
      </c>
      <c r="N540" t="s">
        <v>771</v>
      </c>
      <c r="O540">
        <v>2001</v>
      </c>
      <c r="S540" t="s">
        <v>781</v>
      </c>
      <c r="T540" t="s">
        <v>772</v>
      </c>
    </row>
    <row r="541" spans="1:20" x14ac:dyDescent="0.25">
      <c r="A541">
        <v>5100422074</v>
      </c>
      <c r="B541">
        <v>24927</v>
      </c>
      <c r="C541" t="s">
        <v>768</v>
      </c>
      <c r="D541" s="143">
        <v>46035</v>
      </c>
      <c r="E541" s="55">
        <v>5820.56</v>
      </c>
      <c r="F541" t="s">
        <v>769</v>
      </c>
      <c r="G541">
        <v>1500097957</v>
      </c>
      <c r="H541" t="s">
        <v>755</v>
      </c>
      <c r="I541" t="s">
        <v>770</v>
      </c>
      <c r="K541" s="143">
        <v>46083</v>
      </c>
      <c r="L541" s="143">
        <v>46035</v>
      </c>
      <c r="M541">
        <v>52025</v>
      </c>
      <c r="N541" t="s">
        <v>771</v>
      </c>
      <c r="O541">
        <v>2001</v>
      </c>
      <c r="S541" t="s">
        <v>781</v>
      </c>
      <c r="T541" t="s">
        <v>772</v>
      </c>
    </row>
    <row r="542" spans="1:20" x14ac:dyDescent="0.25">
      <c r="A542">
        <v>5100422075</v>
      </c>
      <c r="B542">
        <v>24927</v>
      </c>
      <c r="C542" t="s">
        <v>768</v>
      </c>
      <c r="D542" s="143">
        <v>46035</v>
      </c>
      <c r="E542" s="55">
        <v>52888.82</v>
      </c>
      <c r="F542" t="s">
        <v>769</v>
      </c>
      <c r="G542">
        <v>1500097957</v>
      </c>
      <c r="H542" t="s">
        <v>755</v>
      </c>
      <c r="I542" t="s">
        <v>770</v>
      </c>
      <c r="K542" s="143">
        <v>46083</v>
      </c>
      <c r="L542" s="143">
        <v>46035</v>
      </c>
      <c r="M542">
        <v>62025</v>
      </c>
      <c r="N542" t="s">
        <v>771</v>
      </c>
      <c r="O542">
        <v>2001</v>
      </c>
      <c r="S542" t="s">
        <v>781</v>
      </c>
      <c r="T542" t="s">
        <v>772</v>
      </c>
    </row>
    <row r="543" spans="1:20" x14ac:dyDescent="0.25">
      <c r="A543">
        <v>5100422076</v>
      </c>
      <c r="B543">
        <v>24927</v>
      </c>
      <c r="C543" t="s">
        <v>768</v>
      </c>
      <c r="D543" s="143">
        <v>46035</v>
      </c>
      <c r="E543" s="55">
        <v>41733.67</v>
      </c>
      <c r="F543" t="s">
        <v>769</v>
      </c>
      <c r="G543">
        <v>1500097957</v>
      </c>
      <c r="H543" t="s">
        <v>755</v>
      </c>
      <c r="I543" t="s">
        <v>770</v>
      </c>
      <c r="K543" s="143">
        <v>46083</v>
      </c>
      <c r="L543" s="143">
        <v>46035</v>
      </c>
      <c r="M543">
        <v>72025</v>
      </c>
      <c r="N543" t="s">
        <v>771</v>
      </c>
      <c r="O543">
        <v>2001</v>
      </c>
      <c r="S543" t="s">
        <v>781</v>
      </c>
      <c r="T543" t="s">
        <v>772</v>
      </c>
    </row>
    <row r="544" spans="1:20" x14ac:dyDescent="0.25">
      <c r="A544">
        <v>5100422077</v>
      </c>
      <c r="B544">
        <v>24927</v>
      </c>
      <c r="C544" t="s">
        <v>768</v>
      </c>
      <c r="D544" s="143">
        <v>46035</v>
      </c>
      <c r="E544" s="55">
        <v>16846.5</v>
      </c>
      <c r="F544" t="s">
        <v>769</v>
      </c>
      <c r="G544">
        <v>1500097957</v>
      </c>
      <c r="H544" t="s">
        <v>755</v>
      </c>
      <c r="I544" t="s">
        <v>770</v>
      </c>
      <c r="K544" s="143">
        <v>46083</v>
      </c>
      <c r="L544" s="143">
        <v>46035</v>
      </c>
      <c r="M544">
        <v>82025</v>
      </c>
      <c r="N544" t="s">
        <v>771</v>
      </c>
      <c r="O544">
        <v>2001</v>
      </c>
      <c r="S544" t="s">
        <v>781</v>
      </c>
      <c r="T544" t="s">
        <v>772</v>
      </c>
    </row>
    <row r="545" spans="1:20" x14ac:dyDescent="0.25">
      <c r="A545">
        <v>5100422078</v>
      </c>
      <c r="B545">
        <v>24927</v>
      </c>
      <c r="C545" t="s">
        <v>768</v>
      </c>
      <c r="D545" s="143">
        <v>46035</v>
      </c>
      <c r="E545" s="55">
        <v>6085.54</v>
      </c>
      <c r="F545" t="s">
        <v>769</v>
      </c>
      <c r="G545">
        <v>1500097957</v>
      </c>
      <c r="H545" t="s">
        <v>755</v>
      </c>
      <c r="I545" t="s">
        <v>770</v>
      </c>
      <c r="K545" s="143">
        <v>46083</v>
      </c>
      <c r="L545" s="143">
        <v>46035</v>
      </c>
      <c r="M545">
        <v>92025</v>
      </c>
      <c r="N545" t="s">
        <v>771</v>
      </c>
      <c r="O545">
        <v>2001</v>
      </c>
      <c r="S545" t="s">
        <v>781</v>
      </c>
      <c r="T545" t="s">
        <v>772</v>
      </c>
    </row>
    <row r="546" spans="1:20" x14ac:dyDescent="0.25">
      <c r="A546">
        <v>5100422093</v>
      </c>
      <c r="B546">
        <v>26138</v>
      </c>
      <c r="C546" t="s">
        <v>768</v>
      </c>
      <c r="D546" s="143">
        <v>46035</v>
      </c>
      <c r="E546" s="55">
        <v>3711.61</v>
      </c>
      <c r="F546" t="s">
        <v>769</v>
      </c>
      <c r="G546">
        <v>1500038758</v>
      </c>
      <c r="H546" t="s">
        <v>755</v>
      </c>
      <c r="I546" t="s">
        <v>770</v>
      </c>
      <c r="K546" s="143">
        <v>46069</v>
      </c>
      <c r="L546" s="143">
        <v>46035</v>
      </c>
      <c r="M546">
        <v>12025</v>
      </c>
      <c r="N546" t="s">
        <v>771</v>
      </c>
      <c r="O546">
        <v>2001</v>
      </c>
      <c r="S546">
        <v>514526</v>
      </c>
      <c r="T546" t="s">
        <v>772</v>
      </c>
    </row>
    <row r="547" spans="1:20" x14ac:dyDescent="0.25">
      <c r="A547">
        <v>5100422094</v>
      </c>
      <c r="B547">
        <v>26138</v>
      </c>
      <c r="C547" t="s">
        <v>768</v>
      </c>
      <c r="D547" s="143">
        <v>46035</v>
      </c>
      <c r="E547" s="55">
        <v>43225.54</v>
      </c>
      <c r="F547" t="s">
        <v>769</v>
      </c>
      <c r="G547">
        <v>1500038758</v>
      </c>
      <c r="H547" t="s">
        <v>755</v>
      </c>
      <c r="I547" t="s">
        <v>770</v>
      </c>
      <c r="K547" s="143">
        <v>46069</v>
      </c>
      <c r="L547" s="143">
        <v>46035</v>
      </c>
      <c r="M547">
        <v>12025</v>
      </c>
      <c r="N547" t="s">
        <v>771</v>
      </c>
      <c r="O547">
        <v>2001</v>
      </c>
      <c r="S547">
        <v>514526</v>
      </c>
      <c r="T547" t="s">
        <v>772</v>
      </c>
    </row>
    <row r="548" spans="1:20" x14ac:dyDescent="0.25">
      <c r="A548">
        <v>5100422095</v>
      </c>
      <c r="B548">
        <v>26138</v>
      </c>
      <c r="C548" t="s">
        <v>768</v>
      </c>
      <c r="D548" s="143">
        <v>46035</v>
      </c>
      <c r="E548" s="55">
        <v>14155.07</v>
      </c>
      <c r="F548" t="s">
        <v>769</v>
      </c>
      <c r="G548">
        <v>1500038758</v>
      </c>
      <c r="H548" t="s">
        <v>755</v>
      </c>
      <c r="I548" t="s">
        <v>770</v>
      </c>
      <c r="K548" s="143">
        <v>46069</v>
      </c>
      <c r="L548" s="143">
        <v>46035</v>
      </c>
      <c r="M548">
        <v>22025</v>
      </c>
      <c r="N548" t="s">
        <v>771</v>
      </c>
      <c r="O548">
        <v>2001</v>
      </c>
      <c r="S548">
        <v>514526</v>
      </c>
      <c r="T548" t="s">
        <v>772</v>
      </c>
    </row>
    <row r="549" spans="1:20" x14ac:dyDescent="0.25">
      <c r="A549">
        <v>5100422096</v>
      </c>
      <c r="B549">
        <v>26138</v>
      </c>
      <c r="C549" t="s">
        <v>768</v>
      </c>
      <c r="D549" s="143">
        <v>46035</v>
      </c>
      <c r="E549" s="55">
        <v>57150.34</v>
      </c>
      <c r="F549" t="s">
        <v>769</v>
      </c>
      <c r="G549">
        <v>1500038758</v>
      </c>
      <c r="H549" t="s">
        <v>755</v>
      </c>
      <c r="I549" t="s">
        <v>770</v>
      </c>
      <c r="K549" s="143">
        <v>46069</v>
      </c>
      <c r="L549" s="143">
        <v>46035</v>
      </c>
      <c r="M549">
        <v>22025</v>
      </c>
      <c r="N549" t="s">
        <v>771</v>
      </c>
      <c r="O549">
        <v>2001</v>
      </c>
      <c r="S549">
        <v>514526</v>
      </c>
      <c r="T549" t="s">
        <v>772</v>
      </c>
    </row>
    <row r="550" spans="1:20" x14ac:dyDescent="0.25">
      <c r="A550">
        <v>5100422097</v>
      </c>
      <c r="B550">
        <v>26138</v>
      </c>
      <c r="C550" t="s">
        <v>768</v>
      </c>
      <c r="D550" s="143">
        <v>46035</v>
      </c>
      <c r="E550" s="55">
        <v>6232.85</v>
      </c>
      <c r="F550" t="s">
        <v>769</v>
      </c>
      <c r="G550">
        <v>1500038758</v>
      </c>
      <c r="H550" t="s">
        <v>755</v>
      </c>
      <c r="I550" t="s">
        <v>770</v>
      </c>
      <c r="K550" s="143">
        <v>46069</v>
      </c>
      <c r="L550" s="143">
        <v>46035</v>
      </c>
      <c r="M550">
        <v>32025</v>
      </c>
      <c r="N550" t="s">
        <v>771</v>
      </c>
      <c r="O550">
        <v>2001</v>
      </c>
      <c r="S550">
        <v>514526</v>
      </c>
      <c r="T550" t="s">
        <v>772</v>
      </c>
    </row>
    <row r="551" spans="1:20" x14ac:dyDescent="0.25">
      <c r="A551">
        <v>5100422098</v>
      </c>
      <c r="B551">
        <v>26138</v>
      </c>
      <c r="C551" t="s">
        <v>768</v>
      </c>
      <c r="D551" s="143">
        <v>46035</v>
      </c>
      <c r="E551" s="55">
        <v>23442.32</v>
      </c>
      <c r="F551" t="s">
        <v>769</v>
      </c>
      <c r="G551">
        <v>1500038758</v>
      </c>
      <c r="H551" t="s">
        <v>755</v>
      </c>
      <c r="I551" t="s">
        <v>770</v>
      </c>
      <c r="K551" s="143">
        <v>46069</v>
      </c>
      <c r="L551" s="143">
        <v>46035</v>
      </c>
      <c r="M551">
        <v>32025</v>
      </c>
      <c r="N551" t="s">
        <v>771</v>
      </c>
      <c r="O551">
        <v>2001</v>
      </c>
      <c r="S551">
        <v>514526</v>
      </c>
      <c r="T551" t="s">
        <v>772</v>
      </c>
    </row>
    <row r="552" spans="1:20" x14ac:dyDescent="0.25">
      <c r="A552">
        <v>5100422099</v>
      </c>
      <c r="B552">
        <v>26138</v>
      </c>
      <c r="C552" t="s">
        <v>768</v>
      </c>
      <c r="D552" s="143">
        <v>46035</v>
      </c>
      <c r="E552" s="55">
        <v>8882.4699999999993</v>
      </c>
      <c r="F552" t="s">
        <v>769</v>
      </c>
      <c r="G552">
        <v>1500038758</v>
      </c>
      <c r="H552" t="s">
        <v>755</v>
      </c>
      <c r="I552" t="s">
        <v>770</v>
      </c>
      <c r="K552" s="143">
        <v>46069</v>
      </c>
      <c r="L552" s="143">
        <v>46035</v>
      </c>
      <c r="M552">
        <v>42025</v>
      </c>
      <c r="N552" t="s">
        <v>771</v>
      </c>
      <c r="O552">
        <v>2001</v>
      </c>
      <c r="S552">
        <v>514526</v>
      </c>
      <c r="T552" t="s">
        <v>772</v>
      </c>
    </row>
    <row r="553" spans="1:20" x14ac:dyDescent="0.25">
      <c r="A553">
        <v>5100422100</v>
      </c>
      <c r="B553">
        <v>26138</v>
      </c>
      <c r="C553" t="s">
        <v>768</v>
      </c>
      <c r="D553" s="143">
        <v>46035</v>
      </c>
      <c r="E553">
        <v>73.37</v>
      </c>
      <c r="F553" t="s">
        <v>769</v>
      </c>
      <c r="G553">
        <v>1500038758</v>
      </c>
      <c r="H553" t="s">
        <v>755</v>
      </c>
      <c r="I553" t="s">
        <v>770</v>
      </c>
      <c r="K553" s="143">
        <v>46069</v>
      </c>
      <c r="L553" s="143">
        <v>46035</v>
      </c>
      <c r="M553">
        <v>42025</v>
      </c>
      <c r="N553" t="s">
        <v>771</v>
      </c>
      <c r="O553">
        <v>2001</v>
      </c>
      <c r="S553">
        <v>514526</v>
      </c>
      <c r="T553" t="s">
        <v>772</v>
      </c>
    </row>
    <row r="554" spans="1:20" x14ac:dyDescent="0.25">
      <c r="A554">
        <v>5100422101</v>
      </c>
      <c r="B554">
        <v>26138</v>
      </c>
      <c r="C554" t="s">
        <v>768</v>
      </c>
      <c r="D554" s="143">
        <v>46035</v>
      </c>
      <c r="E554" s="55">
        <v>23541.65</v>
      </c>
      <c r="F554" t="s">
        <v>769</v>
      </c>
      <c r="G554">
        <v>1500038758</v>
      </c>
      <c r="H554" t="s">
        <v>755</v>
      </c>
      <c r="I554" t="s">
        <v>770</v>
      </c>
      <c r="K554" s="143">
        <v>46069</v>
      </c>
      <c r="L554" s="143">
        <v>46035</v>
      </c>
      <c r="M554">
        <v>52025</v>
      </c>
      <c r="N554" t="s">
        <v>771</v>
      </c>
      <c r="O554">
        <v>2001</v>
      </c>
      <c r="S554">
        <v>514526</v>
      </c>
      <c r="T554" t="s">
        <v>772</v>
      </c>
    </row>
    <row r="555" spans="1:20" x14ac:dyDescent="0.25">
      <c r="A555">
        <v>5100422102</v>
      </c>
      <c r="B555">
        <v>26138</v>
      </c>
      <c r="C555" t="s">
        <v>768</v>
      </c>
      <c r="D555" s="143">
        <v>46035</v>
      </c>
      <c r="E555" s="55">
        <v>55625.59</v>
      </c>
      <c r="F555" t="s">
        <v>769</v>
      </c>
      <c r="G555">
        <v>1500038758</v>
      </c>
      <c r="H555" t="s">
        <v>755</v>
      </c>
      <c r="I555" t="s">
        <v>770</v>
      </c>
      <c r="K555" s="143">
        <v>46069</v>
      </c>
      <c r="L555" s="143">
        <v>46035</v>
      </c>
      <c r="M555">
        <v>52025</v>
      </c>
      <c r="N555" t="s">
        <v>771</v>
      </c>
      <c r="O555">
        <v>2001</v>
      </c>
      <c r="S555">
        <v>514526</v>
      </c>
      <c r="T555" t="s">
        <v>772</v>
      </c>
    </row>
    <row r="556" spans="1:20" x14ac:dyDescent="0.25">
      <c r="A556">
        <v>5100422103</v>
      </c>
      <c r="B556">
        <v>26138</v>
      </c>
      <c r="C556" t="s">
        <v>768</v>
      </c>
      <c r="D556" s="143">
        <v>46035</v>
      </c>
      <c r="E556">
        <v>211.04</v>
      </c>
      <c r="F556" t="s">
        <v>769</v>
      </c>
      <c r="G556">
        <v>1500038758</v>
      </c>
      <c r="H556" t="s">
        <v>755</v>
      </c>
      <c r="I556" t="s">
        <v>770</v>
      </c>
      <c r="K556" s="143">
        <v>46069</v>
      </c>
      <c r="L556" s="143">
        <v>46035</v>
      </c>
      <c r="M556">
        <v>62025</v>
      </c>
      <c r="N556" t="s">
        <v>771</v>
      </c>
      <c r="O556">
        <v>2001</v>
      </c>
      <c r="S556">
        <v>514526</v>
      </c>
      <c r="T556" t="s">
        <v>772</v>
      </c>
    </row>
    <row r="557" spans="1:20" x14ac:dyDescent="0.25">
      <c r="A557">
        <v>5100422104</v>
      </c>
      <c r="B557">
        <v>26138</v>
      </c>
      <c r="C557" t="s">
        <v>768</v>
      </c>
      <c r="D557" s="143">
        <v>46035</v>
      </c>
      <c r="E557" s="55">
        <v>18305.32</v>
      </c>
      <c r="F557" t="s">
        <v>769</v>
      </c>
      <c r="G557">
        <v>1500038758</v>
      </c>
      <c r="H557" t="s">
        <v>755</v>
      </c>
      <c r="I557" t="s">
        <v>770</v>
      </c>
      <c r="K557" s="143">
        <v>46069</v>
      </c>
      <c r="L557" s="143">
        <v>46035</v>
      </c>
      <c r="M557">
        <v>62025</v>
      </c>
      <c r="N557" t="s">
        <v>771</v>
      </c>
      <c r="O557">
        <v>2001</v>
      </c>
      <c r="S557">
        <v>514526</v>
      </c>
      <c r="T557" t="s">
        <v>772</v>
      </c>
    </row>
    <row r="558" spans="1:20" x14ac:dyDescent="0.25">
      <c r="A558">
        <v>5100422105</v>
      </c>
      <c r="B558">
        <v>26138</v>
      </c>
      <c r="C558" t="s">
        <v>768</v>
      </c>
      <c r="D558" s="143">
        <v>46035</v>
      </c>
      <c r="E558" s="55">
        <v>10834.66</v>
      </c>
      <c r="F558" t="s">
        <v>769</v>
      </c>
      <c r="G558">
        <v>1500038758</v>
      </c>
      <c r="H558" t="s">
        <v>755</v>
      </c>
      <c r="I558" t="s">
        <v>770</v>
      </c>
      <c r="K558" s="143">
        <v>46069</v>
      </c>
      <c r="L558" s="143">
        <v>46035</v>
      </c>
      <c r="M558">
        <v>72025</v>
      </c>
      <c r="N558" t="s">
        <v>771</v>
      </c>
      <c r="O558">
        <v>2001</v>
      </c>
      <c r="S558">
        <v>514526</v>
      </c>
      <c r="T558" t="s">
        <v>772</v>
      </c>
    </row>
    <row r="559" spans="1:20" x14ac:dyDescent="0.25">
      <c r="A559">
        <v>5100422106</v>
      </c>
      <c r="B559">
        <v>26138</v>
      </c>
      <c r="C559" t="s">
        <v>768</v>
      </c>
      <c r="D559" s="143">
        <v>46035</v>
      </c>
      <c r="E559" s="55">
        <v>3972.03</v>
      </c>
      <c r="F559" t="s">
        <v>769</v>
      </c>
      <c r="G559">
        <v>1500038758</v>
      </c>
      <c r="H559" t="s">
        <v>755</v>
      </c>
      <c r="I559" t="s">
        <v>770</v>
      </c>
      <c r="K559" s="143">
        <v>46069</v>
      </c>
      <c r="L559" s="143">
        <v>46035</v>
      </c>
      <c r="M559">
        <v>82025</v>
      </c>
      <c r="N559" t="s">
        <v>771</v>
      </c>
      <c r="O559">
        <v>2001</v>
      </c>
      <c r="S559">
        <v>514526</v>
      </c>
      <c r="T559" t="s">
        <v>772</v>
      </c>
    </row>
    <row r="560" spans="1:20" x14ac:dyDescent="0.25">
      <c r="A560">
        <v>5100422109</v>
      </c>
      <c r="B560">
        <v>26393</v>
      </c>
      <c r="C560" t="s">
        <v>768</v>
      </c>
      <c r="D560" s="143">
        <v>46035</v>
      </c>
      <c r="E560" s="55">
        <v>259716.66</v>
      </c>
      <c r="F560" t="s">
        <v>769</v>
      </c>
      <c r="G560">
        <v>1500087632</v>
      </c>
      <c r="H560" t="s">
        <v>755</v>
      </c>
      <c r="I560" t="s">
        <v>770</v>
      </c>
      <c r="K560" s="143">
        <v>46076</v>
      </c>
      <c r="L560" s="143">
        <v>46035</v>
      </c>
      <c r="M560">
        <v>92025</v>
      </c>
      <c r="N560" t="s">
        <v>771</v>
      </c>
      <c r="O560">
        <v>2001</v>
      </c>
      <c r="S560">
        <v>514085</v>
      </c>
      <c r="T560" t="s">
        <v>772</v>
      </c>
    </row>
    <row r="561" spans="1:20" x14ac:dyDescent="0.25">
      <c r="A561">
        <v>5100422110</v>
      </c>
      <c r="B561">
        <v>26831</v>
      </c>
      <c r="C561" t="s">
        <v>768</v>
      </c>
      <c r="D561" s="143">
        <v>46035</v>
      </c>
      <c r="E561" s="55">
        <v>145051.29999999999</v>
      </c>
      <c r="F561" t="s">
        <v>769</v>
      </c>
      <c r="G561">
        <v>1500061117</v>
      </c>
      <c r="H561" t="s">
        <v>755</v>
      </c>
      <c r="I561" t="s">
        <v>770</v>
      </c>
      <c r="K561" s="143">
        <v>46098</v>
      </c>
      <c r="L561" s="143">
        <v>46035</v>
      </c>
      <c r="M561">
        <v>12025</v>
      </c>
      <c r="N561" t="s">
        <v>771</v>
      </c>
      <c r="O561">
        <v>2001</v>
      </c>
      <c r="S561" t="s">
        <v>778</v>
      </c>
      <c r="T561" t="s">
        <v>772</v>
      </c>
    </row>
    <row r="562" spans="1:20" x14ac:dyDescent="0.25">
      <c r="A562">
        <v>5100422111</v>
      </c>
      <c r="B562">
        <v>26831</v>
      </c>
      <c r="C562" t="s">
        <v>768</v>
      </c>
      <c r="D562" s="143">
        <v>46035</v>
      </c>
      <c r="E562" s="55">
        <v>74961.539999999994</v>
      </c>
      <c r="F562" t="s">
        <v>769</v>
      </c>
      <c r="G562">
        <v>1500061117</v>
      </c>
      <c r="H562" t="s">
        <v>755</v>
      </c>
      <c r="I562" t="s">
        <v>770</v>
      </c>
      <c r="K562" s="143">
        <v>46098</v>
      </c>
      <c r="L562" s="143">
        <v>46035</v>
      </c>
      <c r="M562">
        <v>22025</v>
      </c>
      <c r="N562" t="s">
        <v>771</v>
      </c>
      <c r="O562">
        <v>2001</v>
      </c>
      <c r="S562" t="s">
        <v>778</v>
      </c>
      <c r="T562" t="s">
        <v>772</v>
      </c>
    </row>
    <row r="563" spans="1:20" x14ac:dyDescent="0.25">
      <c r="A563">
        <v>5100422112</v>
      </c>
      <c r="B563">
        <v>26831</v>
      </c>
      <c r="C563" t="s">
        <v>768</v>
      </c>
      <c r="D563" s="143">
        <v>46035</v>
      </c>
      <c r="E563" s="55">
        <v>74497.37</v>
      </c>
      <c r="F563" t="s">
        <v>769</v>
      </c>
      <c r="G563">
        <v>1500061117</v>
      </c>
      <c r="H563" t="s">
        <v>755</v>
      </c>
      <c r="I563" t="s">
        <v>770</v>
      </c>
      <c r="K563" s="143">
        <v>46098</v>
      </c>
      <c r="L563" s="143">
        <v>46035</v>
      </c>
      <c r="M563">
        <v>32025</v>
      </c>
      <c r="N563" t="s">
        <v>771</v>
      </c>
      <c r="O563">
        <v>2001</v>
      </c>
      <c r="S563" t="s">
        <v>778</v>
      </c>
      <c r="T563" t="s">
        <v>772</v>
      </c>
    </row>
    <row r="564" spans="1:20" x14ac:dyDescent="0.25">
      <c r="A564">
        <v>5100422113</v>
      </c>
      <c r="B564">
        <v>26831</v>
      </c>
      <c r="C564" t="s">
        <v>768</v>
      </c>
      <c r="D564" s="143">
        <v>46035</v>
      </c>
      <c r="E564" s="55">
        <v>2421.4699999999998</v>
      </c>
      <c r="F564" t="s">
        <v>769</v>
      </c>
      <c r="G564">
        <v>1500061117</v>
      </c>
      <c r="H564" t="s">
        <v>755</v>
      </c>
      <c r="I564" t="s">
        <v>770</v>
      </c>
      <c r="K564" s="143">
        <v>46098</v>
      </c>
      <c r="L564" s="143">
        <v>46035</v>
      </c>
      <c r="M564">
        <v>42025</v>
      </c>
      <c r="N564" t="s">
        <v>771</v>
      </c>
      <c r="O564">
        <v>2001</v>
      </c>
      <c r="S564" t="s">
        <v>778</v>
      </c>
      <c r="T564" t="s">
        <v>772</v>
      </c>
    </row>
    <row r="565" spans="1:20" x14ac:dyDescent="0.25">
      <c r="A565">
        <v>5100422114</v>
      </c>
      <c r="B565">
        <v>26831</v>
      </c>
      <c r="C565" t="s">
        <v>768</v>
      </c>
      <c r="D565" s="143">
        <v>46035</v>
      </c>
      <c r="E565" s="55">
        <v>16638.25</v>
      </c>
      <c r="F565" t="s">
        <v>769</v>
      </c>
      <c r="G565">
        <v>1500061117</v>
      </c>
      <c r="H565" t="s">
        <v>755</v>
      </c>
      <c r="I565" t="s">
        <v>770</v>
      </c>
      <c r="K565" s="143">
        <v>46098</v>
      </c>
      <c r="L565" s="143">
        <v>46035</v>
      </c>
      <c r="M565">
        <v>52025</v>
      </c>
      <c r="N565" t="s">
        <v>771</v>
      </c>
      <c r="O565">
        <v>2001</v>
      </c>
      <c r="S565" t="s">
        <v>778</v>
      </c>
      <c r="T565" t="s">
        <v>772</v>
      </c>
    </row>
    <row r="566" spans="1:20" x14ac:dyDescent="0.25">
      <c r="A566">
        <v>5100422115</v>
      </c>
      <c r="B566">
        <v>26831</v>
      </c>
      <c r="C566" t="s">
        <v>768</v>
      </c>
      <c r="D566" s="143">
        <v>46035</v>
      </c>
      <c r="E566" s="55">
        <v>22680.15</v>
      </c>
      <c r="F566" t="s">
        <v>769</v>
      </c>
      <c r="G566">
        <v>1500061117</v>
      </c>
      <c r="H566" t="s">
        <v>755</v>
      </c>
      <c r="I566" t="s">
        <v>770</v>
      </c>
      <c r="K566" s="143">
        <v>46098</v>
      </c>
      <c r="L566" s="143">
        <v>46035</v>
      </c>
      <c r="M566">
        <v>62025</v>
      </c>
      <c r="N566" t="s">
        <v>771</v>
      </c>
      <c r="O566">
        <v>2001</v>
      </c>
      <c r="S566" t="s">
        <v>778</v>
      </c>
      <c r="T566" t="s">
        <v>772</v>
      </c>
    </row>
    <row r="567" spans="1:20" x14ac:dyDescent="0.25">
      <c r="A567">
        <v>5100422518</v>
      </c>
      <c r="B567">
        <v>32169</v>
      </c>
      <c r="C567" t="s">
        <v>768</v>
      </c>
      <c r="D567" s="143">
        <v>46035</v>
      </c>
      <c r="E567" s="55">
        <v>51522.27</v>
      </c>
      <c r="F567" t="s">
        <v>769</v>
      </c>
      <c r="G567">
        <v>1500087633</v>
      </c>
      <c r="H567" t="s">
        <v>755</v>
      </c>
      <c r="I567" t="s">
        <v>770</v>
      </c>
      <c r="K567" s="143">
        <v>46076</v>
      </c>
      <c r="L567" s="143">
        <v>46035</v>
      </c>
      <c r="M567">
        <v>92025</v>
      </c>
      <c r="N567" t="s">
        <v>771</v>
      </c>
      <c r="O567">
        <v>2001</v>
      </c>
      <c r="S567">
        <v>0</v>
      </c>
      <c r="T567" t="s">
        <v>772</v>
      </c>
    </row>
    <row r="568" spans="1:20" x14ac:dyDescent="0.25">
      <c r="A568">
        <v>5100422519</v>
      </c>
      <c r="B568">
        <v>32169</v>
      </c>
      <c r="C568" t="s">
        <v>768</v>
      </c>
      <c r="D568" s="143">
        <v>46035</v>
      </c>
      <c r="E568" s="55">
        <v>65366.26</v>
      </c>
      <c r="F568" t="s">
        <v>769</v>
      </c>
      <c r="G568">
        <v>1500087633</v>
      </c>
      <c r="H568" t="s">
        <v>755</v>
      </c>
      <c r="I568" t="s">
        <v>770</v>
      </c>
      <c r="K568" s="143">
        <v>46076</v>
      </c>
      <c r="L568" s="143">
        <v>46035</v>
      </c>
      <c r="M568">
        <v>102025</v>
      </c>
      <c r="N568" t="s">
        <v>771</v>
      </c>
      <c r="O568">
        <v>2001</v>
      </c>
      <c r="S568">
        <v>0</v>
      </c>
      <c r="T568" t="s">
        <v>772</v>
      </c>
    </row>
    <row r="569" spans="1:20" x14ac:dyDescent="0.25">
      <c r="A569">
        <v>5100422517</v>
      </c>
      <c r="B569">
        <v>32169</v>
      </c>
      <c r="C569" t="s">
        <v>768</v>
      </c>
      <c r="D569" s="143">
        <v>46035</v>
      </c>
      <c r="E569" s="55">
        <v>289760.21000000002</v>
      </c>
      <c r="F569" t="s">
        <v>769</v>
      </c>
      <c r="G569">
        <v>1500087633</v>
      </c>
      <c r="H569" t="s">
        <v>755</v>
      </c>
      <c r="I569" t="s">
        <v>770</v>
      </c>
      <c r="K569" s="143">
        <v>46076</v>
      </c>
      <c r="L569" s="143">
        <v>46035</v>
      </c>
      <c r="M569">
        <v>22025</v>
      </c>
      <c r="N569" t="s">
        <v>771</v>
      </c>
      <c r="O569">
        <v>2001</v>
      </c>
      <c r="S569">
        <v>514236</v>
      </c>
      <c r="T569" t="s">
        <v>772</v>
      </c>
    </row>
    <row r="570" spans="1:20" x14ac:dyDescent="0.25">
      <c r="A570">
        <v>5100422756</v>
      </c>
      <c r="B570">
        <v>36152</v>
      </c>
      <c r="C570" t="s">
        <v>768</v>
      </c>
      <c r="D570" s="143">
        <v>46035</v>
      </c>
      <c r="E570" s="55">
        <v>40404.769999999997</v>
      </c>
      <c r="F570" t="s">
        <v>769</v>
      </c>
      <c r="G570">
        <v>1500032790</v>
      </c>
      <c r="H570" t="s">
        <v>755</v>
      </c>
      <c r="I570" t="s">
        <v>770</v>
      </c>
      <c r="K570" s="143">
        <v>46083</v>
      </c>
      <c r="L570" s="143">
        <v>46035</v>
      </c>
      <c r="M570">
        <v>12025</v>
      </c>
      <c r="N570" t="s">
        <v>771</v>
      </c>
      <c r="O570">
        <v>2001</v>
      </c>
      <c r="S570">
        <v>515086</v>
      </c>
      <c r="T570" t="s">
        <v>772</v>
      </c>
    </row>
    <row r="571" spans="1:20" x14ac:dyDescent="0.25">
      <c r="A571">
        <v>5100422758</v>
      </c>
      <c r="B571">
        <v>36152</v>
      </c>
      <c r="C571" t="s">
        <v>768</v>
      </c>
      <c r="D571" s="143">
        <v>46035</v>
      </c>
      <c r="E571" s="55">
        <v>31881.99</v>
      </c>
      <c r="F571" t="s">
        <v>769</v>
      </c>
      <c r="G571">
        <v>1500032790</v>
      </c>
      <c r="H571" t="s">
        <v>755</v>
      </c>
      <c r="I571" t="s">
        <v>770</v>
      </c>
      <c r="K571" s="143">
        <v>46083</v>
      </c>
      <c r="L571" s="143">
        <v>46035</v>
      </c>
      <c r="M571">
        <v>22025</v>
      </c>
      <c r="N571" t="s">
        <v>771</v>
      </c>
      <c r="O571">
        <v>2001</v>
      </c>
      <c r="S571">
        <v>515086</v>
      </c>
      <c r="T571" t="s">
        <v>772</v>
      </c>
    </row>
    <row r="572" spans="1:20" x14ac:dyDescent="0.25">
      <c r="A572">
        <v>5100422760</v>
      </c>
      <c r="B572">
        <v>36152</v>
      </c>
      <c r="C572" t="s">
        <v>768</v>
      </c>
      <c r="D572" s="143">
        <v>46035</v>
      </c>
      <c r="E572" s="55">
        <v>18186.87</v>
      </c>
      <c r="F572" t="s">
        <v>769</v>
      </c>
      <c r="G572">
        <v>1500032790</v>
      </c>
      <c r="H572" t="s">
        <v>755</v>
      </c>
      <c r="I572" t="s">
        <v>770</v>
      </c>
      <c r="K572" s="143">
        <v>46083</v>
      </c>
      <c r="L572" s="143">
        <v>46035</v>
      </c>
      <c r="M572">
        <v>32025</v>
      </c>
      <c r="N572" t="s">
        <v>771</v>
      </c>
      <c r="O572">
        <v>2001</v>
      </c>
      <c r="S572">
        <v>515086</v>
      </c>
      <c r="T572" t="s">
        <v>772</v>
      </c>
    </row>
    <row r="573" spans="1:20" x14ac:dyDescent="0.25">
      <c r="A573">
        <v>5100422761</v>
      </c>
      <c r="B573">
        <v>36152</v>
      </c>
      <c r="C573" t="s">
        <v>768</v>
      </c>
      <c r="D573" s="143">
        <v>46035</v>
      </c>
      <c r="E573">
        <v>94.11</v>
      </c>
      <c r="F573" t="s">
        <v>769</v>
      </c>
      <c r="G573">
        <v>1500032790</v>
      </c>
      <c r="H573" t="s">
        <v>755</v>
      </c>
      <c r="I573" t="s">
        <v>770</v>
      </c>
      <c r="K573" s="143">
        <v>46083</v>
      </c>
      <c r="L573" s="143">
        <v>46035</v>
      </c>
      <c r="M573">
        <v>42025</v>
      </c>
      <c r="N573" t="s">
        <v>771</v>
      </c>
      <c r="O573">
        <v>2001</v>
      </c>
      <c r="S573">
        <v>515086</v>
      </c>
      <c r="T573" t="s">
        <v>772</v>
      </c>
    </row>
    <row r="574" spans="1:20" x14ac:dyDescent="0.25">
      <c r="A574">
        <v>5100422762</v>
      </c>
      <c r="B574">
        <v>36152</v>
      </c>
      <c r="C574" t="s">
        <v>768</v>
      </c>
      <c r="D574" s="143">
        <v>46035</v>
      </c>
      <c r="E574" s="55">
        <v>94462.52</v>
      </c>
      <c r="F574" t="s">
        <v>769</v>
      </c>
      <c r="G574">
        <v>1500032790</v>
      </c>
      <c r="H574" t="s">
        <v>755</v>
      </c>
      <c r="I574" t="s">
        <v>770</v>
      </c>
      <c r="K574" s="143">
        <v>46083</v>
      </c>
      <c r="L574" s="143">
        <v>46035</v>
      </c>
      <c r="M574">
        <v>52025</v>
      </c>
      <c r="N574" t="s">
        <v>771</v>
      </c>
      <c r="O574">
        <v>2001</v>
      </c>
      <c r="S574">
        <v>515086</v>
      </c>
      <c r="T574" t="s">
        <v>772</v>
      </c>
    </row>
    <row r="575" spans="1:20" x14ac:dyDescent="0.25">
      <c r="A575">
        <v>5100422763</v>
      </c>
      <c r="B575">
        <v>36152</v>
      </c>
      <c r="C575" t="s">
        <v>768</v>
      </c>
      <c r="D575" s="143">
        <v>46035</v>
      </c>
      <c r="E575" s="55">
        <v>16758.41</v>
      </c>
      <c r="F575" t="s">
        <v>769</v>
      </c>
      <c r="G575">
        <v>1500032790</v>
      </c>
      <c r="H575" t="s">
        <v>755</v>
      </c>
      <c r="I575" t="s">
        <v>770</v>
      </c>
      <c r="K575" s="143">
        <v>46083</v>
      </c>
      <c r="L575" s="143">
        <v>46035</v>
      </c>
      <c r="M575">
        <v>62025</v>
      </c>
      <c r="N575" t="s">
        <v>771</v>
      </c>
      <c r="O575">
        <v>2001</v>
      </c>
      <c r="S575">
        <v>515086</v>
      </c>
      <c r="T575" t="s">
        <v>772</v>
      </c>
    </row>
    <row r="576" spans="1:20" x14ac:dyDescent="0.25">
      <c r="A576">
        <v>5100422765</v>
      </c>
      <c r="B576">
        <v>36152</v>
      </c>
      <c r="C576" t="s">
        <v>768</v>
      </c>
      <c r="D576" s="143">
        <v>46035</v>
      </c>
      <c r="E576" s="55">
        <v>7223.21</v>
      </c>
      <c r="F576" t="s">
        <v>769</v>
      </c>
      <c r="G576">
        <v>1500032790</v>
      </c>
      <c r="H576" t="s">
        <v>755</v>
      </c>
      <c r="I576" t="s">
        <v>770</v>
      </c>
      <c r="K576" s="143">
        <v>46083</v>
      </c>
      <c r="L576" s="143">
        <v>46035</v>
      </c>
      <c r="M576">
        <v>72025</v>
      </c>
      <c r="N576" t="s">
        <v>771</v>
      </c>
      <c r="O576">
        <v>2001</v>
      </c>
      <c r="S576">
        <v>515086</v>
      </c>
      <c r="T576" t="s">
        <v>772</v>
      </c>
    </row>
    <row r="577" spans="1:20" x14ac:dyDescent="0.25">
      <c r="A577">
        <v>5100422767</v>
      </c>
      <c r="B577">
        <v>36152</v>
      </c>
      <c r="C577" t="s">
        <v>768</v>
      </c>
      <c r="D577" s="143">
        <v>46035</v>
      </c>
      <c r="E577" s="55">
        <v>7187.18</v>
      </c>
      <c r="F577" t="s">
        <v>769</v>
      </c>
      <c r="G577">
        <v>1500032790</v>
      </c>
      <c r="H577" t="s">
        <v>755</v>
      </c>
      <c r="I577" t="s">
        <v>770</v>
      </c>
      <c r="K577" s="143">
        <v>46083</v>
      </c>
      <c r="L577" s="143">
        <v>46035</v>
      </c>
      <c r="M577">
        <v>82025</v>
      </c>
      <c r="N577" t="s">
        <v>771</v>
      </c>
      <c r="O577">
        <v>2001</v>
      </c>
      <c r="S577">
        <v>515086</v>
      </c>
      <c r="T577" t="s">
        <v>772</v>
      </c>
    </row>
    <row r="578" spans="1:20" x14ac:dyDescent="0.25">
      <c r="A578">
        <v>5100422769</v>
      </c>
      <c r="B578">
        <v>36152</v>
      </c>
      <c r="C578" t="s">
        <v>768</v>
      </c>
      <c r="D578" s="143">
        <v>46035</v>
      </c>
      <c r="E578" s="55">
        <v>21898.52</v>
      </c>
      <c r="F578" t="s">
        <v>769</v>
      </c>
      <c r="G578">
        <v>1500032790</v>
      </c>
      <c r="H578" t="s">
        <v>755</v>
      </c>
      <c r="I578" t="s">
        <v>770</v>
      </c>
      <c r="K578" s="143">
        <v>46083</v>
      </c>
      <c r="L578" s="143">
        <v>46035</v>
      </c>
      <c r="M578">
        <v>92025</v>
      </c>
      <c r="N578" t="s">
        <v>771</v>
      </c>
      <c r="O578">
        <v>2001</v>
      </c>
      <c r="S578">
        <v>515086</v>
      </c>
      <c r="T578" t="s">
        <v>772</v>
      </c>
    </row>
    <row r="579" spans="1:20" x14ac:dyDescent="0.25">
      <c r="A579">
        <v>5100422757</v>
      </c>
      <c r="B579">
        <v>36152</v>
      </c>
      <c r="C579" t="s">
        <v>768</v>
      </c>
      <c r="D579" s="143">
        <v>46035</v>
      </c>
      <c r="E579" s="55">
        <v>28221.759999999998</v>
      </c>
      <c r="F579" t="s">
        <v>769</v>
      </c>
      <c r="G579">
        <v>1500032790</v>
      </c>
      <c r="H579" t="s">
        <v>755</v>
      </c>
      <c r="I579" t="s">
        <v>770</v>
      </c>
      <c r="K579" s="143">
        <v>46083</v>
      </c>
      <c r="L579" s="143">
        <v>46035</v>
      </c>
      <c r="M579">
        <v>12025</v>
      </c>
      <c r="N579" t="s">
        <v>771</v>
      </c>
      <c r="O579">
        <v>2001</v>
      </c>
      <c r="S579">
        <v>525425</v>
      </c>
      <c r="T579" t="s">
        <v>772</v>
      </c>
    </row>
    <row r="580" spans="1:20" x14ac:dyDescent="0.25">
      <c r="A580">
        <v>5100422759</v>
      </c>
      <c r="B580">
        <v>36152</v>
      </c>
      <c r="C580" t="s">
        <v>768</v>
      </c>
      <c r="D580" s="143">
        <v>46035</v>
      </c>
      <c r="E580" s="55">
        <v>7055.44</v>
      </c>
      <c r="F580" t="s">
        <v>769</v>
      </c>
      <c r="G580">
        <v>1500032790</v>
      </c>
      <c r="H580" t="s">
        <v>755</v>
      </c>
      <c r="I580" t="s">
        <v>770</v>
      </c>
      <c r="K580" s="143">
        <v>46083</v>
      </c>
      <c r="L580" s="143">
        <v>46035</v>
      </c>
      <c r="M580">
        <v>22025</v>
      </c>
      <c r="N580" t="s">
        <v>771</v>
      </c>
      <c r="O580">
        <v>2001</v>
      </c>
      <c r="S580">
        <v>525425</v>
      </c>
      <c r="T580" t="s">
        <v>772</v>
      </c>
    </row>
    <row r="581" spans="1:20" x14ac:dyDescent="0.25">
      <c r="A581">
        <v>5100422764</v>
      </c>
      <c r="B581">
        <v>36152</v>
      </c>
      <c r="C581" t="s">
        <v>768</v>
      </c>
      <c r="D581" s="143">
        <v>46035</v>
      </c>
      <c r="E581" s="55">
        <v>17638.599999999999</v>
      </c>
      <c r="F581" t="s">
        <v>769</v>
      </c>
      <c r="G581">
        <v>1500032790</v>
      </c>
      <c r="H581" t="s">
        <v>755</v>
      </c>
      <c r="I581" t="s">
        <v>770</v>
      </c>
      <c r="K581" s="143">
        <v>46083</v>
      </c>
      <c r="L581" s="143">
        <v>46035</v>
      </c>
      <c r="M581">
        <v>62025</v>
      </c>
      <c r="N581" t="s">
        <v>771</v>
      </c>
      <c r="O581">
        <v>2001</v>
      </c>
      <c r="S581">
        <v>525425</v>
      </c>
      <c r="T581" t="s">
        <v>772</v>
      </c>
    </row>
    <row r="582" spans="1:20" x14ac:dyDescent="0.25">
      <c r="A582">
        <v>5100422766</v>
      </c>
      <c r="B582">
        <v>36152</v>
      </c>
      <c r="C582" t="s">
        <v>768</v>
      </c>
      <c r="D582" s="143">
        <v>46035</v>
      </c>
      <c r="E582">
        <v>266.8</v>
      </c>
      <c r="F582" t="s">
        <v>769</v>
      </c>
      <c r="G582">
        <v>1500032790</v>
      </c>
      <c r="H582" t="s">
        <v>755</v>
      </c>
      <c r="I582" t="s">
        <v>770</v>
      </c>
      <c r="K582" s="143">
        <v>46083</v>
      </c>
      <c r="L582" s="143">
        <v>46035</v>
      </c>
      <c r="M582">
        <v>72025</v>
      </c>
      <c r="N582" t="s">
        <v>771</v>
      </c>
      <c r="O582">
        <v>2001</v>
      </c>
      <c r="S582">
        <v>525425</v>
      </c>
      <c r="T582" t="s">
        <v>772</v>
      </c>
    </row>
    <row r="583" spans="1:20" x14ac:dyDescent="0.25">
      <c r="A583">
        <v>5100422768</v>
      </c>
      <c r="B583">
        <v>36152</v>
      </c>
      <c r="C583" t="s">
        <v>768</v>
      </c>
      <c r="D583" s="143">
        <v>46035</v>
      </c>
      <c r="E583" s="55">
        <v>6983.45</v>
      </c>
      <c r="F583" t="s">
        <v>769</v>
      </c>
      <c r="G583">
        <v>1500032790</v>
      </c>
      <c r="H583" t="s">
        <v>755</v>
      </c>
      <c r="I583" t="s">
        <v>770</v>
      </c>
      <c r="K583" s="143">
        <v>46083</v>
      </c>
      <c r="L583" s="143">
        <v>46035</v>
      </c>
      <c r="M583">
        <v>82025</v>
      </c>
      <c r="N583" t="s">
        <v>771</v>
      </c>
      <c r="O583">
        <v>2001</v>
      </c>
      <c r="S583">
        <v>525425</v>
      </c>
      <c r="T583" t="s">
        <v>772</v>
      </c>
    </row>
    <row r="584" spans="1:20" x14ac:dyDescent="0.25">
      <c r="A584">
        <v>5100423263</v>
      </c>
      <c r="B584">
        <v>49890</v>
      </c>
      <c r="C584" t="s">
        <v>768</v>
      </c>
      <c r="D584" s="143">
        <v>46035</v>
      </c>
      <c r="E584" s="55">
        <v>8892.7999999999993</v>
      </c>
      <c r="F584" t="s">
        <v>769</v>
      </c>
      <c r="G584">
        <v>1500098203</v>
      </c>
      <c r="H584" t="s">
        <v>755</v>
      </c>
      <c r="I584" t="s">
        <v>770</v>
      </c>
      <c r="K584" s="143">
        <v>46083</v>
      </c>
      <c r="L584" s="143">
        <v>46035</v>
      </c>
      <c r="M584">
        <v>12025</v>
      </c>
      <c r="N584" t="s">
        <v>771</v>
      </c>
      <c r="O584">
        <v>2001</v>
      </c>
      <c r="S584">
        <v>515375</v>
      </c>
      <c r="T584" t="s">
        <v>772</v>
      </c>
    </row>
    <row r="585" spans="1:20" x14ac:dyDescent="0.25">
      <c r="A585">
        <v>5100423265</v>
      </c>
      <c r="B585">
        <v>49890</v>
      </c>
      <c r="C585" t="s">
        <v>768</v>
      </c>
      <c r="D585" s="143">
        <v>46035</v>
      </c>
      <c r="E585" s="55">
        <v>129414.38</v>
      </c>
      <c r="F585" t="s">
        <v>769</v>
      </c>
      <c r="G585">
        <v>1500098203</v>
      </c>
      <c r="H585" t="s">
        <v>755</v>
      </c>
      <c r="I585" t="s">
        <v>770</v>
      </c>
      <c r="K585" s="143">
        <v>46083</v>
      </c>
      <c r="L585" s="143">
        <v>46035</v>
      </c>
      <c r="M585">
        <v>22025</v>
      </c>
      <c r="N585" t="s">
        <v>771</v>
      </c>
      <c r="O585">
        <v>2001</v>
      </c>
      <c r="S585">
        <v>515375</v>
      </c>
      <c r="T585" t="s">
        <v>772</v>
      </c>
    </row>
    <row r="586" spans="1:20" x14ac:dyDescent="0.25">
      <c r="A586">
        <v>5100423267</v>
      </c>
      <c r="B586">
        <v>49890</v>
      </c>
      <c r="C586" t="s">
        <v>768</v>
      </c>
      <c r="D586" s="143">
        <v>46035</v>
      </c>
      <c r="E586" s="55">
        <v>34016.51</v>
      </c>
      <c r="F586" t="s">
        <v>769</v>
      </c>
      <c r="G586">
        <v>1500098203</v>
      </c>
      <c r="H586" t="s">
        <v>755</v>
      </c>
      <c r="I586" t="s">
        <v>770</v>
      </c>
      <c r="K586" s="143">
        <v>46083</v>
      </c>
      <c r="L586" s="143">
        <v>46035</v>
      </c>
      <c r="M586">
        <v>32025</v>
      </c>
      <c r="N586" t="s">
        <v>771</v>
      </c>
      <c r="O586">
        <v>2001</v>
      </c>
      <c r="S586">
        <v>515375</v>
      </c>
      <c r="T586" t="s">
        <v>772</v>
      </c>
    </row>
    <row r="587" spans="1:20" x14ac:dyDescent="0.25">
      <c r="A587">
        <v>5100423269</v>
      </c>
      <c r="B587">
        <v>49890</v>
      </c>
      <c r="C587" t="s">
        <v>768</v>
      </c>
      <c r="D587" s="143">
        <v>46035</v>
      </c>
      <c r="E587" s="55">
        <v>56966.54</v>
      </c>
      <c r="F587" t="s">
        <v>769</v>
      </c>
      <c r="G587">
        <v>1500098203</v>
      </c>
      <c r="H587" t="s">
        <v>755</v>
      </c>
      <c r="I587" t="s">
        <v>770</v>
      </c>
      <c r="K587" s="143">
        <v>46083</v>
      </c>
      <c r="L587" s="143">
        <v>46035</v>
      </c>
      <c r="M587">
        <v>42025</v>
      </c>
      <c r="N587" t="s">
        <v>771</v>
      </c>
      <c r="O587">
        <v>2001</v>
      </c>
      <c r="S587">
        <v>515375</v>
      </c>
      <c r="T587" t="s">
        <v>772</v>
      </c>
    </row>
    <row r="588" spans="1:20" x14ac:dyDescent="0.25">
      <c r="A588">
        <v>5100423271</v>
      </c>
      <c r="B588">
        <v>49890</v>
      </c>
      <c r="C588" t="s">
        <v>768</v>
      </c>
      <c r="D588" s="143">
        <v>46035</v>
      </c>
      <c r="E588" s="55">
        <v>48462.03</v>
      </c>
      <c r="F588" t="s">
        <v>769</v>
      </c>
      <c r="G588">
        <v>1500098203</v>
      </c>
      <c r="H588" t="s">
        <v>755</v>
      </c>
      <c r="I588" t="s">
        <v>770</v>
      </c>
      <c r="K588" s="143">
        <v>46083</v>
      </c>
      <c r="L588" s="143">
        <v>46035</v>
      </c>
      <c r="M588">
        <v>52025</v>
      </c>
      <c r="N588" t="s">
        <v>771</v>
      </c>
      <c r="O588">
        <v>2001</v>
      </c>
      <c r="S588">
        <v>515375</v>
      </c>
      <c r="T588" t="s">
        <v>772</v>
      </c>
    </row>
    <row r="589" spans="1:20" x14ac:dyDescent="0.25">
      <c r="A589">
        <v>5100423273</v>
      </c>
      <c r="B589">
        <v>49890</v>
      </c>
      <c r="C589" t="s">
        <v>768</v>
      </c>
      <c r="D589" s="143">
        <v>46035</v>
      </c>
      <c r="E589" s="55">
        <v>23433.65</v>
      </c>
      <c r="F589" t="s">
        <v>769</v>
      </c>
      <c r="G589">
        <v>1500098203</v>
      </c>
      <c r="H589" t="s">
        <v>755</v>
      </c>
      <c r="I589" t="s">
        <v>770</v>
      </c>
      <c r="K589" s="143">
        <v>46083</v>
      </c>
      <c r="L589" s="143">
        <v>46035</v>
      </c>
      <c r="M589">
        <v>62025</v>
      </c>
      <c r="N589" t="s">
        <v>771</v>
      </c>
      <c r="O589">
        <v>2001</v>
      </c>
      <c r="S589">
        <v>515375</v>
      </c>
      <c r="T589" t="s">
        <v>772</v>
      </c>
    </row>
    <row r="590" spans="1:20" x14ac:dyDescent="0.25">
      <c r="A590">
        <v>5100423275</v>
      </c>
      <c r="B590">
        <v>49890</v>
      </c>
      <c r="C590" t="s">
        <v>768</v>
      </c>
      <c r="D590" s="143">
        <v>46035</v>
      </c>
      <c r="E590" s="55">
        <v>1331.38</v>
      </c>
      <c r="F590" t="s">
        <v>769</v>
      </c>
      <c r="G590">
        <v>1500098203</v>
      </c>
      <c r="H590" t="s">
        <v>755</v>
      </c>
      <c r="I590" t="s">
        <v>770</v>
      </c>
      <c r="K590" s="143">
        <v>46083</v>
      </c>
      <c r="L590" s="143">
        <v>46035</v>
      </c>
      <c r="M590">
        <v>72025</v>
      </c>
      <c r="N590" t="s">
        <v>771</v>
      </c>
      <c r="O590">
        <v>2001</v>
      </c>
      <c r="S590">
        <v>515375</v>
      </c>
      <c r="T590" t="s">
        <v>772</v>
      </c>
    </row>
    <row r="591" spans="1:20" x14ac:dyDescent="0.25">
      <c r="A591">
        <v>5100423277</v>
      </c>
      <c r="B591">
        <v>49890</v>
      </c>
      <c r="C591" t="s">
        <v>768</v>
      </c>
      <c r="D591" s="143">
        <v>46035</v>
      </c>
      <c r="E591">
        <v>619.20000000000005</v>
      </c>
      <c r="F591" t="s">
        <v>769</v>
      </c>
      <c r="G591">
        <v>1500098203</v>
      </c>
      <c r="H591" t="s">
        <v>755</v>
      </c>
      <c r="I591" t="s">
        <v>770</v>
      </c>
      <c r="K591" s="143">
        <v>46083</v>
      </c>
      <c r="L591" s="143">
        <v>46035</v>
      </c>
      <c r="M591">
        <v>82025</v>
      </c>
      <c r="N591" t="s">
        <v>771</v>
      </c>
      <c r="O591">
        <v>2001</v>
      </c>
      <c r="S591">
        <v>515375</v>
      </c>
      <c r="T591" t="s">
        <v>772</v>
      </c>
    </row>
    <row r="592" spans="1:20" x14ac:dyDescent="0.25">
      <c r="A592">
        <v>5100423279</v>
      </c>
      <c r="B592">
        <v>49890</v>
      </c>
      <c r="C592" t="s">
        <v>768</v>
      </c>
      <c r="D592" s="143">
        <v>46035</v>
      </c>
      <c r="E592" s="55">
        <v>1014.87</v>
      </c>
      <c r="F592" t="s">
        <v>769</v>
      </c>
      <c r="G592">
        <v>1500098203</v>
      </c>
      <c r="H592" t="s">
        <v>755</v>
      </c>
      <c r="I592" t="s">
        <v>770</v>
      </c>
      <c r="K592" s="143">
        <v>46083</v>
      </c>
      <c r="L592" s="143">
        <v>46035</v>
      </c>
      <c r="M592">
        <v>92025</v>
      </c>
      <c r="N592" t="s">
        <v>771</v>
      </c>
      <c r="O592">
        <v>2001</v>
      </c>
      <c r="S592">
        <v>515375</v>
      </c>
      <c r="T592" t="s">
        <v>772</v>
      </c>
    </row>
    <row r="593" spans="1:20" x14ac:dyDescent="0.25">
      <c r="A593">
        <v>5100423264</v>
      </c>
      <c r="B593">
        <v>49890</v>
      </c>
      <c r="C593" t="s">
        <v>768</v>
      </c>
      <c r="D593" s="143">
        <v>46035</v>
      </c>
      <c r="E593" s="55">
        <v>2539.7399999999998</v>
      </c>
      <c r="F593" t="s">
        <v>769</v>
      </c>
      <c r="G593">
        <v>1500098203</v>
      </c>
      <c r="H593" t="s">
        <v>755</v>
      </c>
      <c r="I593" t="s">
        <v>770</v>
      </c>
      <c r="K593" s="143">
        <v>46083</v>
      </c>
      <c r="L593" s="143">
        <v>46035</v>
      </c>
      <c r="M593">
        <v>12025</v>
      </c>
      <c r="N593" t="s">
        <v>771</v>
      </c>
      <c r="O593">
        <v>2001</v>
      </c>
      <c r="S593">
        <v>525449</v>
      </c>
      <c r="T593" t="s">
        <v>772</v>
      </c>
    </row>
    <row r="594" spans="1:20" x14ac:dyDescent="0.25">
      <c r="A594">
        <v>5100423266</v>
      </c>
      <c r="B594">
        <v>49890</v>
      </c>
      <c r="C594" t="s">
        <v>768</v>
      </c>
      <c r="D594" s="143">
        <v>46035</v>
      </c>
      <c r="E594" s="55">
        <v>10158.950000000001</v>
      </c>
      <c r="F594" t="s">
        <v>769</v>
      </c>
      <c r="G594">
        <v>1500098203</v>
      </c>
      <c r="H594" t="s">
        <v>755</v>
      </c>
      <c r="I594" t="s">
        <v>770</v>
      </c>
      <c r="K594" s="143">
        <v>46083</v>
      </c>
      <c r="L594" s="143">
        <v>46035</v>
      </c>
      <c r="M594">
        <v>22025</v>
      </c>
      <c r="N594" t="s">
        <v>771</v>
      </c>
      <c r="O594">
        <v>2001</v>
      </c>
      <c r="S594">
        <v>525449</v>
      </c>
      <c r="T594" t="s">
        <v>772</v>
      </c>
    </row>
    <row r="595" spans="1:20" x14ac:dyDescent="0.25">
      <c r="A595">
        <v>5100423268</v>
      </c>
      <c r="B595">
        <v>49890</v>
      </c>
      <c r="C595" t="s">
        <v>768</v>
      </c>
      <c r="D595" s="143">
        <v>46035</v>
      </c>
      <c r="E595" s="55">
        <v>4853.28</v>
      </c>
      <c r="F595" t="s">
        <v>769</v>
      </c>
      <c r="G595">
        <v>1500098203</v>
      </c>
      <c r="H595" t="s">
        <v>755</v>
      </c>
      <c r="I595" t="s">
        <v>770</v>
      </c>
      <c r="K595" s="143">
        <v>46083</v>
      </c>
      <c r="L595" s="143">
        <v>46035</v>
      </c>
      <c r="M595">
        <v>32025</v>
      </c>
      <c r="N595" t="s">
        <v>771</v>
      </c>
      <c r="O595">
        <v>2001</v>
      </c>
      <c r="S595">
        <v>525449</v>
      </c>
      <c r="T595" t="s">
        <v>772</v>
      </c>
    </row>
    <row r="596" spans="1:20" x14ac:dyDescent="0.25">
      <c r="A596">
        <v>5100423270</v>
      </c>
      <c r="B596">
        <v>49890</v>
      </c>
      <c r="C596" t="s">
        <v>768</v>
      </c>
      <c r="D596" s="143">
        <v>46035</v>
      </c>
      <c r="E596" s="55">
        <v>1166.8800000000001</v>
      </c>
      <c r="F596" t="s">
        <v>769</v>
      </c>
      <c r="G596">
        <v>1500098203</v>
      </c>
      <c r="H596" t="s">
        <v>755</v>
      </c>
      <c r="I596" t="s">
        <v>770</v>
      </c>
      <c r="K596" s="143">
        <v>46083</v>
      </c>
      <c r="L596" s="143">
        <v>46035</v>
      </c>
      <c r="M596">
        <v>42025</v>
      </c>
      <c r="N596" t="s">
        <v>771</v>
      </c>
      <c r="O596">
        <v>2001</v>
      </c>
      <c r="S596">
        <v>525449</v>
      </c>
      <c r="T596" t="s">
        <v>772</v>
      </c>
    </row>
    <row r="597" spans="1:20" x14ac:dyDescent="0.25">
      <c r="A597">
        <v>5100423272</v>
      </c>
      <c r="B597">
        <v>49890</v>
      </c>
      <c r="C597" t="s">
        <v>768</v>
      </c>
      <c r="D597" s="143">
        <v>46035</v>
      </c>
      <c r="E597" s="55">
        <v>54357.99</v>
      </c>
      <c r="F597" t="s">
        <v>769</v>
      </c>
      <c r="G597">
        <v>1500098203</v>
      </c>
      <c r="H597" t="s">
        <v>755</v>
      </c>
      <c r="I597" t="s">
        <v>770</v>
      </c>
      <c r="K597" s="143">
        <v>46083</v>
      </c>
      <c r="L597" s="143">
        <v>46035</v>
      </c>
      <c r="M597">
        <v>52025</v>
      </c>
      <c r="N597" t="s">
        <v>771</v>
      </c>
      <c r="O597">
        <v>2001</v>
      </c>
      <c r="S597">
        <v>525449</v>
      </c>
      <c r="T597" t="s">
        <v>772</v>
      </c>
    </row>
    <row r="598" spans="1:20" x14ac:dyDescent="0.25">
      <c r="A598">
        <v>5100423274</v>
      </c>
      <c r="B598">
        <v>49890</v>
      </c>
      <c r="C598" t="s">
        <v>768</v>
      </c>
      <c r="D598" s="143">
        <v>46035</v>
      </c>
      <c r="E598" s="55">
        <v>47047.05</v>
      </c>
      <c r="F598" t="s">
        <v>769</v>
      </c>
      <c r="G598">
        <v>1500098203</v>
      </c>
      <c r="H598" t="s">
        <v>755</v>
      </c>
      <c r="I598" t="s">
        <v>770</v>
      </c>
      <c r="K598" s="143">
        <v>46083</v>
      </c>
      <c r="L598" s="143">
        <v>46035</v>
      </c>
      <c r="M598">
        <v>62025</v>
      </c>
      <c r="N598" t="s">
        <v>771</v>
      </c>
      <c r="O598">
        <v>2001</v>
      </c>
      <c r="S598">
        <v>525449</v>
      </c>
      <c r="T598" t="s">
        <v>772</v>
      </c>
    </row>
    <row r="599" spans="1:20" x14ac:dyDescent="0.25">
      <c r="A599">
        <v>5100423276</v>
      </c>
      <c r="B599">
        <v>49890</v>
      </c>
      <c r="C599" t="s">
        <v>768</v>
      </c>
      <c r="D599" s="143">
        <v>46035</v>
      </c>
      <c r="E599" s="55">
        <v>31450.6</v>
      </c>
      <c r="F599" t="s">
        <v>769</v>
      </c>
      <c r="G599">
        <v>1500098203</v>
      </c>
      <c r="H599" t="s">
        <v>755</v>
      </c>
      <c r="I599" t="s">
        <v>770</v>
      </c>
      <c r="K599" s="143">
        <v>46083</v>
      </c>
      <c r="L599" s="143">
        <v>46035</v>
      </c>
      <c r="M599">
        <v>72025</v>
      </c>
      <c r="N599" t="s">
        <v>771</v>
      </c>
      <c r="O599">
        <v>2001</v>
      </c>
      <c r="S599">
        <v>525449</v>
      </c>
      <c r="T599" t="s">
        <v>772</v>
      </c>
    </row>
    <row r="600" spans="1:20" x14ac:dyDescent="0.25">
      <c r="A600">
        <v>5100423278</v>
      </c>
      <c r="B600">
        <v>49890</v>
      </c>
      <c r="C600" t="s">
        <v>768</v>
      </c>
      <c r="D600" s="143">
        <v>46035</v>
      </c>
      <c r="E600" s="55">
        <v>2564.4899999999998</v>
      </c>
      <c r="F600" t="s">
        <v>769</v>
      </c>
      <c r="G600">
        <v>1500098203</v>
      </c>
      <c r="H600" t="s">
        <v>755</v>
      </c>
      <c r="I600" t="s">
        <v>770</v>
      </c>
      <c r="K600" s="143">
        <v>46083</v>
      </c>
      <c r="L600" s="143">
        <v>46035</v>
      </c>
      <c r="M600">
        <v>82025</v>
      </c>
      <c r="N600" t="s">
        <v>771</v>
      </c>
      <c r="O600">
        <v>2001</v>
      </c>
      <c r="S600">
        <v>525449</v>
      </c>
      <c r="T600" t="s">
        <v>772</v>
      </c>
    </row>
    <row r="601" spans="1:20" x14ac:dyDescent="0.25">
      <c r="A601">
        <v>5100423281</v>
      </c>
      <c r="B601">
        <v>50153</v>
      </c>
      <c r="C601" t="s">
        <v>768</v>
      </c>
      <c r="D601" s="143">
        <v>46035</v>
      </c>
      <c r="E601" s="55">
        <v>1914.3</v>
      </c>
      <c r="F601" t="s">
        <v>769</v>
      </c>
      <c r="G601">
        <v>1500013008</v>
      </c>
      <c r="H601" t="s">
        <v>755</v>
      </c>
      <c r="I601" t="s">
        <v>770</v>
      </c>
      <c r="K601" s="143">
        <v>46083</v>
      </c>
      <c r="L601" s="143">
        <v>46035</v>
      </c>
      <c r="M601">
        <v>22025</v>
      </c>
      <c r="N601" t="s">
        <v>771</v>
      </c>
      <c r="O601">
        <v>2001</v>
      </c>
      <c r="S601">
        <v>514586</v>
      </c>
      <c r="T601" t="s">
        <v>772</v>
      </c>
    </row>
    <row r="602" spans="1:20" x14ac:dyDescent="0.25">
      <c r="A602">
        <v>5100423283</v>
      </c>
      <c r="B602">
        <v>50153</v>
      </c>
      <c r="C602" t="s">
        <v>768</v>
      </c>
      <c r="D602" s="143">
        <v>46035</v>
      </c>
      <c r="E602" s="55">
        <v>1651.91</v>
      </c>
      <c r="F602" t="s">
        <v>769</v>
      </c>
      <c r="G602">
        <v>1500013008</v>
      </c>
      <c r="H602" t="s">
        <v>755</v>
      </c>
      <c r="I602" t="s">
        <v>770</v>
      </c>
      <c r="K602" s="143">
        <v>46083</v>
      </c>
      <c r="L602" s="143">
        <v>46035</v>
      </c>
      <c r="M602">
        <v>32025</v>
      </c>
      <c r="N602" t="s">
        <v>771</v>
      </c>
      <c r="O602">
        <v>2001</v>
      </c>
      <c r="S602">
        <v>514586</v>
      </c>
      <c r="T602" t="s">
        <v>772</v>
      </c>
    </row>
    <row r="603" spans="1:20" x14ac:dyDescent="0.25">
      <c r="A603">
        <v>5100423285</v>
      </c>
      <c r="B603">
        <v>50153</v>
      </c>
      <c r="C603" t="s">
        <v>768</v>
      </c>
      <c r="D603" s="143">
        <v>46035</v>
      </c>
      <c r="E603" s="55">
        <v>1905.34</v>
      </c>
      <c r="F603" t="s">
        <v>769</v>
      </c>
      <c r="G603">
        <v>1500013008</v>
      </c>
      <c r="H603" t="s">
        <v>755</v>
      </c>
      <c r="I603" t="s">
        <v>770</v>
      </c>
      <c r="K603" s="143">
        <v>46083</v>
      </c>
      <c r="L603" s="143">
        <v>46035</v>
      </c>
      <c r="M603">
        <v>42025</v>
      </c>
      <c r="N603" t="s">
        <v>771</v>
      </c>
      <c r="O603">
        <v>2001</v>
      </c>
      <c r="S603">
        <v>514586</v>
      </c>
      <c r="T603" t="s">
        <v>772</v>
      </c>
    </row>
    <row r="604" spans="1:20" x14ac:dyDescent="0.25">
      <c r="A604">
        <v>5100423287</v>
      </c>
      <c r="B604">
        <v>50153</v>
      </c>
      <c r="C604" t="s">
        <v>768</v>
      </c>
      <c r="D604" s="143">
        <v>46035</v>
      </c>
      <c r="E604" s="55">
        <v>1114.97</v>
      </c>
      <c r="F604" t="s">
        <v>769</v>
      </c>
      <c r="G604">
        <v>1500013008</v>
      </c>
      <c r="H604" t="s">
        <v>755</v>
      </c>
      <c r="I604" t="s">
        <v>770</v>
      </c>
      <c r="K604" s="143">
        <v>46083</v>
      </c>
      <c r="L604" s="143">
        <v>46035</v>
      </c>
      <c r="M604">
        <v>52025</v>
      </c>
      <c r="N604" t="s">
        <v>771</v>
      </c>
      <c r="O604">
        <v>2001</v>
      </c>
      <c r="S604">
        <v>514586</v>
      </c>
      <c r="T604" t="s">
        <v>772</v>
      </c>
    </row>
    <row r="605" spans="1:20" x14ac:dyDescent="0.25">
      <c r="A605">
        <v>5100423289</v>
      </c>
      <c r="B605">
        <v>50153</v>
      </c>
      <c r="C605" t="s">
        <v>768</v>
      </c>
      <c r="D605" s="143">
        <v>46035</v>
      </c>
      <c r="E605" s="55">
        <v>2312.19</v>
      </c>
      <c r="F605" t="s">
        <v>769</v>
      </c>
      <c r="G605">
        <v>1500013008</v>
      </c>
      <c r="H605" t="s">
        <v>755</v>
      </c>
      <c r="I605" t="s">
        <v>770</v>
      </c>
      <c r="K605" s="143">
        <v>46083</v>
      </c>
      <c r="L605" s="143">
        <v>46035</v>
      </c>
      <c r="M605">
        <v>62025</v>
      </c>
      <c r="N605" t="s">
        <v>771</v>
      </c>
      <c r="O605">
        <v>2001</v>
      </c>
      <c r="S605">
        <v>514586</v>
      </c>
      <c r="T605" t="s">
        <v>772</v>
      </c>
    </row>
    <row r="606" spans="1:20" x14ac:dyDescent="0.25">
      <c r="A606">
        <v>5100423291</v>
      </c>
      <c r="B606">
        <v>50153</v>
      </c>
      <c r="C606" t="s">
        <v>768</v>
      </c>
      <c r="D606" s="143">
        <v>46035</v>
      </c>
      <c r="E606" s="55">
        <v>29519.95</v>
      </c>
      <c r="F606" t="s">
        <v>769</v>
      </c>
      <c r="G606">
        <v>1500013008</v>
      </c>
      <c r="H606" t="s">
        <v>755</v>
      </c>
      <c r="I606" t="s">
        <v>770</v>
      </c>
      <c r="K606" s="143">
        <v>46083</v>
      </c>
      <c r="L606" s="143">
        <v>46035</v>
      </c>
      <c r="M606">
        <v>72025</v>
      </c>
      <c r="N606" t="s">
        <v>771</v>
      </c>
      <c r="O606">
        <v>2001</v>
      </c>
      <c r="S606">
        <v>514586</v>
      </c>
      <c r="T606" t="s">
        <v>772</v>
      </c>
    </row>
    <row r="607" spans="1:20" x14ac:dyDescent="0.25">
      <c r="A607">
        <v>5100423292</v>
      </c>
      <c r="B607">
        <v>50153</v>
      </c>
      <c r="C607" t="s">
        <v>768</v>
      </c>
      <c r="D607" s="143">
        <v>46035</v>
      </c>
      <c r="E607" s="55">
        <v>3141.14</v>
      </c>
      <c r="F607" t="s">
        <v>769</v>
      </c>
      <c r="G607">
        <v>1500013008</v>
      </c>
      <c r="H607" t="s">
        <v>755</v>
      </c>
      <c r="I607" t="s">
        <v>770</v>
      </c>
      <c r="K607" s="143">
        <v>46083</v>
      </c>
      <c r="L607" s="143">
        <v>46035</v>
      </c>
      <c r="M607">
        <v>82025</v>
      </c>
      <c r="N607" t="s">
        <v>771</v>
      </c>
      <c r="O607">
        <v>2001</v>
      </c>
      <c r="S607">
        <v>514586</v>
      </c>
      <c r="T607" t="s">
        <v>772</v>
      </c>
    </row>
    <row r="608" spans="1:20" x14ac:dyDescent="0.25">
      <c r="A608">
        <v>5100423294</v>
      </c>
      <c r="B608">
        <v>50153</v>
      </c>
      <c r="C608" t="s">
        <v>768</v>
      </c>
      <c r="D608" s="143">
        <v>46035</v>
      </c>
      <c r="E608" s="55">
        <v>1082.45</v>
      </c>
      <c r="F608" t="s">
        <v>769</v>
      </c>
      <c r="G608">
        <v>1500013008</v>
      </c>
      <c r="H608" t="s">
        <v>755</v>
      </c>
      <c r="I608" t="s">
        <v>770</v>
      </c>
      <c r="K608" s="143">
        <v>46083</v>
      </c>
      <c r="L608" s="143">
        <v>46035</v>
      </c>
      <c r="M608">
        <v>92025</v>
      </c>
      <c r="N608" t="s">
        <v>771</v>
      </c>
      <c r="O608">
        <v>2001</v>
      </c>
      <c r="S608">
        <v>514586</v>
      </c>
      <c r="T608" t="s">
        <v>772</v>
      </c>
    </row>
    <row r="609" spans="1:20" x14ac:dyDescent="0.25">
      <c r="A609">
        <v>5100423280</v>
      </c>
      <c r="B609">
        <v>50153</v>
      </c>
      <c r="C609" t="s">
        <v>768</v>
      </c>
      <c r="D609" s="143">
        <v>46035</v>
      </c>
      <c r="E609" s="55">
        <v>25312.63</v>
      </c>
      <c r="F609" t="s">
        <v>769</v>
      </c>
      <c r="G609">
        <v>1500013008</v>
      </c>
      <c r="H609" t="s">
        <v>755</v>
      </c>
      <c r="I609" t="s">
        <v>770</v>
      </c>
      <c r="K609" s="143">
        <v>46083</v>
      </c>
      <c r="L609" s="143">
        <v>46035</v>
      </c>
      <c r="M609">
        <v>12025</v>
      </c>
      <c r="N609" t="s">
        <v>771</v>
      </c>
      <c r="O609">
        <v>2001</v>
      </c>
      <c r="S609">
        <v>525450</v>
      </c>
      <c r="T609" t="s">
        <v>772</v>
      </c>
    </row>
    <row r="610" spans="1:20" x14ac:dyDescent="0.25">
      <c r="A610">
        <v>5100423282</v>
      </c>
      <c r="B610">
        <v>50153</v>
      </c>
      <c r="C610" t="s">
        <v>768</v>
      </c>
      <c r="D610" s="143">
        <v>46035</v>
      </c>
      <c r="E610" s="55">
        <v>127441.61</v>
      </c>
      <c r="F610" t="s">
        <v>769</v>
      </c>
      <c r="G610">
        <v>1500013008</v>
      </c>
      <c r="H610" t="s">
        <v>755</v>
      </c>
      <c r="I610" t="s">
        <v>770</v>
      </c>
      <c r="K610" s="143">
        <v>46083</v>
      </c>
      <c r="L610" s="143">
        <v>46035</v>
      </c>
      <c r="M610">
        <v>22025</v>
      </c>
      <c r="N610" t="s">
        <v>771</v>
      </c>
      <c r="O610">
        <v>2001</v>
      </c>
      <c r="S610">
        <v>525450</v>
      </c>
      <c r="T610" t="s">
        <v>772</v>
      </c>
    </row>
    <row r="611" spans="1:20" x14ac:dyDescent="0.25">
      <c r="A611">
        <v>5100423284</v>
      </c>
      <c r="B611">
        <v>50153</v>
      </c>
      <c r="C611" t="s">
        <v>768</v>
      </c>
      <c r="D611" s="143">
        <v>46035</v>
      </c>
      <c r="E611" s="55">
        <v>98579.49</v>
      </c>
      <c r="F611" t="s">
        <v>769</v>
      </c>
      <c r="G611">
        <v>1500013008</v>
      </c>
      <c r="H611" t="s">
        <v>755</v>
      </c>
      <c r="I611" t="s">
        <v>770</v>
      </c>
      <c r="K611" s="143">
        <v>46083</v>
      </c>
      <c r="L611" s="143">
        <v>46035</v>
      </c>
      <c r="M611">
        <v>32025</v>
      </c>
      <c r="N611" t="s">
        <v>771</v>
      </c>
      <c r="O611">
        <v>2001</v>
      </c>
      <c r="S611">
        <v>525450</v>
      </c>
      <c r="T611" t="s">
        <v>772</v>
      </c>
    </row>
    <row r="612" spans="1:20" x14ac:dyDescent="0.25">
      <c r="A612">
        <v>5100423286</v>
      </c>
      <c r="B612">
        <v>50153</v>
      </c>
      <c r="C612" t="s">
        <v>768</v>
      </c>
      <c r="D612" s="143">
        <v>46035</v>
      </c>
      <c r="E612" s="55">
        <v>21869.59</v>
      </c>
      <c r="F612" t="s">
        <v>769</v>
      </c>
      <c r="G612">
        <v>1500013008</v>
      </c>
      <c r="H612" t="s">
        <v>755</v>
      </c>
      <c r="I612" t="s">
        <v>770</v>
      </c>
      <c r="K612" s="143">
        <v>46083</v>
      </c>
      <c r="L612" s="143">
        <v>46035</v>
      </c>
      <c r="M612">
        <v>42025</v>
      </c>
      <c r="N612" t="s">
        <v>771</v>
      </c>
      <c r="O612">
        <v>2001</v>
      </c>
      <c r="S612">
        <v>525450</v>
      </c>
      <c r="T612" t="s">
        <v>772</v>
      </c>
    </row>
    <row r="613" spans="1:20" x14ac:dyDescent="0.25">
      <c r="A613">
        <v>5100423288</v>
      </c>
      <c r="B613">
        <v>50153</v>
      </c>
      <c r="C613" t="s">
        <v>768</v>
      </c>
      <c r="D613" s="143">
        <v>46035</v>
      </c>
      <c r="E613" s="55">
        <v>7647.27</v>
      </c>
      <c r="F613" t="s">
        <v>769</v>
      </c>
      <c r="G613">
        <v>1500013008</v>
      </c>
      <c r="H613" t="s">
        <v>755</v>
      </c>
      <c r="I613" t="s">
        <v>770</v>
      </c>
      <c r="K613" s="143">
        <v>46083</v>
      </c>
      <c r="L613" s="143">
        <v>46035</v>
      </c>
      <c r="M613">
        <v>52025</v>
      </c>
      <c r="N613" t="s">
        <v>771</v>
      </c>
      <c r="O613">
        <v>2001</v>
      </c>
      <c r="S613">
        <v>525450</v>
      </c>
      <c r="T613" t="s">
        <v>772</v>
      </c>
    </row>
    <row r="614" spans="1:20" x14ac:dyDescent="0.25">
      <c r="A614">
        <v>5100423290</v>
      </c>
      <c r="B614">
        <v>50153</v>
      </c>
      <c r="C614" t="s">
        <v>768</v>
      </c>
      <c r="D614" s="143">
        <v>46035</v>
      </c>
      <c r="E614" s="55">
        <v>17304.95</v>
      </c>
      <c r="F614" t="s">
        <v>769</v>
      </c>
      <c r="G614">
        <v>1500013008</v>
      </c>
      <c r="H614" t="s">
        <v>755</v>
      </c>
      <c r="I614" t="s">
        <v>770</v>
      </c>
      <c r="K614" s="143">
        <v>46083</v>
      </c>
      <c r="L614" s="143">
        <v>46035</v>
      </c>
      <c r="M614">
        <v>62025</v>
      </c>
      <c r="N614" t="s">
        <v>771</v>
      </c>
      <c r="O614">
        <v>2001</v>
      </c>
      <c r="S614">
        <v>525450</v>
      </c>
      <c r="T614" t="s">
        <v>772</v>
      </c>
    </row>
    <row r="615" spans="1:20" x14ac:dyDescent="0.25">
      <c r="A615">
        <v>5100423293</v>
      </c>
      <c r="B615">
        <v>50153</v>
      </c>
      <c r="C615" t="s">
        <v>768</v>
      </c>
      <c r="D615" s="143">
        <v>46035</v>
      </c>
      <c r="E615" s="55">
        <v>32612.59</v>
      </c>
      <c r="F615" t="s">
        <v>769</v>
      </c>
      <c r="G615">
        <v>1500013008</v>
      </c>
      <c r="H615" t="s">
        <v>755</v>
      </c>
      <c r="I615" t="s">
        <v>770</v>
      </c>
      <c r="K615" s="143">
        <v>46083</v>
      </c>
      <c r="L615" s="143">
        <v>46035</v>
      </c>
      <c r="M615">
        <v>82025</v>
      </c>
      <c r="N615" t="s">
        <v>771</v>
      </c>
      <c r="O615">
        <v>2001</v>
      </c>
      <c r="S615">
        <v>525450</v>
      </c>
      <c r="T615" t="s">
        <v>772</v>
      </c>
    </row>
    <row r="616" spans="1:20" x14ac:dyDescent="0.25">
      <c r="A616">
        <v>5100423295</v>
      </c>
      <c r="B616">
        <v>50153</v>
      </c>
      <c r="C616" t="s">
        <v>768</v>
      </c>
      <c r="D616" s="143">
        <v>46035</v>
      </c>
      <c r="E616" s="55">
        <v>1431.64</v>
      </c>
      <c r="F616" t="s">
        <v>769</v>
      </c>
      <c r="G616">
        <v>1500013008</v>
      </c>
      <c r="H616" t="s">
        <v>755</v>
      </c>
      <c r="I616" t="s">
        <v>770</v>
      </c>
      <c r="K616" s="143">
        <v>46083</v>
      </c>
      <c r="L616" s="143">
        <v>46035</v>
      </c>
      <c r="M616">
        <v>92025</v>
      </c>
      <c r="N616" t="s">
        <v>771</v>
      </c>
      <c r="O616">
        <v>2001</v>
      </c>
      <c r="S616">
        <v>525450</v>
      </c>
      <c r="T616" t="s">
        <v>772</v>
      </c>
    </row>
    <row r="617" spans="1:20" x14ac:dyDescent="0.25">
      <c r="A617">
        <v>5100423359</v>
      </c>
      <c r="B617">
        <v>53306</v>
      </c>
      <c r="C617" t="s">
        <v>768</v>
      </c>
      <c r="D617" s="143">
        <v>46035</v>
      </c>
      <c r="E617" s="55">
        <v>5853.42</v>
      </c>
      <c r="F617" t="s">
        <v>769</v>
      </c>
      <c r="G617">
        <v>1500038764</v>
      </c>
      <c r="H617" t="s">
        <v>755</v>
      </c>
      <c r="I617" t="s">
        <v>770</v>
      </c>
      <c r="K617" s="143">
        <v>46069</v>
      </c>
      <c r="L617" s="143">
        <v>46035</v>
      </c>
      <c r="M617">
        <v>12025</v>
      </c>
      <c r="N617" t="s">
        <v>771</v>
      </c>
      <c r="O617">
        <v>2001</v>
      </c>
      <c r="S617">
        <v>515719</v>
      </c>
      <c r="T617" t="s">
        <v>772</v>
      </c>
    </row>
    <row r="618" spans="1:20" x14ac:dyDescent="0.25">
      <c r="A618">
        <v>5100423360</v>
      </c>
      <c r="B618">
        <v>53306</v>
      </c>
      <c r="C618" t="s">
        <v>768</v>
      </c>
      <c r="D618" s="143">
        <v>46035</v>
      </c>
      <c r="E618" s="55">
        <v>26605.95</v>
      </c>
      <c r="F618" t="s">
        <v>769</v>
      </c>
      <c r="G618">
        <v>1500038764</v>
      </c>
      <c r="H618" t="s">
        <v>755</v>
      </c>
      <c r="I618" t="s">
        <v>770</v>
      </c>
      <c r="K618" s="143">
        <v>46069</v>
      </c>
      <c r="L618" s="143">
        <v>46035</v>
      </c>
      <c r="M618">
        <v>22025</v>
      </c>
      <c r="N618" t="s">
        <v>771</v>
      </c>
      <c r="O618">
        <v>2001</v>
      </c>
      <c r="S618">
        <v>515719</v>
      </c>
      <c r="T618" t="s">
        <v>772</v>
      </c>
    </row>
    <row r="619" spans="1:20" x14ac:dyDescent="0.25">
      <c r="A619">
        <v>5100423361</v>
      </c>
      <c r="B619">
        <v>53306</v>
      </c>
      <c r="C619" t="s">
        <v>768</v>
      </c>
      <c r="D619" s="143">
        <v>46035</v>
      </c>
      <c r="E619" s="55">
        <v>32544.83</v>
      </c>
      <c r="F619" t="s">
        <v>769</v>
      </c>
      <c r="G619">
        <v>1500038764</v>
      </c>
      <c r="H619" t="s">
        <v>755</v>
      </c>
      <c r="I619" t="s">
        <v>770</v>
      </c>
      <c r="K619" s="143">
        <v>46069</v>
      </c>
      <c r="L619" s="143">
        <v>46035</v>
      </c>
      <c r="M619">
        <v>32025</v>
      </c>
      <c r="N619" t="s">
        <v>771</v>
      </c>
      <c r="O619">
        <v>2001</v>
      </c>
      <c r="S619">
        <v>515719</v>
      </c>
      <c r="T619" t="s">
        <v>772</v>
      </c>
    </row>
    <row r="620" spans="1:20" x14ac:dyDescent="0.25">
      <c r="A620">
        <v>5100423362</v>
      </c>
      <c r="B620">
        <v>53306</v>
      </c>
      <c r="C620" t="s">
        <v>768</v>
      </c>
      <c r="D620" s="143">
        <v>46035</v>
      </c>
      <c r="E620" s="55">
        <v>10455.81</v>
      </c>
      <c r="F620" t="s">
        <v>769</v>
      </c>
      <c r="G620">
        <v>1500038764</v>
      </c>
      <c r="H620" t="s">
        <v>755</v>
      </c>
      <c r="I620" t="s">
        <v>770</v>
      </c>
      <c r="K620" s="143">
        <v>46069</v>
      </c>
      <c r="L620" s="143">
        <v>46035</v>
      </c>
      <c r="M620">
        <v>42025</v>
      </c>
      <c r="N620" t="s">
        <v>771</v>
      </c>
      <c r="O620">
        <v>2001</v>
      </c>
      <c r="S620">
        <v>515719</v>
      </c>
      <c r="T620" t="s">
        <v>772</v>
      </c>
    </row>
    <row r="621" spans="1:20" x14ac:dyDescent="0.25">
      <c r="A621">
        <v>5100423363</v>
      </c>
      <c r="B621">
        <v>53306</v>
      </c>
      <c r="C621" t="s">
        <v>768</v>
      </c>
      <c r="D621" s="143">
        <v>46035</v>
      </c>
      <c r="E621">
        <v>472.96</v>
      </c>
      <c r="F621" t="s">
        <v>769</v>
      </c>
      <c r="G621">
        <v>1500038764</v>
      </c>
      <c r="H621" t="s">
        <v>755</v>
      </c>
      <c r="I621" t="s">
        <v>770</v>
      </c>
      <c r="K621" s="143">
        <v>46069</v>
      </c>
      <c r="L621" s="143">
        <v>46035</v>
      </c>
      <c r="M621">
        <v>52025</v>
      </c>
      <c r="N621" t="s">
        <v>771</v>
      </c>
      <c r="O621">
        <v>2001</v>
      </c>
      <c r="S621">
        <v>515719</v>
      </c>
      <c r="T621" t="s">
        <v>772</v>
      </c>
    </row>
    <row r="622" spans="1:20" x14ac:dyDescent="0.25">
      <c r="A622">
        <v>5100423364</v>
      </c>
      <c r="B622">
        <v>53306</v>
      </c>
      <c r="C622" t="s">
        <v>768</v>
      </c>
      <c r="D622" s="143">
        <v>46035</v>
      </c>
      <c r="E622" s="55">
        <v>69766.929999999993</v>
      </c>
      <c r="F622" t="s">
        <v>769</v>
      </c>
      <c r="G622">
        <v>1500038764</v>
      </c>
      <c r="H622" t="s">
        <v>755</v>
      </c>
      <c r="I622" t="s">
        <v>770</v>
      </c>
      <c r="K622" s="143">
        <v>46069</v>
      </c>
      <c r="L622" s="143">
        <v>46035</v>
      </c>
      <c r="M622">
        <v>62025</v>
      </c>
      <c r="N622" t="s">
        <v>771</v>
      </c>
      <c r="O622">
        <v>2001</v>
      </c>
      <c r="S622">
        <v>515719</v>
      </c>
      <c r="T622" t="s">
        <v>772</v>
      </c>
    </row>
    <row r="623" spans="1:20" x14ac:dyDescent="0.25">
      <c r="A623">
        <v>5100423365</v>
      </c>
      <c r="B623">
        <v>53306</v>
      </c>
      <c r="C623" t="s">
        <v>768</v>
      </c>
      <c r="D623" s="143">
        <v>46035</v>
      </c>
      <c r="E623">
        <v>687.74</v>
      </c>
      <c r="F623" t="s">
        <v>769</v>
      </c>
      <c r="G623">
        <v>1500038764</v>
      </c>
      <c r="H623" t="s">
        <v>755</v>
      </c>
      <c r="I623" t="s">
        <v>770</v>
      </c>
      <c r="K623" s="143">
        <v>46069</v>
      </c>
      <c r="L623" s="143">
        <v>46035</v>
      </c>
      <c r="M623">
        <v>72025</v>
      </c>
      <c r="N623" t="s">
        <v>771</v>
      </c>
      <c r="O623">
        <v>2001</v>
      </c>
      <c r="S623">
        <v>515719</v>
      </c>
      <c r="T623" t="s">
        <v>772</v>
      </c>
    </row>
    <row r="624" spans="1:20" x14ac:dyDescent="0.25">
      <c r="A624">
        <v>5100423366</v>
      </c>
      <c r="B624">
        <v>53306</v>
      </c>
      <c r="C624" t="s">
        <v>768</v>
      </c>
      <c r="D624" s="143">
        <v>46035</v>
      </c>
      <c r="E624" s="55">
        <v>2304.66</v>
      </c>
      <c r="F624" t="s">
        <v>769</v>
      </c>
      <c r="G624">
        <v>1500038764</v>
      </c>
      <c r="H624" t="s">
        <v>755</v>
      </c>
      <c r="I624" t="s">
        <v>770</v>
      </c>
      <c r="K624" s="143">
        <v>46069</v>
      </c>
      <c r="L624" s="143">
        <v>46035</v>
      </c>
      <c r="M624">
        <v>82025</v>
      </c>
      <c r="N624" t="s">
        <v>771</v>
      </c>
      <c r="O624">
        <v>2001</v>
      </c>
      <c r="S624">
        <v>515719</v>
      </c>
      <c r="T624" t="s">
        <v>772</v>
      </c>
    </row>
    <row r="625" spans="1:20" x14ac:dyDescent="0.25">
      <c r="A625">
        <v>5100423367</v>
      </c>
      <c r="B625">
        <v>53306</v>
      </c>
      <c r="C625" t="s">
        <v>768</v>
      </c>
      <c r="D625" s="143">
        <v>46035</v>
      </c>
      <c r="E625" s="55">
        <v>4547.21</v>
      </c>
      <c r="F625" t="s">
        <v>769</v>
      </c>
      <c r="G625">
        <v>1500038764</v>
      </c>
      <c r="H625" t="s">
        <v>755</v>
      </c>
      <c r="I625" t="s">
        <v>770</v>
      </c>
      <c r="K625" s="143">
        <v>46069</v>
      </c>
      <c r="L625" s="143">
        <v>46035</v>
      </c>
      <c r="M625">
        <v>92025</v>
      </c>
      <c r="N625" t="s">
        <v>771</v>
      </c>
      <c r="O625">
        <v>2001</v>
      </c>
      <c r="S625">
        <v>515719</v>
      </c>
      <c r="T625" t="s">
        <v>772</v>
      </c>
    </row>
    <row r="626" spans="1:20" x14ac:dyDescent="0.25">
      <c r="A626">
        <v>5100423388</v>
      </c>
      <c r="B626">
        <v>55004</v>
      </c>
      <c r="C626" t="s">
        <v>768</v>
      </c>
      <c r="D626" s="143">
        <v>46035</v>
      </c>
      <c r="E626" s="55">
        <v>5689.6</v>
      </c>
      <c r="F626" t="s">
        <v>769</v>
      </c>
      <c r="G626">
        <v>1500039407</v>
      </c>
      <c r="H626" t="s">
        <v>755</v>
      </c>
      <c r="I626" t="s">
        <v>770</v>
      </c>
      <c r="K626" s="143">
        <v>46076</v>
      </c>
      <c r="L626" s="143">
        <v>46035</v>
      </c>
      <c r="M626">
        <v>32025</v>
      </c>
      <c r="N626" t="s">
        <v>771</v>
      </c>
      <c r="O626">
        <v>2001</v>
      </c>
      <c r="S626">
        <v>514598</v>
      </c>
      <c r="T626" t="s">
        <v>772</v>
      </c>
    </row>
    <row r="627" spans="1:20" x14ac:dyDescent="0.25">
      <c r="A627">
        <v>5100423389</v>
      </c>
      <c r="B627">
        <v>55004</v>
      </c>
      <c r="C627" t="s">
        <v>768</v>
      </c>
      <c r="D627" s="143">
        <v>46035</v>
      </c>
      <c r="E627" s="55">
        <v>8950.2900000000009</v>
      </c>
      <c r="F627" t="s">
        <v>769</v>
      </c>
      <c r="G627">
        <v>1500039407</v>
      </c>
      <c r="H627" t="s">
        <v>755</v>
      </c>
      <c r="I627" t="s">
        <v>770</v>
      </c>
      <c r="K627" s="143">
        <v>46076</v>
      </c>
      <c r="L627" s="143">
        <v>46035</v>
      </c>
      <c r="M627">
        <v>42025</v>
      </c>
      <c r="N627" t="s">
        <v>771</v>
      </c>
      <c r="O627">
        <v>2001</v>
      </c>
      <c r="S627">
        <v>514598</v>
      </c>
      <c r="T627" t="s">
        <v>772</v>
      </c>
    </row>
    <row r="628" spans="1:20" x14ac:dyDescent="0.25">
      <c r="A628">
        <v>5100423390</v>
      </c>
      <c r="B628">
        <v>55004</v>
      </c>
      <c r="C628" t="s">
        <v>768</v>
      </c>
      <c r="D628" s="143">
        <v>46035</v>
      </c>
      <c r="E628" s="55">
        <v>162916.29999999999</v>
      </c>
      <c r="F628" t="s">
        <v>769</v>
      </c>
      <c r="G628">
        <v>1500039407</v>
      </c>
      <c r="H628" t="s">
        <v>755</v>
      </c>
      <c r="I628" t="s">
        <v>770</v>
      </c>
      <c r="K628" s="143">
        <v>46076</v>
      </c>
      <c r="L628" s="143">
        <v>46035</v>
      </c>
      <c r="M628">
        <v>52025</v>
      </c>
      <c r="N628" t="s">
        <v>771</v>
      </c>
      <c r="O628">
        <v>2001</v>
      </c>
      <c r="S628">
        <v>514598</v>
      </c>
      <c r="T628" t="s">
        <v>772</v>
      </c>
    </row>
    <row r="629" spans="1:20" x14ac:dyDescent="0.25">
      <c r="A629">
        <v>5100423391</v>
      </c>
      <c r="B629">
        <v>55004</v>
      </c>
      <c r="C629" t="s">
        <v>768</v>
      </c>
      <c r="D629" s="143">
        <v>46035</v>
      </c>
      <c r="E629" s="55">
        <v>10181.89</v>
      </c>
      <c r="F629" t="s">
        <v>769</v>
      </c>
      <c r="G629">
        <v>1500039407</v>
      </c>
      <c r="H629" t="s">
        <v>755</v>
      </c>
      <c r="I629" t="s">
        <v>770</v>
      </c>
      <c r="K629" s="143">
        <v>46076</v>
      </c>
      <c r="L629" s="143">
        <v>46035</v>
      </c>
      <c r="M629">
        <v>82025</v>
      </c>
      <c r="N629" t="s">
        <v>771</v>
      </c>
      <c r="O629">
        <v>2001</v>
      </c>
      <c r="S629">
        <v>514598</v>
      </c>
      <c r="T629" t="s">
        <v>772</v>
      </c>
    </row>
    <row r="630" spans="1:20" x14ac:dyDescent="0.25">
      <c r="A630">
        <v>5100423392</v>
      </c>
      <c r="B630">
        <v>55004</v>
      </c>
      <c r="C630" t="s">
        <v>768</v>
      </c>
      <c r="D630" s="143">
        <v>46035</v>
      </c>
      <c r="E630" s="55">
        <v>17906.71</v>
      </c>
      <c r="F630" t="s">
        <v>769</v>
      </c>
      <c r="G630">
        <v>1500039407</v>
      </c>
      <c r="H630" t="s">
        <v>755</v>
      </c>
      <c r="I630" t="s">
        <v>770</v>
      </c>
      <c r="K630" s="143">
        <v>46076</v>
      </c>
      <c r="L630" s="143">
        <v>46035</v>
      </c>
      <c r="M630">
        <v>92025</v>
      </c>
      <c r="N630" t="s">
        <v>771</v>
      </c>
      <c r="O630">
        <v>2001</v>
      </c>
      <c r="S630">
        <v>514598</v>
      </c>
      <c r="T630" t="s">
        <v>772</v>
      </c>
    </row>
    <row r="631" spans="1:20" x14ac:dyDescent="0.25">
      <c r="A631">
        <v>5100423417</v>
      </c>
      <c r="B631">
        <v>55814</v>
      </c>
      <c r="C631" t="s">
        <v>768</v>
      </c>
      <c r="D631" s="143">
        <v>46035</v>
      </c>
      <c r="E631">
        <v>632.34</v>
      </c>
      <c r="F631" t="s">
        <v>769</v>
      </c>
      <c r="G631">
        <v>1500038765</v>
      </c>
      <c r="H631" t="s">
        <v>755</v>
      </c>
      <c r="I631" t="s">
        <v>770</v>
      </c>
      <c r="K631" s="143">
        <v>46069</v>
      </c>
      <c r="L631" s="143">
        <v>46035</v>
      </c>
      <c r="M631">
        <v>22025</v>
      </c>
      <c r="N631" t="s">
        <v>771</v>
      </c>
      <c r="O631">
        <v>2001</v>
      </c>
      <c r="S631">
        <v>515722</v>
      </c>
      <c r="T631" t="s">
        <v>772</v>
      </c>
    </row>
    <row r="632" spans="1:20" x14ac:dyDescent="0.25">
      <c r="A632">
        <v>5100423418</v>
      </c>
      <c r="B632">
        <v>55814</v>
      </c>
      <c r="C632" t="s">
        <v>768</v>
      </c>
      <c r="D632" s="143">
        <v>46035</v>
      </c>
      <c r="E632">
        <v>170.69</v>
      </c>
      <c r="F632" t="s">
        <v>769</v>
      </c>
      <c r="G632">
        <v>1500038765</v>
      </c>
      <c r="H632" t="s">
        <v>755</v>
      </c>
      <c r="I632" t="s">
        <v>770</v>
      </c>
      <c r="K632" s="143">
        <v>46069</v>
      </c>
      <c r="L632" s="143">
        <v>46035</v>
      </c>
      <c r="M632">
        <v>22025</v>
      </c>
      <c r="N632" t="s">
        <v>771</v>
      </c>
      <c r="O632">
        <v>2001</v>
      </c>
      <c r="S632">
        <v>515722</v>
      </c>
      <c r="T632" t="s">
        <v>772</v>
      </c>
    </row>
    <row r="633" spans="1:20" x14ac:dyDescent="0.25">
      <c r="A633">
        <v>5100423419</v>
      </c>
      <c r="B633">
        <v>55814</v>
      </c>
      <c r="C633" t="s">
        <v>768</v>
      </c>
      <c r="D633" s="143">
        <v>46035</v>
      </c>
      <c r="E633" s="55">
        <v>6323.36</v>
      </c>
      <c r="F633" t="s">
        <v>769</v>
      </c>
      <c r="G633">
        <v>1500038765</v>
      </c>
      <c r="H633" t="s">
        <v>755</v>
      </c>
      <c r="I633" t="s">
        <v>770</v>
      </c>
      <c r="K633" s="143">
        <v>46069</v>
      </c>
      <c r="L633" s="143">
        <v>46035</v>
      </c>
      <c r="M633">
        <v>52025</v>
      </c>
      <c r="N633" t="s">
        <v>771</v>
      </c>
      <c r="O633">
        <v>2001</v>
      </c>
      <c r="S633">
        <v>515722</v>
      </c>
      <c r="T633" t="s">
        <v>772</v>
      </c>
    </row>
    <row r="634" spans="1:20" x14ac:dyDescent="0.25">
      <c r="A634">
        <v>5100423420</v>
      </c>
      <c r="B634">
        <v>55814</v>
      </c>
      <c r="C634" t="s">
        <v>768</v>
      </c>
      <c r="D634" s="143">
        <v>46035</v>
      </c>
      <c r="E634">
        <v>341.37</v>
      </c>
      <c r="F634" t="s">
        <v>769</v>
      </c>
      <c r="G634">
        <v>1500038765</v>
      </c>
      <c r="H634" t="s">
        <v>755</v>
      </c>
      <c r="I634" t="s">
        <v>770</v>
      </c>
      <c r="K634" s="143">
        <v>46069</v>
      </c>
      <c r="L634" s="143">
        <v>46035</v>
      </c>
      <c r="M634">
        <v>52025</v>
      </c>
      <c r="N634" t="s">
        <v>771</v>
      </c>
      <c r="O634">
        <v>2001</v>
      </c>
      <c r="S634">
        <v>515722</v>
      </c>
      <c r="T634" t="s">
        <v>772</v>
      </c>
    </row>
    <row r="635" spans="1:20" x14ac:dyDescent="0.25">
      <c r="A635">
        <v>5100423422</v>
      </c>
      <c r="B635">
        <v>55814</v>
      </c>
      <c r="C635" t="s">
        <v>768</v>
      </c>
      <c r="D635" s="143">
        <v>46035</v>
      </c>
      <c r="E635" s="55">
        <v>11382.03</v>
      </c>
      <c r="F635" t="s">
        <v>769</v>
      </c>
      <c r="G635">
        <v>1500038765</v>
      </c>
      <c r="H635" t="s">
        <v>755</v>
      </c>
      <c r="I635" t="s">
        <v>770</v>
      </c>
      <c r="K635" s="143">
        <v>46069</v>
      </c>
      <c r="L635" s="143">
        <v>46035</v>
      </c>
      <c r="M635">
        <v>62025</v>
      </c>
      <c r="N635" t="s">
        <v>771</v>
      </c>
      <c r="O635">
        <v>2001</v>
      </c>
      <c r="S635">
        <v>515722</v>
      </c>
      <c r="T635" t="s">
        <v>772</v>
      </c>
    </row>
    <row r="636" spans="1:20" x14ac:dyDescent="0.25">
      <c r="A636">
        <v>5100423423</v>
      </c>
      <c r="B636">
        <v>55814</v>
      </c>
      <c r="C636" t="s">
        <v>768</v>
      </c>
      <c r="D636" s="143">
        <v>46035</v>
      </c>
      <c r="E636" s="55">
        <v>15176.05</v>
      </c>
      <c r="F636" t="s">
        <v>769</v>
      </c>
      <c r="G636">
        <v>1500038765</v>
      </c>
      <c r="H636" t="s">
        <v>755</v>
      </c>
      <c r="I636" t="s">
        <v>770</v>
      </c>
      <c r="K636" s="143">
        <v>46069</v>
      </c>
      <c r="L636" s="143">
        <v>46035</v>
      </c>
      <c r="M636">
        <v>72025</v>
      </c>
      <c r="N636" t="s">
        <v>771</v>
      </c>
      <c r="O636">
        <v>2001</v>
      </c>
      <c r="S636">
        <v>515722</v>
      </c>
      <c r="T636" t="s">
        <v>772</v>
      </c>
    </row>
    <row r="637" spans="1:20" x14ac:dyDescent="0.25">
      <c r="A637">
        <v>5100423421</v>
      </c>
      <c r="B637">
        <v>55814</v>
      </c>
      <c r="C637" t="s">
        <v>768</v>
      </c>
      <c r="D637" s="143">
        <v>46035</v>
      </c>
      <c r="E637" s="55">
        <v>125908.88</v>
      </c>
      <c r="F637" t="s">
        <v>769</v>
      </c>
      <c r="G637">
        <v>1500038765</v>
      </c>
      <c r="H637" t="s">
        <v>755</v>
      </c>
      <c r="I637" t="s">
        <v>770</v>
      </c>
      <c r="K637" s="143">
        <v>46069</v>
      </c>
      <c r="L637" s="143">
        <v>46035</v>
      </c>
      <c r="M637">
        <v>52025</v>
      </c>
      <c r="N637" t="s">
        <v>771</v>
      </c>
      <c r="O637">
        <v>2001</v>
      </c>
      <c r="S637">
        <v>525467</v>
      </c>
      <c r="T637" t="s">
        <v>772</v>
      </c>
    </row>
    <row r="638" spans="1:20" x14ac:dyDescent="0.25">
      <c r="A638">
        <v>5100423424</v>
      </c>
      <c r="B638">
        <v>55814</v>
      </c>
      <c r="C638" t="s">
        <v>768</v>
      </c>
      <c r="D638" s="143">
        <v>46035</v>
      </c>
      <c r="E638" s="55">
        <v>13988.84</v>
      </c>
      <c r="F638" t="s">
        <v>769</v>
      </c>
      <c r="G638">
        <v>1500038765</v>
      </c>
      <c r="H638" t="s">
        <v>755</v>
      </c>
      <c r="I638" t="s">
        <v>770</v>
      </c>
      <c r="K638" s="143">
        <v>46069</v>
      </c>
      <c r="L638" s="143">
        <v>46035</v>
      </c>
      <c r="M638">
        <v>82025</v>
      </c>
      <c r="N638" t="s">
        <v>771</v>
      </c>
      <c r="O638">
        <v>2001</v>
      </c>
      <c r="S638">
        <v>525467</v>
      </c>
      <c r="T638" t="s">
        <v>772</v>
      </c>
    </row>
    <row r="639" spans="1:20" x14ac:dyDescent="0.25">
      <c r="A639">
        <v>5100423636</v>
      </c>
      <c r="B639">
        <v>70664</v>
      </c>
      <c r="C639" t="s">
        <v>768</v>
      </c>
      <c r="D639" s="143">
        <v>46035</v>
      </c>
      <c r="E639" s="55">
        <v>7633.97</v>
      </c>
      <c r="F639" t="s">
        <v>769</v>
      </c>
      <c r="G639">
        <v>1500087638</v>
      </c>
      <c r="H639" t="s">
        <v>755</v>
      </c>
      <c r="I639" t="s">
        <v>770</v>
      </c>
      <c r="K639" s="143">
        <v>46076</v>
      </c>
      <c r="L639" s="143">
        <v>46035</v>
      </c>
      <c r="M639">
        <v>52025</v>
      </c>
      <c r="N639" t="s">
        <v>771</v>
      </c>
      <c r="O639">
        <v>2001</v>
      </c>
      <c r="S639">
        <v>0</v>
      </c>
      <c r="T639" t="s">
        <v>772</v>
      </c>
    </row>
    <row r="640" spans="1:20" x14ac:dyDescent="0.25">
      <c r="A640">
        <v>5100423632</v>
      </c>
      <c r="B640">
        <v>70664</v>
      </c>
      <c r="C640" t="s">
        <v>768</v>
      </c>
      <c r="D640" s="143">
        <v>46035</v>
      </c>
      <c r="E640">
        <v>964.35</v>
      </c>
      <c r="F640" t="s">
        <v>769</v>
      </c>
      <c r="G640">
        <v>1500087638</v>
      </c>
      <c r="H640" t="s">
        <v>755</v>
      </c>
      <c r="I640" t="s">
        <v>770</v>
      </c>
      <c r="K640" s="143">
        <v>46076</v>
      </c>
      <c r="L640" s="143">
        <v>46035</v>
      </c>
      <c r="M640">
        <v>12025</v>
      </c>
      <c r="N640" t="s">
        <v>771</v>
      </c>
      <c r="O640">
        <v>2001</v>
      </c>
      <c r="S640">
        <v>514624</v>
      </c>
      <c r="T640" t="s">
        <v>772</v>
      </c>
    </row>
    <row r="641" spans="1:20" x14ac:dyDescent="0.25">
      <c r="A641">
        <v>5100423633</v>
      </c>
      <c r="B641">
        <v>70664</v>
      </c>
      <c r="C641" t="s">
        <v>768</v>
      </c>
      <c r="D641" s="143">
        <v>46035</v>
      </c>
      <c r="E641" s="55">
        <v>17098.09</v>
      </c>
      <c r="F641" t="s">
        <v>769</v>
      </c>
      <c r="G641">
        <v>1500087638</v>
      </c>
      <c r="H641" t="s">
        <v>755</v>
      </c>
      <c r="I641" t="s">
        <v>770</v>
      </c>
      <c r="K641" s="143">
        <v>46076</v>
      </c>
      <c r="L641" s="143">
        <v>46035</v>
      </c>
      <c r="M641">
        <v>22025</v>
      </c>
      <c r="N641" t="s">
        <v>771</v>
      </c>
      <c r="O641">
        <v>2001</v>
      </c>
      <c r="S641">
        <v>514624</v>
      </c>
      <c r="T641" t="s">
        <v>772</v>
      </c>
    </row>
    <row r="642" spans="1:20" x14ac:dyDescent="0.25">
      <c r="A642">
        <v>5100423634</v>
      </c>
      <c r="B642">
        <v>70664</v>
      </c>
      <c r="C642" t="s">
        <v>768</v>
      </c>
      <c r="D642" s="143">
        <v>46035</v>
      </c>
      <c r="E642" s="55">
        <v>52813.01</v>
      </c>
      <c r="F642" t="s">
        <v>769</v>
      </c>
      <c r="G642">
        <v>1500087638</v>
      </c>
      <c r="H642" t="s">
        <v>755</v>
      </c>
      <c r="I642" t="s">
        <v>770</v>
      </c>
      <c r="K642" s="143">
        <v>46076</v>
      </c>
      <c r="L642" s="143">
        <v>46035</v>
      </c>
      <c r="M642">
        <v>32025</v>
      </c>
      <c r="N642" t="s">
        <v>771</v>
      </c>
      <c r="O642">
        <v>2001</v>
      </c>
      <c r="S642">
        <v>514624</v>
      </c>
      <c r="T642" t="s">
        <v>772</v>
      </c>
    </row>
    <row r="643" spans="1:20" x14ac:dyDescent="0.25">
      <c r="A643">
        <v>5100423635</v>
      </c>
      <c r="B643">
        <v>70664</v>
      </c>
      <c r="C643" t="s">
        <v>768</v>
      </c>
      <c r="D643" s="143">
        <v>46035</v>
      </c>
      <c r="E643">
        <v>613.19000000000005</v>
      </c>
      <c r="F643" t="s">
        <v>769</v>
      </c>
      <c r="G643">
        <v>1500087638</v>
      </c>
      <c r="H643" t="s">
        <v>755</v>
      </c>
      <c r="I643" t="s">
        <v>770</v>
      </c>
      <c r="K643" s="143">
        <v>46076</v>
      </c>
      <c r="L643" s="143">
        <v>46035</v>
      </c>
      <c r="M643">
        <v>42025</v>
      </c>
      <c r="N643" t="s">
        <v>771</v>
      </c>
      <c r="O643">
        <v>2001</v>
      </c>
      <c r="S643">
        <v>514624</v>
      </c>
      <c r="T643" t="s">
        <v>772</v>
      </c>
    </row>
    <row r="644" spans="1:20" x14ac:dyDescent="0.25">
      <c r="A644">
        <v>5100423637</v>
      </c>
      <c r="B644">
        <v>70664</v>
      </c>
      <c r="C644" t="s">
        <v>768</v>
      </c>
      <c r="D644" s="143">
        <v>46035</v>
      </c>
      <c r="E644">
        <v>409.91</v>
      </c>
      <c r="F644" t="s">
        <v>769</v>
      </c>
      <c r="G644">
        <v>1500087638</v>
      </c>
      <c r="H644" t="s">
        <v>755</v>
      </c>
      <c r="I644" t="s">
        <v>770</v>
      </c>
      <c r="K644" s="143">
        <v>46076</v>
      </c>
      <c r="L644" s="143">
        <v>46035</v>
      </c>
      <c r="M644">
        <v>52025</v>
      </c>
      <c r="N644" t="s">
        <v>771</v>
      </c>
      <c r="O644">
        <v>2001</v>
      </c>
      <c r="S644">
        <v>514624</v>
      </c>
      <c r="T644" t="s">
        <v>772</v>
      </c>
    </row>
    <row r="645" spans="1:20" x14ac:dyDescent="0.25">
      <c r="A645">
        <v>5100423638</v>
      </c>
      <c r="B645">
        <v>70664</v>
      </c>
      <c r="C645" t="s">
        <v>768</v>
      </c>
      <c r="D645" s="143">
        <v>46035</v>
      </c>
      <c r="E645" s="55">
        <v>3422.9</v>
      </c>
      <c r="F645" t="s">
        <v>769</v>
      </c>
      <c r="G645">
        <v>1500087638</v>
      </c>
      <c r="H645" t="s">
        <v>755</v>
      </c>
      <c r="I645" t="s">
        <v>770</v>
      </c>
      <c r="K645" s="143">
        <v>46076</v>
      </c>
      <c r="L645" s="143">
        <v>46035</v>
      </c>
      <c r="M645">
        <v>62025</v>
      </c>
      <c r="N645" t="s">
        <v>771</v>
      </c>
      <c r="O645">
        <v>2001</v>
      </c>
      <c r="S645">
        <v>514624</v>
      </c>
      <c r="T645" t="s">
        <v>772</v>
      </c>
    </row>
    <row r="646" spans="1:20" x14ac:dyDescent="0.25">
      <c r="A646">
        <v>5100423639</v>
      </c>
      <c r="B646">
        <v>70664</v>
      </c>
      <c r="C646" t="s">
        <v>768</v>
      </c>
      <c r="D646" s="143">
        <v>46035</v>
      </c>
      <c r="E646" s="55">
        <v>128958.75</v>
      </c>
      <c r="F646" t="s">
        <v>769</v>
      </c>
      <c r="G646">
        <v>1500087638</v>
      </c>
      <c r="H646" t="s">
        <v>755</v>
      </c>
      <c r="I646" t="s">
        <v>770</v>
      </c>
      <c r="K646" s="143">
        <v>46076</v>
      </c>
      <c r="L646" s="143">
        <v>46035</v>
      </c>
      <c r="M646">
        <v>72025</v>
      </c>
      <c r="N646" t="s">
        <v>771</v>
      </c>
      <c r="O646">
        <v>2001</v>
      </c>
      <c r="S646">
        <v>514624</v>
      </c>
      <c r="T646" t="s">
        <v>772</v>
      </c>
    </row>
    <row r="647" spans="1:20" x14ac:dyDescent="0.25">
      <c r="A647">
        <v>5100423640</v>
      </c>
      <c r="B647">
        <v>70664</v>
      </c>
      <c r="C647" t="s">
        <v>768</v>
      </c>
      <c r="D647" s="143">
        <v>46035</v>
      </c>
      <c r="E647">
        <v>409.91</v>
      </c>
      <c r="F647" t="s">
        <v>769</v>
      </c>
      <c r="G647">
        <v>1500087638</v>
      </c>
      <c r="H647" t="s">
        <v>755</v>
      </c>
      <c r="I647" t="s">
        <v>770</v>
      </c>
      <c r="K647" s="143">
        <v>46076</v>
      </c>
      <c r="L647" s="143">
        <v>46035</v>
      </c>
      <c r="M647">
        <v>82025</v>
      </c>
      <c r="N647" t="s">
        <v>771</v>
      </c>
      <c r="O647">
        <v>2001</v>
      </c>
      <c r="S647">
        <v>514624</v>
      </c>
      <c r="T647" t="s">
        <v>772</v>
      </c>
    </row>
    <row r="648" spans="1:20" x14ac:dyDescent="0.25">
      <c r="A648">
        <v>5100423722</v>
      </c>
      <c r="B648">
        <v>76216</v>
      </c>
      <c r="C648" t="s">
        <v>768</v>
      </c>
      <c r="D648" s="143">
        <v>46035</v>
      </c>
      <c r="E648" s="55">
        <v>6394.8</v>
      </c>
      <c r="F648" t="s">
        <v>769</v>
      </c>
      <c r="G648">
        <v>1500038771</v>
      </c>
      <c r="H648" t="s">
        <v>755</v>
      </c>
      <c r="I648" t="s">
        <v>770</v>
      </c>
      <c r="K648" s="143">
        <v>46069</v>
      </c>
      <c r="L648" s="143">
        <v>46035</v>
      </c>
      <c r="M648">
        <v>12025</v>
      </c>
      <c r="N648" t="s">
        <v>771</v>
      </c>
      <c r="O648">
        <v>2001</v>
      </c>
      <c r="S648">
        <v>525510</v>
      </c>
      <c r="T648" t="s">
        <v>772</v>
      </c>
    </row>
    <row r="649" spans="1:20" x14ac:dyDescent="0.25">
      <c r="A649">
        <v>5100423723</v>
      </c>
      <c r="B649">
        <v>76216</v>
      </c>
      <c r="C649" t="s">
        <v>768</v>
      </c>
      <c r="D649" s="143">
        <v>46035</v>
      </c>
      <c r="E649" s="55">
        <v>349076.46</v>
      </c>
      <c r="F649" t="s">
        <v>769</v>
      </c>
      <c r="G649">
        <v>1500038771</v>
      </c>
      <c r="H649" t="s">
        <v>755</v>
      </c>
      <c r="I649" t="s">
        <v>770</v>
      </c>
      <c r="K649" s="143">
        <v>46069</v>
      </c>
      <c r="L649" s="143">
        <v>46035</v>
      </c>
      <c r="M649">
        <v>22025</v>
      </c>
      <c r="N649" t="s">
        <v>771</v>
      </c>
      <c r="O649">
        <v>2001</v>
      </c>
      <c r="S649">
        <v>525510</v>
      </c>
      <c r="T649" t="s">
        <v>772</v>
      </c>
    </row>
    <row r="650" spans="1:20" x14ac:dyDescent="0.25">
      <c r="A650">
        <v>5100423724</v>
      </c>
      <c r="B650">
        <v>76216</v>
      </c>
      <c r="C650" t="s">
        <v>768</v>
      </c>
      <c r="D650" s="143">
        <v>46035</v>
      </c>
      <c r="E650" s="55">
        <v>34242.28</v>
      </c>
      <c r="F650" t="s">
        <v>769</v>
      </c>
      <c r="G650">
        <v>1500038771</v>
      </c>
      <c r="H650" t="s">
        <v>755</v>
      </c>
      <c r="I650" t="s">
        <v>770</v>
      </c>
      <c r="K650" s="143">
        <v>46069</v>
      </c>
      <c r="L650" s="143">
        <v>46035</v>
      </c>
      <c r="M650">
        <v>92025</v>
      </c>
      <c r="N650" t="s">
        <v>771</v>
      </c>
      <c r="O650">
        <v>2001</v>
      </c>
      <c r="S650">
        <v>525510</v>
      </c>
      <c r="T650" t="s">
        <v>772</v>
      </c>
    </row>
    <row r="651" spans="1:20" x14ac:dyDescent="0.25">
      <c r="A651">
        <v>5100424049</v>
      </c>
      <c r="B651">
        <v>93591</v>
      </c>
      <c r="C651" t="s">
        <v>768</v>
      </c>
      <c r="D651" s="143">
        <v>46035</v>
      </c>
      <c r="E651" s="55">
        <v>260079.11</v>
      </c>
      <c r="F651" t="s">
        <v>769</v>
      </c>
      <c r="G651">
        <v>1500038776</v>
      </c>
      <c r="H651" t="s">
        <v>755</v>
      </c>
      <c r="I651" t="s">
        <v>770</v>
      </c>
      <c r="K651" s="143">
        <v>46069</v>
      </c>
      <c r="L651" s="143">
        <v>46035</v>
      </c>
      <c r="M651">
        <v>62025</v>
      </c>
      <c r="N651" t="s">
        <v>771</v>
      </c>
      <c r="O651">
        <v>2001</v>
      </c>
      <c r="S651">
        <v>525546</v>
      </c>
      <c r="T651" t="s">
        <v>772</v>
      </c>
    </row>
    <row r="652" spans="1:20" x14ac:dyDescent="0.25">
      <c r="A652">
        <v>5100424050</v>
      </c>
      <c r="B652">
        <v>93591</v>
      </c>
      <c r="C652" t="s">
        <v>768</v>
      </c>
      <c r="D652" s="143">
        <v>46035</v>
      </c>
      <c r="E652" s="55">
        <v>41867.199999999997</v>
      </c>
      <c r="F652" t="s">
        <v>769</v>
      </c>
      <c r="G652">
        <v>1500038776</v>
      </c>
      <c r="H652" t="s">
        <v>755</v>
      </c>
      <c r="I652" t="s">
        <v>770</v>
      </c>
      <c r="K652" s="143">
        <v>46069</v>
      </c>
      <c r="L652" s="143">
        <v>46035</v>
      </c>
      <c r="M652">
        <v>82025</v>
      </c>
      <c r="N652" t="s">
        <v>771</v>
      </c>
      <c r="O652">
        <v>2001</v>
      </c>
      <c r="S652">
        <v>525546</v>
      </c>
      <c r="T652" t="s">
        <v>772</v>
      </c>
    </row>
    <row r="653" spans="1:20" x14ac:dyDescent="0.25">
      <c r="A653">
        <v>5100424107</v>
      </c>
      <c r="B653">
        <v>96610</v>
      </c>
      <c r="C653" t="s">
        <v>768</v>
      </c>
      <c r="D653" s="143">
        <v>46035</v>
      </c>
      <c r="E653" s="55">
        <v>11525.86</v>
      </c>
      <c r="F653" t="s">
        <v>769</v>
      </c>
      <c r="G653">
        <v>1500087644</v>
      </c>
      <c r="H653" t="s">
        <v>755</v>
      </c>
      <c r="I653" t="s">
        <v>770</v>
      </c>
      <c r="K653" s="143">
        <v>46076</v>
      </c>
      <c r="L653" s="143">
        <v>46035</v>
      </c>
      <c r="M653">
        <v>12025</v>
      </c>
      <c r="N653" t="s">
        <v>771</v>
      </c>
      <c r="O653">
        <v>2001</v>
      </c>
      <c r="S653">
        <v>515117</v>
      </c>
      <c r="T653" t="s">
        <v>772</v>
      </c>
    </row>
    <row r="654" spans="1:20" x14ac:dyDescent="0.25">
      <c r="A654">
        <v>5100424108</v>
      </c>
      <c r="B654">
        <v>96610</v>
      </c>
      <c r="C654" t="s">
        <v>768</v>
      </c>
      <c r="D654" s="143">
        <v>46035</v>
      </c>
      <c r="E654">
        <v>916.43</v>
      </c>
      <c r="F654" t="s">
        <v>769</v>
      </c>
      <c r="G654">
        <v>1500087644</v>
      </c>
      <c r="H654" t="s">
        <v>755</v>
      </c>
      <c r="I654" t="s">
        <v>770</v>
      </c>
      <c r="K654" s="143">
        <v>46076</v>
      </c>
      <c r="L654" s="143">
        <v>46035</v>
      </c>
      <c r="M654">
        <v>12025</v>
      </c>
      <c r="N654" t="s">
        <v>771</v>
      </c>
      <c r="O654">
        <v>2001</v>
      </c>
      <c r="S654">
        <v>515117</v>
      </c>
      <c r="T654" t="s">
        <v>772</v>
      </c>
    </row>
    <row r="655" spans="1:20" x14ac:dyDescent="0.25">
      <c r="A655">
        <v>5100424109</v>
      </c>
      <c r="B655">
        <v>96610</v>
      </c>
      <c r="C655" t="s">
        <v>768</v>
      </c>
      <c r="D655" s="143">
        <v>46035</v>
      </c>
      <c r="E655" s="55">
        <v>37056.61</v>
      </c>
      <c r="F655" t="s">
        <v>769</v>
      </c>
      <c r="G655">
        <v>1500087644</v>
      </c>
      <c r="H655" t="s">
        <v>755</v>
      </c>
      <c r="I655" t="s">
        <v>770</v>
      </c>
      <c r="K655" s="143">
        <v>46076</v>
      </c>
      <c r="L655" s="143">
        <v>46035</v>
      </c>
      <c r="M655">
        <v>32025</v>
      </c>
      <c r="N655" t="s">
        <v>771</v>
      </c>
      <c r="O655">
        <v>2001</v>
      </c>
      <c r="S655">
        <v>515117</v>
      </c>
      <c r="T655" t="s">
        <v>772</v>
      </c>
    </row>
    <row r="656" spans="1:20" x14ac:dyDescent="0.25">
      <c r="A656">
        <v>5100424110</v>
      </c>
      <c r="B656">
        <v>96610</v>
      </c>
      <c r="C656" t="s">
        <v>768</v>
      </c>
      <c r="D656" s="143">
        <v>46035</v>
      </c>
      <c r="E656" s="55">
        <v>12138.87</v>
      </c>
      <c r="F656" t="s">
        <v>769</v>
      </c>
      <c r="G656">
        <v>1500087644</v>
      </c>
      <c r="H656" t="s">
        <v>755</v>
      </c>
      <c r="I656" t="s">
        <v>770</v>
      </c>
      <c r="K656" s="143">
        <v>46076</v>
      </c>
      <c r="L656" s="143">
        <v>46035</v>
      </c>
      <c r="M656">
        <v>42025</v>
      </c>
      <c r="N656" t="s">
        <v>771</v>
      </c>
      <c r="O656">
        <v>2001</v>
      </c>
      <c r="S656">
        <v>515117</v>
      </c>
      <c r="T656" t="s">
        <v>772</v>
      </c>
    </row>
    <row r="657" spans="1:20" x14ac:dyDescent="0.25">
      <c r="A657">
        <v>5100424111</v>
      </c>
      <c r="B657">
        <v>96610</v>
      </c>
      <c r="C657" t="s">
        <v>768</v>
      </c>
      <c r="D657" s="143">
        <v>46035</v>
      </c>
      <c r="E657" s="55">
        <v>1340.88</v>
      </c>
      <c r="F657" t="s">
        <v>769</v>
      </c>
      <c r="G657">
        <v>1500087644</v>
      </c>
      <c r="H657" t="s">
        <v>755</v>
      </c>
      <c r="I657" t="s">
        <v>770</v>
      </c>
      <c r="K657" s="143">
        <v>46076</v>
      </c>
      <c r="L657" s="143">
        <v>46035</v>
      </c>
      <c r="M657">
        <v>52025</v>
      </c>
      <c r="N657" t="s">
        <v>771</v>
      </c>
      <c r="O657">
        <v>2001</v>
      </c>
      <c r="S657">
        <v>515117</v>
      </c>
      <c r="T657" t="s">
        <v>772</v>
      </c>
    </row>
    <row r="658" spans="1:20" x14ac:dyDescent="0.25">
      <c r="A658">
        <v>5100424112</v>
      </c>
      <c r="B658">
        <v>96610</v>
      </c>
      <c r="C658" t="s">
        <v>768</v>
      </c>
      <c r="D658" s="143">
        <v>46035</v>
      </c>
      <c r="E658" s="55">
        <v>13569.47</v>
      </c>
      <c r="F658" t="s">
        <v>769</v>
      </c>
      <c r="G658">
        <v>1500087644</v>
      </c>
      <c r="H658" t="s">
        <v>755</v>
      </c>
      <c r="I658" t="s">
        <v>770</v>
      </c>
      <c r="K658" s="143">
        <v>46076</v>
      </c>
      <c r="L658" s="143">
        <v>46035</v>
      </c>
      <c r="M658">
        <v>52025</v>
      </c>
      <c r="N658" t="s">
        <v>771</v>
      </c>
      <c r="O658">
        <v>2001</v>
      </c>
      <c r="S658">
        <v>515117</v>
      </c>
      <c r="T658" t="s">
        <v>772</v>
      </c>
    </row>
    <row r="659" spans="1:20" x14ac:dyDescent="0.25">
      <c r="A659">
        <v>5100424113</v>
      </c>
      <c r="B659">
        <v>96610</v>
      </c>
      <c r="C659" t="s">
        <v>768</v>
      </c>
      <c r="D659" s="143">
        <v>46035</v>
      </c>
      <c r="E659" s="55">
        <v>10813.89</v>
      </c>
      <c r="F659" t="s">
        <v>769</v>
      </c>
      <c r="G659">
        <v>1500087644</v>
      </c>
      <c r="H659" t="s">
        <v>755</v>
      </c>
      <c r="I659" t="s">
        <v>770</v>
      </c>
      <c r="K659" s="143">
        <v>46076</v>
      </c>
      <c r="L659" s="143">
        <v>46035</v>
      </c>
      <c r="M659">
        <v>52025</v>
      </c>
      <c r="N659" t="s">
        <v>771</v>
      </c>
      <c r="O659">
        <v>2001</v>
      </c>
      <c r="S659">
        <v>515117</v>
      </c>
      <c r="T659" t="s">
        <v>772</v>
      </c>
    </row>
    <row r="660" spans="1:20" x14ac:dyDescent="0.25">
      <c r="A660">
        <v>5100424114</v>
      </c>
      <c r="B660">
        <v>96610</v>
      </c>
      <c r="C660" t="s">
        <v>768</v>
      </c>
      <c r="D660" s="143">
        <v>46035</v>
      </c>
      <c r="E660" s="55">
        <v>1172.01</v>
      </c>
      <c r="F660" t="s">
        <v>769</v>
      </c>
      <c r="G660">
        <v>1500087644</v>
      </c>
      <c r="H660" t="s">
        <v>755</v>
      </c>
      <c r="I660" t="s">
        <v>770</v>
      </c>
      <c r="K660" s="143">
        <v>46076</v>
      </c>
      <c r="L660" s="143">
        <v>46035</v>
      </c>
      <c r="M660">
        <v>62025</v>
      </c>
      <c r="N660" t="s">
        <v>771</v>
      </c>
      <c r="O660">
        <v>2001</v>
      </c>
      <c r="S660">
        <v>515117</v>
      </c>
      <c r="T660" t="s">
        <v>772</v>
      </c>
    </row>
    <row r="661" spans="1:20" x14ac:dyDescent="0.25">
      <c r="A661">
        <v>5100424115</v>
      </c>
      <c r="B661">
        <v>96610</v>
      </c>
      <c r="C661" t="s">
        <v>768</v>
      </c>
      <c r="D661" s="143">
        <v>46035</v>
      </c>
      <c r="E661" s="55">
        <v>1099.72</v>
      </c>
      <c r="F661" t="s">
        <v>769</v>
      </c>
      <c r="G661">
        <v>1500087644</v>
      </c>
      <c r="H661" t="s">
        <v>755</v>
      </c>
      <c r="I661" t="s">
        <v>770</v>
      </c>
      <c r="K661" s="143">
        <v>46076</v>
      </c>
      <c r="L661" s="143">
        <v>46035</v>
      </c>
      <c r="M661">
        <v>62025</v>
      </c>
      <c r="N661" t="s">
        <v>771</v>
      </c>
      <c r="O661">
        <v>2001</v>
      </c>
      <c r="S661">
        <v>515117</v>
      </c>
      <c r="T661" t="s">
        <v>772</v>
      </c>
    </row>
    <row r="662" spans="1:20" x14ac:dyDescent="0.25">
      <c r="A662">
        <v>5100424117</v>
      </c>
      <c r="B662">
        <v>96610</v>
      </c>
      <c r="C662" t="s">
        <v>768</v>
      </c>
      <c r="D662" s="143">
        <v>46035</v>
      </c>
      <c r="E662" s="55">
        <v>4972.5600000000004</v>
      </c>
      <c r="F662" t="s">
        <v>769</v>
      </c>
      <c r="G662">
        <v>1500087644</v>
      </c>
      <c r="H662" t="s">
        <v>755</v>
      </c>
      <c r="I662" t="s">
        <v>770</v>
      </c>
      <c r="K662" s="143">
        <v>46076</v>
      </c>
      <c r="L662" s="143">
        <v>46035</v>
      </c>
      <c r="M662">
        <v>72025</v>
      </c>
      <c r="N662" t="s">
        <v>771</v>
      </c>
      <c r="O662">
        <v>2001</v>
      </c>
      <c r="S662">
        <v>515117</v>
      </c>
      <c r="T662" t="s">
        <v>772</v>
      </c>
    </row>
    <row r="663" spans="1:20" x14ac:dyDescent="0.25">
      <c r="A663">
        <v>5100424118</v>
      </c>
      <c r="B663">
        <v>96610</v>
      </c>
      <c r="C663" t="s">
        <v>768</v>
      </c>
      <c r="D663" s="143">
        <v>46035</v>
      </c>
      <c r="E663" s="55">
        <v>13101.64</v>
      </c>
      <c r="F663" t="s">
        <v>769</v>
      </c>
      <c r="G663">
        <v>1500087644</v>
      </c>
      <c r="H663" t="s">
        <v>755</v>
      </c>
      <c r="I663" t="s">
        <v>770</v>
      </c>
      <c r="K663" s="143">
        <v>46076</v>
      </c>
      <c r="L663" s="143">
        <v>46035</v>
      </c>
      <c r="M663">
        <v>72025</v>
      </c>
      <c r="N663" t="s">
        <v>771</v>
      </c>
      <c r="O663">
        <v>2001</v>
      </c>
      <c r="S663">
        <v>515117</v>
      </c>
      <c r="T663" t="s">
        <v>772</v>
      </c>
    </row>
    <row r="664" spans="1:20" x14ac:dyDescent="0.25">
      <c r="A664">
        <v>5100424119</v>
      </c>
      <c r="B664">
        <v>96610</v>
      </c>
      <c r="C664" t="s">
        <v>768</v>
      </c>
      <c r="D664" s="143">
        <v>46035</v>
      </c>
      <c r="E664">
        <v>955.76</v>
      </c>
      <c r="F664" t="s">
        <v>769</v>
      </c>
      <c r="G664">
        <v>1500087644</v>
      </c>
      <c r="H664" t="s">
        <v>755</v>
      </c>
      <c r="I664" t="s">
        <v>770</v>
      </c>
      <c r="K664" s="143">
        <v>46076</v>
      </c>
      <c r="L664" s="143">
        <v>46035</v>
      </c>
      <c r="M664">
        <v>82025</v>
      </c>
      <c r="N664" t="s">
        <v>771</v>
      </c>
      <c r="O664">
        <v>2001</v>
      </c>
      <c r="S664">
        <v>515117</v>
      </c>
      <c r="T664" t="s">
        <v>772</v>
      </c>
    </row>
    <row r="665" spans="1:20" x14ac:dyDescent="0.25">
      <c r="A665">
        <v>5100424116</v>
      </c>
      <c r="B665">
        <v>96610</v>
      </c>
      <c r="C665" t="s">
        <v>768</v>
      </c>
      <c r="D665" s="143">
        <v>46035</v>
      </c>
      <c r="E665" s="55">
        <v>39975.26</v>
      </c>
      <c r="F665" t="s">
        <v>769</v>
      </c>
      <c r="G665">
        <v>1500087644</v>
      </c>
      <c r="H665" t="s">
        <v>755</v>
      </c>
      <c r="I665" t="s">
        <v>770</v>
      </c>
      <c r="K665" s="143">
        <v>46076</v>
      </c>
      <c r="L665" s="143">
        <v>46035</v>
      </c>
      <c r="M665">
        <v>62025</v>
      </c>
      <c r="N665" t="s">
        <v>771</v>
      </c>
      <c r="O665">
        <v>2001</v>
      </c>
      <c r="S665">
        <v>525549</v>
      </c>
      <c r="T665" t="s">
        <v>772</v>
      </c>
    </row>
    <row r="666" spans="1:20" x14ac:dyDescent="0.25">
      <c r="A666">
        <v>5100424120</v>
      </c>
      <c r="B666">
        <v>97071</v>
      </c>
      <c r="C666" t="s">
        <v>768</v>
      </c>
      <c r="D666" s="143">
        <v>46035</v>
      </c>
      <c r="E666" s="55">
        <v>67095.509999999995</v>
      </c>
      <c r="F666" t="s">
        <v>769</v>
      </c>
      <c r="G666">
        <v>1500000138</v>
      </c>
      <c r="H666" t="s">
        <v>755</v>
      </c>
      <c r="I666" t="s">
        <v>770</v>
      </c>
      <c r="K666" s="143">
        <v>46069</v>
      </c>
      <c r="L666" s="143">
        <v>46035</v>
      </c>
      <c r="M666">
        <v>22025</v>
      </c>
      <c r="N666" t="s">
        <v>771</v>
      </c>
      <c r="O666">
        <v>2001</v>
      </c>
      <c r="S666" t="s">
        <v>799</v>
      </c>
      <c r="T666" t="s">
        <v>772</v>
      </c>
    </row>
    <row r="667" spans="1:20" x14ac:dyDescent="0.25">
      <c r="A667">
        <v>5100424121</v>
      </c>
      <c r="B667">
        <v>97071</v>
      </c>
      <c r="C667" t="s">
        <v>768</v>
      </c>
      <c r="D667" s="143">
        <v>46035</v>
      </c>
      <c r="E667" s="55">
        <v>138191.17000000001</v>
      </c>
      <c r="F667" t="s">
        <v>769</v>
      </c>
      <c r="G667">
        <v>1500000138</v>
      </c>
      <c r="H667" t="s">
        <v>755</v>
      </c>
      <c r="I667" t="s">
        <v>770</v>
      </c>
      <c r="K667" s="143">
        <v>46069</v>
      </c>
      <c r="L667" s="143">
        <v>46035</v>
      </c>
      <c r="M667">
        <v>22025</v>
      </c>
      <c r="N667" t="s">
        <v>771</v>
      </c>
      <c r="O667">
        <v>2001</v>
      </c>
      <c r="S667" t="s">
        <v>799</v>
      </c>
      <c r="T667" t="s">
        <v>772</v>
      </c>
    </row>
    <row r="668" spans="1:20" x14ac:dyDescent="0.25">
      <c r="A668">
        <v>5100424122</v>
      </c>
      <c r="B668">
        <v>97071</v>
      </c>
      <c r="C668" t="s">
        <v>768</v>
      </c>
      <c r="D668" s="143">
        <v>46035</v>
      </c>
      <c r="E668" s="55">
        <v>37739.72</v>
      </c>
      <c r="F668" t="s">
        <v>769</v>
      </c>
      <c r="G668">
        <v>1500000138</v>
      </c>
      <c r="H668" t="s">
        <v>755</v>
      </c>
      <c r="I668" t="s">
        <v>770</v>
      </c>
      <c r="K668" s="143">
        <v>46069</v>
      </c>
      <c r="L668" s="143">
        <v>46035</v>
      </c>
      <c r="M668">
        <v>62025</v>
      </c>
      <c r="N668" t="s">
        <v>771</v>
      </c>
      <c r="O668">
        <v>2001</v>
      </c>
      <c r="S668" t="s">
        <v>799</v>
      </c>
      <c r="T668" t="s">
        <v>772</v>
      </c>
    </row>
    <row r="669" spans="1:20" x14ac:dyDescent="0.25">
      <c r="A669">
        <v>5100424123</v>
      </c>
      <c r="B669">
        <v>97071</v>
      </c>
      <c r="C669" t="s">
        <v>768</v>
      </c>
      <c r="D669" s="143">
        <v>46035</v>
      </c>
      <c r="E669" s="55">
        <v>43186.77</v>
      </c>
      <c r="F669" t="s">
        <v>769</v>
      </c>
      <c r="G669">
        <v>1500000138</v>
      </c>
      <c r="H669" t="s">
        <v>755</v>
      </c>
      <c r="I669" t="s">
        <v>770</v>
      </c>
      <c r="K669" s="143">
        <v>46069</v>
      </c>
      <c r="L669" s="143">
        <v>46035</v>
      </c>
      <c r="M669">
        <v>62025</v>
      </c>
      <c r="N669" t="s">
        <v>771</v>
      </c>
      <c r="O669">
        <v>2001</v>
      </c>
      <c r="S669" t="s">
        <v>799</v>
      </c>
      <c r="T669" t="s">
        <v>772</v>
      </c>
    </row>
    <row r="670" spans="1:20" x14ac:dyDescent="0.25">
      <c r="A670">
        <v>5100424124</v>
      </c>
      <c r="B670">
        <v>97071</v>
      </c>
      <c r="C670" t="s">
        <v>768</v>
      </c>
      <c r="D670" s="143">
        <v>46035</v>
      </c>
      <c r="E670" s="55">
        <v>43161.73</v>
      </c>
      <c r="F670" t="s">
        <v>769</v>
      </c>
      <c r="G670">
        <v>1500000138</v>
      </c>
      <c r="H670" t="s">
        <v>755</v>
      </c>
      <c r="I670" t="s">
        <v>770</v>
      </c>
      <c r="K670" s="143">
        <v>46069</v>
      </c>
      <c r="L670" s="143">
        <v>46035</v>
      </c>
      <c r="M670">
        <v>72025</v>
      </c>
      <c r="N670" t="s">
        <v>771</v>
      </c>
      <c r="O670">
        <v>2001</v>
      </c>
      <c r="S670" t="s">
        <v>799</v>
      </c>
      <c r="T670" t="s">
        <v>772</v>
      </c>
    </row>
    <row r="671" spans="1:20" x14ac:dyDescent="0.25">
      <c r="A671">
        <v>5100424125</v>
      </c>
      <c r="B671">
        <v>97071</v>
      </c>
      <c r="C671" t="s">
        <v>768</v>
      </c>
      <c r="D671" s="143">
        <v>46035</v>
      </c>
      <c r="E671" s="55">
        <v>16005.01</v>
      </c>
      <c r="F671" t="s">
        <v>769</v>
      </c>
      <c r="G671">
        <v>1500000138</v>
      </c>
      <c r="H671" t="s">
        <v>755</v>
      </c>
      <c r="I671" t="s">
        <v>770</v>
      </c>
      <c r="K671" s="143">
        <v>46069</v>
      </c>
      <c r="L671" s="143">
        <v>46035</v>
      </c>
      <c r="M671">
        <v>72025</v>
      </c>
      <c r="N671" t="s">
        <v>771</v>
      </c>
      <c r="O671">
        <v>2001</v>
      </c>
      <c r="S671" t="s">
        <v>799</v>
      </c>
      <c r="T671" t="s">
        <v>772</v>
      </c>
    </row>
    <row r="672" spans="1:20" x14ac:dyDescent="0.25">
      <c r="A672">
        <v>5100424126</v>
      </c>
      <c r="B672">
        <v>97071</v>
      </c>
      <c r="C672" t="s">
        <v>768</v>
      </c>
      <c r="D672" s="143">
        <v>46035</v>
      </c>
      <c r="E672" s="55">
        <v>2963.9</v>
      </c>
      <c r="F672" t="s">
        <v>769</v>
      </c>
      <c r="G672">
        <v>1500000138</v>
      </c>
      <c r="H672" t="s">
        <v>755</v>
      </c>
      <c r="I672" t="s">
        <v>770</v>
      </c>
      <c r="K672" s="143">
        <v>46069</v>
      </c>
      <c r="L672" s="143">
        <v>46035</v>
      </c>
      <c r="M672">
        <v>82025</v>
      </c>
      <c r="N672" t="s">
        <v>771</v>
      </c>
      <c r="O672">
        <v>2001</v>
      </c>
      <c r="S672" t="s">
        <v>799</v>
      </c>
      <c r="T672" t="s">
        <v>772</v>
      </c>
    </row>
    <row r="673" spans="1:20" x14ac:dyDescent="0.25">
      <c r="A673">
        <v>5100424127</v>
      </c>
      <c r="B673">
        <v>97071</v>
      </c>
      <c r="C673" t="s">
        <v>768</v>
      </c>
      <c r="D673" s="143">
        <v>46035</v>
      </c>
      <c r="E673">
        <v>592.78</v>
      </c>
      <c r="F673" t="s">
        <v>769</v>
      </c>
      <c r="G673">
        <v>1500000138</v>
      </c>
      <c r="H673" t="s">
        <v>755</v>
      </c>
      <c r="I673" t="s">
        <v>770</v>
      </c>
      <c r="K673" s="143">
        <v>46069</v>
      </c>
      <c r="L673" s="143">
        <v>46035</v>
      </c>
      <c r="M673">
        <v>92025</v>
      </c>
      <c r="N673" t="s">
        <v>771</v>
      </c>
      <c r="O673">
        <v>2001</v>
      </c>
      <c r="S673" t="s">
        <v>799</v>
      </c>
      <c r="T673" t="s">
        <v>772</v>
      </c>
    </row>
    <row r="674" spans="1:20" x14ac:dyDescent="0.25">
      <c r="A674">
        <v>5100421615</v>
      </c>
      <c r="B674">
        <v>152561</v>
      </c>
      <c r="C674" t="s">
        <v>768</v>
      </c>
      <c r="D674" s="143">
        <v>46035</v>
      </c>
      <c r="E674">
        <v>172.73</v>
      </c>
      <c r="F674" t="s">
        <v>769</v>
      </c>
      <c r="G674">
        <v>1500038780</v>
      </c>
      <c r="H674" t="s">
        <v>755</v>
      </c>
      <c r="I674" t="s">
        <v>770</v>
      </c>
      <c r="K674" s="143">
        <v>46069</v>
      </c>
      <c r="L674" s="143">
        <v>46035</v>
      </c>
      <c r="M674">
        <v>62025</v>
      </c>
      <c r="N674" t="s">
        <v>771</v>
      </c>
      <c r="O674">
        <v>2001</v>
      </c>
      <c r="S674">
        <v>0</v>
      </c>
      <c r="T674" t="s">
        <v>772</v>
      </c>
    </row>
    <row r="675" spans="1:20" x14ac:dyDescent="0.25">
      <c r="A675">
        <v>5100421611</v>
      </c>
      <c r="B675">
        <v>152561</v>
      </c>
      <c r="C675" t="s">
        <v>768</v>
      </c>
      <c r="D675" s="143">
        <v>46035</v>
      </c>
      <c r="E675" s="55">
        <v>29320.38</v>
      </c>
      <c r="F675" t="s">
        <v>769</v>
      </c>
      <c r="G675">
        <v>1500038780</v>
      </c>
      <c r="H675" t="s">
        <v>755</v>
      </c>
      <c r="I675" t="s">
        <v>770</v>
      </c>
      <c r="K675" s="143">
        <v>46069</v>
      </c>
      <c r="L675" s="143">
        <v>46035</v>
      </c>
      <c r="M675">
        <v>22025</v>
      </c>
      <c r="N675" t="s">
        <v>771</v>
      </c>
      <c r="O675">
        <v>2001</v>
      </c>
      <c r="S675">
        <v>515392</v>
      </c>
      <c r="T675" t="s">
        <v>772</v>
      </c>
    </row>
    <row r="676" spans="1:20" x14ac:dyDescent="0.25">
      <c r="A676">
        <v>5100421612</v>
      </c>
      <c r="B676">
        <v>152561</v>
      </c>
      <c r="C676" t="s">
        <v>768</v>
      </c>
      <c r="D676" s="143">
        <v>46035</v>
      </c>
      <c r="E676" s="55">
        <v>82534.149999999994</v>
      </c>
      <c r="F676" t="s">
        <v>769</v>
      </c>
      <c r="G676">
        <v>1500038780</v>
      </c>
      <c r="H676" t="s">
        <v>755</v>
      </c>
      <c r="I676" t="s">
        <v>770</v>
      </c>
      <c r="K676" s="143">
        <v>46069</v>
      </c>
      <c r="L676" s="143">
        <v>46035</v>
      </c>
      <c r="M676">
        <v>32025</v>
      </c>
      <c r="N676" t="s">
        <v>771</v>
      </c>
      <c r="O676">
        <v>2001</v>
      </c>
      <c r="S676">
        <v>515392</v>
      </c>
      <c r="T676" t="s">
        <v>772</v>
      </c>
    </row>
    <row r="677" spans="1:20" x14ac:dyDescent="0.25">
      <c r="A677">
        <v>5100421613</v>
      </c>
      <c r="B677">
        <v>152561</v>
      </c>
      <c r="C677" t="s">
        <v>768</v>
      </c>
      <c r="D677" s="143">
        <v>46035</v>
      </c>
      <c r="E677" s="55">
        <v>72940.710000000006</v>
      </c>
      <c r="F677" t="s">
        <v>769</v>
      </c>
      <c r="G677">
        <v>1500038780</v>
      </c>
      <c r="H677" t="s">
        <v>755</v>
      </c>
      <c r="I677" t="s">
        <v>770</v>
      </c>
      <c r="K677" s="143">
        <v>46069</v>
      </c>
      <c r="L677" s="143">
        <v>46035</v>
      </c>
      <c r="M677">
        <v>42025</v>
      </c>
      <c r="N677" t="s">
        <v>771</v>
      </c>
      <c r="O677">
        <v>2001</v>
      </c>
      <c r="S677">
        <v>515392</v>
      </c>
      <c r="T677" t="s">
        <v>772</v>
      </c>
    </row>
    <row r="678" spans="1:20" x14ac:dyDescent="0.25">
      <c r="A678">
        <v>5100421614</v>
      </c>
      <c r="B678">
        <v>152561</v>
      </c>
      <c r="C678" t="s">
        <v>768</v>
      </c>
      <c r="D678" s="143">
        <v>46035</v>
      </c>
      <c r="E678" s="55">
        <v>40209.08</v>
      </c>
      <c r="F678" t="s">
        <v>769</v>
      </c>
      <c r="G678">
        <v>1500038780</v>
      </c>
      <c r="H678" t="s">
        <v>755</v>
      </c>
      <c r="I678" t="s">
        <v>770</v>
      </c>
      <c r="K678" s="143">
        <v>46069</v>
      </c>
      <c r="L678" s="143">
        <v>46035</v>
      </c>
      <c r="M678">
        <v>52025</v>
      </c>
      <c r="N678" t="s">
        <v>771</v>
      </c>
      <c r="O678">
        <v>2001</v>
      </c>
      <c r="S678">
        <v>515392</v>
      </c>
      <c r="T678" t="s">
        <v>772</v>
      </c>
    </row>
    <row r="679" spans="1:20" x14ac:dyDescent="0.25">
      <c r="A679">
        <v>5100421617</v>
      </c>
      <c r="B679">
        <v>152561</v>
      </c>
      <c r="C679" t="s">
        <v>768</v>
      </c>
      <c r="D679" s="143">
        <v>46035</v>
      </c>
      <c r="E679" s="55">
        <v>4321.08</v>
      </c>
      <c r="F679" t="s">
        <v>769</v>
      </c>
      <c r="G679">
        <v>1500038780</v>
      </c>
      <c r="H679" t="s">
        <v>755</v>
      </c>
      <c r="I679" t="s">
        <v>770</v>
      </c>
      <c r="K679" s="143">
        <v>46069</v>
      </c>
      <c r="L679" s="143">
        <v>46035</v>
      </c>
      <c r="M679">
        <v>72025</v>
      </c>
      <c r="N679" t="s">
        <v>771</v>
      </c>
      <c r="O679">
        <v>2001</v>
      </c>
      <c r="S679">
        <v>515392</v>
      </c>
      <c r="T679" t="s">
        <v>772</v>
      </c>
    </row>
    <row r="680" spans="1:20" x14ac:dyDescent="0.25">
      <c r="A680">
        <v>5100421618</v>
      </c>
      <c r="B680">
        <v>152561</v>
      </c>
      <c r="C680" t="s">
        <v>768</v>
      </c>
      <c r="D680" s="143">
        <v>46035</v>
      </c>
      <c r="E680" s="55">
        <v>12251.96</v>
      </c>
      <c r="F680" t="s">
        <v>769</v>
      </c>
      <c r="G680">
        <v>1500038780</v>
      </c>
      <c r="H680" t="s">
        <v>755</v>
      </c>
      <c r="I680" t="s">
        <v>770</v>
      </c>
      <c r="K680" s="143">
        <v>46069</v>
      </c>
      <c r="L680" s="143">
        <v>46035</v>
      </c>
      <c r="M680">
        <v>82025</v>
      </c>
      <c r="N680" t="s">
        <v>771</v>
      </c>
      <c r="O680">
        <v>2001</v>
      </c>
      <c r="S680">
        <v>515392</v>
      </c>
      <c r="T680" t="s">
        <v>772</v>
      </c>
    </row>
    <row r="681" spans="1:20" x14ac:dyDescent="0.25">
      <c r="A681">
        <v>5100421619</v>
      </c>
      <c r="B681">
        <v>152561</v>
      </c>
      <c r="C681" t="s">
        <v>768</v>
      </c>
      <c r="D681" s="143">
        <v>46035</v>
      </c>
      <c r="E681" s="55">
        <v>3471.67</v>
      </c>
      <c r="F681" t="s">
        <v>769</v>
      </c>
      <c r="G681">
        <v>1500038780</v>
      </c>
      <c r="H681" t="s">
        <v>755</v>
      </c>
      <c r="I681" t="s">
        <v>770</v>
      </c>
      <c r="K681" s="143">
        <v>46069</v>
      </c>
      <c r="L681" s="143">
        <v>46035</v>
      </c>
      <c r="M681">
        <v>92025</v>
      </c>
      <c r="N681" t="s">
        <v>771</v>
      </c>
      <c r="O681">
        <v>2001</v>
      </c>
      <c r="S681">
        <v>515392</v>
      </c>
      <c r="T681" t="s">
        <v>772</v>
      </c>
    </row>
    <row r="682" spans="1:20" x14ac:dyDescent="0.25">
      <c r="A682">
        <v>5100421616</v>
      </c>
      <c r="B682">
        <v>152561</v>
      </c>
      <c r="C682" t="s">
        <v>768</v>
      </c>
      <c r="D682" s="143">
        <v>46035</v>
      </c>
      <c r="E682" s="55">
        <v>21352.9</v>
      </c>
      <c r="F682" t="s">
        <v>769</v>
      </c>
      <c r="G682">
        <v>1500038780</v>
      </c>
      <c r="H682" t="s">
        <v>755</v>
      </c>
      <c r="I682" t="s">
        <v>770</v>
      </c>
      <c r="K682" s="143">
        <v>46069</v>
      </c>
      <c r="L682" s="143">
        <v>46035</v>
      </c>
      <c r="M682">
        <v>62025</v>
      </c>
      <c r="N682" t="s">
        <v>771</v>
      </c>
      <c r="O682">
        <v>2001</v>
      </c>
      <c r="S682">
        <v>525574</v>
      </c>
      <c r="T682" t="s">
        <v>772</v>
      </c>
    </row>
    <row r="683" spans="1:20" x14ac:dyDescent="0.25">
      <c r="A683">
        <v>5100395306</v>
      </c>
      <c r="B683">
        <v>152561</v>
      </c>
      <c r="C683" t="s">
        <v>768</v>
      </c>
      <c r="D683" s="143">
        <v>46035</v>
      </c>
      <c r="E683">
        <v>172.73</v>
      </c>
      <c r="F683" t="s">
        <v>769</v>
      </c>
      <c r="G683">
        <v>5100420506</v>
      </c>
      <c r="H683" t="s">
        <v>755</v>
      </c>
      <c r="I683" t="s">
        <v>770</v>
      </c>
      <c r="J683">
        <v>8</v>
      </c>
      <c r="K683" s="143">
        <v>46035</v>
      </c>
      <c r="L683" s="143">
        <v>46035</v>
      </c>
      <c r="M683">
        <v>62025</v>
      </c>
      <c r="N683">
        <v>0</v>
      </c>
      <c r="O683">
        <v>2001</v>
      </c>
      <c r="S683">
        <v>0</v>
      </c>
      <c r="T683" t="s">
        <v>772</v>
      </c>
    </row>
    <row r="684" spans="1:20" x14ac:dyDescent="0.25">
      <c r="A684">
        <v>5100420506</v>
      </c>
      <c r="B684">
        <v>152561</v>
      </c>
      <c r="C684" t="s">
        <v>768</v>
      </c>
      <c r="D684" s="143">
        <v>46035</v>
      </c>
      <c r="E684">
        <v>-172.73</v>
      </c>
      <c r="F684" t="s">
        <v>769</v>
      </c>
      <c r="G684">
        <v>5100420506</v>
      </c>
      <c r="H684" t="s">
        <v>755</v>
      </c>
      <c r="I684" t="s">
        <v>770</v>
      </c>
      <c r="J684">
        <v>8</v>
      </c>
      <c r="K684" s="143">
        <v>46035</v>
      </c>
      <c r="L684" s="143">
        <v>46035</v>
      </c>
      <c r="M684">
        <v>62025</v>
      </c>
      <c r="N684">
        <v>0</v>
      </c>
      <c r="O684">
        <v>2001</v>
      </c>
      <c r="S684">
        <v>0</v>
      </c>
      <c r="T684">
        <v>900505604</v>
      </c>
    </row>
    <row r="685" spans="1:20" x14ac:dyDescent="0.25">
      <c r="A685">
        <v>5100361682</v>
      </c>
      <c r="B685">
        <v>206417</v>
      </c>
      <c r="C685" t="s">
        <v>768</v>
      </c>
      <c r="D685" s="143">
        <v>46035</v>
      </c>
      <c r="E685">
        <v>776.66</v>
      </c>
      <c r="F685" t="s">
        <v>769</v>
      </c>
      <c r="G685">
        <v>1500038781</v>
      </c>
      <c r="H685" t="s">
        <v>755</v>
      </c>
      <c r="I685" t="s">
        <v>770</v>
      </c>
      <c r="K685" s="143">
        <v>46069</v>
      </c>
      <c r="L685" s="143">
        <v>46035</v>
      </c>
      <c r="M685">
        <v>22025</v>
      </c>
      <c r="N685" t="s">
        <v>771</v>
      </c>
      <c r="O685">
        <v>2001</v>
      </c>
      <c r="S685">
        <v>515777</v>
      </c>
      <c r="T685" t="s">
        <v>772</v>
      </c>
    </row>
    <row r="686" spans="1:20" x14ac:dyDescent="0.25">
      <c r="A686">
        <v>5100361683</v>
      </c>
      <c r="B686">
        <v>206417</v>
      </c>
      <c r="C686" t="s">
        <v>768</v>
      </c>
      <c r="D686" s="143">
        <v>46035</v>
      </c>
      <c r="E686" s="55">
        <v>17468.740000000002</v>
      </c>
      <c r="F686" t="s">
        <v>769</v>
      </c>
      <c r="G686">
        <v>1500038781</v>
      </c>
      <c r="H686" t="s">
        <v>755</v>
      </c>
      <c r="I686" t="s">
        <v>770</v>
      </c>
      <c r="K686" s="143">
        <v>46069</v>
      </c>
      <c r="L686" s="143">
        <v>46035</v>
      </c>
      <c r="M686">
        <v>32025</v>
      </c>
      <c r="N686" t="s">
        <v>771</v>
      </c>
      <c r="O686">
        <v>2001</v>
      </c>
      <c r="S686">
        <v>515777</v>
      </c>
      <c r="T686" t="s">
        <v>772</v>
      </c>
    </row>
    <row r="687" spans="1:20" x14ac:dyDescent="0.25">
      <c r="A687">
        <v>5100361684</v>
      </c>
      <c r="B687">
        <v>206417</v>
      </c>
      <c r="C687" t="s">
        <v>768</v>
      </c>
      <c r="D687" s="143">
        <v>46035</v>
      </c>
      <c r="E687" s="55">
        <v>72748.77</v>
      </c>
      <c r="F687" t="s">
        <v>769</v>
      </c>
      <c r="G687">
        <v>1500038781</v>
      </c>
      <c r="H687" t="s">
        <v>755</v>
      </c>
      <c r="I687" t="s">
        <v>770</v>
      </c>
      <c r="K687" s="143">
        <v>46069</v>
      </c>
      <c r="L687" s="143">
        <v>46035</v>
      </c>
      <c r="M687">
        <v>42025</v>
      </c>
      <c r="N687" t="s">
        <v>771</v>
      </c>
      <c r="O687">
        <v>2001</v>
      </c>
      <c r="S687">
        <v>515777</v>
      </c>
      <c r="T687" t="s">
        <v>772</v>
      </c>
    </row>
    <row r="688" spans="1:20" x14ac:dyDescent="0.25">
      <c r="A688">
        <v>5100361685</v>
      </c>
      <c r="B688">
        <v>206417</v>
      </c>
      <c r="C688" t="s">
        <v>768</v>
      </c>
      <c r="D688" s="143">
        <v>46035</v>
      </c>
      <c r="E688">
        <v>50.81</v>
      </c>
      <c r="F688" t="s">
        <v>769</v>
      </c>
      <c r="G688">
        <v>1500038781</v>
      </c>
      <c r="H688" t="s">
        <v>755</v>
      </c>
      <c r="I688" t="s">
        <v>770</v>
      </c>
      <c r="K688" s="143">
        <v>46069</v>
      </c>
      <c r="L688" s="143">
        <v>46035</v>
      </c>
      <c r="M688">
        <v>42025</v>
      </c>
      <c r="N688" t="s">
        <v>771</v>
      </c>
      <c r="O688">
        <v>2001</v>
      </c>
      <c r="S688">
        <v>515777</v>
      </c>
      <c r="T688" t="s">
        <v>772</v>
      </c>
    </row>
    <row r="689" spans="1:20" x14ac:dyDescent="0.25">
      <c r="A689">
        <v>5100361686</v>
      </c>
      <c r="B689">
        <v>206417</v>
      </c>
      <c r="C689" t="s">
        <v>768</v>
      </c>
      <c r="D689" s="143">
        <v>46035</v>
      </c>
      <c r="E689" s="55">
        <v>46365.85</v>
      </c>
      <c r="F689" t="s">
        <v>769</v>
      </c>
      <c r="G689">
        <v>1500038781</v>
      </c>
      <c r="H689" t="s">
        <v>755</v>
      </c>
      <c r="I689" t="s">
        <v>770</v>
      </c>
      <c r="K689" s="143">
        <v>46069</v>
      </c>
      <c r="L689" s="143">
        <v>46035</v>
      </c>
      <c r="M689">
        <v>52025</v>
      </c>
      <c r="N689" t="s">
        <v>771</v>
      </c>
      <c r="O689">
        <v>2001</v>
      </c>
      <c r="S689">
        <v>515777</v>
      </c>
      <c r="T689" t="s">
        <v>772</v>
      </c>
    </row>
    <row r="690" spans="1:20" x14ac:dyDescent="0.25">
      <c r="A690">
        <v>5100361687</v>
      </c>
      <c r="B690">
        <v>206417</v>
      </c>
      <c r="C690" t="s">
        <v>768</v>
      </c>
      <c r="D690" s="143">
        <v>46035</v>
      </c>
      <c r="E690" s="55">
        <v>3255.3</v>
      </c>
      <c r="F690" t="s">
        <v>769</v>
      </c>
      <c r="G690">
        <v>1500038781</v>
      </c>
      <c r="H690" t="s">
        <v>755</v>
      </c>
      <c r="I690" t="s">
        <v>770</v>
      </c>
      <c r="K690" s="143">
        <v>46069</v>
      </c>
      <c r="L690" s="143">
        <v>46035</v>
      </c>
      <c r="M690">
        <v>52025</v>
      </c>
      <c r="N690" t="s">
        <v>771</v>
      </c>
      <c r="O690">
        <v>2001</v>
      </c>
      <c r="S690">
        <v>515777</v>
      </c>
      <c r="T690" t="s">
        <v>772</v>
      </c>
    </row>
    <row r="691" spans="1:20" x14ac:dyDescent="0.25">
      <c r="A691">
        <v>5100361688</v>
      </c>
      <c r="B691">
        <v>206417</v>
      </c>
      <c r="C691" t="s">
        <v>768</v>
      </c>
      <c r="D691" s="143">
        <v>46035</v>
      </c>
      <c r="E691" s="55">
        <v>8524.77</v>
      </c>
      <c r="F691" t="s">
        <v>769</v>
      </c>
      <c r="G691">
        <v>1500038781</v>
      </c>
      <c r="H691" t="s">
        <v>755</v>
      </c>
      <c r="I691" t="s">
        <v>770</v>
      </c>
      <c r="K691" s="143">
        <v>46069</v>
      </c>
      <c r="L691" s="143">
        <v>46035</v>
      </c>
      <c r="M691">
        <v>62025</v>
      </c>
      <c r="N691" t="s">
        <v>771</v>
      </c>
      <c r="O691">
        <v>2001</v>
      </c>
      <c r="S691">
        <v>515777</v>
      </c>
      <c r="T691" t="s">
        <v>772</v>
      </c>
    </row>
    <row r="692" spans="1:20" x14ac:dyDescent="0.25">
      <c r="A692">
        <v>5100361689</v>
      </c>
      <c r="B692">
        <v>206417</v>
      </c>
      <c r="C692" t="s">
        <v>768</v>
      </c>
      <c r="D692" s="143">
        <v>46035</v>
      </c>
      <c r="E692" s="55">
        <v>2538.0500000000002</v>
      </c>
      <c r="F692" t="s">
        <v>769</v>
      </c>
      <c r="G692">
        <v>1500038781</v>
      </c>
      <c r="H692" t="s">
        <v>755</v>
      </c>
      <c r="I692" t="s">
        <v>770</v>
      </c>
      <c r="K692" s="143">
        <v>46069</v>
      </c>
      <c r="L692" s="143">
        <v>46035</v>
      </c>
      <c r="M692">
        <v>62025</v>
      </c>
      <c r="N692" t="s">
        <v>771</v>
      </c>
      <c r="O692">
        <v>2001</v>
      </c>
      <c r="S692">
        <v>515777</v>
      </c>
      <c r="T692" t="s">
        <v>772</v>
      </c>
    </row>
    <row r="693" spans="1:20" x14ac:dyDescent="0.25">
      <c r="A693">
        <v>5100361690</v>
      </c>
      <c r="B693">
        <v>206417</v>
      </c>
      <c r="C693" t="s">
        <v>768</v>
      </c>
      <c r="D693" s="143">
        <v>46035</v>
      </c>
      <c r="E693" s="55">
        <v>29209.37</v>
      </c>
      <c r="F693" t="s">
        <v>769</v>
      </c>
      <c r="G693">
        <v>1500038781</v>
      </c>
      <c r="H693" t="s">
        <v>755</v>
      </c>
      <c r="I693" t="s">
        <v>770</v>
      </c>
      <c r="K693" s="143">
        <v>46069</v>
      </c>
      <c r="L693" s="143">
        <v>46035</v>
      </c>
      <c r="M693">
        <v>72025</v>
      </c>
      <c r="N693" t="s">
        <v>771</v>
      </c>
      <c r="O693">
        <v>2001</v>
      </c>
      <c r="S693">
        <v>515777</v>
      </c>
      <c r="T693" t="s">
        <v>772</v>
      </c>
    </row>
    <row r="694" spans="1:20" x14ac:dyDescent="0.25">
      <c r="A694">
        <v>5100361691</v>
      </c>
      <c r="B694">
        <v>206417</v>
      </c>
      <c r="C694" t="s">
        <v>768</v>
      </c>
      <c r="D694" s="143">
        <v>46035</v>
      </c>
      <c r="E694" s="55">
        <v>5296.95</v>
      </c>
      <c r="F694" t="s">
        <v>769</v>
      </c>
      <c r="G694">
        <v>1500038781</v>
      </c>
      <c r="H694" t="s">
        <v>755</v>
      </c>
      <c r="I694" t="s">
        <v>770</v>
      </c>
      <c r="K694" s="143">
        <v>46069</v>
      </c>
      <c r="L694" s="143">
        <v>46035</v>
      </c>
      <c r="M694">
        <v>82025</v>
      </c>
      <c r="N694" t="s">
        <v>771</v>
      </c>
      <c r="O694">
        <v>2001</v>
      </c>
      <c r="S694">
        <v>515777</v>
      </c>
      <c r="T694" t="s">
        <v>772</v>
      </c>
    </row>
    <row r="695" spans="1:20" x14ac:dyDescent="0.25">
      <c r="A695">
        <v>5100361692</v>
      </c>
      <c r="B695">
        <v>206417</v>
      </c>
      <c r="C695" t="s">
        <v>768</v>
      </c>
      <c r="D695" s="143">
        <v>46035</v>
      </c>
      <c r="E695">
        <v>20.329999999999998</v>
      </c>
      <c r="F695" t="s">
        <v>769</v>
      </c>
      <c r="G695">
        <v>1500038781</v>
      </c>
      <c r="H695" t="s">
        <v>755</v>
      </c>
      <c r="I695" t="s">
        <v>770</v>
      </c>
      <c r="K695" s="143">
        <v>46069</v>
      </c>
      <c r="L695" s="143">
        <v>46035</v>
      </c>
      <c r="M695">
        <v>82025</v>
      </c>
      <c r="N695" t="s">
        <v>771</v>
      </c>
      <c r="O695">
        <v>2001</v>
      </c>
      <c r="S695">
        <v>515777</v>
      </c>
      <c r="T695" t="s">
        <v>772</v>
      </c>
    </row>
    <row r="696" spans="1:20" x14ac:dyDescent="0.25">
      <c r="A696">
        <v>5100361693</v>
      </c>
      <c r="B696">
        <v>206417</v>
      </c>
      <c r="C696" t="s">
        <v>768</v>
      </c>
      <c r="D696" s="143">
        <v>46035</v>
      </c>
      <c r="E696">
        <v>324.94</v>
      </c>
      <c r="F696" t="s">
        <v>769</v>
      </c>
      <c r="G696">
        <v>1500038781</v>
      </c>
      <c r="H696" t="s">
        <v>755</v>
      </c>
      <c r="I696" t="s">
        <v>770</v>
      </c>
      <c r="K696" s="143">
        <v>46069</v>
      </c>
      <c r="L696" s="143">
        <v>46035</v>
      </c>
      <c r="M696">
        <v>92025</v>
      </c>
      <c r="N696" t="s">
        <v>771</v>
      </c>
      <c r="O696">
        <v>2001</v>
      </c>
      <c r="S696">
        <v>515777</v>
      </c>
      <c r="T696" t="s">
        <v>772</v>
      </c>
    </row>
    <row r="697" spans="1:20" x14ac:dyDescent="0.25">
      <c r="A697">
        <v>5100421966</v>
      </c>
      <c r="B697">
        <v>225839</v>
      </c>
      <c r="C697" t="s">
        <v>768</v>
      </c>
      <c r="D697" s="143">
        <v>46035</v>
      </c>
      <c r="E697" s="55">
        <v>17518.13</v>
      </c>
      <c r="F697" t="s">
        <v>769</v>
      </c>
      <c r="G697">
        <v>1500038783</v>
      </c>
      <c r="H697" t="s">
        <v>755</v>
      </c>
      <c r="I697" t="s">
        <v>770</v>
      </c>
      <c r="K697" s="143">
        <v>46069</v>
      </c>
      <c r="L697" s="143">
        <v>46035</v>
      </c>
      <c r="M697">
        <v>12025</v>
      </c>
      <c r="N697" t="s">
        <v>771</v>
      </c>
      <c r="O697">
        <v>2001</v>
      </c>
      <c r="S697">
        <v>514989</v>
      </c>
      <c r="T697" t="s">
        <v>772</v>
      </c>
    </row>
    <row r="698" spans="1:20" x14ac:dyDescent="0.25">
      <c r="A698">
        <v>5100421967</v>
      </c>
      <c r="B698">
        <v>225839</v>
      </c>
      <c r="C698" t="s">
        <v>768</v>
      </c>
      <c r="D698" s="143">
        <v>46035</v>
      </c>
      <c r="E698" s="55">
        <v>34641.14</v>
      </c>
      <c r="F698" t="s">
        <v>769</v>
      </c>
      <c r="G698">
        <v>1500038783</v>
      </c>
      <c r="H698" t="s">
        <v>755</v>
      </c>
      <c r="I698" t="s">
        <v>770</v>
      </c>
      <c r="K698" s="143">
        <v>46069</v>
      </c>
      <c r="L698" s="143">
        <v>46035</v>
      </c>
      <c r="M698">
        <v>22025</v>
      </c>
      <c r="N698" t="s">
        <v>771</v>
      </c>
      <c r="O698">
        <v>2001</v>
      </c>
      <c r="S698">
        <v>514989</v>
      </c>
      <c r="T698" t="s">
        <v>772</v>
      </c>
    </row>
    <row r="699" spans="1:20" x14ac:dyDescent="0.25">
      <c r="A699">
        <v>5100421968</v>
      </c>
      <c r="B699">
        <v>225839</v>
      </c>
      <c r="C699" t="s">
        <v>768</v>
      </c>
      <c r="D699" s="143">
        <v>46035</v>
      </c>
      <c r="E699" s="55">
        <v>68759.820000000007</v>
      </c>
      <c r="F699" t="s">
        <v>769</v>
      </c>
      <c r="G699">
        <v>1500038783</v>
      </c>
      <c r="H699" t="s">
        <v>755</v>
      </c>
      <c r="I699" t="s">
        <v>770</v>
      </c>
      <c r="K699" s="143">
        <v>46069</v>
      </c>
      <c r="L699" s="143">
        <v>46035</v>
      </c>
      <c r="M699">
        <v>22025</v>
      </c>
      <c r="N699" t="s">
        <v>771</v>
      </c>
      <c r="O699">
        <v>2001</v>
      </c>
      <c r="S699">
        <v>514989</v>
      </c>
      <c r="T699" t="s">
        <v>772</v>
      </c>
    </row>
    <row r="700" spans="1:20" x14ac:dyDescent="0.25">
      <c r="A700">
        <v>5100421969</v>
      </c>
      <c r="B700">
        <v>225839</v>
      </c>
      <c r="C700" t="s">
        <v>768</v>
      </c>
      <c r="D700" s="143">
        <v>46035</v>
      </c>
      <c r="E700" s="55">
        <v>60896.12</v>
      </c>
      <c r="F700" t="s">
        <v>769</v>
      </c>
      <c r="G700">
        <v>1500038783</v>
      </c>
      <c r="H700" t="s">
        <v>755</v>
      </c>
      <c r="I700" t="s">
        <v>770</v>
      </c>
      <c r="K700" s="143">
        <v>46069</v>
      </c>
      <c r="L700" s="143">
        <v>46035</v>
      </c>
      <c r="M700">
        <v>32025</v>
      </c>
      <c r="N700" t="s">
        <v>771</v>
      </c>
      <c r="O700">
        <v>2001</v>
      </c>
      <c r="S700">
        <v>514989</v>
      </c>
      <c r="T700" t="s">
        <v>772</v>
      </c>
    </row>
    <row r="701" spans="1:20" x14ac:dyDescent="0.25">
      <c r="A701">
        <v>5100421970</v>
      </c>
      <c r="B701">
        <v>225839</v>
      </c>
      <c r="C701" t="s">
        <v>768</v>
      </c>
      <c r="D701" s="143">
        <v>46035</v>
      </c>
      <c r="E701" s="55">
        <v>26458.75</v>
      </c>
      <c r="F701" t="s">
        <v>769</v>
      </c>
      <c r="G701">
        <v>1500038783</v>
      </c>
      <c r="H701" t="s">
        <v>755</v>
      </c>
      <c r="I701" t="s">
        <v>770</v>
      </c>
      <c r="K701" s="143">
        <v>46069</v>
      </c>
      <c r="L701" s="143">
        <v>46035</v>
      </c>
      <c r="M701">
        <v>32025</v>
      </c>
      <c r="N701" t="s">
        <v>771</v>
      </c>
      <c r="O701">
        <v>2001</v>
      </c>
      <c r="S701">
        <v>514989</v>
      </c>
      <c r="T701" t="s">
        <v>772</v>
      </c>
    </row>
    <row r="702" spans="1:20" x14ac:dyDescent="0.25">
      <c r="A702">
        <v>5100421971</v>
      </c>
      <c r="B702">
        <v>225839</v>
      </c>
      <c r="C702" t="s">
        <v>768</v>
      </c>
      <c r="D702" s="143">
        <v>46035</v>
      </c>
      <c r="E702" s="55">
        <v>2698.36</v>
      </c>
      <c r="F702" t="s">
        <v>769</v>
      </c>
      <c r="G702">
        <v>1500038783</v>
      </c>
      <c r="H702" t="s">
        <v>755</v>
      </c>
      <c r="I702" t="s">
        <v>770</v>
      </c>
      <c r="K702" s="143">
        <v>46069</v>
      </c>
      <c r="L702" s="143">
        <v>46035</v>
      </c>
      <c r="M702">
        <v>42025</v>
      </c>
      <c r="N702" t="s">
        <v>771</v>
      </c>
      <c r="O702">
        <v>2001</v>
      </c>
      <c r="S702">
        <v>514989</v>
      </c>
      <c r="T702" t="s">
        <v>772</v>
      </c>
    </row>
    <row r="703" spans="1:20" x14ac:dyDescent="0.25">
      <c r="A703">
        <v>5100421972</v>
      </c>
      <c r="B703">
        <v>225839</v>
      </c>
      <c r="C703" t="s">
        <v>768</v>
      </c>
      <c r="D703" s="143">
        <v>46035</v>
      </c>
      <c r="E703" s="55">
        <v>133952.19</v>
      </c>
      <c r="F703" t="s">
        <v>769</v>
      </c>
      <c r="G703">
        <v>1500038783</v>
      </c>
      <c r="H703" t="s">
        <v>755</v>
      </c>
      <c r="I703" t="s">
        <v>770</v>
      </c>
      <c r="K703" s="143">
        <v>46069</v>
      </c>
      <c r="L703" s="143">
        <v>46035</v>
      </c>
      <c r="M703">
        <v>52025</v>
      </c>
      <c r="N703" t="s">
        <v>771</v>
      </c>
      <c r="O703">
        <v>2001</v>
      </c>
      <c r="S703">
        <v>514989</v>
      </c>
      <c r="T703" t="s">
        <v>772</v>
      </c>
    </row>
    <row r="704" spans="1:20" x14ac:dyDescent="0.25">
      <c r="A704">
        <v>5100421973</v>
      </c>
      <c r="B704">
        <v>225839</v>
      </c>
      <c r="C704" t="s">
        <v>768</v>
      </c>
      <c r="D704" s="143">
        <v>46035</v>
      </c>
      <c r="E704" s="55">
        <v>44815.83</v>
      </c>
      <c r="F704" t="s">
        <v>769</v>
      </c>
      <c r="G704">
        <v>1500038783</v>
      </c>
      <c r="H704" t="s">
        <v>755</v>
      </c>
      <c r="I704" t="s">
        <v>770</v>
      </c>
      <c r="K704" s="143">
        <v>46069</v>
      </c>
      <c r="L704" s="143">
        <v>46035</v>
      </c>
      <c r="M704">
        <v>52025</v>
      </c>
      <c r="N704" t="s">
        <v>771</v>
      </c>
      <c r="O704">
        <v>2001</v>
      </c>
      <c r="S704">
        <v>514989</v>
      </c>
      <c r="T704" t="s">
        <v>772</v>
      </c>
    </row>
    <row r="705" spans="1:20" x14ac:dyDescent="0.25">
      <c r="A705">
        <v>5100421974</v>
      </c>
      <c r="B705">
        <v>225839</v>
      </c>
      <c r="C705" t="s">
        <v>768</v>
      </c>
      <c r="D705" s="143">
        <v>46035</v>
      </c>
      <c r="E705">
        <v>538.27</v>
      </c>
      <c r="F705" t="s">
        <v>769</v>
      </c>
      <c r="G705">
        <v>1500038783</v>
      </c>
      <c r="H705" t="s">
        <v>755</v>
      </c>
      <c r="I705" t="s">
        <v>770</v>
      </c>
      <c r="K705" s="143">
        <v>46069</v>
      </c>
      <c r="L705" s="143">
        <v>46035</v>
      </c>
      <c r="M705">
        <v>62025</v>
      </c>
      <c r="N705" t="s">
        <v>771</v>
      </c>
      <c r="O705">
        <v>2001</v>
      </c>
      <c r="S705">
        <v>514989</v>
      </c>
      <c r="T705" t="s">
        <v>772</v>
      </c>
    </row>
    <row r="706" spans="1:20" x14ac:dyDescent="0.25">
      <c r="A706">
        <v>5100421975</v>
      </c>
      <c r="B706">
        <v>225839</v>
      </c>
      <c r="C706" t="s">
        <v>768</v>
      </c>
      <c r="D706" s="143">
        <v>46035</v>
      </c>
      <c r="E706" s="55">
        <v>12327.09</v>
      </c>
      <c r="F706" t="s">
        <v>769</v>
      </c>
      <c r="G706">
        <v>1500038783</v>
      </c>
      <c r="H706" t="s">
        <v>755</v>
      </c>
      <c r="I706" t="s">
        <v>770</v>
      </c>
      <c r="K706" s="143">
        <v>46069</v>
      </c>
      <c r="L706" s="143">
        <v>46035</v>
      </c>
      <c r="M706">
        <v>62025</v>
      </c>
      <c r="N706" t="s">
        <v>771</v>
      </c>
      <c r="O706">
        <v>2001</v>
      </c>
      <c r="S706">
        <v>514989</v>
      </c>
      <c r="T706" t="s">
        <v>772</v>
      </c>
    </row>
    <row r="707" spans="1:20" x14ac:dyDescent="0.25">
      <c r="A707">
        <v>5100421976</v>
      </c>
      <c r="B707">
        <v>225839</v>
      </c>
      <c r="C707" t="s">
        <v>768</v>
      </c>
      <c r="D707" s="143">
        <v>46035</v>
      </c>
      <c r="E707" s="55">
        <v>6566.97</v>
      </c>
      <c r="F707" t="s">
        <v>769</v>
      </c>
      <c r="G707">
        <v>1500038783</v>
      </c>
      <c r="H707" t="s">
        <v>755</v>
      </c>
      <c r="I707" t="s">
        <v>770</v>
      </c>
      <c r="K707" s="143">
        <v>46069</v>
      </c>
      <c r="L707" s="143">
        <v>46035</v>
      </c>
      <c r="M707">
        <v>72025</v>
      </c>
      <c r="N707" t="s">
        <v>771</v>
      </c>
      <c r="O707">
        <v>2001</v>
      </c>
      <c r="S707">
        <v>514989</v>
      </c>
      <c r="T707" t="s">
        <v>772</v>
      </c>
    </row>
    <row r="708" spans="1:20" x14ac:dyDescent="0.25">
      <c r="A708">
        <v>5100421977</v>
      </c>
      <c r="B708">
        <v>225839</v>
      </c>
      <c r="C708" t="s">
        <v>768</v>
      </c>
      <c r="D708" s="143">
        <v>46035</v>
      </c>
      <c r="E708" s="55">
        <v>5183.01</v>
      </c>
      <c r="F708" t="s">
        <v>769</v>
      </c>
      <c r="G708">
        <v>1500038783</v>
      </c>
      <c r="H708" t="s">
        <v>755</v>
      </c>
      <c r="I708" t="s">
        <v>770</v>
      </c>
      <c r="K708" s="143">
        <v>46069</v>
      </c>
      <c r="L708" s="143">
        <v>46035</v>
      </c>
      <c r="M708">
        <v>72025</v>
      </c>
      <c r="N708" t="s">
        <v>771</v>
      </c>
      <c r="O708">
        <v>2001</v>
      </c>
      <c r="S708">
        <v>514989</v>
      </c>
      <c r="T708" t="s">
        <v>772</v>
      </c>
    </row>
    <row r="709" spans="1:20" x14ac:dyDescent="0.25">
      <c r="A709">
        <v>5100421978</v>
      </c>
      <c r="B709">
        <v>225839</v>
      </c>
      <c r="C709" t="s">
        <v>768</v>
      </c>
      <c r="D709" s="143">
        <v>46035</v>
      </c>
      <c r="E709">
        <v>777.31</v>
      </c>
      <c r="F709" t="s">
        <v>769</v>
      </c>
      <c r="G709">
        <v>1500038783</v>
      </c>
      <c r="H709" t="s">
        <v>755</v>
      </c>
      <c r="I709" t="s">
        <v>770</v>
      </c>
      <c r="K709" s="143">
        <v>46069</v>
      </c>
      <c r="L709" s="143">
        <v>46035</v>
      </c>
      <c r="M709">
        <v>82025</v>
      </c>
      <c r="N709" t="s">
        <v>771</v>
      </c>
      <c r="O709">
        <v>2001</v>
      </c>
      <c r="S709">
        <v>514989</v>
      </c>
      <c r="T709" t="s">
        <v>772</v>
      </c>
    </row>
    <row r="710" spans="1:20" x14ac:dyDescent="0.25">
      <c r="A710">
        <v>5100421979</v>
      </c>
      <c r="B710">
        <v>225839</v>
      </c>
      <c r="C710" t="s">
        <v>768</v>
      </c>
      <c r="D710" s="143">
        <v>46035</v>
      </c>
      <c r="E710" s="55">
        <v>16436.34</v>
      </c>
      <c r="F710" t="s">
        <v>769</v>
      </c>
      <c r="G710">
        <v>1500038783</v>
      </c>
      <c r="H710" t="s">
        <v>755</v>
      </c>
      <c r="I710" t="s">
        <v>770</v>
      </c>
      <c r="K710" s="143">
        <v>46069</v>
      </c>
      <c r="L710" s="143">
        <v>46035</v>
      </c>
      <c r="M710">
        <v>92025</v>
      </c>
      <c r="N710" t="s">
        <v>771</v>
      </c>
      <c r="O710">
        <v>2001</v>
      </c>
      <c r="S710">
        <v>514989</v>
      </c>
      <c r="T710" t="s">
        <v>772</v>
      </c>
    </row>
    <row r="711" spans="1:20" x14ac:dyDescent="0.25">
      <c r="A711">
        <v>5100421980</v>
      </c>
      <c r="B711">
        <v>225839</v>
      </c>
      <c r="C711" t="s">
        <v>768</v>
      </c>
      <c r="D711" s="143">
        <v>46035</v>
      </c>
      <c r="E711" s="55">
        <v>67547.17</v>
      </c>
      <c r="F711" t="s">
        <v>769</v>
      </c>
      <c r="G711">
        <v>1500038783</v>
      </c>
      <c r="H711" t="s">
        <v>755</v>
      </c>
      <c r="I711" t="s">
        <v>770</v>
      </c>
      <c r="K711" s="143">
        <v>46069</v>
      </c>
      <c r="L711" s="143">
        <v>46035</v>
      </c>
      <c r="M711">
        <v>92025</v>
      </c>
      <c r="N711" t="s">
        <v>771</v>
      </c>
      <c r="O711">
        <v>2001</v>
      </c>
      <c r="S711">
        <v>514989</v>
      </c>
      <c r="T711" t="s">
        <v>772</v>
      </c>
    </row>
    <row r="712" spans="1:20" x14ac:dyDescent="0.25">
      <c r="A712">
        <v>5100422006</v>
      </c>
      <c r="B712">
        <v>229732</v>
      </c>
      <c r="C712" t="s">
        <v>768</v>
      </c>
      <c r="D712" s="143">
        <v>46035</v>
      </c>
      <c r="E712">
        <v>897.31</v>
      </c>
      <c r="F712" t="s">
        <v>769</v>
      </c>
      <c r="G712">
        <v>1500038784</v>
      </c>
      <c r="H712" t="s">
        <v>755</v>
      </c>
      <c r="I712" t="s">
        <v>770</v>
      </c>
      <c r="K712" s="143">
        <v>46069</v>
      </c>
      <c r="L712" s="143">
        <v>46035</v>
      </c>
      <c r="M712">
        <v>12025</v>
      </c>
      <c r="N712" t="s">
        <v>771</v>
      </c>
      <c r="O712">
        <v>2001</v>
      </c>
      <c r="S712">
        <v>514990</v>
      </c>
      <c r="T712" t="s">
        <v>772</v>
      </c>
    </row>
    <row r="713" spans="1:20" x14ac:dyDescent="0.25">
      <c r="A713">
        <v>5100422007</v>
      </c>
      <c r="B713">
        <v>229732</v>
      </c>
      <c r="C713" t="s">
        <v>768</v>
      </c>
      <c r="D713" s="143">
        <v>46035</v>
      </c>
      <c r="E713" s="55">
        <v>8987.48</v>
      </c>
      <c r="F713" t="s">
        <v>769</v>
      </c>
      <c r="G713">
        <v>1500038784</v>
      </c>
      <c r="H713" t="s">
        <v>755</v>
      </c>
      <c r="I713" t="s">
        <v>770</v>
      </c>
      <c r="K713" s="143">
        <v>46069</v>
      </c>
      <c r="L713" s="143">
        <v>46035</v>
      </c>
      <c r="M713">
        <v>12025</v>
      </c>
      <c r="N713" t="s">
        <v>771</v>
      </c>
      <c r="O713">
        <v>2001</v>
      </c>
      <c r="S713">
        <v>514990</v>
      </c>
      <c r="T713" t="s">
        <v>772</v>
      </c>
    </row>
    <row r="714" spans="1:20" x14ac:dyDescent="0.25">
      <c r="A714">
        <v>5100422008</v>
      </c>
      <c r="B714">
        <v>229732</v>
      </c>
      <c r="C714" t="s">
        <v>768</v>
      </c>
      <c r="D714" s="143">
        <v>46035</v>
      </c>
      <c r="E714" s="55">
        <v>4699.59</v>
      </c>
      <c r="F714" t="s">
        <v>769</v>
      </c>
      <c r="G714">
        <v>1500038784</v>
      </c>
      <c r="H714" t="s">
        <v>755</v>
      </c>
      <c r="I714" t="s">
        <v>770</v>
      </c>
      <c r="K714" s="143">
        <v>46069</v>
      </c>
      <c r="L714" s="143">
        <v>46035</v>
      </c>
      <c r="M714">
        <v>22025</v>
      </c>
      <c r="N714" t="s">
        <v>771</v>
      </c>
      <c r="O714">
        <v>2001</v>
      </c>
      <c r="S714">
        <v>514990</v>
      </c>
      <c r="T714" t="s">
        <v>772</v>
      </c>
    </row>
    <row r="715" spans="1:20" x14ac:dyDescent="0.25">
      <c r="A715">
        <v>5100422009</v>
      </c>
      <c r="B715">
        <v>229732</v>
      </c>
      <c r="C715" t="s">
        <v>768</v>
      </c>
      <c r="D715" s="143">
        <v>46035</v>
      </c>
      <c r="E715" s="55">
        <v>6308.76</v>
      </c>
      <c r="F715" t="s">
        <v>769</v>
      </c>
      <c r="G715">
        <v>1500038784</v>
      </c>
      <c r="H715" t="s">
        <v>755</v>
      </c>
      <c r="I715" t="s">
        <v>770</v>
      </c>
      <c r="K715" s="143">
        <v>46069</v>
      </c>
      <c r="L715" s="143">
        <v>46035</v>
      </c>
      <c r="M715">
        <v>22025</v>
      </c>
      <c r="N715" t="s">
        <v>771</v>
      </c>
      <c r="O715">
        <v>2001</v>
      </c>
      <c r="S715">
        <v>514990</v>
      </c>
      <c r="T715" t="s">
        <v>772</v>
      </c>
    </row>
    <row r="716" spans="1:20" x14ac:dyDescent="0.25">
      <c r="A716">
        <v>5100422010</v>
      </c>
      <c r="B716">
        <v>229732</v>
      </c>
      <c r="C716" t="s">
        <v>768</v>
      </c>
      <c r="D716" s="143">
        <v>46035</v>
      </c>
      <c r="E716" s="55">
        <v>15778.19</v>
      </c>
      <c r="F716" t="s">
        <v>769</v>
      </c>
      <c r="G716">
        <v>1500038784</v>
      </c>
      <c r="H716" t="s">
        <v>755</v>
      </c>
      <c r="I716" t="s">
        <v>770</v>
      </c>
      <c r="K716" s="143">
        <v>46069</v>
      </c>
      <c r="L716" s="143">
        <v>46035</v>
      </c>
      <c r="M716">
        <v>32025</v>
      </c>
      <c r="N716" t="s">
        <v>771</v>
      </c>
      <c r="O716">
        <v>2001</v>
      </c>
      <c r="S716">
        <v>514990</v>
      </c>
      <c r="T716" t="s">
        <v>772</v>
      </c>
    </row>
    <row r="717" spans="1:20" x14ac:dyDescent="0.25">
      <c r="A717">
        <v>5100422011</v>
      </c>
      <c r="B717">
        <v>229732</v>
      </c>
      <c r="C717" t="s">
        <v>768</v>
      </c>
      <c r="D717" s="143">
        <v>46035</v>
      </c>
      <c r="E717" s="55">
        <v>27417.06</v>
      </c>
      <c r="F717" t="s">
        <v>769</v>
      </c>
      <c r="G717">
        <v>1500038784</v>
      </c>
      <c r="H717" t="s">
        <v>755</v>
      </c>
      <c r="I717" t="s">
        <v>770</v>
      </c>
      <c r="K717" s="143">
        <v>46069</v>
      </c>
      <c r="L717" s="143">
        <v>46035</v>
      </c>
      <c r="M717">
        <v>32025</v>
      </c>
      <c r="N717" t="s">
        <v>771</v>
      </c>
      <c r="O717">
        <v>2001</v>
      </c>
      <c r="S717">
        <v>514990</v>
      </c>
      <c r="T717" t="s">
        <v>772</v>
      </c>
    </row>
    <row r="718" spans="1:20" x14ac:dyDescent="0.25">
      <c r="A718">
        <v>5100422012</v>
      </c>
      <c r="B718">
        <v>229732</v>
      </c>
      <c r="C718" t="s">
        <v>768</v>
      </c>
      <c r="D718" s="143">
        <v>46035</v>
      </c>
      <c r="E718" s="55">
        <v>4800.7700000000004</v>
      </c>
      <c r="F718" t="s">
        <v>769</v>
      </c>
      <c r="G718">
        <v>1500038784</v>
      </c>
      <c r="H718" t="s">
        <v>755</v>
      </c>
      <c r="I718" t="s">
        <v>770</v>
      </c>
      <c r="K718" s="143">
        <v>46069</v>
      </c>
      <c r="L718" s="143">
        <v>46035</v>
      </c>
      <c r="M718">
        <v>42025</v>
      </c>
      <c r="N718" t="s">
        <v>771</v>
      </c>
      <c r="O718">
        <v>2001</v>
      </c>
      <c r="S718">
        <v>514990</v>
      </c>
      <c r="T718" t="s">
        <v>772</v>
      </c>
    </row>
    <row r="719" spans="1:20" x14ac:dyDescent="0.25">
      <c r="A719">
        <v>5100422013</v>
      </c>
      <c r="B719">
        <v>229732</v>
      </c>
      <c r="C719" t="s">
        <v>768</v>
      </c>
      <c r="D719" s="143">
        <v>46035</v>
      </c>
      <c r="E719" s="55">
        <v>1416.18</v>
      </c>
      <c r="F719" t="s">
        <v>769</v>
      </c>
      <c r="G719">
        <v>1500038784</v>
      </c>
      <c r="H719" t="s">
        <v>755</v>
      </c>
      <c r="I719" t="s">
        <v>770</v>
      </c>
      <c r="K719" s="143">
        <v>46069</v>
      </c>
      <c r="L719" s="143">
        <v>46035</v>
      </c>
      <c r="M719">
        <v>52025</v>
      </c>
      <c r="N719" t="s">
        <v>771</v>
      </c>
      <c r="O719">
        <v>2001</v>
      </c>
      <c r="S719">
        <v>514990</v>
      </c>
      <c r="T719" t="s">
        <v>772</v>
      </c>
    </row>
    <row r="720" spans="1:20" x14ac:dyDescent="0.25">
      <c r="A720">
        <v>5100422014</v>
      </c>
      <c r="B720">
        <v>229732</v>
      </c>
      <c r="C720" t="s">
        <v>768</v>
      </c>
      <c r="D720" s="143">
        <v>46035</v>
      </c>
      <c r="E720" s="55">
        <v>11053.3</v>
      </c>
      <c r="F720" t="s">
        <v>769</v>
      </c>
      <c r="G720">
        <v>1500038784</v>
      </c>
      <c r="H720" t="s">
        <v>755</v>
      </c>
      <c r="I720" t="s">
        <v>770</v>
      </c>
      <c r="K720" s="143">
        <v>46069</v>
      </c>
      <c r="L720" s="143">
        <v>46035</v>
      </c>
      <c r="M720">
        <v>52025</v>
      </c>
      <c r="N720" t="s">
        <v>771</v>
      </c>
      <c r="O720">
        <v>2001</v>
      </c>
      <c r="S720">
        <v>514990</v>
      </c>
      <c r="T720" t="s">
        <v>772</v>
      </c>
    </row>
    <row r="721" spans="1:20" x14ac:dyDescent="0.25">
      <c r="A721">
        <v>5100422015</v>
      </c>
      <c r="B721">
        <v>229732</v>
      </c>
      <c r="C721" t="s">
        <v>768</v>
      </c>
      <c r="D721" s="143">
        <v>46035</v>
      </c>
      <c r="E721" s="55">
        <v>3755.91</v>
      </c>
      <c r="F721" t="s">
        <v>769</v>
      </c>
      <c r="G721">
        <v>1500038784</v>
      </c>
      <c r="H721" t="s">
        <v>755</v>
      </c>
      <c r="I721" t="s">
        <v>770</v>
      </c>
      <c r="K721" s="143">
        <v>46069</v>
      </c>
      <c r="L721" s="143">
        <v>46035</v>
      </c>
      <c r="M721">
        <v>62025</v>
      </c>
      <c r="N721" t="s">
        <v>771</v>
      </c>
      <c r="O721">
        <v>2001</v>
      </c>
      <c r="S721">
        <v>514990</v>
      </c>
      <c r="T721" t="s">
        <v>772</v>
      </c>
    </row>
    <row r="722" spans="1:20" x14ac:dyDescent="0.25">
      <c r="A722">
        <v>5100422016</v>
      </c>
      <c r="B722">
        <v>229732</v>
      </c>
      <c r="C722" t="s">
        <v>768</v>
      </c>
      <c r="D722" s="143">
        <v>46035</v>
      </c>
      <c r="E722" s="55">
        <v>17898.89</v>
      </c>
      <c r="F722" t="s">
        <v>769</v>
      </c>
      <c r="G722">
        <v>1500038784</v>
      </c>
      <c r="H722" t="s">
        <v>755</v>
      </c>
      <c r="I722" t="s">
        <v>770</v>
      </c>
      <c r="K722" s="143">
        <v>46069</v>
      </c>
      <c r="L722" s="143">
        <v>46035</v>
      </c>
      <c r="M722">
        <v>62025</v>
      </c>
      <c r="N722" t="s">
        <v>771</v>
      </c>
      <c r="O722">
        <v>2001</v>
      </c>
      <c r="S722">
        <v>514990</v>
      </c>
      <c r="T722" t="s">
        <v>772</v>
      </c>
    </row>
    <row r="723" spans="1:20" x14ac:dyDescent="0.25">
      <c r="A723">
        <v>5100422017</v>
      </c>
      <c r="B723">
        <v>229732</v>
      </c>
      <c r="C723" t="s">
        <v>768</v>
      </c>
      <c r="D723" s="143">
        <v>46035</v>
      </c>
      <c r="E723" s="55">
        <v>23813.8</v>
      </c>
      <c r="F723" t="s">
        <v>769</v>
      </c>
      <c r="G723">
        <v>1500038784</v>
      </c>
      <c r="H723" t="s">
        <v>755</v>
      </c>
      <c r="I723" t="s">
        <v>770</v>
      </c>
      <c r="K723" s="143">
        <v>46069</v>
      </c>
      <c r="L723" s="143">
        <v>46035</v>
      </c>
      <c r="M723">
        <v>72025</v>
      </c>
      <c r="N723" t="s">
        <v>771</v>
      </c>
      <c r="O723">
        <v>2001</v>
      </c>
      <c r="S723">
        <v>514990</v>
      </c>
      <c r="T723" t="s">
        <v>772</v>
      </c>
    </row>
    <row r="724" spans="1:20" x14ac:dyDescent="0.25">
      <c r="A724">
        <v>5100422018</v>
      </c>
      <c r="B724">
        <v>229732</v>
      </c>
      <c r="C724" t="s">
        <v>768</v>
      </c>
      <c r="D724" s="143">
        <v>46035</v>
      </c>
      <c r="E724" s="55">
        <v>32365.58</v>
      </c>
      <c r="F724" t="s">
        <v>769</v>
      </c>
      <c r="G724">
        <v>1500038784</v>
      </c>
      <c r="H724" t="s">
        <v>755</v>
      </c>
      <c r="I724" t="s">
        <v>770</v>
      </c>
      <c r="K724" s="143">
        <v>46069</v>
      </c>
      <c r="L724" s="143">
        <v>46035</v>
      </c>
      <c r="M724">
        <v>72025</v>
      </c>
      <c r="N724" t="s">
        <v>771</v>
      </c>
      <c r="O724">
        <v>2001</v>
      </c>
      <c r="S724">
        <v>514990</v>
      </c>
      <c r="T724" t="s">
        <v>772</v>
      </c>
    </row>
    <row r="725" spans="1:20" x14ac:dyDescent="0.25">
      <c r="A725">
        <v>5100422019</v>
      </c>
      <c r="B725">
        <v>229732</v>
      </c>
      <c r="C725" t="s">
        <v>768</v>
      </c>
      <c r="D725" s="143">
        <v>46035</v>
      </c>
      <c r="E725" s="55">
        <v>18168.689999999999</v>
      </c>
      <c r="F725" t="s">
        <v>769</v>
      </c>
      <c r="G725">
        <v>1500038784</v>
      </c>
      <c r="H725" t="s">
        <v>755</v>
      </c>
      <c r="I725" t="s">
        <v>770</v>
      </c>
      <c r="K725" s="143">
        <v>46069</v>
      </c>
      <c r="L725" s="143">
        <v>46035</v>
      </c>
      <c r="M725">
        <v>82025</v>
      </c>
      <c r="N725" t="s">
        <v>771</v>
      </c>
      <c r="O725">
        <v>2001</v>
      </c>
      <c r="S725">
        <v>514990</v>
      </c>
      <c r="T725" t="s">
        <v>772</v>
      </c>
    </row>
    <row r="726" spans="1:20" x14ac:dyDescent="0.25">
      <c r="A726">
        <v>5100422020</v>
      </c>
      <c r="B726">
        <v>229732</v>
      </c>
      <c r="C726" t="s">
        <v>768</v>
      </c>
      <c r="D726" s="143">
        <v>46035</v>
      </c>
      <c r="E726" s="55">
        <v>19540.5</v>
      </c>
      <c r="F726" t="s">
        <v>769</v>
      </c>
      <c r="G726">
        <v>1500038784</v>
      </c>
      <c r="H726" t="s">
        <v>755</v>
      </c>
      <c r="I726" t="s">
        <v>770</v>
      </c>
      <c r="K726" s="143">
        <v>46069</v>
      </c>
      <c r="L726" s="143">
        <v>46035</v>
      </c>
      <c r="M726">
        <v>82025</v>
      </c>
      <c r="N726" t="s">
        <v>771</v>
      </c>
      <c r="O726">
        <v>2001</v>
      </c>
      <c r="S726">
        <v>514990</v>
      </c>
      <c r="T726" t="s">
        <v>772</v>
      </c>
    </row>
    <row r="727" spans="1:20" x14ac:dyDescent="0.25">
      <c r="A727">
        <v>5100422021</v>
      </c>
      <c r="B727">
        <v>229732</v>
      </c>
      <c r="C727" t="s">
        <v>768</v>
      </c>
      <c r="D727" s="143">
        <v>46035</v>
      </c>
      <c r="E727" s="55">
        <v>10420.94</v>
      </c>
      <c r="F727" t="s">
        <v>769</v>
      </c>
      <c r="G727">
        <v>1500038784</v>
      </c>
      <c r="H727" t="s">
        <v>755</v>
      </c>
      <c r="I727" t="s">
        <v>770</v>
      </c>
      <c r="K727" s="143">
        <v>46069</v>
      </c>
      <c r="L727" s="143">
        <v>46035</v>
      </c>
      <c r="M727">
        <v>92025</v>
      </c>
      <c r="N727" t="s">
        <v>771</v>
      </c>
      <c r="O727">
        <v>2001</v>
      </c>
      <c r="S727">
        <v>514990</v>
      </c>
      <c r="T727" t="s">
        <v>772</v>
      </c>
    </row>
    <row r="728" spans="1:20" x14ac:dyDescent="0.25">
      <c r="A728">
        <v>5100422022</v>
      </c>
      <c r="B728">
        <v>229732</v>
      </c>
      <c r="C728" t="s">
        <v>768</v>
      </c>
      <c r="D728" s="143">
        <v>46035</v>
      </c>
      <c r="E728" s="55">
        <v>7968.6</v>
      </c>
      <c r="F728" t="s">
        <v>769</v>
      </c>
      <c r="G728">
        <v>1500038784</v>
      </c>
      <c r="H728" t="s">
        <v>755</v>
      </c>
      <c r="I728" t="s">
        <v>770</v>
      </c>
      <c r="K728" s="143">
        <v>46069</v>
      </c>
      <c r="L728" s="143">
        <v>46035</v>
      </c>
      <c r="M728">
        <v>92025</v>
      </c>
      <c r="N728" t="s">
        <v>771</v>
      </c>
      <c r="O728">
        <v>2001</v>
      </c>
      <c r="S728">
        <v>514990</v>
      </c>
      <c r="T728" t="s">
        <v>772</v>
      </c>
    </row>
    <row r="729" spans="1:20" x14ac:dyDescent="0.25">
      <c r="A729">
        <v>5100422303</v>
      </c>
      <c r="B729">
        <v>307900</v>
      </c>
      <c r="C729" t="s">
        <v>768</v>
      </c>
      <c r="D729" s="143">
        <v>46035</v>
      </c>
      <c r="E729" s="55">
        <v>9264.8799999999992</v>
      </c>
      <c r="F729" t="s">
        <v>769</v>
      </c>
      <c r="G729">
        <v>1500098204</v>
      </c>
      <c r="H729" t="s">
        <v>755</v>
      </c>
      <c r="I729" t="s">
        <v>770</v>
      </c>
      <c r="K729" s="143">
        <v>46083</v>
      </c>
      <c r="L729" s="143">
        <v>46035</v>
      </c>
      <c r="M729">
        <v>62025</v>
      </c>
      <c r="N729" t="s">
        <v>771</v>
      </c>
      <c r="O729">
        <v>2001</v>
      </c>
      <c r="S729">
        <v>0</v>
      </c>
      <c r="T729" t="s">
        <v>772</v>
      </c>
    </row>
    <row r="730" spans="1:20" x14ac:dyDescent="0.25">
      <c r="A730">
        <v>5100422302</v>
      </c>
      <c r="B730">
        <v>307900</v>
      </c>
      <c r="C730" t="s">
        <v>768</v>
      </c>
      <c r="D730" s="143">
        <v>46035</v>
      </c>
      <c r="E730" s="55">
        <v>11557.28</v>
      </c>
      <c r="F730" t="s">
        <v>769</v>
      </c>
      <c r="G730">
        <v>1500098204</v>
      </c>
      <c r="H730" t="s">
        <v>755</v>
      </c>
      <c r="I730" t="s">
        <v>770</v>
      </c>
      <c r="K730" s="143">
        <v>46083</v>
      </c>
      <c r="L730" s="143">
        <v>46035</v>
      </c>
      <c r="M730">
        <v>52025</v>
      </c>
      <c r="N730" t="s">
        <v>771</v>
      </c>
      <c r="O730">
        <v>2001</v>
      </c>
      <c r="S730">
        <v>514115</v>
      </c>
      <c r="T730" t="s">
        <v>772</v>
      </c>
    </row>
    <row r="731" spans="1:20" x14ac:dyDescent="0.25">
      <c r="A731">
        <v>5100422304</v>
      </c>
      <c r="B731">
        <v>307900</v>
      </c>
      <c r="C731" t="s">
        <v>768</v>
      </c>
      <c r="D731" s="143">
        <v>46035</v>
      </c>
      <c r="E731" s="55">
        <v>52425.31</v>
      </c>
      <c r="F731" t="s">
        <v>769</v>
      </c>
      <c r="G731">
        <v>1500098204</v>
      </c>
      <c r="H731" t="s">
        <v>755</v>
      </c>
      <c r="I731" t="s">
        <v>770</v>
      </c>
      <c r="K731" s="143">
        <v>46083</v>
      </c>
      <c r="L731" s="143">
        <v>46035</v>
      </c>
      <c r="M731">
        <v>72025</v>
      </c>
      <c r="N731" t="s">
        <v>771</v>
      </c>
      <c r="O731">
        <v>2001</v>
      </c>
      <c r="S731">
        <v>514115</v>
      </c>
      <c r="T731" t="s">
        <v>772</v>
      </c>
    </row>
    <row r="732" spans="1:20" x14ac:dyDescent="0.25">
      <c r="A732">
        <v>5100422305</v>
      </c>
      <c r="B732">
        <v>307900</v>
      </c>
      <c r="C732" t="s">
        <v>768</v>
      </c>
      <c r="D732" s="143">
        <v>46035</v>
      </c>
      <c r="E732" s="55">
        <v>15074.69</v>
      </c>
      <c r="F732" t="s">
        <v>769</v>
      </c>
      <c r="G732">
        <v>1500098204</v>
      </c>
      <c r="H732" t="s">
        <v>755</v>
      </c>
      <c r="I732" t="s">
        <v>770</v>
      </c>
      <c r="K732" s="143">
        <v>46083</v>
      </c>
      <c r="L732" s="143">
        <v>46035</v>
      </c>
      <c r="M732">
        <v>82025</v>
      </c>
      <c r="N732" t="s">
        <v>771</v>
      </c>
      <c r="O732">
        <v>2001</v>
      </c>
      <c r="S732">
        <v>514115</v>
      </c>
      <c r="T732" t="s">
        <v>772</v>
      </c>
    </row>
    <row r="733" spans="1:20" x14ac:dyDescent="0.25">
      <c r="A733">
        <v>5100422306</v>
      </c>
      <c r="B733">
        <v>307900</v>
      </c>
      <c r="C733" t="s">
        <v>768</v>
      </c>
      <c r="D733" s="143">
        <v>46035</v>
      </c>
      <c r="E733" s="55">
        <v>128329.8</v>
      </c>
      <c r="F733" t="s">
        <v>769</v>
      </c>
      <c r="G733">
        <v>1500098204</v>
      </c>
      <c r="H733" t="s">
        <v>755</v>
      </c>
      <c r="I733" t="s">
        <v>770</v>
      </c>
      <c r="K733" s="143">
        <v>46083</v>
      </c>
      <c r="L733" s="143">
        <v>46035</v>
      </c>
      <c r="M733">
        <v>92025</v>
      </c>
      <c r="N733" t="s">
        <v>771</v>
      </c>
      <c r="O733">
        <v>2001</v>
      </c>
      <c r="S733">
        <v>514115</v>
      </c>
      <c r="T733" t="s">
        <v>772</v>
      </c>
    </row>
    <row r="734" spans="1:20" x14ac:dyDescent="0.25">
      <c r="A734">
        <v>5100422432</v>
      </c>
      <c r="B734">
        <v>314815</v>
      </c>
      <c r="C734" t="s">
        <v>768</v>
      </c>
      <c r="D734" s="143">
        <v>46035</v>
      </c>
      <c r="E734" s="55">
        <v>8474.15</v>
      </c>
      <c r="F734" t="s">
        <v>769</v>
      </c>
      <c r="G734">
        <v>1500030425</v>
      </c>
      <c r="H734" t="s">
        <v>755</v>
      </c>
      <c r="I734" t="s">
        <v>770</v>
      </c>
      <c r="K734" s="143">
        <v>46090</v>
      </c>
      <c r="L734" s="143">
        <v>46035</v>
      </c>
      <c r="M734">
        <v>12025</v>
      </c>
      <c r="N734" t="s">
        <v>771</v>
      </c>
      <c r="O734">
        <v>2001</v>
      </c>
      <c r="S734">
        <v>515004</v>
      </c>
      <c r="T734" t="s">
        <v>772</v>
      </c>
    </row>
    <row r="735" spans="1:20" x14ac:dyDescent="0.25">
      <c r="A735">
        <v>5100422433</v>
      </c>
      <c r="B735">
        <v>314815</v>
      </c>
      <c r="C735" t="s">
        <v>768</v>
      </c>
      <c r="D735" s="143">
        <v>46035</v>
      </c>
      <c r="E735" s="55">
        <v>19374.580000000002</v>
      </c>
      <c r="F735" t="s">
        <v>769</v>
      </c>
      <c r="G735">
        <v>1500030425</v>
      </c>
      <c r="H735" t="s">
        <v>755</v>
      </c>
      <c r="I735" t="s">
        <v>770</v>
      </c>
      <c r="K735" s="143">
        <v>46090</v>
      </c>
      <c r="L735" s="143">
        <v>46035</v>
      </c>
      <c r="M735">
        <v>22025</v>
      </c>
      <c r="N735" t="s">
        <v>771</v>
      </c>
      <c r="O735">
        <v>2001</v>
      </c>
      <c r="S735">
        <v>515004</v>
      </c>
      <c r="T735" t="s">
        <v>772</v>
      </c>
    </row>
    <row r="736" spans="1:20" x14ac:dyDescent="0.25">
      <c r="A736">
        <v>5100422434</v>
      </c>
      <c r="B736">
        <v>314815</v>
      </c>
      <c r="C736" t="s">
        <v>768</v>
      </c>
      <c r="D736" s="143">
        <v>46035</v>
      </c>
      <c r="E736" s="55">
        <v>9612.36</v>
      </c>
      <c r="F736" t="s">
        <v>769</v>
      </c>
      <c r="G736">
        <v>1500030425</v>
      </c>
      <c r="H736" t="s">
        <v>755</v>
      </c>
      <c r="I736" t="s">
        <v>770</v>
      </c>
      <c r="K736" s="143">
        <v>46090</v>
      </c>
      <c r="L736" s="143">
        <v>46035</v>
      </c>
      <c r="M736">
        <v>32025</v>
      </c>
      <c r="N736" t="s">
        <v>771</v>
      </c>
      <c r="O736">
        <v>2001</v>
      </c>
      <c r="S736">
        <v>515004</v>
      </c>
      <c r="T736" t="s">
        <v>772</v>
      </c>
    </row>
    <row r="737" spans="1:20" x14ac:dyDescent="0.25">
      <c r="A737">
        <v>5100422435</v>
      </c>
      <c r="B737">
        <v>314815</v>
      </c>
      <c r="C737" t="s">
        <v>768</v>
      </c>
      <c r="D737" s="143">
        <v>46035</v>
      </c>
      <c r="E737" s="55">
        <v>30679.99</v>
      </c>
      <c r="F737" t="s">
        <v>769</v>
      </c>
      <c r="G737">
        <v>1500030425</v>
      </c>
      <c r="H737" t="s">
        <v>755</v>
      </c>
      <c r="I737" t="s">
        <v>770</v>
      </c>
      <c r="K737" s="143">
        <v>46090</v>
      </c>
      <c r="L737" s="143">
        <v>46035</v>
      </c>
      <c r="M737">
        <v>32025</v>
      </c>
      <c r="N737" t="s">
        <v>771</v>
      </c>
      <c r="O737">
        <v>2001</v>
      </c>
      <c r="S737">
        <v>515004</v>
      </c>
      <c r="T737" t="s">
        <v>772</v>
      </c>
    </row>
    <row r="738" spans="1:20" x14ac:dyDescent="0.25">
      <c r="A738">
        <v>5100422436</v>
      </c>
      <c r="B738">
        <v>314815</v>
      </c>
      <c r="C738" t="s">
        <v>768</v>
      </c>
      <c r="D738" s="143">
        <v>46035</v>
      </c>
      <c r="E738" s="55">
        <v>7957.38</v>
      </c>
      <c r="F738" t="s">
        <v>769</v>
      </c>
      <c r="G738">
        <v>1500030425</v>
      </c>
      <c r="H738" t="s">
        <v>755</v>
      </c>
      <c r="I738" t="s">
        <v>770</v>
      </c>
      <c r="K738" s="143">
        <v>46090</v>
      </c>
      <c r="L738" s="143">
        <v>46035</v>
      </c>
      <c r="M738">
        <v>42025</v>
      </c>
      <c r="N738" t="s">
        <v>771</v>
      </c>
      <c r="O738">
        <v>2001</v>
      </c>
      <c r="S738">
        <v>515004</v>
      </c>
      <c r="T738" t="s">
        <v>772</v>
      </c>
    </row>
    <row r="739" spans="1:20" x14ac:dyDescent="0.25">
      <c r="A739">
        <v>5100422437</v>
      </c>
      <c r="B739">
        <v>314815</v>
      </c>
      <c r="C739" t="s">
        <v>768</v>
      </c>
      <c r="D739" s="143">
        <v>46035</v>
      </c>
      <c r="E739" s="55">
        <v>176032.03</v>
      </c>
      <c r="F739" t="s">
        <v>769</v>
      </c>
      <c r="G739">
        <v>1500030425</v>
      </c>
      <c r="H739" t="s">
        <v>755</v>
      </c>
      <c r="I739" t="s">
        <v>770</v>
      </c>
      <c r="K739" s="143">
        <v>46090</v>
      </c>
      <c r="L739" s="143">
        <v>46035</v>
      </c>
      <c r="M739">
        <v>52025</v>
      </c>
      <c r="N739" t="s">
        <v>771</v>
      </c>
      <c r="O739">
        <v>2001</v>
      </c>
      <c r="S739">
        <v>515004</v>
      </c>
      <c r="T739" t="s">
        <v>772</v>
      </c>
    </row>
    <row r="740" spans="1:20" x14ac:dyDescent="0.25">
      <c r="A740">
        <v>5100422438</v>
      </c>
      <c r="B740">
        <v>314815</v>
      </c>
      <c r="C740" t="s">
        <v>768</v>
      </c>
      <c r="D740" s="143">
        <v>46035</v>
      </c>
      <c r="E740">
        <v>907.16</v>
      </c>
      <c r="F740" t="s">
        <v>769</v>
      </c>
      <c r="G740">
        <v>1500030425</v>
      </c>
      <c r="H740" t="s">
        <v>755</v>
      </c>
      <c r="I740" t="s">
        <v>770</v>
      </c>
      <c r="K740" s="143">
        <v>46090</v>
      </c>
      <c r="L740" s="143">
        <v>46035</v>
      </c>
      <c r="M740">
        <v>52025</v>
      </c>
      <c r="N740" t="s">
        <v>771</v>
      </c>
      <c r="O740">
        <v>2001</v>
      </c>
      <c r="S740">
        <v>515004</v>
      </c>
      <c r="T740" t="s">
        <v>772</v>
      </c>
    </row>
    <row r="741" spans="1:20" x14ac:dyDescent="0.25">
      <c r="A741">
        <v>5100422439</v>
      </c>
      <c r="B741">
        <v>314815</v>
      </c>
      <c r="C741" t="s">
        <v>768</v>
      </c>
      <c r="D741" s="143">
        <v>46035</v>
      </c>
      <c r="E741" s="55">
        <v>2195.7199999999998</v>
      </c>
      <c r="F741" t="s">
        <v>769</v>
      </c>
      <c r="G741">
        <v>1500030425</v>
      </c>
      <c r="H741" t="s">
        <v>755</v>
      </c>
      <c r="I741" t="s">
        <v>770</v>
      </c>
      <c r="K741" s="143">
        <v>46090</v>
      </c>
      <c r="L741" s="143">
        <v>46035</v>
      </c>
      <c r="M741">
        <v>62025</v>
      </c>
      <c r="N741" t="s">
        <v>771</v>
      </c>
      <c r="O741">
        <v>2001</v>
      </c>
      <c r="S741">
        <v>515004</v>
      </c>
      <c r="T741" t="s">
        <v>772</v>
      </c>
    </row>
    <row r="742" spans="1:20" x14ac:dyDescent="0.25">
      <c r="A742">
        <v>5100422440</v>
      </c>
      <c r="B742">
        <v>314815</v>
      </c>
      <c r="C742" t="s">
        <v>768</v>
      </c>
      <c r="D742" s="143">
        <v>46035</v>
      </c>
      <c r="E742" s="55">
        <v>1349.5</v>
      </c>
      <c r="F742" t="s">
        <v>769</v>
      </c>
      <c r="G742">
        <v>1500030425</v>
      </c>
      <c r="H742" t="s">
        <v>755</v>
      </c>
      <c r="I742" t="s">
        <v>770</v>
      </c>
      <c r="K742" s="143">
        <v>46090</v>
      </c>
      <c r="L742" s="143">
        <v>46035</v>
      </c>
      <c r="M742">
        <v>72025</v>
      </c>
      <c r="N742" t="s">
        <v>771</v>
      </c>
      <c r="O742">
        <v>2001</v>
      </c>
      <c r="S742">
        <v>515004</v>
      </c>
      <c r="T742" t="s">
        <v>772</v>
      </c>
    </row>
    <row r="743" spans="1:20" x14ac:dyDescent="0.25">
      <c r="A743">
        <v>5100422441</v>
      </c>
      <c r="B743">
        <v>314815</v>
      </c>
      <c r="C743" t="s">
        <v>768</v>
      </c>
      <c r="D743" s="143">
        <v>46035</v>
      </c>
      <c r="E743" s="55">
        <v>3699.48</v>
      </c>
      <c r="F743" t="s">
        <v>769</v>
      </c>
      <c r="G743">
        <v>1500030425</v>
      </c>
      <c r="H743" t="s">
        <v>755</v>
      </c>
      <c r="I743" t="s">
        <v>770</v>
      </c>
      <c r="K743" s="143">
        <v>46090</v>
      </c>
      <c r="L743" s="143">
        <v>46035</v>
      </c>
      <c r="M743">
        <v>82025</v>
      </c>
      <c r="N743" t="s">
        <v>771</v>
      </c>
      <c r="O743">
        <v>2001</v>
      </c>
      <c r="S743">
        <v>515004</v>
      </c>
      <c r="T743" t="s">
        <v>772</v>
      </c>
    </row>
    <row r="744" spans="1:20" x14ac:dyDescent="0.25">
      <c r="A744">
        <v>5100422442</v>
      </c>
      <c r="B744">
        <v>314815</v>
      </c>
      <c r="C744" t="s">
        <v>768</v>
      </c>
      <c r="D744" s="143">
        <v>46035</v>
      </c>
      <c r="E744" s="55">
        <v>30208.97</v>
      </c>
      <c r="F744" t="s">
        <v>769</v>
      </c>
      <c r="G744">
        <v>1500030425</v>
      </c>
      <c r="H744" t="s">
        <v>755</v>
      </c>
      <c r="I744" t="s">
        <v>770</v>
      </c>
      <c r="K744" s="143">
        <v>46090</v>
      </c>
      <c r="L744" s="143">
        <v>46035</v>
      </c>
      <c r="M744">
        <v>82025</v>
      </c>
      <c r="N744" t="s">
        <v>771</v>
      </c>
      <c r="O744">
        <v>2001</v>
      </c>
      <c r="S744">
        <v>515004</v>
      </c>
      <c r="T744" t="s">
        <v>772</v>
      </c>
    </row>
    <row r="745" spans="1:20" x14ac:dyDescent="0.25">
      <c r="A745">
        <v>5100422443</v>
      </c>
      <c r="B745">
        <v>314815</v>
      </c>
      <c r="C745" t="s">
        <v>768</v>
      </c>
      <c r="D745" s="143">
        <v>46035</v>
      </c>
      <c r="E745" s="55">
        <v>3425.5</v>
      </c>
      <c r="F745" t="s">
        <v>769</v>
      </c>
      <c r="G745">
        <v>1500030425</v>
      </c>
      <c r="H745" t="s">
        <v>755</v>
      </c>
      <c r="I745" t="s">
        <v>770</v>
      </c>
      <c r="K745" s="143">
        <v>46090</v>
      </c>
      <c r="L745" s="143">
        <v>46035</v>
      </c>
      <c r="M745">
        <v>92025</v>
      </c>
      <c r="N745" t="s">
        <v>771</v>
      </c>
      <c r="O745">
        <v>2001</v>
      </c>
      <c r="S745">
        <v>515004</v>
      </c>
      <c r="T745" t="s">
        <v>772</v>
      </c>
    </row>
    <row r="746" spans="1:20" x14ac:dyDescent="0.25">
      <c r="A746">
        <v>5100422477</v>
      </c>
      <c r="B746">
        <v>318493</v>
      </c>
      <c r="C746" t="s">
        <v>768</v>
      </c>
      <c r="D746" s="143">
        <v>46035</v>
      </c>
      <c r="E746">
        <v>707.12</v>
      </c>
      <c r="F746" t="s">
        <v>769</v>
      </c>
      <c r="G746">
        <v>101323698</v>
      </c>
      <c r="H746" t="s">
        <v>755</v>
      </c>
      <c r="I746" t="s">
        <v>770</v>
      </c>
      <c r="J746">
        <v>0</v>
      </c>
      <c r="K746" s="143">
        <v>46153</v>
      </c>
      <c r="L746" s="143">
        <v>46035</v>
      </c>
      <c r="M746">
        <v>22025</v>
      </c>
      <c r="N746" t="s">
        <v>771</v>
      </c>
      <c r="O746">
        <v>2001</v>
      </c>
      <c r="S746">
        <v>2.00159000233012E+17</v>
      </c>
      <c r="T746" t="s">
        <v>772</v>
      </c>
    </row>
    <row r="747" spans="1:20" x14ac:dyDescent="0.25">
      <c r="A747">
        <v>5100422478</v>
      </c>
      <c r="B747">
        <v>318493</v>
      </c>
      <c r="C747" t="s">
        <v>768</v>
      </c>
      <c r="D747" s="143">
        <v>46035</v>
      </c>
      <c r="E747" s="55">
        <v>3940.78</v>
      </c>
      <c r="F747" t="s">
        <v>769</v>
      </c>
      <c r="G747">
        <v>101323698</v>
      </c>
      <c r="H747" t="s">
        <v>755</v>
      </c>
      <c r="I747" t="s">
        <v>770</v>
      </c>
      <c r="J747">
        <v>0</v>
      </c>
      <c r="K747" s="143">
        <v>46153</v>
      </c>
      <c r="L747" s="143">
        <v>46035</v>
      </c>
      <c r="M747">
        <v>32025</v>
      </c>
      <c r="N747" t="s">
        <v>771</v>
      </c>
      <c r="O747">
        <v>2001</v>
      </c>
      <c r="S747">
        <v>2.00159000233012E+17</v>
      </c>
      <c r="T747" t="s">
        <v>772</v>
      </c>
    </row>
    <row r="748" spans="1:20" x14ac:dyDescent="0.25">
      <c r="A748">
        <v>5100422479</v>
      </c>
      <c r="B748">
        <v>318493</v>
      </c>
      <c r="C748" t="s">
        <v>768</v>
      </c>
      <c r="D748" s="143">
        <v>46035</v>
      </c>
      <c r="E748" s="55">
        <v>159818.03</v>
      </c>
      <c r="F748" t="s">
        <v>769</v>
      </c>
      <c r="G748">
        <v>101323698</v>
      </c>
      <c r="H748" t="s">
        <v>755</v>
      </c>
      <c r="I748" t="s">
        <v>770</v>
      </c>
      <c r="J748">
        <v>0</v>
      </c>
      <c r="K748" s="143">
        <v>46153</v>
      </c>
      <c r="L748" s="143">
        <v>46035</v>
      </c>
      <c r="M748">
        <v>42025</v>
      </c>
      <c r="N748" t="s">
        <v>771</v>
      </c>
      <c r="O748">
        <v>2001</v>
      </c>
      <c r="S748">
        <v>2.00159000233012E+17</v>
      </c>
      <c r="T748" t="s">
        <v>772</v>
      </c>
    </row>
    <row r="749" spans="1:20" x14ac:dyDescent="0.25">
      <c r="A749">
        <v>5100422480</v>
      </c>
      <c r="B749">
        <v>318493</v>
      </c>
      <c r="C749" t="s">
        <v>768</v>
      </c>
      <c r="D749" s="143">
        <v>46035</v>
      </c>
      <c r="E749" s="55">
        <v>3358.82</v>
      </c>
      <c r="F749" t="s">
        <v>769</v>
      </c>
      <c r="G749">
        <v>101323698</v>
      </c>
      <c r="H749" t="s">
        <v>755</v>
      </c>
      <c r="I749" t="s">
        <v>770</v>
      </c>
      <c r="J749">
        <v>0</v>
      </c>
      <c r="K749" s="143">
        <v>46153</v>
      </c>
      <c r="L749" s="143">
        <v>46035</v>
      </c>
      <c r="M749">
        <v>52025</v>
      </c>
      <c r="N749" t="s">
        <v>771</v>
      </c>
      <c r="O749">
        <v>2001</v>
      </c>
      <c r="S749">
        <v>2.00159000233012E+17</v>
      </c>
      <c r="T749" t="s">
        <v>772</v>
      </c>
    </row>
    <row r="750" spans="1:20" x14ac:dyDescent="0.25">
      <c r="A750">
        <v>5100422481</v>
      </c>
      <c r="B750">
        <v>318493</v>
      </c>
      <c r="C750" t="s">
        <v>768</v>
      </c>
      <c r="D750" s="143">
        <v>46035</v>
      </c>
      <c r="E750" s="55">
        <v>35505.980000000003</v>
      </c>
      <c r="F750" t="s">
        <v>769</v>
      </c>
      <c r="G750">
        <v>101323698</v>
      </c>
      <c r="H750" t="s">
        <v>755</v>
      </c>
      <c r="I750" t="s">
        <v>770</v>
      </c>
      <c r="J750">
        <v>0</v>
      </c>
      <c r="K750" s="143">
        <v>46153</v>
      </c>
      <c r="L750" s="143">
        <v>46035</v>
      </c>
      <c r="M750">
        <v>62025</v>
      </c>
      <c r="N750" t="s">
        <v>771</v>
      </c>
      <c r="O750">
        <v>2001</v>
      </c>
      <c r="S750">
        <v>2.00159000233012E+17</v>
      </c>
      <c r="T750" t="s">
        <v>772</v>
      </c>
    </row>
    <row r="751" spans="1:20" x14ac:dyDescent="0.25">
      <c r="A751">
        <v>5100422482</v>
      </c>
      <c r="B751">
        <v>318493</v>
      </c>
      <c r="C751" t="s">
        <v>768</v>
      </c>
      <c r="D751" s="143">
        <v>46035</v>
      </c>
      <c r="E751" s="55">
        <v>5267.35</v>
      </c>
      <c r="F751" t="s">
        <v>769</v>
      </c>
      <c r="G751">
        <v>101323698</v>
      </c>
      <c r="H751" t="s">
        <v>755</v>
      </c>
      <c r="I751" t="s">
        <v>770</v>
      </c>
      <c r="J751">
        <v>0</v>
      </c>
      <c r="K751" s="143">
        <v>46153</v>
      </c>
      <c r="L751" s="143">
        <v>46035</v>
      </c>
      <c r="M751">
        <v>72025</v>
      </c>
      <c r="N751" t="s">
        <v>771</v>
      </c>
      <c r="O751">
        <v>2001</v>
      </c>
      <c r="S751">
        <v>2.00159000233012E+17</v>
      </c>
      <c r="T751" t="s">
        <v>772</v>
      </c>
    </row>
    <row r="752" spans="1:20" x14ac:dyDescent="0.25">
      <c r="A752">
        <v>5100422483</v>
      </c>
      <c r="B752">
        <v>318493</v>
      </c>
      <c r="C752" t="s">
        <v>768</v>
      </c>
      <c r="D752" s="143">
        <v>46035</v>
      </c>
      <c r="E752" s="55">
        <v>7620.2</v>
      </c>
      <c r="F752" t="s">
        <v>769</v>
      </c>
      <c r="G752">
        <v>101323698</v>
      </c>
      <c r="H752" t="s">
        <v>755</v>
      </c>
      <c r="I752" t="s">
        <v>770</v>
      </c>
      <c r="J752">
        <v>0</v>
      </c>
      <c r="K752" s="143">
        <v>46153</v>
      </c>
      <c r="L752" s="143">
        <v>46035</v>
      </c>
      <c r="M752">
        <v>82025</v>
      </c>
      <c r="N752" t="s">
        <v>771</v>
      </c>
      <c r="O752">
        <v>2001</v>
      </c>
      <c r="S752">
        <v>2.00159000233012E+17</v>
      </c>
      <c r="T752" t="s">
        <v>772</v>
      </c>
    </row>
    <row r="753" spans="1:20" x14ac:dyDescent="0.25">
      <c r="A753">
        <v>5100422484</v>
      </c>
      <c r="B753">
        <v>318493</v>
      </c>
      <c r="C753" t="s">
        <v>768</v>
      </c>
      <c r="D753" s="143">
        <v>46035</v>
      </c>
      <c r="E753" s="55">
        <v>10300.66</v>
      </c>
      <c r="F753" t="s">
        <v>769</v>
      </c>
      <c r="G753">
        <v>101323698</v>
      </c>
      <c r="H753" t="s">
        <v>755</v>
      </c>
      <c r="I753" t="s">
        <v>770</v>
      </c>
      <c r="J753">
        <v>0</v>
      </c>
      <c r="K753" s="143">
        <v>46153</v>
      </c>
      <c r="L753" s="143">
        <v>46035</v>
      </c>
      <c r="M753">
        <v>92025</v>
      </c>
      <c r="N753" t="s">
        <v>771</v>
      </c>
      <c r="O753">
        <v>2001</v>
      </c>
      <c r="S753">
        <v>2.00159000233012E+17</v>
      </c>
      <c r="T753" t="s">
        <v>772</v>
      </c>
    </row>
    <row r="754" spans="1:20" x14ac:dyDescent="0.25">
      <c r="A754">
        <v>5100422507</v>
      </c>
      <c r="B754">
        <v>319335</v>
      </c>
      <c r="C754" t="s">
        <v>768</v>
      </c>
      <c r="D754" s="143">
        <v>46035</v>
      </c>
      <c r="E754" s="55">
        <v>93067.83</v>
      </c>
      <c r="F754" t="s">
        <v>769</v>
      </c>
      <c r="G754">
        <v>1500038786</v>
      </c>
      <c r="H754" t="s">
        <v>755</v>
      </c>
      <c r="I754" t="s">
        <v>770</v>
      </c>
      <c r="K754" s="143">
        <v>46069</v>
      </c>
      <c r="L754" s="143">
        <v>46035</v>
      </c>
      <c r="M754">
        <v>42025</v>
      </c>
      <c r="N754" t="s">
        <v>771</v>
      </c>
      <c r="O754">
        <v>2001</v>
      </c>
      <c r="S754">
        <v>514766</v>
      </c>
      <c r="T754" t="s">
        <v>772</v>
      </c>
    </row>
    <row r="755" spans="1:20" x14ac:dyDescent="0.25">
      <c r="A755">
        <v>5100422508</v>
      </c>
      <c r="B755">
        <v>319335</v>
      </c>
      <c r="C755" t="s">
        <v>768</v>
      </c>
      <c r="D755" s="143">
        <v>46035</v>
      </c>
      <c r="E755" s="55">
        <v>2396.0500000000002</v>
      </c>
      <c r="F755" t="s">
        <v>769</v>
      </c>
      <c r="G755">
        <v>1500038786</v>
      </c>
      <c r="H755" t="s">
        <v>755</v>
      </c>
      <c r="I755" t="s">
        <v>770</v>
      </c>
      <c r="K755" s="143">
        <v>46069</v>
      </c>
      <c r="L755" s="143">
        <v>46035</v>
      </c>
      <c r="M755">
        <v>72025</v>
      </c>
      <c r="N755" t="s">
        <v>771</v>
      </c>
      <c r="O755">
        <v>2001</v>
      </c>
      <c r="S755">
        <v>514766</v>
      </c>
      <c r="T755" t="s">
        <v>772</v>
      </c>
    </row>
    <row r="756" spans="1:20" x14ac:dyDescent="0.25">
      <c r="A756">
        <v>5100422509</v>
      </c>
      <c r="B756">
        <v>319335</v>
      </c>
      <c r="C756" t="s">
        <v>768</v>
      </c>
      <c r="D756" s="143">
        <v>46035</v>
      </c>
      <c r="E756" s="55">
        <v>140258.5</v>
      </c>
      <c r="F756" t="s">
        <v>769</v>
      </c>
      <c r="G756">
        <v>1500038786</v>
      </c>
      <c r="H756" t="s">
        <v>755</v>
      </c>
      <c r="I756" t="s">
        <v>770</v>
      </c>
      <c r="K756" s="143">
        <v>46069</v>
      </c>
      <c r="L756" s="143">
        <v>46035</v>
      </c>
      <c r="M756">
        <v>92025</v>
      </c>
      <c r="N756" t="s">
        <v>771</v>
      </c>
      <c r="O756">
        <v>2001</v>
      </c>
      <c r="S756">
        <v>514766</v>
      </c>
      <c r="T756" t="s">
        <v>772</v>
      </c>
    </row>
    <row r="757" spans="1:20" x14ac:dyDescent="0.25">
      <c r="A757">
        <v>5100422572</v>
      </c>
      <c r="B757">
        <v>325670</v>
      </c>
      <c r="C757" t="s">
        <v>768</v>
      </c>
      <c r="D757" s="143">
        <v>46035</v>
      </c>
      <c r="E757" s="55">
        <v>4974.5200000000004</v>
      </c>
      <c r="F757" t="s">
        <v>769</v>
      </c>
      <c r="G757">
        <v>1500030426</v>
      </c>
      <c r="H757" t="s">
        <v>755</v>
      </c>
      <c r="I757" t="s">
        <v>770</v>
      </c>
      <c r="K757" s="143">
        <v>46090</v>
      </c>
      <c r="L757" s="143">
        <v>46035</v>
      </c>
      <c r="M757">
        <v>12025</v>
      </c>
      <c r="N757" t="s">
        <v>771</v>
      </c>
      <c r="O757">
        <v>2001</v>
      </c>
      <c r="S757">
        <v>515165</v>
      </c>
      <c r="T757" t="s">
        <v>772</v>
      </c>
    </row>
    <row r="758" spans="1:20" x14ac:dyDescent="0.25">
      <c r="A758">
        <v>5100422573</v>
      </c>
      <c r="B758">
        <v>325670</v>
      </c>
      <c r="C758" t="s">
        <v>768</v>
      </c>
      <c r="D758" s="143">
        <v>46035</v>
      </c>
      <c r="E758" s="55">
        <v>1372.6</v>
      </c>
      <c r="F758" t="s">
        <v>769</v>
      </c>
      <c r="G758">
        <v>1500030426</v>
      </c>
      <c r="H758" t="s">
        <v>755</v>
      </c>
      <c r="I758" t="s">
        <v>770</v>
      </c>
      <c r="K758" s="143">
        <v>46090</v>
      </c>
      <c r="L758" s="143">
        <v>46035</v>
      </c>
      <c r="M758">
        <v>22025</v>
      </c>
      <c r="N758" t="s">
        <v>771</v>
      </c>
      <c r="O758">
        <v>2001</v>
      </c>
      <c r="S758">
        <v>515165</v>
      </c>
      <c r="T758" t="s">
        <v>772</v>
      </c>
    </row>
    <row r="759" spans="1:20" x14ac:dyDescent="0.25">
      <c r="A759">
        <v>5100422574</v>
      </c>
      <c r="B759">
        <v>325670</v>
      </c>
      <c r="C759" t="s">
        <v>768</v>
      </c>
      <c r="D759" s="143">
        <v>46035</v>
      </c>
      <c r="E759" s="55">
        <v>2552.5500000000002</v>
      </c>
      <c r="F759" t="s">
        <v>769</v>
      </c>
      <c r="G759">
        <v>1500030426</v>
      </c>
      <c r="H759" t="s">
        <v>755</v>
      </c>
      <c r="I759" t="s">
        <v>770</v>
      </c>
      <c r="K759" s="143">
        <v>46090</v>
      </c>
      <c r="L759" s="143">
        <v>46035</v>
      </c>
      <c r="M759">
        <v>22025</v>
      </c>
      <c r="N759" t="s">
        <v>771</v>
      </c>
      <c r="O759">
        <v>2001</v>
      </c>
      <c r="S759">
        <v>515165</v>
      </c>
      <c r="T759" t="s">
        <v>772</v>
      </c>
    </row>
    <row r="760" spans="1:20" x14ac:dyDescent="0.25">
      <c r="A760">
        <v>5100422575</v>
      </c>
      <c r="B760">
        <v>325670</v>
      </c>
      <c r="C760" t="s">
        <v>768</v>
      </c>
      <c r="D760" s="143">
        <v>46035</v>
      </c>
      <c r="E760" s="55">
        <v>3338.3</v>
      </c>
      <c r="F760" t="s">
        <v>769</v>
      </c>
      <c r="G760">
        <v>1500030426</v>
      </c>
      <c r="H760" t="s">
        <v>755</v>
      </c>
      <c r="I760" t="s">
        <v>770</v>
      </c>
      <c r="K760" s="143">
        <v>46090</v>
      </c>
      <c r="L760" s="143">
        <v>46035</v>
      </c>
      <c r="M760">
        <v>32025</v>
      </c>
      <c r="N760" t="s">
        <v>771</v>
      </c>
      <c r="O760">
        <v>2001</v>
      </c>
      <c r="S760">
        <v>515165</v>
      </c>
      <c r="T760" t="s">
        <v>772</v>
      </c>
    </row>
    <row r="761" spans="1:20" x14ac:dyDescent="0.25">
      <c r="A761">
        <v>5100422576</v>
      </c>
      <c r="B761">
        <v>325670</v>
      </c>
      <c r="C761" t="s">
        <v>768</v>
      </c>
      <c r="D761" s="143">
        <v>46035</v>
      </c>
      <c r="E761">
        <v>252.38</v>
      </c>
      <c r="F761" t="s">
        <v>769</v>
      </c>
      <c r="G761">
        <v>1500030426</v>
      </c>
      <c r="H761" t="s">
        <v>755</v>
      </c>
      <c r="I761" t="s">
        <v>770</v>
      </c>
      <c r="K761" s="143">
        <v>46090</v>
      </c>
      <c r="L761" s="143">
        <v>46035</v>
      </c>
      <c r="M761">
        <v>42025</v>
      </c>
      <c r="N761" t="s">
        <v>771</v>
      </c>
      <c r="O761">
        <v>2001</v>
      </c>
      <c r="S761">
        <v>515165</v>
      </c>
      <c r="T761" t="s">
        <v>772</v>
      </c>
    </row>
    <row r="762" spans="1:20" x14ac:dyDescent="0.25">
      <c r="A762">
        <v>5100422577</v>
      </c>
      <c r="B762">
        <v>325670</v>
      </c>
      <c r="C762" t="s">
        <v>768</v>
      </c>
      <c r="D762" s="143">
        <v>46035</v>
      </c>
      <c r="E762" s="55">
        <v>9384.11</v>
      </c>
      <c r="F762" t="s">
        <v>769</v>
      </c>
      <c r="G762">
        <v>1500030426</v>
      </c>
      <c r="H762" t="s">
        <v>755</v>
      </c>
      <c r="I762" t="s">
        <v>770</v>
      </c>
      <c r="K762" s="143">
        <v>46090</v>
      </c>
      <c r="L762" s="143">
        <v>46035</v>
      </c>
      <c r="M762">
        <v>42025</v>
      </c>
      <c r="N762" t="s">
        <v>771</v>
      </c>
      <c r="O762">
        <v>2001</v>
      </c>
      <c r="S762">
        <v>515165</v>
      </c>
      <c r="T762" t="s">
        <v>772</v>
      </c>
    </row>
    <row r="763" spans="1:20" x14ac:dyDescent="0.25">
      <c r="A763">
        <v>5100422578</v>
      </c>
      <c r="B763">
        <v>325670</v>
      </c>
      <c r="C763" t="s">
        <v>768</v>
      </c>
      <c r="D763" s="143">
        <v>46035</v>
      </c>
      <c r="E763" s="55">
        <v>1260.33</v>
      </c>
      <c r="F763" t="s">
        <v>769</v>
      </c>
      <c r="G763">
        <v>1500030426</v>
      </c>
      <c r="H763" t="s">
        <v>755</v>
      </c>
      <c r="I763" t="s">
        <v>770</v>
      </c>
      <c r="K763" s="143">
        <v>46090</v>
      </c>
      <c r="L763" s="143">
        <v>46035</v>
      </c>
      <c r="M763">
        <v>52025</v>
      </c>
      <c r="N763" t="s">
        <v>771</v>
      </c>
      <c r="O763">
        <v>2001</v>
      </c>
      <c r="S763">
        <v>515165</v>
      </c>
      <c r="T763" t="s">
        <v>772</v>
      </c>
    </row>
    <row r="764" spans="1:20" x14ac:dyDescent="0.25">
      <c r="A764">
        <v>5100422579</v>
      </c>
      <c r="B764">
        <v>325670</v>
      </c>
      <c r="C764" t="s">
        <v>768</v>
      </c>
      <c r="D764" s="143">
        <v>46035</v>
      </c>
      <c r="E764" s="55">
        <v>49056.79</v>
      </c>
      <c r="F764" t="s">
        <v>769</v>
      </c>
      <c r="G764">
        <v>1500030426</v>
      </c>
      <c r="H764" t="s">
        <v>755</v>
      </c>
      <c r="I764" t="s">
        <v>770</v>
      </c>
      <c r="K764" s="143">
        <v>46090</v>
      </c>
      <c r="L764" s="143">
        <v>46035</v>
      </c>
      <c r="M764">
        <v>52025</v>
      </c>
      <c r="N764" t="s">
        <v>771</v>
      </c>
      <c r="O764">
        <v>2001</v>
      </c>
      <c r="S764">
        <v>515165</v>
      </c>
      <c r="T764" t="s">
        <v>772</v>
      </c>
    </row>
    <row r="765" spans="1:20" x14ac:dyDescent="0.25">
      <c r="A765">
        <v>5100422580</v>
      </c>
      <c r="B765">
        <v>325670</v>
      </c>
      <c r="C765" t="s">
        <v>768</v>
      </c>
      <c r="D765" s="143">
        <v>46035</v>
      </c>
      <c r="E765" s="55">
        <v>6991.56</v>
      </c>
      <c r="F765" t="s">
        <v>769</v>
      </c>
      <c r="G765">
        <v>1500030426</v>
      </c>
      <c r="H765" t="s">
        <v>755</v>
      </c>
      <c r="I765" t="s">
        <v>770</v>
      </c>
      <c r="K765" s="143">
        <v>46090</v>
      </c>
      <c r="L765" s="143">
        <v>46035</v>
      </c>
      <c r="M765">
        <v>62025</v>
      </c>
      <c r="N765" t="s">
        <v>771</v>
      </c>
      <c r="O765">
        <v>2001</v>
      </c>
      <c r="S765">
        <v>515165</v>
      </c>
      <c r="T765" t="s">
        <v>772</v>
      </c>
    </row>
    <row r="766" spans="1:20" x14ac:dyDescent="0.25">
      <c r="A766">
        <v>5100422581</v>
      </c>
      <c r="B766">
        <v>325670</v>
      </c>
      <c r="C766" t="s">
        <v>768</v>
      </c>
      <c r="D766" s="143">
        <v>46035</v>
      </c>
      <c r="E766" s="55">
        <v>37234.550000000003</v>
      </c>
      <c r="F766" t="s">
        <v>769</v>
      </c>
      <c r="G766">
        <v>1500030426</v>
      </c>
      <c r="H766" t="s">
        <v>755</v>
      </c>
      <c r="I766" t="s">
        <v>770</v>
      </c>
      <c r="K766" s="143">
        <v>46090</v>
      </c>
      <c r="L766" s="143">
        <v>46035</v>
      </c>
      <c r="M766">
        <v>62025</v>
      </c>
      <c r="N766" t="s">
        <v>771</v>
      </c>
      <c r="O766">
        <v>2001</v>
      </c>
      <c r="S766">
        <v>515165</v>
      </c>
      <c r="T766" t="s">
        <v>772</v>
      </c>
    </row>
    <row r="767" spans="1:20" x14ac:dyDescent="0.25">
      <c r="A767">
        <v>5100422582</v>
      </c>
      <c r="B767">
        <v>325670</v>
      </c>
      <c r="C767" t="s">
        <v>768</v>
      </c>
      <c r="D767" s="143">
        <v>46035</v>
      </c>
      <c r="E767">
        <v>94.22</v>
      </c>
      <c r="F767" t="s">
        <v>769</v>
      </c>
      <c r="G767">
        <v>1500030426</v>
      </c>
      <c r="H767" t="s">
        <v>755</v>
      </c>
      <c r="I767" t="s">
        <v>770</v>
      </c>
      <c r="K767" s="143">
        <v>46090</v>
      </c>
      <c r="L767" s="143">
        <v>46035</v>
      </c>
      <c r="M767">
        <v>72025</v>
      </c>
      <c r="N767" t="s">
        <v>771</v>
      </c>
      <c r="O767">
        <v>2001</v>
      </c>
      <c r="S767">
        <v>515165</v>
      </c>
      <c r="T767" t="s">
        <v>772</v>
      </c>
    </row>
    <row r="768" spans="1:20" x14ac:dyDescent="0.25">
      <c r="A768">
        <v>5100422583</v>
      </c>
      <c r="B768">
        <v>325670</v>
      </c>
      <c r="C768" t="s">
        <v>768</v>
      </c>
      <c r="D768" s="143">
        <v>46035</v>
      </c>
      <c r="E768" s="55">
        <v>8255.0300000000007</v>
      </c>
      <c r="F768" t="s">
        <v>769</v>
      </c>
      <c r="G768">
        <v>1500030426</v>
      </c>
      <c r="H768" t="s">
        <v>755</v>
      </c>
      <c r="I768" t="s">
        <v>770</v>
      </c>
      <c r="K768" s="143">
        <v>46090</v>
      </c>
      <c r="L768" s="143">
        <v>46035</v>
      </c>
      <c r="M768">
        <v>72025</v>
      </c>
      <c r="N768" t="s">
        <v>771</v>
      </c>
      <c r="O768">
        <v>2001</v>
      </c>
      <c r="S768">
        <v>515165</v>
      </c>
      <c r="T768" t="s">
        <v>772</v>
      </c>
    </row>
    <row r="769" spans="1:20" x14ac:dyDescent="0.25">
      <c r="A769">
        <v>5100422584</v>
      </c>
      <c r="B769">
        <v>325670</v>
      </c>
      <c r="C769" t="s">
        <v>768</v>
      </c>
      <c r="D769" s="143">
        <v>46035</v>
      </c>
      <c r="E769" s="55">
        <v>9494.9</v>
      </c>
      <c r="F769" t="s">
        <v>769</v>
      </c>
      <c r="G769">
        <v>1500030426</v>
      </c>
      <c r="H769" t="s">
        <v>755</v>
      </c>
      <c r="I769" t="s">
        <v>770</v>
      </c>
      <c r="K769" s="143">
        <v>46090</v>
      </c>
      <c r="L769" s="143">
        <v>46035</v>
      </c>
      <c r="M769">
        <v>82025</v>
      </c>
      <c r="N769" t="s">
        <v>771</v>
      </c>
      <c r="O769">
        <v>2001</v>
      </c>
      <c r="S769">
        <v>515165</v>
      </c>
      <c r="T769" t="s">
        <v>772</v>
      </c>
    </row>
    <row r="770" spans="1:20" x14ac:dyDescent="0.25">
      <c r="A770">
        <v>5100422585</v>
      </c>
      <c r="B770">
        <v>325670</v>
      </c>
      <c r="C770" t="s">
        <v>768</v>
      </c>
      <c r="D770" s="143">
        <v>46035</v>
      </c>
      <c r="E770" s="55">
        <v>125795.72</v>
      </c>
      <c r="F770" t="s">
        <v>769</v>
      </c>
      <c r="G770">
        <v>1500030426</v>
      </c>
      <c r="H770" t="s">
        <v>755</v>
      </c>
      <c r="I770" t="s">
        <v>770</v>
      </c>
      <c r="K770" s="143">
        <v>46090</v>
      </c>
      <c r="L770" s="143">
        <v>46035</v>
      </c>
      <c r="M770">
        <v>82025</v>
      </c>
      <c r="N770" t="s">
        <v>771</v>
      </c>
      <c r="O770">
        <v>2001</v>
      </c>
      <c r="S770">
        <v>515165</v>
      </c>
      <c r="T770" t="s">
        <v>772</v>
      </c>
    </row>
    <row r="771" spans="1:20" x14ac:dyDescent="0.25">
      <c r="A771">
        <v>5100422586</v>
      </c>
      <c r="B771">
        <v>325670</v>
      </c>
      <c r="C771" t="s">
        <v>768</v>
      </c>
      <c r="D771" s="143">
        <v>46035</v>
      </c>
      <c r="E771">
        <v>344.01</v>
      </c>
      <c r="F771" t="s">
        <v>769</v>
      </c>
      <c r="G771">
        <v>1500030426</v>
      </c>
      <c r="H771" t="s">
        <v>755</v>
      </c>
      <c r="I771" t="s">
        <v>770</v>
      </c>
      <c r="K771" s="143">
        <v>46090</v>
      </c>
      <c r="L771" s="143">
        <v>46035</v>
      </c>
      <c r="M771">
        <v>92025</v>
      </c>
      <c r="N771" t="s">
        <v>771</v>
      </c>
      <c r="O771">
        <v>2001</v>
      </c>
      <c r="S771">
        <v>515165</v>
      </c>
      <c r="T771" t="s">
        <v>772</v>
      </c>
    </row>
    <row r="772" spans="1:20" x14ac:dyDescent="0.25">
      <c r="A772">
        <v>5100422592</v>
      </c>
      <c r="B772">
        <v>327148</v>
      </c>
      <c r="C772" t="s">
        <v>768</v>
      </c>
      <c r="D772" s="143">
        <v>46035</v>
      </c>
      <c r="E772" s="55">
        <v>268510.03000000003</v>
      </c>
      <c r="F772" t="s">
        <v>769</v>
      </c>
      <c r="G772">
        <v>101971892</v>
      </c>
      <c r="H772" t="s">
        <v>755</v>
      </c>
      <c r="I772" t="s">
        <v>770</v>
      </c>
      <c r="J772">
        <v>0</v>
      </c>
      <c r="K772" s="143">
        <v>46167</v>
      </c>
      <c r="L772" s="143">
        <v>46035</v>
      </c>
      <c r="M772">
        <v>62025</v>
      </c>
      <c r="N772" t="s">
        <v>771</v>
      </c>
      <c r="O772">
        <v>2001</v>
      </c>
      <c r="S772">
        <v>2.00159000333072E+17</v>
      </c>
      <c r="T772" t="s">
        <v>772</v>
      </c>
    </row>
    <row r="773" spans="1:20" x14ac:dyDescent="0.25">
      <c r="A773">
        <v>5100422721</v>
      </c>
      <c r="B773">
        <v>348557</v>
      </c>
      <c r="C773" t="s">
        <v>768</v>
      </c>
      <c r="D773" s="143">
        <v>46035</v>
      </c>
      <c r="E773" s="55">
        <v>23816.43</v>
      </c>
      <c r="F773" t="s">
        <v>769</v>
      </c>
      <c r="G773">
        <v>1500030427</v>
      </c>
      <c r="H773" t="s">
        <v>755</v>
      </c>
      <c r="I773" t="s">
        <v>770</v>
      </c>
      <c r="K773" s="143">
        <v>46090</v>
      </c>
      <c r="L773" s="143">
        <v>46035</v>
      </c>
      <c r="M773">
        <v>22025</v>
      </c>
      <c r="N773" t="s">
        <v>771</v>
      </c>
      <c r="O773">
        <v>2001</v>
      </c>
      <c r="S773">
        <v>525750</v>
      </c>
      <c r="T773" t="s">
        <v>772</v>
      </c>
    </row>
    <row r="774" spans="1:20" x14ac:dyDescent="0.25">
      <c r="A774">
        <v>5100422722</v>
      </c>
      <c r="B774">
        <v>348557</v>
      </c>
      <c r="C774" t="s">
        <v>768</v>
      </c>
      <c r="D774" s="143">
        <v>46035</v>
      </c>
      <c r="E774" s="55">
        <v>4846.6499999999996</v>
      </c>
      <c r="F774" t="s">
        <v>769</v>
      </c>
      <c r="G774">
        <v>1500030427</v>
      </c>
      <c r="H774" t="s">
        <v>755</v>
      </c>
      <c r="I774" t="s">
        <v>770</v>
      </c>
      <c r="K774" s="143">
        <v>46090</v>
      </c>
      <c r="L774" s="143">
        <v>46035</v>
      </c>
      <c r="M774">
        <v>32025</v>
      </c>
      <c r="N774" t="s">
        <v>771</v>
      </c>
      <c r="O774">
        <v>2001</v>
      </c>
      <c r="S774">
        <v>525750</v>
      </c>
      <c r="T774" t="s">
        <v>772</v>
      </c>
    </row>
    <row r="775" spans="1:20" x14ac:dyDescent="0.25">
      <c r="A775">
        <v>5100422723</v>
      </c>
      <c r="B775">
        <v>348557</v>
      </c>
      <c r="C775" t="s">
        <v>768</v>
      </c>
      <c r="D775" s="143">
        <v>46035</v>
      </c>
      <c r="E775" s="55">
        <v>41308.629999999997</v>
      </c>
      <c r="F775" t="s">
        <v>769</v>
      </c>
      <c r="G775">
        <v>1500030427</v>
      </c>
      <c r="H775" t="s">
        <v>755</v>
      </c>
      <c r="I775" t="s">
        <v>770</v>
      </c>
      <c r="K775" s="143">
        <v>46090</v>
      </c>
      <c r="L775" s="143">
        <v>46035</v>
      </c>
      <c r="M775">
        <v>52025</v>
      </c>
      <c r="N775" t="s">
        <v>771</v>
      </c>
      <c r="O775">
        <v>2001</v>
      </c>
      <c r="S775">
        <v>525750</v>
      </c>
      <c r="T775" t="s">
        <v>772</v>
      </c>
    </row>
    <row r="776" spans="1:20" x14ac:dyDescent="0.25">
      <c r="A776">
        <v>5100422724</v>
      </c>
      <c r="B776">
        <v>348557</v>
      </c>
      <c r="C776" t="s">
        <v>768</v>
      </c>
      <c r="D776" s="143">
        <v>46035</v>
      </c>
      <c r="E776" s="55">
        <v>122561.03</v>
      </c>
      <c r="F776" t="s">
        <v>769</v>
      </c>
      <c r="G776">
        <v>1500030427</v>
      </c>
      <c r="H776" t="s">
        <v>755</v>
      </c>
      <c r="I776" t="s">
        <v>770</v>
      </c>
      <c r="K776" s="143">
        <v>46090</v>
      </c>
      <c r="L776" s="143">
        <v>46035</v>
      </c>
      <c r="M776">
        <v>62025</v>
      </c>
      <c r="N776" t="s">
        <v>771</v>
      </c>
      <c r="O776">
        <v>2001</v>
      </c>
      <c r="S776">
        <v>525750</v>
      </c>
      <c r="T776" t="s">
        <v>772</v>
      </c>
    </row>
    <row r="777" spans="1:20" x14ac:dyDescent="0.25">
      <c r="A777">
        <v>5100422725</v>
      </c>
      <c r="B777">
        <v>348557</v>
      </c>
      <c r="C777" t="s">
        <v>768</v>
      </c>
      <c r="D777" s="143">
        <v>46035</v>
      </c>
      <c r="E777" s="55">
        <v>10035.370000000001</v>
      </c>
      <c r="F777" t="s">
        <v>769</v>
      </c>
      <c r="G777">
        <v>1500030427</v>
      </c>
      <c r="H777" t="s">
        <v>755</v>
      </c>
      <c r="I777" t="s">
        <v>770</v>
      </c>
      <c r="K777" s="143">
        <v>46090</v>
      </c>
      <c r="L777" s="143">
        <v>46035</v>
      </c>
      <c r="M777">
        <v>72025</v>
      </c>
      <c r="N777" t="s">
        <v>771</v>
      </c>
      <c r="O777">
        <v>2001</v>
      </c>
      <c r="S777">
        <v>525750</v>
      </c>
      <c r="T777" t="s">
        <v>772</v>
      </c>
    </row>
    <row r="778" spans="1:20" x14ac:dyDescent="0.25">
      <c r="A778">
        <v>5100422822</v>
      </c>
      <c r="B778">
        <v>379719</v>
      </c>
      <c r="C778" t="s">
        <v>768</v>
      </c>
      <c r="D778" s="143">
        <v>46035</v>
      </c>
      <c r="E778" s="55">
        <v>94312.39</v>
      </c>
      <c r="F778" t="s">
        <v>769</v>
      </c>
      <c r="G778">
        <v>1500075059</v>
      </c>
      <c r="H778" t="s">
        <v>755</v>
      </c>
      <c r="I778" t="s">
        <v>770</v>
      </c>
      <c r="K778" s="143">
        <v>46090</v>
      </c>
      <c r="L778" s="143">
        <v>46035</v>
      </c>
      <c r="M778">
        <v>22025</v>
      </c>
      <c r="N778" t="s">
        <v>771</v>
      </c>
      <c r="O778">
        <v>2001</v>
      </c>
      <c r="S778">
        <v>514834</v>
      </c>
      <c r="T778" t="s">
        <v>772</v>
      </c>
    </row>
    <row r="779" spans="1:20" x14ac:dyDescent="0.25">
      <c r="A779">
        <v>5100422823</v>
      </c>
      <c r="B779">
        <v>379719</v>
      </c>
      <c r="C779" t="s">
        <v>768</v>
      </c>
      <c r="D779" s="143">
        <v>46035</v>
      </c>
      <c r="E779" s="55">
        <v>32107.54</v>
      </c>
      <c r="F779" t="s">
        <v>769</v>
      </c>
      <c r="G779">
        <v>1500075059</v>
      </c>
      <c r="H779" t="s">
        <v>755</v>
      </c>
      <c r="I779" t="s">
        <v>770</v>
      </c>
      <c r="K779" s="143">
        <v>46090</v>
      </c>
      <c r="L779" s="143">
        <v>46035</v>
      </c>
      <c r="M779">
        <v>32025</v>
      </c>
      <c r="N779" t="s">
        <v>771</v>
      </c>
      <c r="O779">
        <v>2001</v>
      </c>
      <c r="S779">
        <v>514834</v>
      </c>
      <c r="T779" t="s">
        <v>772</v>
      </c>
    </row>
    <row r="780" spans="1:20" x14ac:dyDescent="0.25">
      <c r="A780">
        <v>5100422824</v>
      </c>
      <c r="B780">
        <v>379719</v>
      </c>
      <c r="C780" t="s">
        <v>768</v>
      </c>
      <c r="D780" s="143">
        <v>46035</v>
      </c>
      <c r="E780" s="55">
        <v>24807.13</v>
      </c>
      <c r="F780" t="s">
        <v>769</v>
      </c>
      <c r="G780">
        <v>1500075059</v>
      </c>
      <c r="H780" t="s">
        <v>755</v>
      </c>
      <c r="I780" t="s">
        <v>770</v>
      </c>
      <c r="K780" s="143">
        <v>46090</v>
      </c>
      <c r="L780" s="143">
        <v>46035</v>
      </c>
      <c r="M780">
        <v>52025</v>
      </c>
      <c r="N780" t="s">
        <v>771</v>
      </c>
      <c r="O780">
        <v>2001</v>
      </c>
      <c r="S780">
        <v>514834</v>
      </c>
      <c r="T780" t="s">
        <v>772</v>
      </c>
    </row>
    <row r="781" spans="1:20" x14ac:dyDescent="0.25">
      <c r="A781">
        <v>5100422825</v>
      </c>
      <c r="B781">
        <v>379719</v>
      </c>
      <c r="C781" t="s">
        <v>768</v>
      </c>
      <c r="D781" s="143">
        <v>46035</v>
      </c>
      <c r="E781" s="55">
        <v>181548.11</v>
      </c>
      <c r="F781" t="s">
        <v>769</v>
      </c>
      <c r="G781">
        <v>1500075059</v>
      </c>
      <c r="H781" t="s">
        <v>755</v>
      </c>
      <c r="I781" t="s">
        <v>770</v>
      </c>
      <c r="K781" s="143">
        <v>46090</v>
      </c>
      <c r="L781" s="143">
        <v>46035</v>
      </c>
      <c r="M781">
        <v>62025</v>
      </c>
      <c r="N781" t="s">
        <v>771</v>
      </c>
      <c r="O781">
        <v>2001</v>
      </c>
      <c r="S781">
        <v>514834</v>
      </c>
      <c r="T781" t="s">
        <v>772</v>
      </c>
    </row>
    <row r="782" spans="1:20" x14ac:dyDescent="0.25">
      <c r="A782">
        <v>5100422826</v>
      </c>
      <c r="B782">
        <v>379719</v>
      </c>
      <c r="C782" t="s">
        <v>768</v>
      </c>
      <c r="D782" s="143">
        <v>46035</v>
      </c>
      <c r="E782" s="55">
        <v>28703.53</v>
      </c>
      <c r="F782" t="s">
        <v>769</v>
      </c>
      <c r="G782">
        <v>1500075059</v>
      </c>
      <c r="H782" t="s">
        <v>755</v>
      </c>
      <c r="I782" t="s">
        <v>770</v>
      </c>
      <c r="K782" s="143">
        <v>46090</v>
      </c>
      <c r="L782" s="143">
        <v>46035</v>
      </c>
      <c r="M782">
        <v>72025</v>
      </c>
      <c r="N782" t="s">
        <v>771</v>
      </c>
      <c r="O782">
        <v>2001</v>
      </c>
      <c r="S782">
        <v>514834</v>
      </c>
      <c r="T782" t="s">
        <v>772</v>
      </c>
    </row>
    <row r="783" spans="1:20" x14ac:dyDescent="0.25">
      <c r="A783">
        <v>5100422827</v>
      </c>
      <c r="B783">
        <v>379719</v>
      </c>
      <c r="C783" t="s">
        <v>768</v>
      </c>
      <c r="D783" s="143">
        <v>46035</v>
      </c>
      <c r="E783" s="55">
        <v>1313.28</v>
      </c>
      <c r="F783" t="s">
        <v>769</v>
      </c>
      <c r="G783">
        <v>1500075059</v>
      </c>
      <c r="H783" t="s">
        <v>755</v>
      </c>
      <c r="I783" t="s">
        <v>770</v>
      </c>
      <c r="K783" s="143">
        <v>46090</v>
      </c>
      <c r="L783" s="143">
        <v>46035</v>
      </c>
      <c r="M783">
        <v>82025</v>
      </c>
      <c r="N783" t="s">
        <v>771</v>
      </c>
      <c r="O783">
        <v>2001</v>
      </c>
      <c r="S783">
        <v>514834</v>
      </c>
      <c r="T783" t="s">
        <v>772</v>
      </c>
    </row>
    <row r="784" spans="1:20" x14ac:dyDescent="0.25">
      <c r="A784">
        <v>5100422828</v>
      </c>
      <c r="B784">
        <v>379719</v>
      </c>
      <c r="C784" t="s">
        <v>768</v>
      </c>
      <c r="D784" s="143">
        <v>46035</v>
      </c>
      <c r="E784" s="55">
        <v>110248.96000000001</v>
      </c>
      <c r="F784" t="s">
        <v>769</v>
      </c>
      <c r="G784">
        <v>1500075059</v>
      </c>
      <c r="H784" t="s">
        <v>755</v>
      </c>
      <c r="I784" t="s">
        <v>770</v>
      </c>
      <c r="K784" s="143">
        <v>46090</v>
      </c>
      <c r="L784" s="143">
        <v>46035</v>
      </c>
      <c r="M784">
        <v>92025</v>
      </c>
      <c r="N784" t="s">
        <v>771</v>
      </c>
      <c r="O784">
        <v>2001</v>
      </c>
      <c r="S784">
        <v>514834</v>
      </c>
      <c r="T784" t="s">
        <v>772</v>
      </c>
    </row>
    <row r="785" spans="1:20" x14ac:dyDescent="0.25">
      <c r="A785">
        <v>5100422871</v>
      </c>
      <c r="B785">
        <v>384446</v>
      </c>
      <c r="C785" t="s">
        <v>768</v>
      </c>
      <c r="D785" s="143">
        <v>46035</v>
      </c>
      <c r="E785" s="55">
        <v>26767.5</v>
      </c>
      <c r="F785" t="s">
        <v>769</v>
      </c>
      <c r="G785">
        <v>1500061122</v>
      </c>
      <c r="H785" t="s">
        <v>755</v>
      </c>
      <c r="I785" t="s">
        <v>770</v>
      </c>
      <c r="K785" s="143">
        <v>46098</v>
      </c>
      <c r="L785" s="143">
        <v>46035</v>
      </c>
      <c r="M785">
        <v>12025</v>
      </c>
      <c r="N785" t="s">
        <v>771</v>
      </c>
      <c r="O785">
        <v>2001</v>
      </c>
      <c r="S785" t="s">
        <v>778</v>
      </c>
      <c r="T785" t="s">
        <v>772</v>
      </c>
    </row>
    <row r="786" spans="1:20" x14ac:dyDescent="0.25">
      <c r="A786">
        <v>5100422872</v>
      </c>
      <c r="B786">
        <v>384446</v>
      </c>
      <c r="C786" t="s">
        <v>768</v>
      </c>
      <c r="D786" s="143">
        <v>46035</v>
      </c>
      <c r="E786" s="55">
        <v>8918.57</v>
      </c>
      <c r="F786" t="s">
        <v>769</v>
      </c>
      <c r="G786">
        <v>1500061122</v>
      </c>
      <c r="H786" t="s">
        <v>755</v>
      </c>
      <c r="I786" t="s">
        <v>770</v>
      </c>
      <c r="K786" s="143">
        <v>46098</v>
      </c>
      <c r="L786" s="143">
        <v>46035</v>
      </c>
      <c r="M786">
        <v>12025</v>
      </c>
      <c r="N786" t="s">
        <v>771</v>
      </c>
      <c r="O786">
        <v>2001</v>
      </c>
      <c r="S786" t="s">
        <v>778</v>
      </c>
      <c r="T786" t="s">
        <v>772</v>
      </c>
    </row>
    <row r="787" spans="1:20" x14ac:dyDescent="0.25">
      <c r="A787">
        <v>5100422873</v>
      </c>
      <c r="B787">
        <v>384446</v>
      </c>
      <c r="C787" t="s">
        <v>768</v>
      </c>
      <c r="D787" s="143">
        <v>46035</v>
      </c>
      <c r="E787" s="55">
        <v>56559</v>
      </c>
      <c r="F787" t="s">
        <v>769</v>
      </c>
      <c r="G787">
        <v>1500061122</v>
      </c>
      <c r="H787" t="s">
        <v>755</v>
      </c>
      <c r="I787" t="s">
        <v>770</v>
      </c>
      <c r="K787" s="143">
        <v>46098</v>
      </c>
      <c r="L787" s="143">
        <v>46035</v>
      </c>
      <c r="M787">
        <v>22025</v>
      </c>
      <c r="N787" t="s">
        <v>771</v>
      </c>
      <c r="O787">
        <v>2001</v>
      </c>
      <c r="S787" t="s">
        <v>778</v>
      </c>
      <c r="T787" t="s">
        <v>772</v>
      </c>
    </row>
    <row r="788" spans="1:20" x14ac:dyDescent="0.25">
      <c r="A788">
        <v>5100422874</v>
      </c>
      <c r="B788">
        <v>384446</v>
      </c>
      <c r="C788" t="s">
        <v>768</v>
      </c>
      <c r="D788" s="143">
        <v>46035</v>
      </c>
      <c r="E788" s="55">
        <v>3506.59</v>
      </c>
      <c r="F788" t="s">
        <v>769</v>
      </c>
      <c r="G788">
        <v>1500061122</v>
      </c>
      <c r="H788" t="s">
        <v>755</v>
      </c>
      <c r="I788" t="s">
        <v>770</v>
      </c>
      <c r="K788" s="143">
        <v>46098</v>
      </c>
      <c r="L788" s="143">
        <v>46035</v>
      </c>
      <c r="M788">
        <v>22025</v>
      </c>
      <c r="N788" t="s">
        <v>771</v>
      </c>
      <c r="O788">
        <v>2001</v>
      </c>
      <c r="S788" t="s">
        <v>778</v>
      </c>
      <c r="T788" t="s">
        <v>772</v>
      </c>
    </row>
    <row r="789" spans="1:20" x14ac:dyDescent="0.25">
      <c r="A789">
        <v>5100422875</v>
      </c>
      <c r="B789">
        <v>384446</v>
      </c>
      <c r="C789" t="s">
        <v>768</v>
      </c>
      <c r="D789" s="143">
        <v>46035</v>
      </c>
      <c r="E789" s="55">
        <v>16325.81</v>
      </c>
      <c r="F789" t="s">
        <v>769</v>
      </c>
      <c r="G789">
        <v>1500061122</v>
      </c>
      <c r="H789" t="s">
        <v>755</v>
      </c>
      <c r="I789" t="s">
        <v>770</v>
      </c>
      <c r="K789" s="143">
        <v>46098</v>
      </c>
      <c r="L789" s="143">
        <v>46035</v>
      </c>
      <c r="M789">
        <v>32025</v>
      </c>
      <c r="N789" t="s">
        <v>771</v>
      </c>
      <c r="O789">
        <v>2001</v>
      </c>
      <c r="S789" t="s">
        <v>778</v>
      </c>
      <c r="T789" t="s">
        <v>772</v>
      </c>
    </row>
    <row r="790" spans="1:20" x14ac:dyDescent="0.25">
      <c r="A790">
        <v>5100422876</v>
      </c>
      <c r="B790">
        <v>384446</v>
      </c>
      <c r="C790" t="s">
        <v>768</v>
      </c>
      <c r="D790" s="143">
        <v>46035</v>
      </c>
      <c r="E790" s="55">
        <v>1490.4</v>
      </c>
      <c r="F790" t="s">
        <v>769</v>
      </c>
      <c r="G790">
        <v>1500061122</v>
      </c>
      <c r="H790" t="s">
        <v>755</v>
      </c>
      <c r="I790" t="s">
        <v>770</v>
      </c>
      <c r="K790" s="143">
        <v>46098</v>
      </c>
      <c r="L790" s="143">
        <v>46035</v>
      </c>
      <c r="M790">
        <v>32025</v>
      </c>
      <c r="N790" t="s">
        <v>771</v>
      </c>
      <c r="O790">
        <v>2001</v>
      </c>
      <c r="S790" t="s">
        <v>778</v>
      </c>
      <c r="T790" t="s">
        <v>772</v>
      </c>
    </row>
    <row r="791" spans="1:20" x14ac:dyDescent="0.25">
      <c r="A791">
        <v>5100422877</v>
      </c>
      <c r="B791">
        <v>384446</v>
      </c>
      <c r="C791" t="s">
        <v>768</v>
      </c>
      <c r="D791" s="143">
        <v>46035</v>
      </c>
      <c r="E791" s="55">
        <v>39255.440000000002</v>
      </c>
      <c r="F791" t="s">
        <v>769</v>
      </c>
      <c r="G791">
        <v>1500061122</v>
      </c>
      <c r="H791" t="s">
        <v>755</v>
      </c>
      <c r="I791" t="s">
        <v>770</v>
      </c>
      <c r="K791" s="143">
        <v>46098</v>
      </c>
      <c r="L791" s="143">
        <v>46035</v>
      </c>
      <c r="M791">
        <v>42025</v>
      </c>
      <c r="N791" t="s">
        <v>771</v>
      </c>
      <c r="O791">
        <v>2001</v>
      </c>
      <c r="S791" t="s">
        <v>778</v>
      </c>
      <c r="T791" t="s">
        <v>772</v>
      </c>
    </row>
    <row r="792" spans="1:20" x14ac:dyDescent="0.25">
      <c r="A792">
        <v>5100422878</v>
      </c>
      <c r="B792">
        <v>384446</v>
      </c>
      <c r="C792" t="s">
        <v>768</v>
      </c>
      <c r="D792" s="143">
        <v>46035</v>
      </c>
      <c r="E792" s="55">
        <v>3411.89</v>
      </c>
      <c r="F792" t="s">
        <v>769</v>
      </c>
      <c r="G792">
        <v>1500061122</v>
      </c>
      <c r="H792" t="s">
        <v>755</v>
      </c>
      <c r="I792" t="s">
        <v>770</v>
      </c>
      <c r="K792" s="143">
        <v>46098</v>
      </c>
      <c r="L792" s="143">
        <v>46035</v>
      </c>
      <c r="M792">
        <v>42025</v>
      </c>
      <c r="N792" t="s">
        <v>771</v>
      </c>
      <c r="O792">
        <v>2001</v>
      </c>
      <c r="S792" t="s">
        <v>778</v>
      </c>
      <c r="T792" t="s">
        <v>772</v>
      </c>
    </row>
    <row r="793" spans="1:20" x14ac:dyDescent="0.25">
      <c r="A793">
        <v>5100422879</v>
      </c>
      <c r="B793">
        <v>384446</v>
      </c>
      <c r="C793" t="s">
        <v>768</v>
      </c>
      <c r="D793" s="143">
        <v>46035</v>
      </c>
      <c r="E793" s="55">
        <v>3564.54</v>
      </c>
      <c r="F793" t="s">
        <v>769</v>
      </c>
      <c r="G793">
        <v>1500061122</v>
      </c>
      <c r="H793" t="s">
        <v>755</v>
      </c>
      <c r="I793" t="s">
        <v>770</v>
      </c>
      <c r="K793" s="143">
        <v>46098</v>
      </c>
      <c r="L793" s="143">
        <v>46035</v>
      </c>
      <c r="M793">
        <v>52025</v>
      </c>
      <c r="N793" t="s">
        <v>771</v>
      </c>
      <c r="O793">
        <v>2001</v>
      </c>
      <c r="S793" t="s">
        <v>778</v>
      </c>
      <c r="T793" t="s">
        <v>772</v>
      </c>
    </row>
    <row r="794" spans="1:20" x14ac:dyDescent="0.25">
      <c r="A794">
        <v>5100422880</v>
      </c>
      <c r="B794">
        <v>384446</v>
      </c>
      <c r="C794" t="s">
        <v>768</v>
      </c>
      <c r="D794" s="143">
        <v>46035</v>
      </c>
      <c r="E794" s="55">
        <v>4674.1099999999997</v>
      </c>
      <c r="F794" t="s">
        <v>769</v>
      </c>
      <c r="G794">
        <v>1500061122</v>
      </c>
      <c r="H794" t="s">
        <v>755</v>
      </c>
      <c r="I794" t="s">
        <v>770</v>
      </c>
      <c r="K794" s="143">
        <v>46098</v>
      </c>
      <c r="L794" s="143">
        <v>46035</v>
      </c>
      <c r="M794">
        <v>52025</v>
      </c>
      <c r="N794" t="s">
        <v>771</v>
      </c>
      <c r="O794">
        <v>2001</v>
      </c>
      <c r="S794" t="s">
        <v>778</v>
      </c>
      <c r="T794" t="s">
        <v>772</v>
      </c>
    </row>
    <row r="795" spans="1:20" x14ac:dyDescent="0.25">
      <c r="A795">
        <v>5100422881</v>
      </c>
      <c r="B795">
        <v>384446</v>
      </c>
      <c r="C795" t="s">
        <v>768</v>
      </c>
      <c r="D795" s="143">
        <v>46035</v>
      </c>
      <c r="E795" s="55">
        <v>7746.22</v>
      </c>
      <c r="F795" t="s">
        <v>769</v>
      </c>
      <c r="G795">
        <v>1500061122</v>
      </c>
      <c r="H795" t="s">
        <v>755</v>
      </c>
      <c r="I795" t="s">
        <v>770</v>
      </c>
      <c r="K795" s="143">
        <v>46098</v>
      </c>
      <c r="L795" s="143">
        <v>46035</v>
      </c>
      <c r="M795">
        <v>62025</v>
      </c>
      <c r="N795" t="s">
        <v>771</v>
      </c>
      <c r="O795">
        <v>2001</v>
      </c>
      <c r="S795" t="s">
        <v>778</v>
      </c>
      <c r="T795" t="s">
        <v>772</v>
      </c>
    </row>
    <row r="796" spans="1:20" x14ac:dyDescent="0.25">
      <c r="A796">
        <v>5100422882</v>
      </c>
      <c r="B796">
        <v>384446</v>
      </c>
      <c r="C796" t="s">
        <v>768</v>
      </c>
      <c r="D796" s="143">
        <v>46035</v>
      </c>
      <c r="E796" s="55">
        <v>30073.82</v>
      </c>
      <c r="F796" t="s">
        <v>769</v>
      </c>
      <c r="G796">
        <v>1500061122</v>
      </c>
      <c r="H796" t="s">
        <v>755</v>
      </c>
      <c r="I796" t="s">
        <v>770</v>
      </c>
      <c r="K796" s="143">
        <v>46098</v>
      </c>
      <c r="L796" s="143">
        <v>46035</v>
      </c>
      <c r="M796">
        <v>62025</v>
      </c>
      <c r="N796" t="s">
        <v>771</v>
      </c>
      <c r="O796">
        <v>2001</v>
      </c>
      <c r="S796" t="s">
        <v>778</v>
      </c>
      <c r="T796" t="s">
        <v>772</v>
      </c>
    </row>
    <row r="797" spans="1:20" x14ac:dyDescent="0.25">
      <c r="A797">
        <v>5100422883</v>
      </c>
      <c r="B797">
        <v>384446</v>
      </c>
      <c r="C797" t="s">
        <v>768</v>
      </c>
      <c r="D797" s="143">
        <v>46035</v>
      </c>
      <c r="E797" s="55">
        <v>24812.73</v>
      </c>
      <c r="F797" t="s">
        <v>769</v>
      </c>
      <c r="G797">
        <v>1500061122</v>
      </c>
      <c r="H797" t="s">
        <v>755</v>
      </c>
      <c r="I797" t="s">
        <v>770</v>
      </c>
      <c r="K797" s="143">
        <v>46098</v>
      </c>
      <c r="L797" s="143">
        <v>46035</v>
      </c>
      <c r="M797">
        <v>72025</v>
      </c>
      <c r="N797" t="s">
        <v>771</v>
      </c>
      <c r="O797">
        <v>2001</v>
      </c>
      <c r="S797" t="s">
        <v>778</v>
      </c>
      <c r="T797" t="s">
        <v>772</v>
      </c>
    </row>
    <row r="798" spans="1:20" x14ac:dyDescent="0.25">
      <c r="A798">
        <v>5100422884</v>
      </c>
      <c r="B798">
        <v>384446</v>
      </c>
      <c r="C798" t="s">
        <v>768</v>
      </c>
      <c r="D798" s="143">
        <v>46035</v>
      </c>
      <c r="E798" s="55">
        <v>14215.91</v>
      </c>
      <c r="F798" t="s">
        <v>769</v>
      </c>
      <c r="G798">
        <v>1500061122</v>
      </c>
      <c r="H798" t="s">
        <v>755</v>
      </c>
      <c r="I798" t="s">
        <v>770</v>
      </c>
      <c r="K798" s="143">
        <v>46098</v>
      </c>
      <c r="L798" s="143">
        <v>46035</v>
      </c>
      <c r="M798">
        <v>72025</v>
      </c>
      <c r="N798" t="s">
        <v>771</v>
      </c>
      <c r="O798">
        <v>2001</v>
      </c>
      <c r="S798" t="s">
        <v>778</v>
      </c>
      <c r="T798" t="s">
        <v>772</v>
      </c>
    </row>
    <row r="799" spans="1:20" x14ac:dyDescent="0.25">
      <c r="A799">
        <v>5100422885</v>
      </c>
      <c r="B799">
        <v>384446</v>
      </c>
      <c r="C799" t="s">
        <v>768</v>
      </c>
      <c r="D799" s="143">
        <v>46035</v>
      </c>
      <c r="E799" s="55">
        <v>11632.54</v>
      </c>
      <c r="F799" t="s">
        <v>769</v>
      </c>
      <c r="G799">
        <v>1500061122</v>
      </c>
      <c r="H799" t="s">
        <v>755</v>
      </c>
      <c r="I799" t="s">
        <v>770</v>
      </c>
      <c r="K799" s="143">
        <v>46098</v>
      </c>
      <c r="L799" s="143">
        <v>46035</v>
      </c>
      <c r="M799">
        <v>82025</v>
      </c>
      <c r="N799" t="s">
        <v>771</v>
      </c>
      <c r="O799">
        <v>2001</v>
      </c>
      <c r="S799" t="s">
        <v>778</v>
      </c>
      <c r="T799" t="s">
        <v>772</v>
      </c>
    </row>
    <row r="800" spans="1:20" x14ac:dyDescent="0.25">
      <c r="A800">
        <v>5100422886</v>
      </c>
      <c r="B800">
        <v>384446</v>
      </c>
      <c r="C800" t="s">
        <v>768</v>
      </c>
      <c r="D800" s="143">
        <v>46035</v>
      </c>
      <c r="E800" s="55">
        <v>106127.32</v>
      </c>
      <c r="F800" t="s">
        <v>769</v>
      </c>
      <c r="G800">
        <v>1500061122</v>
      </c>
      <c r="H800" t="s">
        <v>755</v>
      </c>
      <c r="I800" t="s">
        <v>770</v>
      </c>
      <c r="K800" s="143">
        <v>46098</v>
      </c>
      <c r="L800" s="143">
        <v>46035</v>
      </c>
      <c r="M800">
        <v>82025</v>
      </c>
      <c r="N800" t="s">
        <v>771</v>
      </c>
      <c r="O800">
        <v>2001</v>
      </c>
      <c r="S800" t="s">
        <v>778</v>
      </c>
      <c r="T800" t="s">
        <v>772</v>
      </c>
    </row>
    <row r="801" spans="1:20" x14ac:dyDescent="0.25">
      <c r="A801">
        <v>5100422887</v>
      </c>
      <c r="B801">
        <v>384446</v>
      </c>
      <c r="C801" t="s">
        <v>768</v>
      </c>
      <c r="D801" s="143">
        <v>46035</v>
      </c>
      <c r="E801" s="55">
        <v>1697.98</v>
      </c>
      <c r="F801" t="s">
        <v>769</v>
      </c>
      <c r="G801">
        <v>1500061122</v>
      </c>
      <c r="H801" t="s">
        <v>755</v>
      </c>
      <c r="I801" t="s">
        <v>770</v>
      </c>
      <c r="K801" s="143">
        <v>46098</v>
      </c>
      <c r="L801" s="143">
        <v>46035</v>
      </c>
      <c r="M801">
        <v>92025</v>
      </c>
      <c r="N801" t="s">
        <v>771</v>
      </c>
      <c r="O801">
        <v>2001</v>
      </c>
      <c r="S801" t="s">
        <v>778</v>
      </c>
      <c r="T801" t="s">
        <v>772</v>
      </c>
    </row>
    <row r="802" spans="1:20" x14ac:dyDescent="0.25">
      <c r="A802">
        <v>5100422888</v>
      </c>
      <c r="B802">
        <v>384446</v>
      </c>
      <c r="C802" t="s">
        <v>768</v>
      </c>
      <c r="D802" s="143">
        <v>46035</v>
      </c>
      <c r="E802" s="55">
        <v>65025</v>
      </c>
      <c r="F802" t="s">
        <v>769</v>
      </c>
      <c r="G802">
        <v>1500061122</v>
      </c>
      <c r="H802" t="s">
        <v>755</v>
      </c>
      <c r="I802" t="s">
        <v>770</v>
      </c>
      <c r="K802" s="143">
        <v>46098</v>
      </c>
      <c r="L802" s="143">
        <v>46035</v>
      </c>
      <c r="M802">
        <v>92025</v>
      </c>
      <c r="N802" t="s">
        <v>771</v>
      </c>
      <c r="O802">
        <v>2001</v>
      </c>
      <c r="S802" t="s">
        <v>778</v>
      </c>
      <c r="T802" t="s">
        <v>772</v>
      </c>
    </row>
    <row r="803" spans="1:20" x14ac:dyDescent="0.25">
      <c r="A803">
        <v>5100422946</v>
      </c>
      <c r="B803">
        <v>387977</v>
      </c>
      <c r="C803" t="s">
        <v>768</v>
      </c>
      <c r="D803" s="143">
        <v>46035</v>
      </c>
      <c r="E803" s="55">
        <v>117236.28</v>
      </c>
      <c r="F803" t="s">
        <v>769</v>
      </c>
      <c r="G803">
        <v>101694790</v>
      </c>
      <c r="H803" t="s">
        <v>755</v>
      </c>
      <c r="I803" t="s">
        <v>770</v>
      </c>
      <c r="J803">
        <v>0</v>
      </c>
      <c r="K803" s="143">
        <v>46216</v>
      </c>
      <c r="L803" s="143">
        <v>46035</v>
      </c>
      <c r="M803">
        <v>42025</v>
      </c>
      <c r="N803" t="s">
        <v>771</v>
      </c>
      <c r="O803">
        <v>2001</v>
      </c>
      <c r="S803">
        <v>2.00159000223092E+17</v>
      </c>
      <c r="T803" t="s">
        <v>772</v>
      </c>
    </row>
    <row r="804" spans="1:20" x14ac:dyDescent="0.25">
      <c r="A804">
        <v>5100422947</v>
      </c>
      <c r="B804">
        <v>387977</v>
      </c>
      <c r="C804" t="s">
        <v>768</v>
      </c>
      <c r="D804" s="143">
        <v>46035</v>
      </c>
      <c r="E804" s="55">
        <v>17847.77</v>
      </c>
      <c r="F804" t="s">
        <v>769</v>
      </c>
      <c r="G804">
        <v>101694790</v>
      </c>
      <c r="H804" t="s">
        <v>755</v>
      </c>
      <c r="I804" t="s">
        <v>770</v>
      </c>
      <c r="J804">
        <v>0</v>
      </c>
      <c r="K804" s="143">
        <v>46216</v>
      </c>
      <c r="L804" s="143">
        <v>46035</v>
      </c>
      <c r="M804">
        <v>42025</v>
      </c>
      <c r="N804" t="s">
        <v>771</v>
      </c>
      <c r="O804">
        <v>2001</v>
      </c>
      <c r="S804">
        <v>2.00159000223092E+17</v>
      </c>
      <c r="T804" t="s">
        <v>772</v>
      </c>
    </row>
    <row r="805" spans="1:20" x14ac:dyDescent="0.25">
      <c r="A805">
        <v>5100422948</v>
      </c>
      <c r="B805">
        <v>387977</v>
      </c>
      <c r="C805" t="s">
        <v>768</v>
      </c>
      <c r="D805" s="143">
        <v>46035</v>
      </c>
      <c r="E805">
        <v>895.29</v>
      </c>
      <c r="F805" t="s">
        <v>769</v>
      </c>
      <c r="G805">
        <v>101694790</v>
      </c>
      <c r="H805" t="s">
        <v>755</v>
      </c>
      <c r="I805" t="s">
        <v>770</v>
      </c>
      <c r="J805">
        <v>0</v>
      </c>
      <c r="K805" s="143">
        <v>46216</v>
      </c>
      <c r="L805" s="143">
        <v>46035</v>
      </c>
      <c r="M805">
        <v>52025</v>
      </c>
      <c r="N805" t="s">
        <v>771</v>
      </c>
      <c r="O805">
        <v>2001</v>
      </c>
      <c r="S805">
        <v>2.00159000223092E+17</v>
      </c>
      <c r="T805" t="s">
        <v>772</v>
      </c>
    </row>
    <row r="806" spans="1:20" x14ac:dyDescent="0.25">
      <c r="A806">
        <v>5100422949</v>
      </c>
      <c r="B806">
        <v>387977</v>
      </c>
      <c r="C806" t="s">
        <v>768</v>
      </c>
      <c r="D806" s="143">
        <v>46035</v>
      </c>
      <c r="E806" s="55">
        <v>183426.69</v>
      </c>
      <c r="F806" t="s">
        <v>769</v>
      </c>
      <c r="G806">
        <v>101694790</v>
      </c>
      <c r="H806" t="s">
        <v>755</v>
      </c>
      <c r="I806" t="s">
        <v>770</v>
      </c>
      <c r="J806">
        <v>0</v>
      </c>
      <c r="K806" s="143">
        <v>46216</v>
      </c>
      <c r="L806" s="143">
        <v>46035</v>
      </c>
      <c r="M806">
        <v>102025</v>
      </c>
      <c r="N806" t="s">
        <v>771</v>
      </c>
      <c r="O806">
        <v>2001</v>
      </c>
      <c r="S806">
        <v>2.00159000223092E+17</v>
      </c>
      <c r="T806" t="s">
        <v>772</v>
      </c>
    </row>
    <row r="807" spans="1:20" x14ac:dyDescent="0.25">
      <c r="A807">
        <v>5100423028</v>
      </c>
      <c r="B807">
        <v>392092</v>
      </c>
      <c r="C807" t="s">
        <v>768</v>
      </c>
      <c r="D807" s="143">
        <v>46035</v>
      </c>
      <c r="E807" s="55">
        <v>37208.85</v>
      </c>
      <c r="F807" t="s">
        <v>769</v>
      </c>
      <c r="G807">
        <v>1500038796</v>
      </c>
      <c r="H807" t="s">
        <v>755</v>
      </c>
      <c r="I807" t="s">
        <v>770</v>
      </c>
      <c r="K807" s="143">
        <v>46069</v>
      </c>
      <c r="L807" s="143">
        <v>46035</v>
      </c>
      <c r="M807">
        <v>12025</v>
      </c>
      <c r="N807" t="s">
        <v>771</v>
      </c>
      <c r="O807">
        <v>2001</v>
      </c>
      <c r="S807">
        <v>515502</v>
      </c>
      <c r="T807" t="s">
        <v>772</v>
      </c>
    </row>
    <row r="808" spans="1:20" x14ac:dyDescent="0.25">
      <c r="A808">
        <v>5100423029</v>
      </c>
      <c r="B808">
        <v>392092</v>
      </c>
      <c r="C808" t="s">
        <v>768</v>
      </c>
      <c r="D808" s="143">
        <v>46035</v>
      </c>
      <c r="E808" s="55">
        <v>19878.77</v>
      </c>
      <c r="F808" t="s">
        <v>769</v>
      </c>
      <c r="G808">
        <v>1500038796</v>
      </c>
      <c r="H808" t="s">
        <v>755</v>
      </c>
      <c r="I808" t="s">
        <v>770</v>
      </c>
      <c r="K808" s="143">
        <v>46069</v>
      </c>
      <c r="L808" s="143">
        <v>46035</v>
      </c>
      <c r="M808">
        <v>22025</v>
      </c>
      <c r="N808" t="s">
        <v>771</v>
      </c>
      <c r="O808">
        <v>2001</v>
      </c>
      <c r="S808">
        <v>515502</v>
      </c>
      <c r="T808" t="s">
        <v>772</v>
      </c>
    </row>
    <row r="809" spans="1:20" x14ac:dyDescent="0.25">
      <c r="A809">
        <v>5100423030</v>
      </c>
      <c r="B809">
        <v>392092</v>
      </c>
      <c r="C809" t="s">
        <v>768</v>
      </c>
      <c r="D809" s="143">
        <v>46035</v>
      </c>
      <c r="E809" s="55">
        <v>1807.34</v>
      </c>
      <c r="F809" t="s">
        <v>769</v>
      </c>
      <c r="G809">
        <v>1500038796</v>
      </c>
      <c r="H809" t="s">
        <v>755</v>
      </c>
      <c r="I809" t="s">
        <v>770</v>
      </c>
      <c r="K809" s="143">
        <v>46069</v>
      </c>
      <c r="L809" s="143">
        <v>46035</v>
      </c>
      <c r="M809">
        <v>32025</v>
      </c>
      <c r="N809" t="s">
        <v>771</v>
      </c>
      <c r="O809">
        <v>2001</v>
      </c>
      <c r="S809">
        <v>515502</v>
      </c>
      <c r="T809" t="s">
        <v>772</v>
      </c>
    </row>
    <row r="810" spans="1:20" x14ac:dyDescent="0.25">
      <c r="A810">
        <v>5100423031</v>
      </c>
      <c r="B810">
        <v>392092</v>
      </c>
      <c r="C810" t="s">
        <v>768</v>
      </c>
      <c r="D810" s="143">
        <v>46035</v>
      </c>
      <c r="E810" s="55">
        <v>90915.25</v>
      </c>
      <c r="F810" t="s">
        <v>769</v>
      </c>
      <c r="G810">
        <v>1500038796</v>
      </c>
      <c r="H810" t="s">
        <v>755</v>
      </c>
      <c r="I810" t="s">
        <v>770</v>
      </c>
      <c r="K810" s="143">
        <v>46069</v>
      </c>
      <c r="L810" s="143">
        <v>46035</v>
      </c>
      <c r="M810">
        <v>52025</v>
      </c>
      <c r="N810" t="s">
        <v>771</v>
      </c>
      <c r="O810">
        <v>2001</v>
      </c>
      <c r="S810">
        <v>515502</v>
      </c>
      <c r="T810" t="s">
        <v>772</v>
      </c>
    </row>
    <row r="811" spans="1:20" x14ac:dyDescent="0.25">
      <c r="A811">
        <v>5100423032</v>
      </c>
      <c r="B811">
        <v>392183</v>
      </c>
      <c r="C811" t="s">
        <v>768</v>
      </c>
      <c r="D811" s="143">
        <v>46035</v>
      </c>
      <c r="E811" s="55">
        <v>8317.34</v>
      </c>
      <c r="F811" t="s">
        <v>769</v>
      </c>
      <c r="G811">
        <v>1500052073</v>
      </c>
      <c r="H811" t="s">
        <v>755</v>
      </c>
      <c r="I811" t="s">
        <v>770</v>
      </c>
      <c r="K811" s="143">
        <v>46076</v>
      </c>
      <c r="L811" s="143">
        <v>46035</v>
      </c>
      <c r="M811">
        <v>32025</v>
      </c>
      <c r="N811" t="s">
        <v>771</v>
      </c>
      <c r="O811">
        <v>2001</v>
      </c>
      <c r="S811" t="s">
        <v>773</v>
      </c>
      <c r="T811" t="s">
        <v>772</v>
      </c>
    </row>
    <row r="812" spans="1:20" x14ac:dyDescent="0.25">
      <c r="A812">
        <v>5100423033</v>
      </c>
      <c r="B812">
        <v>392183</v>
      </c>
      <c r="C812" t="s">
        <v>768</v>
      </c>
      <c r="D812" s="143">
        <v>46035</v>
      </c>
      <c r="E812" s="55">
        <v>13138.98</v>
      </c>
      <c r="F812" t="s">
        <v>769</v>
      </c>
      <c r="G812">
        <v>1500052073</v>
      </c>
      <c r="H812" t="s">
        <v>755</v>
      </c>
      <c r="I812" t="s">
        <v>770</v>
      </c>
      <c r="K812" s="143">
        <v>46076</v>
      </c>
      <c r="L812" s="143">
        <v>46035</v>
      </c>
      <c r="M812">
        <v>42025</v>
      </c>
      <c r="N812" t="s">
        <v>771</v>
      </c>
      <c r="O812">
        <v>2001</v>
      </c>
      <c r="S812" t="s">
        <v>773</v>
      </c>
      <c r="T812" t="s">
        <v>772</v>
      </c>
    </row>
    <row r="813" spans="1:20" x14ac:dyDescent="0.25">
      <c r="A813">
        <v>5100423034</v>
      </c>
      <c r="B813">
        <v>392183</v>
      </c>
      <c r="C813" t="s">
        <v>768</v>
      </c>
      <c r="D813" s="143">
        <v>46035</v>
      </c>
      <c r="E813">
        <v>361.62</v>
      </c>
      <c r="F813" t="s">
        <v>769</v>
      </c>
      <c r="G813">
        <v>1500052073</v>
      </c>
      <c r="H813" t="s">
        <v>755</v>
      </c>
      <c r="I813" t="s">
        <v>770</v>
      </c>
      <c r="K813" s="143">
        <v>46076</v>
      </c>
      <c r="L813" s="143">
        <v>46035</v>
      </c>
      <c r="M813">
        <v>52025</v>
      </c>
      <c r="N813" t="s">
        <v>771</v>
      </c>
      <c r="O813">
        <v>2001</v>
      </c>
      <c r="S813" t="s">
        <v>773</v>
      </c>
      <c r="T813" t="s">
        <v>772</v>
      </c>
    </row>
    <row r="814" spans="1:20" x14ac:dyDescent="0.25">
      <c r="A814">
        <v>5100423035</v>
      </c>
      <c r="B814">
        <v>392183</v>
      </c>
      <c r="C814" t="s">
        <v>768</v>
      </c>
      <c r="D814" s="143">
        <v>46035</v>
      </c>
      <c r="E814" s="55">
        <v>40019.65</v>
      </c>
      <c r="F814" t="s">
        <v>769</v>
      </c>
      <c r="G814">
        <v>1500052073</v>
      </c>
      <c r="H814" t="s">
        <v>755</v>
      </c>
      <c r="I814" t="s">
        <v>770</v>
      </c>
      <c r="K814" s="143">
        <v>46076</v>
      </c>
      <c r="L814" s="143">
        <v>46035</v>
      </c>
      <c r="M814">
        <v>52025</v>
      </c>
      <c r="N814" t="s">
        <v>771</v>
      </c>
      <c r="O814">
        <v>2001</v>
      </c>
      <c r="S814" t="s">
        <v>773</v>
      </c>
      <c r="T814" t="s">
        <v>772</v>
      </c>
    </row>
    <row r="815" spans="1:20" x14ac:dyDescent="0.25">
      <c r="A815">
        <v>5100423036</v>
      </c>
      <c r="B815">
        <v>392183</v>
      </c>
      <c r="C815" t="s">
        <v>768</v>
      </c>
      <c r="D815" s="143">
        <v>46035</v>
      </c>
      <c r="E815" s="55">
        <v>6150.76</v>
      </c>
      <c r="F815" t="s">
        <v>769</v>
      </c>
      <c r="G815">
        <v>1500052073</v>
      </c>
      <c r="H815" t="s">
        <v>755</v>
      </c>
      <c r="I815" t="s">
        <v>770</v>
      </c>
      <c r="K815" s="143">
        <v>46076</v>
      </c>
      <c r="L815" s="143">
        <v>46035</v>
      </c>
      <c r="M815">
        <v>62025</v>
      </c>
      <c r="N815" t="s">
        <v>771</v>
      </c>
      <c r="O815">
        <v>2001</v>
      </c>
      <c r="S815" t="s">
        <v>773</v>
      </c>
      <c r="T815" t="s">
        <v>772</v>
      </c>
    </row>
    <row r="816" spans="1:20" x14ac:dyDescent="0.25">
      <c r="A816">
        <v>5100423037</v>
      </c>
      <c r="B816">
        <v>392183</v>
      </c>
      <c r="C816" t="s">
        <v>768</v>
      </c>
      <c r="D816" s="143">
        <v>46035</v>
      </c>
      <c r="E816" s="55">
        <v>18648.849999999999</v>
      </c>
      <c r="F816" t="s">
        <v>769</v>
      </c>
      <c r="G816">
        <v>1500052073</v>
      </c>
      <c r="H816" t="s">
        <v>755</v>
      </c>
      <c r="I816" t="s">
        <v>770</v>
      </c>
      <c r="K816" s="143">
        <v>46076</v>
      </c>
      <c r="L816" s="143">
        <v>46035</v>
      </c>
      <c r="M816">
        <v>62025</v>
      </c>
      <c r="N816" t="s">
        <v>771</v>
      </c>
      <c r="O816">
        <v>2001</v>
      </c>
      <c r="S816" t="s">
        <v>773</v>
      </c>
      <c r="T816" t="s">
        <v>772</v>
      </c>
    </row>
    <row r="817" spans="1:20" x14ac:dyDescent="0.25">
      <c r="A817">
        <v>5100423038</v>
      </c>
      <c r="B817">
        <v>392183</v>
      </c>
      <c r="C817" t="s">
        <v>768</v>
      </c>
      <c r="D817" s="143">
        <v>46035</v>
      </c>
      <c r="E817" s="55">
        <v>57859.72</v>
      </c>
      <c r="F817" t="s">
        <v>769</v>
      </c>
      <c r="G817">
        <v>1500052073</v>
      </c>
      <c r="H817" t="s">
        <v>755</v>
      </c>
      <c r="I817" t="s">
        <v>770</v>
      </c>
      <c r="K817" s="143">
        <v>46076</v>
      </c>
      <c r="L817" s="143">
        <v>46035</v>
      </c>
      <c r="M817">
        <v>72025</v>
      </c>
      <c r="N817" t="s">
        <v>771</v>
      </c>
      <c r="O817">
        <v>2001</v>
      </c>
      <c r="S817" t="s">
        <v>773</v>
      </c>
      <c r="T817" t="s">
        <v>772</v>
      </c>
    </row>
    <row r="818" spans="1:20" x14ac:dyDescent="0.25">
      <c r="A818">
        <v>5100423039</v>
      </c>
      <c r="B818">
        <v>392183</v>
      </c>
      <c r="C818" t="s">
        <v>768</v>
      </c>
      <c r="D818" s="143">
        <v>46035</v>
      </c>
      <c r="E818" s="55">
        <v>28688.78</v>
      </c>
      <c r="F818" t="s">
        <v>769</v>
      </c>
      <c r="G818">
        <v>1500052073</v>
      </c>
      <c r="H818" t="s">
        <v>755</v>
      </c>
      <c r="I818" t="s">
        <v>770</v>
      </c>
      <c r="K818" s="143">
        <v>46076</v>
      </c>
      <c r="L818" s="143">
        <v>46035</v>
      </c>
      <c r="M818">
        <v>82025</v>
      </c>
      <c r="N818" t="s">
        <v>771</v>
      </c>
      <c r="O818">
        <v>2001</v>
      </c>
      <c r="S818" t="s">
        <v>773</v>
      </c>
      <c r="T818" t="s">
        <v>772</v>
      </c>
    </row>
    <row r="819" spans="1:20" x14ac:dyDescent="0.25">
      <c r="A819">
        <v>5100423040</v>
      </c>
      <c r="B819">
        <v>392183</v>
      </c>
      <c r="C819" t="s">
        <v>768</v>
      </c>
      <c r="D819" s="143">
        <v>46035</v>
      </c>
      <c r="E819" s="55">
        <v>3495.69</v>
      </c>
      <c r="F819" t="s">
        <v>769</v>
      </c>
      <c r="G819">
        <v>1500052073</v>
      </c>
      <c r="H819" t="s">
        <v>755</v>
      </c>
      <c r="I819" t="s">
        <v>770</v>
      </c>
      <c r="K819" s="143">
        <v>46076</v>
      </c>
      <c r="L819" s="143">
        <v>46035</v>
      </c>
      <c r="M819">
        <v>92025</v>
      </c>
      <c r="N819" t="s">
        <v>771</v>
      </c>
      <c r="O819">
        <v>2001</v>
      </c>
      <c r="S819" t="s">
        <v>773</v>
      </c>
      <c r="T819" t="s">
        <v>772</v>
      </c>
    </row>
    <row r="820" spans="1:20" x14ac:dyDescent="0.25">
      <c r="A820">
        <v>5100423065</v>
      </c>
      <c r="B820">
        <v>397315</v>
      </c>
      <c r="C820" t="s">
        <v>768</v>
      </c>
      <c r="D820" s="143">
        <v>46035</v>
      </c>
      <c r="E820" s="55">
        <v>27155.23</v>
      </c>
      <c r="F820" t="s">
        <v>769</v>
      </c>
      <c r="G820">
        <v>1500033207</v>
      </c>
      <c r="H820" t="s">
        <v>755</v>
      </c>
      <c r="I820" t="s">
        <v>770</v>
      </c>
      <c r="K820" s="143">
        <v>46098</v>
      </c>
      <c r="L820" s="143">
        <v>46035</v>
      </c>
      <c r="M820">
        <v>12025</v>
      </c>
      <c r="N820" t="s">
        <v>771</v>
      </c>
      <c r="O820">
        <v>2001</v>
      </c>
      <c r="S820" t="s">
        <v>778</v>
      </c>
      <c r="T820" t="s">
        <v>772</v>
      </c>
    </row>
    <row r="821" spans="1:20" x14ac:dyDescent="0.25">
      <c r="A821">
        <v>5100423066</v>
      </c>
      <c r="B821">
        <v>397315</v>
      </c>
      <c r="C821" t="s">
        <v>768</v>
      </c>
      <c r="D821" s="143">
        <v>46035</v>
      </c>
      <c r="E821" s="55">
        <v>2364.19</v>
      </c>
      <c r="F821" t="s">
        <v>769</v>
      </c>
      <c r="G821">
        <v>1500033207</v>
      </c>
      <c r="H821" t="s">
        <v>755</v>
      </c>
      <c r="I821" t="s">
        <v>770</v>
      </c>
      <c r="K821" s="143">
        <v>46098</v>
      </c>
      <c r="L821" s="143">
        <v>46035</v>
      </c>
      <c r="M821">
        <v>12025</v>
      </c>
      <c r="N821" t="s">
        <v>771</v>
      </c>
      <c r="O821">
        <v>2001</v>
      </c>
      <c r="S821" t="s">
        <v>778</v>
      </c>
      <c r="T821" t="s">
        <v>772</v>
      </c>
    </row>
    <row r="822" spans="1:20" x14ac:dyDescent="0.25">
      <c r="A822">
        <v>5100423067</v>
      </c>
      <c r="B822">
        <v>397315</v>
      </c>
      <c r="C822" t="s">
        <v>768</v>
      </c>
      <c r="D822" s="143">
        <v>46035</v>
      </c>
      <c r="E822">
        <v>611.16999999999996</v>
      </c>
      <c r="F822" t="s">
        <v>769</v>
      </c>
      <c r="G822">
        <v>1500033207</v>
      </c>
      <c r="H822" t="s">
        <v>755</v>
      </c>
      <c r="I822" t="s">
        <v>770</v>
      </c>
      <c r="K822" s="143">
        <v>46098</v>
      </c>
      <c r="L822" s="143">
        <v>46035</v>
      </c>
      <c r="M822">
        <v>22025</v>
      </c>
      <c r="N822" t="s">
        <v>771</v>
      </c>
      <c r="O822">
        <v>2001</v>
      </c>
      <c r="S822" t="s">
        <v>778</v>
      </c>
      <c r="T822" t="s">
        <v>772</v>
      </c>
    </row>
    <row r="823" spans="1:20" x14ac:dyDescent="0.25">
      <c r="A823">
        <v>5100423068</v>
      </c>
      <c r="B823">
        <v>397315</v>
      </c>
      <c r="C823" t="s">
        <v>768</v>
      </c>
      <c r="D823" s="143">
        <v>46035</v>
      </c>
      <c r="E823" s="55">
        <v>49365.4</v>
      </c>
      <c r="F823" t="s">
        <v>769</v>
      </c>
      <c r="G823">
        <v>1500033207</v>
      </c>
      <c r="H823" t="s">
        <v>755</v>
      </c>
      <c r="I823" t="s">
        <v>770</v>
      </c>
      <c r="K823" s="143">
        <v>46098</v>
      </c>
      <c r="L823" s="143">
        <v>46035</v>
      </c>
      <c r="M823">
        <v>32025</v>
      </c>
      <c r="N823" t="s">
        <v>771</v>
      </c>
      <c r="O823">
        <v>2001</v>
      </c>
      <c r="S823" t="s">
        <v>778</v>
      </c>
      <c r="T823" t="s">
        <v>772</v>
      </c>
    </row>
    <row r="824" spans="1:20" x14ac:dyDescent="0.25">
      <c r="A824">
        <v>5100423069</v>
      </c>
      <c r="B824">
        <v>397315</v>
      </c>
      <c r="C824" t="s">
        <v>768</v>
      </c>
      <c r="D824" s="143">
        <v>46035</v>
      </c>
      <c r="E824" s="55">
        <v>3042.34</v>
      </c>
      <c r="F824" t="s">
        <v>769</v>
      </c>
      <c r="G824">
        <v>1500033207</v>
      </c>
      <c r="H824" t="s">
        <v>755</v>
      </c>
      <c r="I824" t="s">
        <v>770</v>
      </c>
      <c r="K824" s="143">
        <v>46098</v>
      </c>
      <c r="L824" s="143">
        <v>46035</v>
      </c>
      <c r="M824">
        <v>32025</v>
      </c>
      <c r="N824" t="s">
        <v>771</v>
      </c>
      <c r="O824">
        <v>2001</v>
      </c>
      <c r="S824" t="s">
        <v>778</v>
      </c>
      <c r="T824" t="s">
        <v>772</v>
      </c>
    </row>
    <row r="825" spans="1:20" x14ac:dyDescent="0.25">
      <c r="A825">
        <v>5100423070</v>
      </c>
      <c r="B825">
        <v>397315</v>
      </c>
      <c r="C825" t="s">
        <v>768</v>
      </c>
      <c r="D825" s="143">
        <v>46035</v>
      </c>
      <c r="E825" s="55">
        <v>4959.03</v>
      </c>
      <c r="F825" t="s">
        <v>769</v>
      </c>
      <c r="G825">
        <v>1500033207</v>
      </c>
      <c r="H825" t="s">
        <v>755</v>
      </c>
      <c r="I825" t="s">
        <v>770</v>
      </c>
      <c r="K825" s="143">
        <v>46098</v>
      </c>
      <c r="L825" s="143">
        <v>46035</v>
      </c>
      <c r="M825">
        <v>42025</v>
      </c>
      <c r="N825" t="s">
        <v>771</v>
      </c>
      <c r="O825">
        <v>2001</v>
      </c>
      <c r="S825" t="s">
        <v>778</v>
      </c>
      <c r="T825" t="s">
        <v>772</v>
      </c>
    </row>
    <row r="826" spans="1:20" x14ac:dyDescent="0.25">
      <c r="A826">
        <v>5100423071</v>
      </c>
      <c r="B826">
        <v>397315</v>
      </c>
      <c r="C826" t="s">
        <v>768</v>
      </c>
      <c r="D826" s="143">
        <v>46035</v>
      </c>
      <c r="E826" s="55">
        <v>48269.31</v>
      </c>
      <c r="F826" t="s">
        <v>769</v>
      </c>
      <c r="G826">
        <v>1500033207</v>
      </c>
      <c r="H826" t="s">
        <v>755</v>
      </c>
      <c r="I826" t="s">
        <v>770</v>
      </c>
      <c r="K826" s="143">
        <v>46098</v>
      </c>
      <c r="L826" s="143">
        <v>46035</v>
      </c>
      <c r="M826">
        <v>52025</v>
      </c>
      <c r="N826" t="s">
        <v>771</v>
      </c>
      <c r="O826">
        <v>2001</v>
      </c>
      <c r="S826" t="s">
        <v>778</v>
      </c>
      <c r="T826" t="s">
        <v>772</v>
      </c>
    </row>
    <row r="827" spans="1:20" x14ac:dyDescent="0.25">
      <c r="A827">
        <v>5100423072</v>
      </c>
      <c r="B827">
        <v>397315</v>
      </c>
      <c r="C827" t="s">
        <v>768</v>
      </c>
      <c r="D827" s="143">
        <v>46035</v>
      </c>
      <c r="E827" s="55">
        <v>2232.8200000000002</v>
      </c>
      <c r="F827" t="s">
        <v>769</v>
      </c>
      <c r="G827">
        <v>1500033207</v>
      </c>
      <c r="H827" t="s">
        <v>755</v>
      </c>
      <c r="I827" t="s">
        <v>770</v>
      </c>
      <c r="K827" s="143">
        <v>46098</v>
      </c>
      <c r="L827" s="143">
        <v>46035</v>
      </c>
      <c r="M827">
        <v>52025</v>
      </c>
      <c r="N827" t="s">
        <v>771</v>
      </c>
      <c r="O827">
        <v>2001</v>
      </c>
      <c r="S827" t="s">
        <v>778</v>
      </c>
      <c r="T827" t="s">
        <v>772</v>
      </c>
    </row>
    <row r="828" spans="1:20" x14ac:dyDescent="0.25">
      <c r="A828">
        <v>5100423073</v>
      </c>
      <c r="B828">
        <v>397315</v>
      </c>
      <c r="C828" t="s">
        <v>768</v>
      </c>
      <c r="D828" s="143">
        <v>46035</v>
      </c>
      <c r="E828" s="55">
        <v>38715.14</v>
      </c>
      <c r="F828" t="s">
        <v>769</v>
      </c>
      <c r="G828">
        <v>1500033207</v>
      </c>
      <c r="H828" t="s">
        <v>755</v>
      </c>
      <c r="I828" t="s">
        <v>770</v>
      </c>
      <c r="K828" s="143">
        <v>46098</v>
      </c>
      <c r="L828" s="143">
        <v>46035</v>
      </c>
      <c r="M828">
        <v>62025</v>
      </c>
      <c r="N828" t="s">
        <v>771</v>
      </c>
      <c r="O828">
        <v>2001</v>
      </c>
      <c r="S828" t="s">
        <v>778</v>
      </c>
      <c r="T828" t="s">
        <v>772</v>
      </c>
    </row>
    <row r="829" spans="1:20" x14ac:dyDescent="0.25">
      <c r="A829">
        <v>5100423074</v>
      </c>
      <c r="B829">
        <v>397315</v>
      </c>
      <c r="C829" t="s">
        <v>768</v>
      </c>
      <c r="D829" s="143">
        <v>46035</v>
      </c>
      <c r="E829" s="55">
        <v>3871.15</v>
      </c>
      <c r="F829" t="s">
        <v>769</v>
      </c>
      <c r="G829">
        <v>1500033207</v>
      </c>
      <c r="H829" t="s">
        <v>755</v>
      </c>
      <c r="I829" t="s">
        <v>770</v>
      </c>
      <c r="K829" s="143">
        <v>46098</v>
      </c>
      <c r="L829" s="143">
        <v>46035</v>
      </c>
      <c r="M829">
        <v>62025</v>
      </c>
      <c r="N829" t="s">
        <v>771</v>
      </c>
      <c r="O829">
        <v>2001</v>
      </c>
      <c r="S829" t="s">
        <v>778</v>
      </c>
      <c r="T829" t="s">
        <v>772</v>
      </c>
    </row>
    <row r="830" spans="1:20" x14ac:dyDescent="0.25">
      <c r="A830">
        <v>5100423075</v>
      </c>
      <c r="B830">
        <v>397315</v>
      </c>
      <c r="C830" t="s">
        <v>768</v>
      </c>
      <c r="D830" s="143">
        <v>46035</v>
      </c>
      <c r="E830" s="55">
        <v>25325.66</v>
      </c>
      <c r="F830" t="s">
        <v>769</v>
      </c>
      <c r="G830">
        <v>1500033207</v>
      </c>
      <c r="H830" t="s">
        <v>755</v>
      </c>
      <c r="I830" t="s">
        <v>770</v>
      </c>
      <c r="K830" s="143">
        <v>46098</v>
      </c>
      <c r="L830" s="143">
        <v>46035</v>
      </c>
      <c r="M830">
        <v>72025</v>
      </c>
      <c r="N830" t="s">
        <v>771</v>
      </c>
      <c r="O830">
        <v>2001</v>
      </c>
      <c r="S830" t="s">
        <v>778</v>
      </c>
      <c r="T830" t="s">
        <v>772</v>
      </c>
    </row>
    <row r="831" spans="1:20" x14ac:dyDescent="0.25">
      <c r="A831">
        <v>5100423076</v>
      </c>
      <c r="B831">
        <v>397315</v>
      </c>
      <c r="C831" t="s">
        <v>768</v>
      </c>
      <c r="D831" s="143">
        <v>46035</v>
      </c>
      <c r="E831" s="55">
        <v>1407.5</v>
      </c>
      <c r="F831" t="s">
        <v>769</v>
      </c>
      <c r="G831">
        <v>1500033207</v>
      </c>
      <c r="H831" t="s">
        <v>755</v>
      </c>
      <c r="I831" t="s">
        <v>770</v>
      </c>
      <c r="K831" s="143">
        <v>46098</v>
      </c>
      <c r="L831" s="143">
        <v>46035</v>
      </c>
      <c r="M831">
        <v>72025</v>
      </c>
      <c r="N831" t="s">
        <v>771</v>
      </c>
      <c r="O831">
        <v>2001</v>
      </c>
      <c r="S831" t="s">
        <v>778</v>
      </c>
      <c r="T831" t="s">
        <v>772</v>
      </c>
    </row>
    <row r="832" spans="1:20" x14ac:dyDescent="0.25">
      <c r="A832">
        <v>5100423077</v>
      </c>
      <c r="B832">
        <v>397315</v>
      </c>
      <c r="C832" t="s">
        <v>768</v>
      </c>
      <c r="D832" s="143">
        <v>46035</v>
      </c>
      <c r="E832" s="55">
        <v>18117.21</v>
      </c>
      <c r="F832" t="s">
        <v>769</v>
      </c>
      <c r="G832">
        <v>1500033207</v>
      </c>
      <c r="H832" t="s">
        <v>755</v>
      </c>
      <c r="I832" t="s">
        <v>770</v>
      </c>
      <c r="K832" s="143">
        <v>46098</v>
      </c>
      <c r="L832" s="143">
        <v>46035</v>
      </c>
      <c r="M832">
        <v>82025</v>
      </c>
      <c r="N832" t="s">
        <v>771</v>
      </c>
      <c r="O832">
        <v>2001</v>
      </c>
      <c r="S832" t="s">
        <v>778</v>
      </c>
      <c r="T832" t="s">
        <v>772</v>
      </c>
    </row>
    <row r="833" spans="1:20" x14ac:dyDescent="0.25">
      <c r="A833">
        <v>5100423078</v>
      </c>
      <c r="B833">
        <v>397315</v>
      </c>
      <c r="C833" t="s">
        <v>768</v>
      </c>
      <c r="D833" s="143">
        <v>46035</v>
      </c>
      <c r="E833" s="55">
        <v>1532.76</v>
      </c>
      <c r="F833" t="s">
        <v>769</v>
      </c>
      <c r="G833">
        <v>1500033207</v>
      </c>
      <c r="H833" t="s">
        <v>755</v>
      </c>
      <c r="I833" t="s">
        <v>770</v>
      </c>
      <c r="K833" s="143">
        <v>46098</v>
      </c>
      <c r="L833" s="143">
        <v>46035</v>
      </c>
      <c r="M833">
        <v>82025</v>
      </c>
      <c r="N833" t="s">
        <v>771</v>
      </c>
      <c r="O833">
        <v>2001</v>
      </c>
      <c r="S833" t="s">
        <v>778</v>
      </c>
      <c r="T833" t="s">
        <v>772</v>
      </c>
    </row>
    <row r="834" spans="1:20" x14ac:dyDescent="0.25">
      <c r="A834">
        <v>5100423079</v>
      </c>
      <c r="B834">
        <v>397315</v>
      </c>
      <c r="C834" t="s">
        <v>768</v>
      </c>
      <c r="D834" s="143">
        <v>46035</v>
      </c>
      <c r="E834" s="55">
        <v>3747.91</v>
      </c>
      <c r="F834" t="s">
        <v>769</v>
      </c>
      <c r="G834">
        <v>1500033207</v>
      </c>
      <c r="H834" t="s">
        <v>755</v>
      </c>
      <c r="I834" t="s">
        <v>770</v>
      </c>
      <c r="K834" s="143">
        <v>46098</v>
      </c>
      <c r="L834" s="143">
        <v>46035</v>
      </c>
      <c r="M834">
        <v>92025</v>
      </c>
      <c r="N834" t="s">
        <v>771</v>
      </c>
      <c r="O834">
        <v>2001</v>
      </c>
      <c r="S834" t="s">
        <v>778</v>
      </c>
      <c r="T834" t="s">
        <v>772</v>
      </c>
    </row>
    <row r="835" spans="1:20" x14ac:dyDescent="0.25">
      <c r="A835">
        <v>5100423080</v>
      </c>
      <c r="B835">
        <v>397315</v>
      </c>
      <c r="C835" t="s">
        <v>768</v>
      </c>
      <c r="D835" s="143">
        <v>46035</v>
      </c>
      <c r="E835">
        <v>54.31</v>
      </c>
      <c r="F835" t="s">
        <v>769</v>
      </c>
      <c r="G835">
        <v>1500033207</v>
      </c>
      <c r="H835" t="s">
        <v>755</v>
      </c>
      <c r="I835" t="s">
        <v>770</v>
      </c>
      <c r="K835" s="143">
        <v>46098</v>
      </c>
      <c r="L835" s="143">
        <v>46035</v>
      </c>
      <c r="M835">
        <v>92025</v>
      </c>
      <c r="N835" t="s">
        <v>771</v>
      </c>
      <c r="O835">
        <v>2001</v>
      </c>
      <c r="S835" t="s">
        <v>778</v>
      </c>
      <c r="T835" t="s">
        <v>772</v>
      </c>
    </row>
    <row r="836" spans="1:20" x14ac:dyDescent="0.25">
      <c r="A836">
        <v>5100423105</v>
      </c>
      <c r="B836">
        <v>398289</v>
      </c>
      <c r="C836" t="s">
        <v>768</v>
      </c>
      <c r="D836" s="143">
        <v>46035</v>
      </c>
      <c r="E836" s="55">
        <v>100302.8</v>
      </c>
      <c r="F836" t="s">
        <v>769</v>
      </c>
      <c r="G836">
        <v>1500013009</v>
      </c>
      <c r="H836" t="s">
        <v>755</v>
      </c>
      <c r="I836" t="s">
        <v>770</v>
      </c>
      <c r="K836" s="143">
        <v>46083</v>
      </c>
      <c r="L836" s="143">
        <v>46035</v>
      </c>
      <c r="M836">
        <v>12025</v>
      </c>
      <c r="N836" t="s">
        <v>771</v>
      </c>
      <c r="O836">
        <v>2001</v>
      </c>
      <c r="S836">
        <v>514913</v>
      </c>
      <c r="T836" t="s">
        <v>772</v>
      </c>
    </row>
    <row r="837" spans="1:20" x14ac:dyDescent="0.25">
      <c r="A837">
        <v>5100423106</v>
      </c>
      <c r="B837">
        <v>398289</v>
      </c>
      <c r="C837" t="s">
        <v>768</v>
      </c>
      <c r="D837" s="143">
        <v>46035</v>
      </c>
      <c r="E837" s="55">
        <v>94663.51</v>
      </c>
      <c r="F837" t="s">
        <v>769</v>
      </c>
      <c r="G837">
        <v>1500013009</v>
      </c>
      <c r="H837" t="s">
        <v>755</v>
      </c>
      <c r="I837" t="s">
        <v>770</v>
      </c>
      <c r="K837" s="143">
        <v>46083</v>
      </c>
      <c r="L837" s="143">
        <v>46035</v>
      </c>
      <c r="M837">
        <v>22025</v>
      </c>
      <c r="N837" t="s">
        <v>771</v>
      </c>
      <c r="O837">
        <v>2001</v>
      </c>
      <c r="S837">
        <v>514913</v>
      </c>
      <c r="T837" t="s">
        <v>772</v>
      </c>
    </row>
    <row r="838" spans="1:20" x14ac:dyDescent="0.25">
      <c r="A838">
        <v>5100423107</v>
      </c>
      <c r="B838">
        <v>398289</v>
      </c>
      <c r="C838" t="s">
        <v>768</v>
      </c>
      <c r="D838" s="143">
        <v>46035</v>
      </c>
      <c r="E838" s="55">
        <v>9448.7999999999993</v>
      </c>
      <c r="F838" t="s">
        <v>769</v>
      </c>
      <c r="G838">
        <v>1500013009</v>
      </c>
      <c r="H838" t="s">
        <v>755</v>
      </c>
      <c r="I838" t="s">
        <v>770</v>
      </c>
      <c r="K838" s="143">
        <v>46083</v>
      </c>
      <c r="L838" s="143">
        <v>46035</v>
      </c>
      <c r="M838">
        <v>32025</v>
      </c>
      <c r="N838" t="s">
        <v>771</v>
      </c>
      <c r="O838">
        <v>2001</v>
      </c>
      <c r="S838">
        <v>514913</v>
      </c>
      <c r="T838" t="s">
        <v>772</v>
      </c>
    </row>
    <row r="839" spans="1:20" x14ac:dyDescent="0.25">
      <c r="A839">
        <v>5100423108</v>
      </c>
      <c r="B839">
        <v>398289</v>
      </c>
      <c r="C839" t="s">
        <v>768</v>
      </c>
      <c r="D839" s="143">
        <v>46035</v>
      </c>
      <c r="E839" s="55">
        <v>29887.34</v>
      </c>
      <c r="F839" t="s">
        <v>769</v>
      </c>
      <c r="G839">
        <v>1500013009</v>
      </c>
      <c r="H839" t="s">
        <v>755</v>
      </c>
      <c r="I839" t="s">
        <v>770</v>
      </c>
      <c r="K839" s="143">
        <v>46083</v>
      </c>
      <c r="L839" s="143">
        <v>46035</v>
      </c>
      <c r="M839">
        <v>62025</v>
      </c>
      <c r="N839" t="s">
        <v>771</v>
      </c>
      <c r="O839">
        <v>2001</v>
      </c>
      <c r="S839">
        <v>514913</v>
      </c>
      <c r="T839" t="s">
        <v>772</v>
      </c>
    </row>
    <row r="840" spans="1:20" x14ac:dyDescent="0.25">
      <c r="A840">
        <v>5100423109</v>
      </c>
      <c r="B840">
        <v>398289</v>
      </c>
      <c r="C840" t="s">
        <v>768</v>
      </c>
      <c r="D840" s="143">
        <v>46035</v>
      </c>
      <c r="E840" s="55">
        <v>3597.26</v>
      </c>
      <c r="F840" t="s">
        <v>769</v>
      </c>
      <c r="G840">
        <v>1500013009</v>
      </c>
      <c r="H840" t="s">
        <v>755</v>
      </c>
      <c r="I840" t="s">
        <v>770</v>
      </c>
      <c r="K840" s="143">
        <v>46083</v>
      </c>
      <c r="L840" s="143">
        <v>46035</v>
      </c>
      <c r="M840">
        <v>72025</v>
      </c>
      <c r="N840" t="s">
        <v>771</v>
      </c>
      <c r="O840">
        <v>2001</v>
      </c>
      <c r="S840">
        <v>514913</v>
      </c>
      <c r="T840" t="s">
        <v>772</v>
      </c>
    </row>
    <row r="841" spans="1:20" x14ac:dyDescent="0.25">
      <c r="A841">
        <v>5100423110</v>
      </c>
      <c r="B841">
        <v>398289</v>
      </c>
      <c r="C841" t="s">
        <v>768</v>
      </c>
      <c r="D841" s="143">
        <v>46035</v>
      </c>
      <c r="E841" s="55">
        <v>4927.4399999999996</v>
      </c>
      <c r="F841" t="s">
        <v>769</v>
      </c>
      <c r="G841">
        <v>1500013009</v>
      </c>
      <c r="H841" t="s">
        <v>755</v>
      </c>
      <c r="I841" t="s">
        <v>770</v>
      </c>
      <c r="K841" s="143">
        <v>46083</v>
      </c>
      <c r="L841" s="143">
        <v>46035</v>
      </c>
      <c r="M841">
        <v>82025</v>
      </c>
      <c r="N841" t="s">
        <v>771</v>
      </c>
      <c r="O841">
        <v>2001</v>
      </c>
      <c r="S841">
        <v>514913</v>
      </c>
      <c r="T841" t="s">
        <v>772</v>
      </c>
    </row>
    <row r="842" spans="1:20" x14ac:dyDescent="0.25">
      <c r="A842">
        <v>5100424429</v>
      </c>
      <c r="B842">
        <v>885</v>
      </c>
      <c r="C842" t="s">
        <v>768</v>
      </c>
      <c r="D842" s="143">
        <v>46072</v>
      </c>
      <c r="E842" s="55">
        <v>3977.29</v>
      </c>
      <c r="F842" t="s">
        <v>769</v>
      </c>
      <c r="G842">
        <v>1500091600</v>
      </c>
      <c r="H842" t="s">
        <v>755</v>
      </c>
      <c r="I842" t="s">
        <v>791</v>
      </c>
      <c r="K842" s="143">
        <v>46076</v>
      </c>
      <c r="L842" s="143">
        <v>46072</v>
      </c>
      <c r="M842">
        <v>22026</v>
      </c>
      <c r="N842" t="s">
        <v>771</v>
      </c>
      <c r="O842">
        <v>2001</v>
      </c>
      <c r="S842" t="s">
        <v>773</v>
      </c>
      <c r="T842">
        <v>1500059778</v>
      </c>
    </row>
    <row r="843" spans="1:20" x14ac:dyDescent="0.25">
      <c r="A843">
        <v>5100132285</v>
      </c>
      <c r="B843">
        <v>885</v>
      </c>
      <c r="C843" t="s">
        <v>768</v>
      </c>
      <c r="D843" s="143">
        <v>46079</v>
      </c>
      <c r="E843" s="55">
        <v>184678.16</v>
      </c>
      <c r="F843" t="s">
        <v>769</v>
      </c>
      <c r="G843">
        <v>1500099200</v>
      </c>
      <c r="H843" t="s">
        <v>755</v>
      </c>
      <c r="I843" t="s">
        <v>785</v>
      </c>
      <c r="K843" s="143">
        <v>46083</v>
      </c>
      <c r="L843" s="143">
        <v>46079</v>
      </c>
      <c r="M843">
        <v>22026</v>
      </c>
      <c r="N843" t="s">
        <v>771</v>
      </c>
      <c r="O843">
        <v>2001</v>
      </c>
      <c r="S843" t="s">
        <v>783</v>
      </c>
      <c r="T843">
        <v>1500059778</v>
      </c>
    </row>
    <row r="844" spans="1:20" x14ac:dyDescent="0.25">
      <c r="A844">
        <v>5100132277</v>
      </c>
      <c r="B844">
        <v>3806</v>
      </c>
      <c r="C844" t="s">
        <v>768</v>
      </c>
      <c r="D844" s="143">
        <v>46079</v>
      </c>
      <c r="E844" s="55">
        <v>7737.8</v>
      </c>
      <c r="F844" t="s">
        <v>769</v>
      </c>
      <c r="G844">
        <v>1500061395</v>
      </c>
      <c r="H844" t="s">
        <v>755</v>
      </c>
      <c r="I844" t="s">
        <v>785</v>
      </c>
      <c r="K844" s="143">
        <v>46083</v>
      </c>
      <c r="L844" s="143">
        <v>46079</v>
      </c>
      <c r="M844">
        <v>22026</v>
      </c>
      <c r="N844" t="s">
        <v>771</v>
      </c>
      <c r="O844">
        <v>2001</v>
      </c>
      <c r="S844" t="s">
        <v>783</v>
      </c>
      <c r="T844">
        <v>1500059778</v>
      </c>
    </row>
    <row r="845" spans="1:20" x14ac:dyDescent="0.25">
      <c r="A845">
        <v>5101902217</v>
      </c>
      <c r="B845">
        <v>8599</v>
      </c>
      <c r="C845" t="s">
        <v>768</v>
      </c>
      <c r="D845" s="143">
        <v>46100</v>
      </c>
      <c r="E845" s="55">
        <v>128549.15</v>
      </c>
      <c r="F845" t="s">
        <v>769</v>
      </c>
      <c r="G845">
        <v>1500122064</v>
      </c>
      <c r="H845" t="s">
        <v>755</v>
      </c>
      <c r="I845" t="s">
        <v>786</v>
      </c>
      <c r="K845" s="143">
        <v>46104</v>
      </c>
      <c r="L845" s="143">
        <v>46100</v>
      </c>
      <c r="M845">
        <v>32026</v>
      </c>
      <c r="N845" t="s">
        <v>771</v>
      </c>
      <c r="O845">
        <v>2001</v>
      </c>
      <c r="S845" t="s">
        <v>776</v>
      </c>
      <c r="T845">
        <v>1500059778</v>
      </c>
    </row>
    <row r="846" spans="1:20" x14ac:dyDescent="0.25">
      <c r="A846">
        <v>5100601844</v>
      </c>
      <c r="B846">
        <v>8613</v>
      </c>
      <c r="C846" t="s">
        <v>768</v>
      </c>
      <c r="D846" s="143">
        <v>46086</v>
      </c>
      <c r="E846" s="55">
        <v>211173.92</v>
      </c>
      <c r="F846" t="s">
        <v>769</v>
      </c>
      <c r="G846">
        <v>1500015322</v>
      </c>
      <c r="H846" t="s">
        <v>755</v>
      </c>
      <c r="I846" t="s">
        <v>784</v>
      </c>
      <c r="K846" s="143">
        <v>46090</v>
      </c>
      <c r="L846" s="143">
        <v>46086</v>
      </c>
      <c r="M846">
        <v>32026</v>
      </c>
      <c r="N846" t="s">
        <v>771</v>
      </c>
      <c r="O846">
        <v>2001</v>
      </c>
      <c r="T846">
        <v>1500059778</v>
      </c>
    </row>
    <row r="847" spans="1:20" x14ac:dyDescent="0.25">
      <c r="A847">
        <v>5100453810</v>
      </c>
      <c r="B847">
        <v>8684</v>
      </c>
      <c r="C847" t="s">
        <v>768</v>
      </c>
      <c r="D847" s="143">
        <v>46072</v>
      </c>
      <c r="E847" s="55">
        <v>125577.16</v>
      </c>
      <c r="F847" t="s">
        <v>769</v>
      </c>
      <c r="G847">
        <v>100625455</v>
      </c>
      <c r="H847" t="s">
        <v>755</v>
      </c>
      <c r="I847" t="s">
        <v>791</v>
      </c>
      <c r="J847">
        <v>0</v>
      </c>
      <c r="K847" s="143">
        <v>46174</v>
      </c>
      <c r="L847" s="143">
        <v>46072</v>
      </c>
      <c r="M847">
        <v>22026</v>
      </c>
      <c r="N847" t="s">
        <v>771</v>
      </c>
      <c r="O847">
        <v>2001</v>
      </c>
      <c r="S847">
        <v>2.0015900022504198E+17</v>
      </c>
      <c r="T847">
        <v>1500059778</v>
      </c>
    </row>
    <row r="848" spans="1:20" x14ac:dyDescent="0.25">
      <c r="A848">
        <v>5100132283</v>
      </c>
      <c r="B848">
        <v>8684</v>
      </c>
      <c r="C848" t="s">
        <v>768</v>
      </c>
      <c r="D848" s="143">
        <v>46079</v>
      </c>
      <c r="E848" s="55">
        <v>96157.9</v>
      </c>
      <c r="F848" t="s">
        <v>769</v>
      </c>
      <c r="G848">
        <v>1500099201</v>
      </c>
      <c r="H848" t="s">
        <v>755</v>
      </c>
      <c r="I848" t="s">
        <v>785</v>
      </c>
      <c r="K848" s="143">
        <v>46083</v>
      </c>
      <c r="L848" s="143">
        <v>46079</v>
      </c>
      <c r="M848">
        <v>22026</v>
      </c>
      <c r="N848" t="s">
        <v>771</v>
      </c>
      <c r="O848">
        <v>2001</v>
      </c>
      <c r="S848" t="s">
        <v>783</v>
      </c>
      <c r="T848">
        <v>1500059778</v>
      </c>
    </row>
    <row r="849" spans="1:20" x14ac:dyDescent="0.25">
      <c r="A849">
        <v>5100252628</v>
      </c>
      <c r="B849">
        <v>8859</v>
      </c>
      <c r="C849" t="s">
        <v>768</v>
      </c>
      <c r="D849" s="143">
        <v>46066</v>
      </c>
      <c r="E849" s="55">
        <v>69263.759999999995</v>
      </c>
      <c r="F849" t="s">
        <v>769</v>
      </c>
      <c r="G849">
        <v>1500060318</v>
      </c>
      <c r="H849" t="s">
        <v>755</v>
      </c>
      <c r="I849" t="s">
        <v>789</v>
      </c>
      <c r="K849" s="143">
        <v>46069</v>
      </c>
      <c r="L849" s="143">
        <v>46066</v>
      </c>
      <c r="M849">
        <v>22026</v>
      </c>
      <c r="N849" t="s">
        <v>771</v>
      </c>
      <c r="O849">
        <v>2001</v>
      </c>
      <c r="S849" t="s">
        <v>783</v>
      </c>
      <c r="T849">
        <v>1500059778</v>
      </c>
    </row>
    <row r="850" spans="1:20" x14ac:dyDescent="0.25">
      <c r="A850">
        <v>5100132289</v>
      </c>
      <c r="B850">
        <v>8859</v>
      </c>
      <c r="C850" t="s">
        <v>768</v>
      </c>
      <c r="D850" s="143">
        <v>46079</v>
      </c>
      <c r="E850" s="55">
        <v>9894.89</v>
      </c>
      <c r="F850" t="s">
        <v>769</v>
      </c>
      <c r="G850">
        <v>1500061396</v>
      </c>
      <c r="H850" t="s">
        <v>755</v>
      </c>
      <c r="I850" t="s">
        <v>785</v>
      </c>
      <c r="K850" s="143">
        <v>46083</v>
      </c>
      <c r="L850" s="143">
        <v>46079</v>
      </c>
      <c r="M850">
        <v>22026</v>
      </c>
      <c r="N850" t="s">
        <v>771</v>
      </c>
      <c r="O850">
        <v>2001</v>
      </c>
      <c r="S850" t="s">
        <v>783</v>
      </c>
      <c r="T850">
        <v>1500059778</v>
      </c>
    </row>
    <row r="851" spans="1:20" x14ac:dyDescent="0.25">
      <c r="A851">
        <v>5101902224</v>
      </c>
      <c r="B851">
        <v>8859</v>
      </c>
      <c r="C851" t="s">
        <v>768</v>
      </c>
      <c r="D851" s="143">
        <v>46100</v>
      </c>
      <c r="E851" s="55">
        <v>70301.649999999994</v>
      </c>
      <c r="F851" t="s">
        <v>769</v>
      </c>
      <c r="G851">
        <v>1500122065</v>
      </c>
      <c r="H851" t="s">
        <v>755</v>
      </c>
      <c r="I851" t="s">
        <v>786</v>
      </c>
      <c r="K851" s="143">
        <v>46104</v>
      </c>
      <c r="L851" s="143">
        <v>46100</v>
      </c>
      <c r="M851">
        <v>32026</v>
      </c>
      <c r="N851" t="s">
        <v>771</v>
      </c>
      <c r="O851">
        <v>2001</v>
      </c>
      <c r="S851" t="s">
        <v>776</v>
      </c>
      <c r="T851">
        <v>1500059778</v>
      </c>
    </row>
    <row r="852" spans="1:20" x14ac:dyDescent="0.25">
      <c r="A852">
        <v>5100132287</v>
      </c>
      <c r="B852">
        <v>8939</v>
      </c>
      <c r="C852" t="s">
        <v>768</v>
      </c>
      <c r="D852" s="143">
        <v>46079</v>
      </c>
      <c r="E852" s="55">
        <v>130896.48</v>
      </c>
      <c r="F852" t="s">
        <v>769</v>
      </c>
      <c r="G852">
        <v>101708069</v>
      </c>
      <c r="H852" t="s">
        <v>755</v>
      </c>
      <c r="I852" t="s">
        <v>785</v>
      </c>
      <c r="J852">
        <v>0</v>
      </c>
      <c r="K852" s="143">
        <v>46118</v>
      </c>
      <c r="L852" s="143">
        <v>46079</v>
      </c>
      <c r="M852">
        <v>22026</v>
      </c>
      <c r="N852" t="s">
        <v>771</v>
      </c>
      <c r="O852">
        <v>2001</v>
      </c>
      <c r="S852">
        <v>2.0015900000710202E+17</v>
      </c>
      <c r="T852">
        <v>1500059778</v>
      </c>
    </row>
    <row r="853" spans="1:20" x14ac:dyDescent="0.25">
      <c r="A853">
        <v>5100453812</v>
      </c>
      <c r="B853">
        <v>9263</v>
      </c>
      <c r="C853" t="s">
        <v>768</v>
      </c>
      <c r="D853" s="143">
        <v>46072</v>
      </c>
      <c r="E853" s="55">
        <v>91231.12</v>
      </c>
      <c r="F853" t="s">
        <v>769</v>
      </c>
      <c r="G853">
        <v>1500091601</v>
      </c>
      <c r="H853" t="s">
        <v>755</v>
      </c>
      <c r="I853" t="s">
        <v>791</v>
      </c>
      <c r="K853" s="143">
        <v>46076</v>
      </c>
      <c r="L853" s="143">
        <v>46072</v>
      </c>
      <c r="M853">
        <v>22026</v>
      </c>
      <c r="N853" t="s">
        <v>771</v>
      </c>
      <c r="O853">
        <v>2001</v>
      </c>
      <c r="S853" t="s">
        <v>773</v>
      </c>
      <c r="T853">
        <v>1500059778</v>
      </c>
    </row>
    <row r="854" spans="1:20" x14ac:dyDescent="0.25">
      <c r="A854">
        <v>5100132284</v>
      </c>
      <c r="B854">
        <v>9263</v>
      </c>
      <c r="C854" t="s">
        <v>768</v>
      </c>
      <c r="D854" s="143">
        <v>46079</v>
      </c>
      <c r="E854" s="55">
        <v>103690.85</v>
      </c>
      <c r="F854" t="s">
        <v>769</v>
      </c>
      <c r="G854">
        <v>1500099202</v>
      </c>
      <c r="H854" t="s">
        <v>755</v>
      </c>
      <c r="I854" t="s">
        <v>785</v>
      </c>
      <c r="K854" s="143">
        <v>46083</v>
      </c>
      <c r="L854" s="143">
        <v>46079</v>
      </c>
      <c r="M854">
        <v>22026</v>
      </c>
      <c r="N854" t="s">
        <v>771</v>
      </c>
      <c r="O854">
        <v>2001</v>
      </c>
      <c r="S854" t="s">
        <v>783</v>
      </c>
      <c r="T854">
        <v>1500059778</v>
      </c>
    </row>
    <row r="855" spans="1:20" x14ac:dyDescent="0.25">
      <c r="A855">
        <v>5100236724</v>
      </c>
      <c r="B855">
        <v>13773</v>
      </c>
      <c r="C855" t="s">
        <v>768</v>
      </c>
      <c r="D855" s="143">
        <v>46072</v>
      </c>
      <c r="E855" s="55">
        <v>10684.99</v>
      </c>
      <c r="F855" t="s">
        <v>769</v>
      </c>
      <c r="H855" t="s">
        <v>787</v>
      </c>
      <c r="I855" t="s">
        <v>791</v>
      </c>
      <c r="L855" s="143">
        <v>46072</v>
      </c>
      <c r="M855">
        <v>22026</v>
      </c>
      <c r="N855" t="s">
        <v>771</v>
      </c>
      <c r="O855">
        <v>2001</v>
      </c>
      <c r="S855" t="s">
        <v>773</v>
      </c>
      <c r="T855">
        <v>1500059778</v>
      </c>
    </row>
    <row r="856" spans="1:20" x14ac:dyDescent="0.25">
      <c r="A856">
        <v>5100252627</v>
      </c>
      <c r="B856">
        <v>16433</v>
      </c>
      <c r="C856" t="s">
        <v>768</v>
      </c>
      <c r="D856" s="143">
        <v>46066</v>
      </c>
      <c r="E856" s="55">
        <v>142747.51999999999</v>
      </c>
      <c r="F856" t="s">
        <v>769</v>
      </c>
      <c r="G856">
        <v>101389112</v>
      </c>
      <c r="H856" t="s">
        <v>755</v>
      </c>
      <c r="I856" t="s">
        <v>789</v>
      </c>
      <c r="J856">
        <v>0</v>
      </c>
      <c r="K856" s="143">
        <v>46160</v>
      </c>
      <c r="L856" s="143">
        <v>46066</v>
      </c>
      <c r="M856">
        <v>22026</v>
      </c>
      <c r="N856" t="s">
        <v>771</v>
      </c>
      <c r="O856">
        <v>2001</v>
      </c>
      <c r="S856">
        <v>2.00159000234012E+17</v>
      </c>
      <c r="T856">
        <v>1500059778</v>
      </c>
    </row>
    <row r="857" spans="1:20" x14ac:dyDescent="0.25">
      <c r="A857">
        <v>5100226334</v>
      </c>
      <c r="B857">
        <v>16433</v>
      </c>
      <c r="C857" t="s">
        <v>768</v>
      </c>
      <c r="D857" s="143">
        <v>46077</v>
      </c>
      <c r="E857" s="55">
        <v>16687</v>
      </c>
      <c r="F857" t="s">
        <v>769</v>
      </c>
      <c r="G857">
        <v>1500049622</v>
      </c>
      <c r="H857" t="s">
        <v>755</v>
      </c>
      <c r="I857" t="s">
        <v>796</v>
      </c>
      <c r="K857" s="143">
        <v>46078</v>
      </c>
      <c r="L857" s="143">
        <v>46077</v>
      </c>
      <c r="M857">
        <v>22026</v>
      </c>
      <c r="N857" t="s">
        <v>771</v>
      </c>
      <c r="O857">
        <v>2001</v>
      </c>
      <c r="S857" t="s">
        <v>783</v>
      </c>
      <c r="T857">
        <v>693262785</v>
      </c>
    </row>
    <row r="858" spans="1:20" x14ac:dyDescent="0.25">
      <c r="A858">
        <v>5100419113</v>
      </c>
      <c r="B858">
        <v>16636</v>
      </c>
      <c r="C858" t="s">
        <v>768</v>
      </c>
      <c r="D858" s="143">
        <v>46072</v>
      </c>
      <c r="E858" s="55">
        <v>39094.71</v>
      </c>
      <c r="F858" t="s">
        <v>769</v>
      </c>
      <c r="G858">
        <v>101419207</v>
      </c>
      <c r="H858" t="s">
        <v>755</v>
      </c>
      <c r="I858" t="s">
        <v>791</v>
      </c>
      <c r="J858">
        <v>0</v>
      </c>
      <c r="K858" s="143">
        <v>46167</v>
      </c>
      <c r="L858" s="143">
        <v>46072</v>
      </c>
      <c r="M858">
        <v>22026</v>
      </c>
      <c r="N858" t="s">
        <v>771</v>
      </c>
      <c r="O858">
        <v>2001</v>
      </c>
      <c r="S858">
        <v>2.00159000225052E+17</v>
      </c>
      <c r="T858">
        <v>1500059778</v>
      </c>
    </row>
    <row r="859" spans="1:20" x14ac:dyDescent="0.25">
      <c r="A859">
        <v>5100745445</v>
      </c>
      <c r="B859">
        <v>16636</v>
      </c>
      <c r="C859" t="s">
        <v>768</v>
      </c>
      <c r="D859" s="143">
        <v>46093</v>
      </c>
      <c r="E859" s="55">
        <v>33476.92</v>
      </c>
      <c r="F859" t="s">
        <v>769</v>
      </c>
      <c r="G859">
        <v>1500067158</v>
      </c>
      <c r="H859" t="s">
        <v>755</v>
      </c>
      <c r="I859" t="s">
        <v>788</v>
      </c>
      <c r="K859" s="143">
        <v>46098</v>
      </c>
      <c r="L859" s="143">
        <v>46093</v>
      </c>
      <c r="M859">
        <v>32026</v>
      </c>
      <c r="N859" t="s">
        <v>771</v>
      </c>
      <c r="O859">
        <v>2001</v>
      </c>
      <c r="S859" t="s">
        <v>778</v>
      </c>
      <c r="T859">
        <v>1500059778</v>
      </c>
    </row>
    <row r="860" spans="1:20" x14ac:dyDescent="0.25">
      <c r="A860">
        <v>1900128126</v>
      </c>
      <c r="B860">
        <v>21356</v>
      </c>
      <c r="C860" t="s">
        <v>792</v>
      </c>
      <c r="D860" s="143">
        <v>46066</v>
      </c>
      <c r="E860" s="55">
        <v>-114633.61</v>
      </c>
      <c r="F860" t="s">
        <v>769</v>
      </c>
      <c r="G860">
        <v>100422916</v>
      </c>
      <c r="H860" t="s">
        <v>755</v>
      </c>
      <c r="I860" t="s">
        <v>789</v>
      </c>
      <c r="K860" s="143">
        <v>46084</v>
      </c>
      <c r="L860" s="143">
        <v>46066</v>
      </c>
      <c r="M860">
        <v>22026</v>
      </c>
      <c r="N860" t="s">
        <v>771</v>
      </c>
      <c r="O860">
        <v>2001</v>
      </c>
      <c r="Q860" t="s">
        <v>793</v>
      </c>
      <c r="S860" t="s">
        <v>795</v>
      </c>
      <c r="T860">
        <v>1500059778</v>
      </c>
    </row>
    <row r="861" spans="1:20" x14ac:dyDescent="0.25">
      <c r="A861">
        <v>1900140217</v>
      </c>
      <c r="B861">
        <v>21356</v>
      </c>
      <c r="C861" t="s">
        <v>792</v>
      </c>
      <c r="D861" s="143">
        <v>46077</v>
      </c>
      <c r="E861" s="55">
        <v>-26852</v>
      </c>
      <c r="F861" t="s">
        <v>769</v>
      </c>
      <c r="G861">
        <v>100422916</v>
      </c>
      <c r="H861" t="s">
        <v>755</v>
      </c>
      <c r="I861" t="s">
        <v>796</v>
      </c>
      <c r="K861" s="143">
        <v>46084</v>
      </c>
      <c r="L861" s="143">
        <v>46077</v>
      </c>
      <c r="M861">
        <v>22026</v>
      </c>
      <c r="N861" t="s">
        <v>771</v>
      </c>
      <c r="O861">
        <v>2001</v>
      </c>
      <c r="Q861" t="s">
        <v>800</v>
      </c>
      <c r="S861" t="s">
        <v>795</v>
      </c>
      <c r="T861">
        <v>693262785</v>
      </c>
    </row>
    <row r="862" spans="1:20" x14ac:dyDescent="0.25">
      <c r="A862">
        <v>5100226336</v>
      </c>
      <c r="B862">
        <v>21356</v>
      </c>
      <c r="C862" t="s">
        <v>768</v>
      </c>
      <c r="D862" s="143">
        <v>46077</v>
      </c>
      <c r="E862" s="55">
        <v>26852</v>
      </c>
      <c r="F862" t="s">
        <v>769</v>
      </c>
      <c r="G862">
        <v>100422916</v>
      </c>
      <c r="H862" t="s">
        <v>755</v>
      </c>
      <c r="I862" t="s">
        <v>796</v>
      </c>
      <c r="K862" s="143">
        <v>46084</v>
      </c>
      <c r="L862" s="143">
        <v>46077</v>
      </c>
      <c r="M862">
        <v>22026</v>
      </c>
      <c r="N862" t="s">
        <v>771</v>
      </c>
      <c r="O862">
        <v>2001</v>
      </c>
      <c r="S862" t="s">
        <v>795</v>
      </c>
      <c r="T862">
        <v>693262785</v>
      </c>
    </row>
    <row r="863" spans="1:20" x14ac:dyDescent="0.25">
      <c r="A863">
        <v>5100252629</v>
      </c>
      <c r="B863">
        <v>21356</v>
      </c>
      <c r="C863" t="s">
        <v>768</v>
      </c>
      <c r="D863" s="143">
        <v>46066</v>
      </c>
      <c r="E863" s="55">
        <v>114633.61</v>
      </c>
      <c r="F863" t="s">
        <v>769</v>
      </c>
      <c r="G863">
        <v>100422916</v>
      </c>
      <c r="H863" t="s">
        <v>755</v>
      </c>
      <c r="I863" t="s">
        <v>789</v>
      </c>
      <c r="K863" s="143">
        <v>46084</v>
      </c>
      <c r="L863" s="143">
        <v>46066</v>
      </c>
      <c r="M863">
        <v>22026</v>
      </c>
      <c r="N863" t="s">
        <v>771</v>
      </c>
      <c r="O863">
        <v>2001</v>
      </c>
      <c r="S863" t="s">
        <v>795</v>
      </c>
      <c r="T863">
        <v>1500059778</v>
      </c>
    </row>
    <row r="864" spans="1:20" x14ac:dyDescent="0.25">
      <c r="A864">
        <v>5101902223</v>
      </c>
      <c r="B864">
        <v>21844</v>
      </c>
      <c r="C864" t="s">
        <v>768</v>
      </c>
      <c r="D864" s="143">
        <v>46100</v>
      </c>
      <c r="E864" s="55">
        <v>167597.45000000001</v>
      </c>
      <c r="F864" t="s">
        <v>769</v>
      </c>
      <c r="G864">
        <v>1500070201</v>
      </c>
      <c r="H864" t="s">
        <v>755</v>
      </c>
      <c r="I864" t="s">
        <v>786</v>
      </c>
      <c r="K864" s="143">
        <v>46104</v>
      </c>
      <c r="L864" s="143">
        <v>46100</v>
      </c>
      <c r="M864">
        <v>32026</v>
      </c>
      <c r="N864" t="s">
        <v>771</v>
      </c>
      <c r="O864">
        <v>2001</v>
      </c>
      <c r="S864" t="s">
        <v>776</v>
      </c>
      <c r="T864">
        <v>1500059778</v>
      </c>
    </row>
    <row r="865" spans="1:20" x14ac:dyDescent="0.25">
      <c r="A865">
        <v>5100424430</v>
      </c>
      <c r="B865">
        <v>21844</v>
      </c>
      <c r="C865" t="s">
        <v>768</v>
      </c>
      <c r="D865" s="143">
        <v>46072</v>
      </c>
      <c r="E865" s="55">
        <v>12497.69</v>
      </c>
      <c r="F865" t="s">
        <v>769</v>
      </c>
      <c r="G865">
        <v>1500091610</v>
      </c>
      <c r="H865" t="s">
        <v>755</v>
      </c>
      <c r="I865" t="s">
        <v>791</v>
      </c>
      <c r="K865" s="143">
        <v>46076</v>
      </c>
      <c r="L865" s="143">
        <v>46072</v>
      </c>
      <c r="M865">
        <v>22026</v>
      </c>
      <c r="N865" t="s">
        <v>771</v>
      </c>
      <c r="O865">
        <v>2001</v>
      </c>
      <c r="S865" t="s">
        <v>773</v>
      </c>
      <c r="T865">
        <v>1500059778</v>
      </c>
    </row>
    <row r="866" spans="1:20" x14ac:dyDescent="0.25">
      <c r="A866">
        <v>5101902221</v>
      </c>
      <c r="B866">
        <v>22666</v>
      </c>
      <c r="C866" t="s">
        <v>768</v>
      </c>
      <c r="D866" s="143">
        <v>46100</v>
      </c>
      <c r="E866" s="55">
        <v>77663.649999999994</v>
      </c>
      <c r="F866" t="s">
        <v>769</v>
      </c>
      <c r="H866" t="s">
        <v>787</v>
      </c>
      <c r="I866" t="s">
        <v>786</v>
      </c>
      <c r="J866">
        <v>0</v>
      </c>
      <c r="L866" s="143">
        <v>46100</v>
      </c>
      <c r="M866">
        <v>32026</v>
      </c>
      <c r="N866" t="s">
        <v>771</v>
      </c>
      <c r="O866">
        <v>2001</v>
      </c>
      <c r="T866">
        <v>1500059778</v>
      </c>
    </row>
    <row r="867" spans="1:20" x14ac:dyDescent="0.25">
      <c r="A867">
        <v>5100601845</v>
      </c>
      <c r="B867">
        <v>22666</v>
      </c>
      <c r="C867" t="s">
        <v>768</v>
      </c>
      <c r="D867" s="143">
        <v>46086</v>
      </c>
      <c r="E867" s="55">
        <v>157054</v>
      </c>
      <c r="F867" t="s">
        <v>769</v>
      </c>
      <c r="H867" t="s">
        <v>787</v>
      </c>
      <c r="I867" t="s">
        <v>784</v>
      </c>
      <c r="J867">
        <v>0</v>
      </c>
      <c r="L867" s="143">
        <v>46086</v>
      </c>
      <c r="M867">
        <v>32026</v>
      </c>
      <c r="N867" t="s">
        <v>771</v>
      </c>
      <c r="O867">
        <v>2001</v>
      </c>
      <c r="S867" t="s">
        <v>777</v>
      </c>
      <c r="T867">
        <v>1500059778</v>
      </c>
    </row>
    <row r="868" spans="1:20" x14ac:dyDescent="0.25">
      <c r="A868">
        <v>1900014746</v>
      </c>
      <c r="B868">
        <v>26831</v>
      </c>
      <c r="C868" t="s">
        <v>792</v>
      </c>
      <c r="D868" s="143">
        <v>46079</v>
      </c>
      <c r="E868" s="55">
        <v>-128396.78</v>
      </c>
      <c r="F868" t="s">
        <v>769</v>
      </c>
      <c r="G868">
        <v>101972648</v>
      </c>
      <c r="H868" t="s">
        <v>755</v>
      </c>
      <c r="I868" t="s">
        <v>785</v>
      </c>
      <c r="K868" s="143">
        <v>46091</v>
      </c>
      <c r="L868" s="143">
        <v>46079</v>
      </c>
      <c r="M868">
        <v>22026</v>
      </c>
      <c r="N868" t="s">
        <v>771</v>
      </c>
      <c r="O868">
        <v>2001</v>
      </c>
      <c r="Q868" t="s">
        <v>801</v>
      </c>
      <c r="S868" t="s">
        <v>795</v>
      </c>
      <c r="T868">
        <v>1500059778</v>
      </c>
    </row>
    <row r="869" spans="1:20" x14ac:dyDescent="0.25">
      <c r="A869">
        <v>5100132279</v>
      </c>
      <c r="B869">
        <v>26831</v>
      </c>
      <c r="C869" t="s">
        <v>768</v>
      </c>
      <c r="D869" s="143">
        <v>46079</v>
      </c>
      <c r="E869" s="55">
        <v>128396.78</v>
      </c>
      <c r="F869" t="s">
        <v>769</v>
      </c>
      <c r="G869">
        <v>101972648</v>
      </c>
      <c r="H869" t="s">
        <v>755</v>
      </c>
      <c r="I869" t="s">
        <v>785</v>
      </c>
      <c r="K869" s="143">
        <v>46091</v>
      </c>
      <c r="L869" s="143">
        <v>46079</v>
      </c>
      <c r="M869">
        <v>22026</v>
      </c>
      <c r="N869" t="s">
        <v>771</v>
      </c>
      <c r="O869">
        <v>2001</v>
      </c>
      <c r="S869" t="s">
        <v>795</v>
      </c>
      <c r="T869">
        <v>1500059778</v>
      </c>
    </row>
    <row r="870" spans="1:20" x14ac:dyDescent="0.25">
      <c r="A870">
        <v>5100601842</v>
      </c>
      <c r="B870">
        <v>33241</v>
      </c>
      <c r="C870" t="s">
        <v>768</v>
      </c>
      <c r="D870" s="143">
        <v>46086</v>
      </c>
      <c r="E870" s="55">
        <v>1648.53</v>
      </c>
      <c r="F870" t="s">
        <v>769</v>
      </c>
      <c r="G870">
        <v>1500015326</v>
      </c>
      <c r="H870" t="s">
        <v>755</v>
      </c>
      <c r="I870" t="s">
        <v>784</v>
      </c>
      <c r="K870" s="143">
        <v>46090</v>
      </c>
      <c r="L870" s="143">
        <v>46086</v>
      </c>
      <c r="M870">
        <v>32026</v>
      </c>
      <c r="N870" t="s">
        <v>771</v>
      </c>
      <c r="O870">
        <v>2001</v>
      </c>
      <c r="T870">
        <v>1500059778</v>
      </c>
    </row>
    <row r="871" spans="1:20" x14ac:dyDescent="0.25">
      <c r="A871">
        <v>5100132821</v>
      </c>
      <c r="B871">
        <v>33241</v>
      </c>
      <c r="C871" t="s">
        <v>768</v>
      </c>
      <c r="D871" s="143">
        <v>46066</v>
      </c>
      <c r="E871" s="55">
        <v>215294.17</v>
      </c>
      <c r="F871" t="s">
        <v>769</v>
      </c>
      <c r="G871">
        <v>1500060321</v>
      </c>
      <c r="H871" t="s">
        <v>755</v>
      </c>
      <c r="I871" t="s">
        <v>789</v>
      </c>
      <c r="K871" s="143">
        <v>46069</v>
      </c>
      <c r="L871" s="143">
        <v>46066</v>
      </c>
      <c r="M871">
        <v>22026</v>
      </c>
      <c r="N871" t="s">
        <v>771</v>
      </c>
      <c r="O871">
        <v>2001</v>
      </c>
      <c r="S871" t="s">
        <v>783</v>
      </c>
      <c r="T871">
        <v>1500059778</v>
      </c>
    </row>
    <row r="872" spans="1:20" x14ac:dyDescent="0.25">
      <c r="A872">
        <v>5100104524</v>
      </c>
      <c r="B872">
        <v>33241</v>
      </c>
      <c r="C872" t="s">
        <v>768</v>
      </c>
      <c r="D872" s="143">
        <v>46072</v>
      </c>
      <c r="E872" s="55">
        <v>72357.210000000006</v>
      </c>
      <c r="F872" t="s">
        <v>769</v>
      </c>
      <c r="G872">
        <v>1500091616</v>
      </c>
      <c r="H872" t="s">
        <v>755</v>
      </c>
      <c r="I872" t="s">
        <v>791</v>
      </c>
      <c r="K872" s="143">
        <v>46076</v>
      </c>
      <c r="L872" s="143">
        <v>46072</v>
      </c>
      <c r="M872">
        <v>22026</v>
      </c>
      <c r="N872" t="s">
        <v>771</v>
      </c>
      <c r="O872">
        <v>2001</v>
      </c>
      <c r="S872" t="s">
        <v>773</v>
      </c>
      <c r="T872">
        <v>1500059778</v>
      </c>
    </row>
    <row r="873" spans="1:20" x14ac:dyDescent="0.25">
      <c r="A873">
        <v>5100132822</v>
      </c>
      <c r="B873">
        <v>40279</v>
      </c>
      <c r="C873" t="s">
        <v>768</v>
      </c>
      <c r="D873" s="143">
        <v>46066</v>
      </c>
      <c r="E873" s="55">
        <v>95644.04</v>
      </c>
      <c r="F873" t="s">
        <v>769</v>
      </c>
      <c r="G873">
        <v>1500060322</v>
      </c>
      <c r="H873" t="s">
        <v>755</v>
      </c>
      <c r="I873" t="s">
        <v>789</v>
      </c>
      <c r="K873" s="143">
        <v>46069</v>
      </c>
      <c r="L873" s="143">
        <v>46066</v>
      </c>
      <c r="M873">
        <v>22026</v>
      </c>
      <c r="N873" t="s">
        <v>771</v>
      </c>
      <c r="O873">
        <v>2001</v>
      </c>
      <c r="S873" t="s">
        <v>783</v>
      </c>
      <c r="T873">
        <v>1500059778</v>
      </c>
    </row>
    <row r="874" spans="1:20" x14ac:dyDescent="0.25">
      <c r="A874">
        <v>5100419110</v>
      </c>
      <c r="B874">
        <v>40279</v>
      </c>
      <c r="C874" t="s">
        <v>768</v>
      </c>
      <c r="D874" s="143">
        <v>46072</v>
      </c>
      <c r="E874" s="55">
        <v>67866.75</v>
      </c>
      <c r="F874" t="s">
        <v>769</v>
      </c>
      <c r="G874">
        <v>1500091618</v>
      </c>
      <c r="H874" t="s">
        <v>755</v>
      </c>
      <c r="I874" t="s">
        <v>791</v>
      </c>
      <c r="K874" s="143">
        <v>46076</v>
      </c>
      <c r="L874" s="143">
        <v>46072</v>
      </c>
      <c r="M874">
        <v>22026</v>
      </c>
      <c r="N874" t="s">
        <v>771</v>
      </c>
      <c r="O874">
        <v>2001</v>
      </c>
      <c r="S874" t="s">
        <v>773</v>
      </c>
      <c r="T874">
        <v>1500059778</v>
      </c>
    </row>
    <row r="875" spans="1:20" x14ac:dyDescent="0.25">
      <c r="A875">
        <v>5101389003</v>
      </c>
      <c r="B875">
        <v>40279</v>
      </c>
      <c r="C875" t="s">
        <v>768</v>
      </c>
      <c r="D875" s="143">
        <v>46079</v>
      </c>
      <c r="E875" s="55">
        <v>117750.82</v>
      </c>
      <c r="F875" t="s">
        <v>769</v>
      </c>
      <c r="G875">
        <v>1500099205</v>
      </c>
      <c r="H875" t="s">
        <v>755</v>
      </c>
      <c r="I875" t="s">
        <v>785</v>
      </c>
      <c r="K875" s="143">
        <v>46083</v>
      </c>
      <c r="L875" s="143">
        <v>46079</v>
      </c>
      <c r="M875">
        <v>22026</v>
      </c>
      <c r="N875" t="s">
        <v>771</v>
      </c>
      <c r="O875">
        <v>2001</v>
      </c>
      <c r="S875" t="s">
        <v>783</v>
      </c>
      <c r="T875">
        <v>1500059778</v>
      </c>
    </row>
    <row r="876" spans="1:20" x14ac:dyDescent="0.25">
      <c r="A876">
        <v>5100601841</v>
      </c>
      <c r="B876">
        <v>49601</v>
      </c>
      <c r="C876" t="s">
        <v>768</v>
      </c>
      <c r="D876" s="143">
        <v>46086</v>
      </c>
      <c r="E876" s="55">
        <v>155485.37</v>
      </c>
      <c r="F876" t="s">
        <v>769</v>
      </c>
      <c r="G876">
        <v>1500015328</v>
      </c>
      <c r="H876" t="s">
        <v>755</v>
      </c>
      <c r="I876" t="s">
        <v>784</v>
      </c>
      <c r="K876" s="143">
        <v>46090</v>
      </c>
      <c r="L876" s="143">
        <v>46086</v>
      </c>
      <c r="M876">
        <v>32026</v>
      </c>
      <c r="N876" t="s">
        <v>771</v>
      </c>
      <c r="O876">
        <v>2001</v>
      </c>
      <c r="T876">
        <v>1500059778</v>
      </c>
    </row>
    <row r="877" spans="1:20" x14ac:dyDescent="0.25">
      <c r="A877">
        <v>5100132820</v>
      </c>
      <c r="B877">
        <v>49601</v>
      </c>
      <c r="C877" t="s">
        <v>768</v>
      </c>
      <c r="D877" s="143">
        <v>46066</v>
      </c>
      <c r="E877" s="55">
        <v>36150.57</v>
      </c>
      <c r="F877" t="s">
        <v>769</v>
      </c>
      <c r="G877">
        <v>1500060324</v>
      </c>
      <c r="H877" t="s">
        <v>755</v>
      </c>
      <c r="I877" t="s">
        <v>789</v>
      </c>
      <c r="K877" s="143">
        <v>46069</v>
      </c>
      <c r="L877" s="143">
        <v>46066</v>
      </c>
      <c r="M877">
        <v>22026</v>
      </c>
      <c r="N877" t="s">
        <v>771</v>
      </c>
      <c r="O877">
        <v>2001</v>
      </c>
      <c r="S877" t="s">
        <v>783</v>
      </c>
      <c r="T877">
        <v>1500059778</v>
      </c>
    </row>
    <row r="878" spans="1:20" x14ac:dyDescent="0.25">
      <c r="A878">
        <v>5100104523</v>
      </c>
      <c r="B878">
        <v>49601</v>
      </c>
      <c r="C878" t="s">
        <v>768</v>
      </c>
      <c r="D878" s="143">
        <v>46072</v>
      </c>
      <c r="E878" s="55">
        <v>46857.59</v>
      </c>
      <c r="F878" t="s">
        <v>769</v>
      </c>
      <c r="G878">
        <v>1500091620</v>
      </c>
      <c r="H878" t="s">
        <v>755</v>
      </c>
      <c r="I878" t="s">
        <v>791</v>
      </c>
      <c r="K878" s="143">
        <v>46076</v>
      </c>
      <c r="L878" s="143">
        <v>46072</v>
      </c>
      <c r="M878">
        <v>22026</v>
      </c>
      <c r="N878" t="s">
        <v>771</v>
      </c>
      <c r="O878">
        <v>2001</v>
      </c>
      <c r="S878" t="s">
        <v>773</v>
      </c>
      <c r="T878">
        <v>1500059778</v>
      </c>
    </row>
    <row r="879" spans="1:20" x14ac:dyDescent="0.25">
      <c r="A879">
        <v>5100132280</v>
      </c>
      <c r="B879">
        <v>49601</v>
      </c>
      <c r="C879" t="s">
        <v>768</v>
      </c>
      <c r="D879" s="143">
        <v>46079</v>
      </c>
      <c r="E879" s="55">
        <v>50885.04</v>
      </c>
      <c r="F879" t="s">
        <v>769</v>
      </c>
      <c r="G879">
        <v>1500099008</v>
      </c>
      <c r="H879" t="s">
        <v>755</v>
      </c>
      <c r="I879" t="s">
        <v>785</v>
      </c>
      <c r="K879" s="143">
        <v>46083</v>
      </c>
      <c r="L879" s="143">
        <v>46079</v>
      </c>
      <c r="M879">
        <v>22026</v>
      </c>
      <c r="N879" t="s">
        <v>771</v>
      </c>
      <c r="O879">
        <v>2001</v>
      </c>
      <c r="S879" t="s">
        <v>783</v>
      </c>
      <c r="T879">
        <v>1500059778</v>
      </c>
    </row>
    <row r="880" spans="1:20" x14ac:dyDescent="0.25">
      <c r="A880">
        <v>1900128117</v>
      </c>
      <c r="B880">
        <v>50153</v>
      </c>
      <c r="C880" t="s">
        <v>792</v>
      </c>
      <c r="D880" s="143">
        <v>46066</v>
      </c>
      <c r="E880" s="55">
        <v>-205989.75</v>
      </c>
      <c r="F880" t="s">
        <v>769</v>
      </c>
      <c r="G880">
        <v>101529504</v>
      </c>
      <c r="H880" t="s">
        <v>755</v>
      </c>
      <c r="I880" t="s">
        <v>789</v>
      </c>
      <c r="K880" s="143">
        <v>46079</v>
      </c>
      <c r="L880" s="143">
        <v>46066</v>
      </c>
      <c r="M880">
        <v>22026</v>
      </c>
      <c r="N880" t="s">
        <v>771</v>
      </c>
      <c r="O880">
        <v>2001</v>
      </c>
      <c r="Q880" t="s">
        <v>793</v>
      </c>
      <c r="S880" t="s">
        <v>795</v>
      </c>
      <c r="T880">
        <v>1500059778</v>
      </c>
    </row>
    <row r="881" spans="1:20" x14ac:dyDescent="0.25">
      <c r="A881">
        <v>1900140213</v>
      </c>
      <c r="B881">
        <v>50153</v>
      </c>
      <c r="C881" t="s">
        <v>792</v>
      </c>
      <c r="D881" s="143">
        <v>46077</v>
      </c>
      <c r="E881" s="55">
        <v>-168852</v>
      </c>
      <c r="F881" t="s">
        <v>769</v>
      </c>
      <c r="G881">
        <v>101529504</v>
      </c>
      <c r="H881" t="s">
        <v>755</v>
      </c>
      <c r="I881" t="s">
        <v>796</v>
      </c>
      <c r="K881" s="143">
        <v>46079</v>
      </c>
      <c r="L881" s="143">
        <v>46077</v>
      </c>
      <c r="M881">
        <v>22026</v>
      </c>
      <c r="N881" t="s">
        <v>771</v>
      </c>
      <c r="O881">
        <v>2001</v>
      </c>
      <c r="Q881" t="s">
        <v>800</v>
      </c>
      <c r="S881" t="s">
        <v>795</v>
      </c>
      <c r="T881">
        <v>693262785</v>
      </c>
    </row>
    <row r="882" spans="1:20" x14ac:dyDescent="0.25">
      <c r="A882">
        <v>5100090630</v>
      </c>
      <c r="B882">
        <v>50153</v>
      </c>
      <c r="C882" t="s">
        <v>768</v>
      </c>
      <c r="D882" s="143">
        <v>46066</v>
      </c>
      <c r="E882" s="55">
        <v>205989.75</v>
      </c>
      <c r="F882" t="s">
        <v>769</v>
      </c>
      <c r="G882">
        <v>101529504</v>
      </c>
      <c r="H882" t="s">
        <v>755</v>
      </c>
      <c r="I882" t="s">
        <v>789</v>
      </c>
      <c r="K882" s="143">
        <v>46079</v>
      </c>
      <c r="L882" s="143">
        <v>46066</v>
      </c>
      <c r="M882">
        <v>22026</v>
      </c>
      <c r="N882" t="s">
        <v>771</v>
      </c>
      <c r="O882">
        <v>2001</v>
      </c>
      <c r="S882" t="s">
        <v>795</v>
      </c>
      <c r="T882">
        <v>1500059778</v>
      </c>
    </row>
    <row r="883" spans="1:20" x14ac:dyDescent="0.25">
      <c r="A883">
        <v>5100226331</v>
      </c>
      <c r="B883">
        <v>50153</v>
      </c>
      <c r="C883" t="s">
        <v>768</v>
      </c>
      <c r="D883" s="143">
        <v>46077</v>
      </c>
      <c r="E883" s="55">
        <v>168852</v>
      </c>
      <c r="F883" t="s">
        <v>769</v>
      </c>
      <c r="G883">
        <v>101529504</v>
      </c>
      <c r="H883" t="s">
        <v>755</v>
      </c>
      <c r="I883" t="s">
        <v>796</v>
      </c>
      <c r="K883" s="143">
        <v>46079</v>
      </c>
      <c r="L883" s="143">
        <v>46077</v>
      </c>
      <c r="M883">
        <v>22026</v>
      </c>
      <c r="N883" t="s">
        <v>771</v>
      </c>
      <c r="O883">
        <v>2001</v>
      </c>
      <c r="S883" t="s">
        <v>795</v>
      </c>
      <c r="T883">
        <v>693262785</v>
      </c>
    </row>
    <row r="884" spans="1:20" x14ac:dyDescent="0.25">
      <c r="A884">
        <v>5100090629</v>
      </c>
      <c r="B884">
        <v>54999</v>
      </c>
      <c r="C884" t="s">
        <v>768</v>
      </c>
      <c r="D884" s="143">
        <v>46066</v>
      </c>
      <c r="E884" s="55">
        <v>181736.73</v>
      </c>
      <c r="F884" t="s">
        <v>769</v>
      </c>
      <c r="G884">
        <v>101046547</v>
      </c>
      <c r="H884" t="s">
        <v>755</v>
      </c>
      <c r="I884" t="s">
        <v>789</v>
      </c>
      <c r="J884">
        <v>0</v>
      </c>
      <c r="K884" s="143">
        <v>46118</v>
      </c>
      <c r="L884" s="143">
        <v>46066</v>
      </c>
      <c r="M884">
        <v>22026</v>
      </c>
      <c r="N884" t="s">
        <v>771</v>
      </c>
      <c r="O884">
        <v>2001</v>
      </c>
      <c r="S884">
        <v>2.0015900021704198E+17</v>
      </c>
      <c r="T884">
        <v>1500059778</v>
      </c>
    </row>
    <row r="885" spans="1:20" x14ac:dyDescent="0.25">
      <c r="A885">
        <v>5101902218</v>
      </c>
      <c r="B885">
        <v>54999</v>
      </c>
      <c r="C885" t="s">
        <v>768</v>
      </c>
      <c r="D885" s="143">
        <v>46100</v>
      </c>
      <c r="E885" s="55">
        <v>198918.94</v>
      </c>
      <c r="F885" t="s">
        <v>769</v>
      </c>
      <c r="G885">
        <v>1500070202</v>
      </c>
      <c r="H885" t="s">
        <v>755</v>
      </c>
      <c r="I885" t="s">
        <v>786</v>
      </c>
      <c r="K885" s="143">
        <v>46104</v>
      </c>
      <c r="L885" s="143">
        <v>46100</v>
      </c>
      <c r="M885">
        <v>32026</v>
      </c>
      <c r="N885" t="s">
        <v>771</v>
      </c>
      <c r="O885">
        <v>2001</v>
      </c>
      <c r="S885" t="s">
        <v>776</v>
      </c>
      <c r="T885">
        <v>1500059778</v>
      </c>
    </row>
    <row r="886" spans="1:20" x14ac:dyDescent="0.25">
      <c r="A886">
        <v>5100090626</v>
      </c>
      <c r="B886">
        <v>76067</v>
      </c>
      <c r="C886" t="s">
        <v>768</v>
      </c>
      <c r="D886" s="143">
        <v>46066</v>
      </c>
      <c r="E886" s="55">
        <v>146030.5</v>
      </c>
      <c r="F886" t="s">
        <v>769</v>
      </c>
      <c r="G886">
        <v>1500049215</v>
      </c>
      <c r="H886" t="s">
        <v>755</v>
      </c>
      <c r="I886" t="s">
        <v>789</v>
      </c>
      <c r="K886" s="143">
        <v>46069</v>
      </c>
      <c r="L886" s="143">
        <v>46066</v>
      </c>
      <c r="M886">
        <v>22026</v>
      </c>
      <c r="N886" t="s">
        <v>771</v>
      </c>
      <c r="O886">
        <v>2001</v>
      </c>
      <c r="S886" t="s">
        <v>783</v>
      </c>
      <c r="T886">
        <v>1500059778</v>
      </c>
    </row>
    <row r="887" spans="1:20" x14ac:dyDescent="0.25">
      <c r="A887">
        <v>5100745442</v>
      </c>
      <c r="B887">
        <v>76067</v>
      </c>
      <c r="C887" t="s">
        <v>768</v>
      </c>
      <c r="D887" s="143">
        <v>46093</v>
      </c>
      <c r="E887" s="55">
        <v>268771.40000000002</v>
      </c>
      <c r="F887" t="s">
        <v>769</v>
      </c>
      <c r="G887">
        <v>1500056452</v>
      </c>
      <c r="H887" t="s">
        <v>755</v>
      </c>
      <c r="I887" t="s">
        <v>788</v>
      </c>
      <c r="K887" s="143">
        <v>46098</v>
      </c>
      <c r="L887" s="143">
        <v>46093</v>
      </c>
      <c r="M887">
        <v>32026</v>
      </c>
      <c r="N887" t="s">
        <v>771</v>
      </c>
      <c r="O887">
        <v>2001</v>
      </c>
      <c r="S887" t="s">
        <v>778</v>
      </c>
      <c r="T887">
        <v>1500059778</v>
      </c>
    </row>
    <row r="888" spans="1:20" x14ac:dyDescent="0.25">
      <c r="A888">
        <v>5100104518</v>
      </c>
      <c r="B888">
        <v>76067</v>
      </c>
      <c r="C888" t="s">
        <v>768</v>
      </c>
      <c r="D888" s="143">
        <v>46072</v>
      </c>
      <c r="E888" s="55">
        <v>73245.05</v>
      </c>
      <c r="F888" t="s">
        <v>769</v>
      </c>
      <c r="G888">
        <v>1500091625</v>
      </c>
      <c r="H888" t="s">
        <v>755</v>
      </c>
      <c r="I888" t="s">
        <v>791</v>
      </c>
      <c r="K888" s="143">
        <v>46076</v>
      </c>
      <c r="L888" s="143">
        <v>46072</v>
      </c>
      <c r="M888">
        <v>22026</v>
      </c>
      <c r="N888" t="s">
        <v>771</v>
      </c>
      <c r="O888">
        <v>2001</v>
      </c>
      <c r="S888" t="s">
        <v>773</v>
      </c>
      <c r="T888">
        <v>1500059778</v>
      </c>
    </row>
    <row r="889" spans="1:20" x14ac:dyDescent="0.25">
      <c r="A889">
        <v>5100601840</v>
      </c>
      <c r="B889">
        <v>90589</v>
      </c>
      <c r="C889" t="s">
        <v>768</v>
      </c>
      <c r="D889" s="143">
        <v>46086</v>
      </c>
      <c r="E889" s="55">
        <v>144836.4</v>
      </c>
      <c r="F889" t="s">
        <v>769</v>
      </c>
      <c r="G889">
        <v>1500015332</v>
      </c>
      <c r="H889" t="s">
        <v>755</v>
      </c>
      <c r="I889" t="s">
        <v>784</v>
      </c>
      <c r="K889" s="143">
        <v>46090</v>
      </c>
      <c r="L889" s="143">
        <v>46086</v>
      </c>
      <c r="M889">
        <v>32026</v>
      </c>
      <c r="N889" t="s">
        <v>771</v>
      </c>
      <c r="O889">
        <v>2001</v>
      </c>
      <c r="T889">
        <v>1500059778</v>
      </c>
    </row>
    <row r="890" spans="1:20" x14ac:dyDescent="0.25">
      <c r="A890">
        <v>5100132819</v>
      </c>
      <c r="B890">
        <v>90589</v>
      </c>
      <c r="C890" t="s">
        <v>768</v>
      </c>
      <c r="D890" s="143">
        <v>46066</v>
      </c>
      <c r="E890" s="55">
        <v>178368.61</v>
      </c>
      <c r="F890" t="s">
        <v>769</v>
      </c>
      <c r="G890">
        <v>1500049217</v>
      </c>
      <c r="H890" t="s">
        <v>755</v>
      </c>
      <c r="I890" t="s">
        <v>789</v>
      </c>
      <c r="K890" s="143">
        <v>46069</v>
      </c>
      <c r="L890" s="143">
        <v>46066</v>
      </c>
      <c r="M890">
        <v>22026</v>
      </c>
      <c r="N890" t="s">
        <v>771</v>
      </c>
      <c r="O890">
        <v>2001</v>
      </c>
      <c r="S890" t="s">
        <v>783</v>
      </c>
      <c r="T890">
        <v>1500059778</v>
      </c>
    </row>
    <row r="891" spans="1:20" x14ac:dyDescent="0.25">
      <c r="A891">
        <v>5100424432</v>
      </c>
      <c r="B891">
        <v>97741</v>
      </c>
      <c r="C891" t="s">
        <v>768</v>
      </c>
      <c r="D891" s="143">
        <v>46072</v>
      </c>
      <c r="E891" s="55">
        <v>42713.32</v>
      </c>
      <c r="F891" t="s">
        <v>769</v>
      </c>
      <c r="G891">
        <v>1500091629</v>
      </c>
      <c r="H891" t="s">
        <v>755</v>
      </c>
      <c r="I891" t="s">
        <v>791</v>
      </c>
      <c r="K891" s="143">
        <v>46076</v>
      </c>
      <c r="L891" s="143">
        <v>46072</v>
      </c>
      <c r="M891">
        <v>22026</v>
      </c>
      <c r="N891" t="s">
        <v>771</v>
      </c>
      <c r="O891">
        <v>2001</v>
      </c>
      <c r="S891" t="s">
        <v>773</v>
      </c>
      <c r="T891">
        <v>1500059778</v>
      </c>
    </row>
    <row r="892" spans="1:20" x14ac:dyDescent="0.25">
      <c r="A892">
        <v>5100132288</v>
      </c>
      <c r="B892">
        <v>97741</v>
      </c>
      <c r="C892" t="s">
        <v>768</v>
      </c>
      <c r="D892" s="143">
        <v>46079</v>
      </c>
      <c r="E892" s="55">
        <v>107504.8</v>
      </c>
      <c r="F892" t="s">
        <v>769</v>
      </c>
      <c r="G892">
        <v>1500099213</v>
      </c>
      <c r="H892" t="s">
        <v>755</v>
      </c>
      <c r="I892" t="s">
        <v>785</v>
      </c>
      <c r="K892" s="143">
        <v>46083</v>
      </c>
      <c r="L892" s="143">
        <v>46079</v>
      </c>
      <c r="M892">
        <v>22026</v>
      </c>
      <c r="N892" t="s">
        <v>771</v>
      </c>
      <c r="O892">
        <v>2001</v>
      </c>
      <c r="S892" t="s">
        <v>783</v>
      </c>
      <c r="T892">
        <v>1500059778</v>
      </c>
    </row>
    <row r="893" spans="1:20" x14ac:dyDescent="0.25">
      <c r="A893">
        <v>5100226333</v>
      </c>
      <c r="B893">
        <v>206466</v>
      </c>
      <c r="C893" t="s">
        <v>768</v>
      </c>
      <c r="D893" s="143">
        <v>46077</v>
      </c>
      <c r="E893" s="55">
        <v>177855</v>
      </c>
      <c r="F893" t="s">
        <v>769</v>
      </c>
      <c r="G893">
        <v>1500049125</v>
      </c>
      <c r="H893" t="s">
        <v>755</v>
      </c>
      <c r="I893" t="s">
        <v>796</v>
      </c>
      <c r="K893" s="143">
        <v>46078</v>
      </c>
      <c r="L893" s="143">
        <v>46077</v>
      </c>
      <c r="M893">
        <v>22026</v>
      </c>
      <c r="N893" t="s">
        <v>771</v>
      </c>
      <c r="O893">
        <v>2001</v>
      </c>
      <c r="S893" t="s">
        <v>783</v>
      </c>
      <c r="T893">
        <v>693262785</v>
      </c>
    </row>
    <row r="894" spans="1:20" x14ac:dyDescent="0.25">
      <c r="A894">
        <v>5100090632</v>
      </c>
      <c r="B894">
        <v>206466</v>
      </c>
      <c r="C894" t="s">
        <v>768</v>
      </c>
      <c r="D894" s="143">
        <v>46066</v>
      </c>
      <c r="E894" s="55">
        <v>35748.54</v>
      </c>
      <c r="F894" t="s">
        <v>769</v>
      </c>
      <c r="G894">
        <v>1500049218</v>
      </c>
      <c r="H894" t="s">
        <v>755</v>
      </c>
      <c r="I894" t="s">
        <v>789</v>
      </c>
      <c r="K894" s="143">
        <v>46069</v>
      </c>
      <c r="L894" s="143">
        <v>46066</v>
      </c>
      <c r="M894">
        <v>22026</v>
      </c>
      <c r="N894" t="s">
        <v>771</v>
      </c>
      <c r="O894">
        <v>2001</v>
      </c>
      <c r="S894" t="s">
        <v>783</v>
      </c>
      <c r="T894">
        <v>1500059778</v>
      </c>
    </row>
    <row r="895" spans="1:20" x14ac:dyDescent="0.25">
      <c r="A895">
        <v>5100226335</v>
      </c>
      <c r="B895">
        <v>210369</v>
      </c>
      <c r="C895" t="s">
        <v>768</v>
      </c>
      <c r="D895" s="143">
        <v>46077</v>
      </c>
      <c r="E895" s="55">
        <v>41112</v>
      </c>
      <c r="F895" t="s">
        <v>769</v>
      </c>
      <c r="G895">
        <v>1500094702</v>
      </c>
      <c r="H895" t="s">
        <v>755</v>
      </c>
      <c r="I895" t="s">
        <v>796</v>
      </c>
      <c r="K895" s="143">
        <v>46078</v>
      </c>
      <c r="L895" s="143">
        <v>46077</v>
      </c>
      <c r="M895">
        <v>22026</v>
      </c>
      <c r="N895" t="s">
        <v>771</v>
      </c>
      <c r="O895">
        <v>2001</v>
      </c>
      <c r="S895" t="s">
        <v>783</v>
      </c>
      <c r="T895">
        <v>693262785</v>
      </c>
    </row>
    <row r="896" spans="1:20" x14ac:dyDescent="0.25">
      <c r="A896">
        <v>5100419112</v>
      </c>
      <c r="B896">
        <v>221226</v>
      </c>
      <c r="C896" t="s">
        <v>768</v>
      </c>
      <c r="D896" s="143">
        <v>46072</v>
      </c>
      <c r="E896" s="55">
        <v>66468.34</v>
      </c>
      <c r="F896" t="s">
        <v>769</v>
      </c>
      <c r="G896">
        <v>101160643</v>
      </c>
      <c r="H896" t="s">
        <v>755</v>
      </c>
      <c r="I896" t="s">
        <v>791</v>
      </c>
      <c r="J896">
        <v>0</v>
      </c>
      <c r="K896" s="143">
        <v>46118</v>
      </c>
      <c r="L896" s="143">
        <v>46072</v>
      </c>
      <c r="M896">
        <v>22026</v>
      </c>
      <c r="N896" t="s">
        <v>771</v>
      </c>
      <c r="O896">
        <v>2001</v>
      </c>
      <c r="S896">
        <v>2.00159000225072E+17</v>
      </c>
      <c r="T896">
        <v>1500059778</v>
      </c>
    </row>
    <row r="897" spans="1:20" x14ac:dyDescent="0.25">
      <c r="A897">
        <v>5100745444</v>
      </c>
      <c r="B897">
        <v>221226</v>
      </c>
      <c r="C897" t="s">
        <v>768</v>
      </c>
      <c r="D897" s="143">
        <v>46093</v>
      </c>
      <c r="E897" s="55">
        <v>133931.41</v>
      </c>
      <c r="F897" t="s">
        <v>769</v>
      </c>
      <c r="G897">
        <v>102135087</v>
      </c>
      <c r="H897" t="s">
        <v>755</v>
      </c>
      <c r="I897" t="s">
        <v>788</v>
      </c>
      <c r="J897">
        <v>0</v>
      </c>
      <c r="K897" s="143">
        <v>46139</v>
      </c>
      <c r="L897" s="143">
        <v>46093</v>
      </c>
      <c r="M897">
        <v>32026</v>
      </c>
      <c r="N897" t="s">
        <v>771</v>
      </c>
      <c r="O897">
        <v>2001</v>
      </c>
      <c r="S897">
        <v>2.00159000343052E+17</v>
      </c>
      <c r="T897">
        <v>1500059778</v>
      </c>
    </row>
    <row r="898" spans="1:20" x14ac:dyDescent="0.25">
      <c r="A898">
        <v>5100132281</v>
      </c>
      <c r="B898">
        <v>221226</v>
      </c>
      <c r="C898" t="s">
        <v>768</v>
      </c>
      <c r="D898" s="143">
        <v>46079</v>
      </c>
      <c r="E898" s="55">
        <v>57817.59</v>
      </c>
      <c r="F898" t="s">
        <v>769</v>
      </c>
      <c r="G898">
        <v>1500099018</v>
      </c>
      <c r="H898" t="s">
        <v>755</v>
      </c>
      <c r="I898" t="s">
        <v>785</v>
      </c>
      <c r="K898" s="143">
        <v>46083</v>
      </c>
      <c r="L898" s="143">
        <v>46079</v>
      </c>
      <c r="M898">
        <v>22026</v>
      </c>
      <c r="N898" t="s">
        <v>771</v>
      </c>
      <c r="O898">
        <v>2001</v>
      </c>
      <c r="S898" t="s">
        <v>783</v>
      </c>
      <c r="T898">
        <v>1500059778</v>
      </c>
    </row>
    <row r="899" spans="1:20" x14ac:dyDescent="0.25">
      <c r="A899">
        <v>5100419115</v>
      </c>
      <c r="B899">
        <v>308651</v>
      </c>
      <c r="C899" t="s">
        <v>768</v>
      </c>
      <c r="D899" s="143">
        <v>46072</v>
      </c>
      <c r="E899" s="55">
        <v>80861.95</v>
      </c>
      <c r="F899" t="s">
        <v>769</v>
      </c>
      <c r="G899">
        <v>1500091309</v>
      </c>
      <c r="H899" t="s">
        <v>755</v>
      </c>
      <c r="I899" t="s">
        <v>791</v>
      </c>
      <c r="K899" s="143">
        <v>46076</v>
      </c>
      <c r="L899" s="143">
        <v>46072</v>
      </c>
      <c r="M899">
        <v>22026</v>
      </c>
      <c r="N899" t="s">
        <v>771</v>
      </c>
      <c r="O899">
        <v>2001</v>
      </c>
      <c r="S899" t="s">
        <v>773</v>
      </c>
      <c r="T899">
        <v>1500059778</v>
      </c>
    </row>
    <row r="900" spans="1:20" x14ac:dyDescent="0.25">
      <c r="A900">
        <v>5100132282</v>
      </c>
      <c r="B900">
        <v>308651</v>
      </c>
      <c r="C900" t="s">
        <v>768</v>
      </c>
      <c r="D900" s="143">
        <v>46079</v>
      </c>
      <c r="E900" s="55">
        <v>151301.38</v>
      </c>
      <c r="F900" t="s">
        <v>769</v>
      </c>
      <c r="G900">
        <v>1500099215</v>
      </c>
      <c r="H900" t="s">
        <v>755</v>
      </c>
      <c r="I900" t="s">
        <v>785</v>
      </c>
      <c r="K900" s="143">
        <v>46083</v>
      </c>
      <c r="L900" s="143">
        <v>46079</v>
      </c>
      <c r="M900">
        <v>22026</v>
      </c>
      <c r="N900" t="s">
        <v>771</v>
      </c>
      <c r="O900">
        <v>2001</v>
      </c>
      <c r="S900" t="s">
        <v>783</v>
      </c>
      <c r="T900">
        <v>1500059778</v>
      </c>
    </row>
    <row r="901" spans="1:20" x14ac:dyDescent="0.25">
      <c r="A901">
        <v>5100601851</v>
      </c>
      <c r="B901">
        <v>311159</v>
      </c>
      <c r="C901" t="s">
        <v>768</v>
      </c>
      <c r="D901" s="143">
        <v>46086</v>
      </c>
      <c r="E901" s="55">
        <v>219055.64</v>
      </c>
      <c r="F901" t="s">
        <v>769</v>
      </c>
      <c r="G901">
        <v>1500046135</v>
      </c>
      <c r="H901" t="s">
        <v>755</v>
      </c>
      <c r="I901" t="s">
        <v>784</v>
      </c>
      <c r="K901" s="143">
        <v>46090</v>
      </c>
      <c r="L901" s="143">
        <v>46086</v>
      </c>
      <c r="M901">
        <v>32026</v>
      </c>
      <c r="N901" t="s">
        <v>771</v>
      </c>
      <c r="O901">
        <v>2001</v>
      </c>
      <c r="S901" t="s">
        <v>777</v>
      </c>
      <c r="T901">
        <v>1500059778</v>
      </c>
    </row>
    <row r="902" spans="1:20" x14ac:dyDescent="0.25">
      <c r="A902">
        <v>5101902219</v>
      </c>
      <c r="B902">
        <v>315838</v>
      </c>
      <c r="C902" t="s">
        <v>768</v>
      </c>
      <c r="D902" s="143">
        <v>46100</v>
      </c>
      <c r="E902" s="55">
        <v>82071.83</v>
      </c>
      <c r="F902" t="s">
        <v>769</v>
      </c>
      <c r="G902">
        <v>1500077624</v>
      </c>
      <c r="H902" t="s">
        <v>755</v>
      </c>
      <c r="I902" t="s">
        <v>786</v>
      </c>
      <c r="K902" s="143">
        <v>46104</v>
      </c>
      <c r="L902" s="143">
        <v>46100</v>
      </c>
      <c r="M902">
        <v>32026</v>
      </c>
      <c r="N902" t="s">
        <v>771</v>
      </c>
      <c r="O902">
        <v>2001</v>
      </c>
      <c r="S902" t="s">
        <v>776</v>
      </c>
      <c r="T902">
        <v>1500059778</v>
      </c>
    </row>
    <row r="903" spans="1:20" x14ac:dyDescent="0.25">
      <c r="A903">
        <v>5101902220</v>
      </c>
      <c r="B903">
        <v>318980</v>
      </c>
      <c r="C903" t="s">
        <v>768</v>
      </c>
      <c r="D903" s="143">
        <v>46100</v>
      </c>
      <c r="E903" s="55">
        <v>145795.87</v>
      </c>
      <c r="F903" t="s">
        <v>769</v>
      </c>
      <c r="G903">
        <v>100021152</v>
      </c>
      <c r="H903" t="s">
        <v>755</v>
      </c>
      <c r="I903" t="s">
        <v>786</v>
      </c>
      <c r="J903">
        <v>0</v>
      </c>
      <c r="K903" s="143">
        <v>46167</v>
      </c>
      <c r="L903" s="143">
        <v>46100</v>
      </c>
      <c r="M903">
        <v>32026</v>
      </c>
      <c r="N903" t="s">
        <v>771</v>
      </c>
      <c r="O903">
        <v>2001</v>
      </c>
      <c r="S903">
        <v>2.0015900037500198E+17</v>
      </c>
      <c r="T903">
        <v>1500059778</v>
      </c>
    </row>
    <row r="904" spans="1:20" x14ac:dyDescent="0.25">
      <c r="A904">
        <v>5100419114</v>
      </c>
      <c r="B904">
        <v>318980</v>
      </c>
      <c r="C904" t="s">
        <v>768</v>
      </c>
      <c r="D904" s="143">
        <v>46072</v>
      </c>
      <c r="E904" s="55">
        <v>99599.66</v>
      </c>
      <c r="F904" t="s">
        <v>769</v>
      </c>
      <c r="G904">
        <v>1500091638</v>
      </c>
      <c r="H904" t="s">
        <v>755</v>
      </c>
      <c r="I904" t="s">
        <v>791</v>
      </c>
      <c r="K904" s="143">
        <v>46076</v>
      </c>
      <c r="L904" s="143">
        <v>46072</v>
      </c>
      <c r="M904">
        <v>22026</v>
      </c>
      <c r="N904" t="s">
        <v>771</v>
      </c>
      <c r="O904">
        <v>2001</v>
      </c>
      <c r="S904" t="s">
        <v>773</v>
      </c>
      <c r="T904">
        <v>1500059778</v>
      </c>
    </row>
    <row r="905" spans="1:20" x14ac:dyDescent="0.25">
      <c r="A905">
        <v>5100424433</v>
      </c>
      <c r="B905">
        <v>321786</v>
      </c>
      <c r="C905" t="s">
        <v>768</v>
      </c>
      <c r="D905" s="143">
        <v>46072</v>
      </c>
      <c r="E905" s="55">
        <v>117898.06</v>
      </c>
      <c r="F905" t="s">
        <v>769</v>
      </c>
      <c r="G905">
        <v>1500091640</v>
      </c>
      <c r="H905" t="s">
        <v>755</v>
      </c>
      <c r="I905" t="s">
        <v>791</v>
      </c>
      <c r="K905" s="143">
        <v>46076</v>
      </c>
      <c r="L905" s="143">
        <v>46072</v>
      </c>
      <c r="M905">
        <v>22026</v>
      </c>
      <c r="N905" t="s">
        <v>771</v>
      </c>
      <c r="O905">
        <v>2001</v>
      </c>
      <c r="S905" t="s">
        <v>773</v>
      </c>
      <c r="T905">
        <v>1500059778</v>
      </c>
    </row>
    <row r="906" spans="1:20" x14ac:dyDescent="0.25">
      <c r="A906">
        <v>5100132290</v>
      </c>
      <c r="B906">
        <v>321786</v>
      </c>
      <c r="C906" t="s">
        <v>768</v>
      </c>
      <c r="D906" s="143">
        <v>46079</v>
      </c>
      <c r="E906" s="55">
        <v>20432.79</v>
      </c>
      <c r="F906" t="s">
        <v>769</v>
      </c>
      <c r="G906">
        <v>1500099216</v>
      </c>
      <c r="H906" t="s">
        <v>755</v>
      </c>
      <c r="I906" t="s">
        <v>785</v>
      </c>
      <c r="K906" s="143">
        <v>46083</v>
      </c>
      <c r="L906" s="143">
        <v>46079</v>
      </c>
      <c r="M906">
        <v>22026</v>
      </c>
      <c r="N906" t="s">
        <v>771</v>
      </c>
      <c r="O906">
        <v>2001</v>
      </c>
      <c r="S906" t="s">
        <v>783</v>
      </c>
      <c r="T906">
        <v>1500059778</v>
      </c>
    </row>
    <row r="907" spans="1:20" x14ac:dyDescent="0.25">
      <c r="A907">
        <v>5100090628</v>
      </c>
      <c r="B907">
        <v>325373</v>
      </c>
      <c r="C907" t="s">
        <v>768</v>
      </c>
      <c r="D907" s="143">
        <v>46066</v>
      </c>
      <c r="E907" s="55">
        <v>50285.52</v>
      </c>
      <c r="F907" t="s">
        <v>769</v>
      </c>
      <c r="G907">
        <v>1500049220</v>
      </c>
      <c r="H907" t="s">
        <v>755</v>
      </c>
      <c r="I907" t="s">
        <v>789</v>
      </c>
      <c r="K907" s="143">
        <v>46069</v>
      </c>
      <c r="L907" s="143">
        <v>46066</v>
      </c>
      <c r="M907">
        <v>22026</v>
      </c>
      <c r="N907" t="s">
        <v>771</v>
      </c>
      <c r="O907">
        <v>2001</v>
      </c>
      <c r="S907" t="s">
        <v>783</v>
      </c>
      <c r="T907">
        <v>1500059778</v>
      </c>
    </row>
    <row r="908" spans="1:20" x14ac:dyDescent="0.25">
      <c r="A908">
        <v>5100104521</v>
      </c>
      <c r="B908">
        <v>325373</v>
      </c>
      <c r="C908" t="s">
        <v>768</v>
      </c>
      <c r="D908" s="143">
        <v>46072</v>
      </c>
      <c r="E908" s="55">
        <v>109796.4</v>
      </c>
      <c r="F908" t="s">
        <v>769</v>
      </c>
      <c r="G908">
        <v>1500091641</v>
      </c>
      <c r="H908" t="s">
        <v>755</v>
      </c>
      <c r="I908" t="s">
        <v>791</v>
      </c>
      <c r="K908" s="143">
        <v>46076</v>
      </c>
      <c r="L908" s="143">
        <v>46072</v>
      </c>
      <c r="M908">
        <v>22026</v>
      </c>
      <c r="N908" t="s">
        <v>771</v>
      </c>
      <c r="O908">
        <v>2001</v>
      </c>
      <c r="S908" t="s">
        <v>773</v>
      </c>
      <c r="T908">
        <v>1500059778</v>
      </c>
    </row>
    <row r="909" spans="1:20" x14ac:dyDescent="0.25">
      <c r="A909">
        <v>5100132276</v>
      </c>
      <c r="B909">
        <v>325373</v>
      </c>
      <c r="C909" t="s">
        <v>768</v>
      </c>
      <c r="D909" s="143">
        <v>46079</v>
      </c>
      <c r="E909" s="55">
        <v>244916.62</v>
      </c>
      <c r="F909" t="s">
        <v>769</v>
      </c>
      <c r="G909">
        <v>1500099217</v>
      </c>
      <c r="H909" t="s">
        <v>755</v>
      </c>
      <c r="I909" t="s">
        <v>785</v>
      </c>
      <c r="K909" s="143">
        <v>46083</v>
      </c>
      <c r="L909" s="143">
        <v>46079</v>
      </c>
      <c r="M909">
        <v>22026</v>
      </c>
      <c r="N909" t="s">
        <v>771</v>
      </c>
      <c r="O909">
        <v>2001</v>
      </c>
      <c r="S909" t="s">
        <v>783</v>
      </c>
      <c r="T909">
        <v>1500059778</v>
      </c>
    </row>
    <row r="910" spans="1:20" x14ac:dyDescent="0.25">
      <c r="A910">
        <v>5100601843</v>
      </c>
      <c r="B910">
        <v>332296</v>
      </c>
      <c r="C910" t="s">
        <v>768</v>
      </c>
      <c r="D910" s="143">
        <v>46086</v>
      </c>
      <c r="E910" s="55">
        <v>203586.68</v>
      </c>
      <c r="F910" t="s">
        <v>769</v>
      </c>
      <c r="G910">
        <v>1500046138</v>
      </c>
      <c r="H910" t="s">
        <v>755</v>
      </c>
      <c r="I910" t="s">
        <v>784</v>
      </c>
      <c r="K910" s="143">
        <v>46090</v>
      </c>
      <c r="L910" s="143">
        <v>46086</v>
      </c>
      <c r="M910">
        <v>32026</v>
      </c>
      <c r="N910" t="s">
        <v>771</v>
      </c>
      <c r="O910">
        <v>2001</v>
      </c>
      <c r="S910" t="s">
        <v>777</v>
      </c>
      <c r="T910">
        <v>1500059778</v>
      </c>
    </row>
    <row r="911" spans="1:20" x14ac:dyDescent="0.25">
      <c r="A911">
        <v>5100419111</v>
      </c>
      <c r="B911">
        <v>332296</v>
      </c>
      <c r="C911" t="s">
        <v>768</v>
      </c>
      <c r="D911" s="143">
        <v>46072</v>
      </c>
      <c r="E911" s="55">
        <v>61029.86</v>
      </c>
      <c r="F911" t="s">
        <v>769</v>
      </c>
      <c r="G911">
        <v>1500091643</v>
      </c>
      <c r="H911" t="s">
        <v>755</v>
      </c>
      <c r="I911" t="s">
        <v>791</v>
      </c>
      <c r="K911" s="143">
        <v>46076</v>
      </c>
      <c r="L911" s="143">
        <v>46072</v>
      </c>
      <c r="M911">
        <v>22026</v>
      </c>
      <c r="N911" t="s">
        <v>771</v>
      </c>
      <c r="O911">
        <v>2001</v>
      </c>
      <c r="S911" t="s">
        <v>773</v>
      </c>
      <c r="T911">
        <v>1500059778</v>
      </c>
    </row>
    <row r="912" spans="1:20" x14ac:dyDescent="0.25">
      <c r="A912">
        <v>5100132275</v>
      </c>
      <c r="B912">
        <v>339564</v>
      </c>
      <c r="C912" t="s">
        <v>768</v>
      </c>
      <c r="D912" s="143">
        <v>46079</v>
      </c>
      <c r="E912" s="55">
        <v>211464.83</v>
      </c>
      <c r="F912" t="s">
        <v>769</v>
      </c>
      <c r="G912">
        <v>1500085113</v>
      </c>
      <c r="H912" t="s">
        <v>755</v>
      </c>
      <c r="I912" t="s">
        <v>785</v>
      </c>
      <c r="K912" s="143">
        <v>46083</v>
      </c>
      <c r="L912" s="143">
        <v>46079</v>
      </c>
      <c r="M912">
        <v>22026</v>
      </c>
      <c r="N912" t="s">
        <v>771</v>
      </c>
      <c r="O912">
        <v>2001</v>
      </c>
      <c r="S912" t="s">
        <v>790</v>
      </c>
      <c r="T912">
        <v>1500059778</v>
      </c>
    </row>
    <row r="913" spans="1:20" x14ac:dyDescent="0.25">
      <c r="A913">
        <v>5100104519</v>
      </c>
      <c r="B913">
        <v>339564</v>
      </c>
      <c r="C913" t="s">
        <v>768</v>
      </c>
      <c r="D913" s="143">
        <v>46072</v>
      </c>
      <c r="E913" s="55">
        <v>265817.71000000002</v>
      </c>
      <c r="F913" t="s">
        <v>769</v>
      </c>
      <c r="G913">
        <v>1500091644</v>
      </c>
      <c r="H913" t="s">
        <v>755</v>
      </c>
      <c r="I913" t="s">
        <v>791</v>
      </c>
      <c r="K913" s="143">
        <v>46076</v>
      </c>
      <c r="L913" s="143">
        <v>46072</v>
      </c>
      <c r="M913">
        <v>22026</v>
      </c>
      <c r="N913" t="s">
        <v>771</v>
      </c>
      <c r="O913">
        <v>2001</v>
      </c>
      <c r="S913" t="s">
        <v>773</v>
      </c>
      <c r="T913">
        <v>1500059778</v>
      </c>
    </row>
    <row r="914" spans="1:20" x14ac:dyDescent="0.25">
      <c r="A914">
        <v>5100104517</v>
      </c>
      <c r="B914">
        <v>373894</v>
      </c>
      <c r="C914" t="s">
        <v>768</v>
      </c>
      <c r="D914" s="143">
        <v>46072</v>
      </c>
      <c r="E914" s="55">
        <v>280800.27</v>
      </c>
      <c r="F914" t="s">
        <v>769</v>
      </c>
      <c r="G914">
        <v>1500091645</v>
      </c>
      <c r="H914" t="s">
        <v>755</v>
      </c>
      <c r="I914" t="s">
        <v>791</v>
      </c>
      <c r="K914" s="143">
        <v>46076</v>
      </c>
      <c r="L914" s="143">
        <v>46072</v>
      </c>
      <c r="M914">
        <v>22026</v>
      </c>
      <c r="N914" t="s">
        <v>771</v>
      </c>
      <c r="O914">
        <v>2001</v>
      </c>
      <c r="S914" t="s">
        <v>773</v>
      </c>
      <c r="T914">
        <v>1500059778</v>
      </c>
    </row>
    <row r="915" spans="1:20" x14ac:dyDescent="0.25">
      <c r="A915">
        <v>5100132274</v>
      </c>
      <c r="B915">
        <v>373894</v>
      </c>
      <c r="C915" t="s">
        <v>768</v>
      </c>
      <c r="D915" s="143">
        <v>46079</v>
      </c>
      <c r="E915" s="55">
        <v>214123.86</v>
      </c>
      <c r="F915" t="s">
        <v>769</v>
      </c>
      <c r="G915">
        <v>1500099218</v>
      </c>
      <c r="H915" t="s">
        <v>755</v>
      </c>
      <c r="I915" t="s">
        <v>785</v>
      </c>
      <c r="K915" s="143">
        <v>46083</v>
      </c>
      <c r="L915" s="143">
        <v>46079</v>
      </c>
      <c r="M915">
        <v>22026</v>
      </c>
      <c r="N915" t="s">
        <v>771</v>
      </c>
      <c r="O915">
        <v>2001</v>
      </c>
      <c r="S915" t="s">
        <v>783</v>
      </c>
      <c r="T915">
        <v>1500059778</v>
      </c>
    </row>
    <row r="916" spans="1:20" x14ac:dyDescent="0.25">
      <c r="A916">
        <v>1900053538</v>
      </c>
      <c r="B916">
        <v>379719</v>
      </c>
      <c r="C916" t="s">
        <v>792</v>
      </c>
      <c r="D916" s="143">
        <v>46072</v>
      </c>
      <c r="E916" s="55">
        <v>-117467.65</v>
      </c>
      <c r="F916" t="s">
        <v>769</v>
      </c>
      <c r="H916" t="s">
        <v>787</v>
      </c>
      <c r="I916" t="s">
        <v>791</v>
      </c>
      <c r="J916">
        <v>0</v>
      </c>
      <c r="L916" s="143">
        <v>46072</v>
      </c>
      <c r="M916">
        <v>22026</v>
      </c>
      <c r="N916" t="s">
        <v>771</v>
      </c>
      <c r="O916">
        <v>2001</v>
      </c>
      <c r="Q916" t="s">
        <v>794</v>
      </c>
      <c r="S916" t="s">
        <v>795</v>
      </c>
      <c r="T916">
        <v>1500059778</v>
      </c>
    </row>
    <row r="917" spans="1:20" x14ac:dyDescent="0.25">
      <c r="A917">
        <v>5100104520</v>
      </c>
      <c r="B917">
        <v>379719</v>
      </c>
      <c r="C917" t="s">
        <v>768</v>
      </c>
      <c r="D917" s="143">
        <v>46072</v>
      </c>
      <c r="E917" s="55">
        <v>117467.65</v>
      </c>
      <c r="F917" t="s">
        <v>769</v>
      </c>
      <c r="H917" t="s">
        <v>787</v>
      </c>
      <c r="I917" t="s">
        <v>791</v>
      </c>
      <c r="J917">
        <v>0</v>
      </c>
      <c r="L917" s="143">
        <v>46072</v>
      </c>
      <c r="M917">
        <v>22026</v>
      </c>
      <c r="N917" t="s">
        <v>771</v>
      </c>
      <c r="O917">
        <v>2001</v>
      </c>
      <c r="S917" t="s">
        <v>795</v>
      </c>
      <c r="T917">
        <v>1500059778</v>
      </c>
    </row>
    <row r="918" spans="1:20" x14ac:dyDescent="0.25">
      <c r="A918">
        <v>5100745443</v>
      </c>
      <c r="B918">
        <v>381467</v>
      </c>
      <c r="C918" t="s">
        <v>768</v>
      </c>
      <c r="D918" s="143">
        <v>46093</v>
      </c>
      <c r="E918" s="55">
        <v>65645.8</v>
      </c>
      <c r="F918" t="s">
        <v>769</v>
      </c>
      <c r="G918">
        <v>1500030317</v>
      </c>
      <c r="H918" t="s">
        <v>755</v>
      </c>
      <c r="I918" t="s">
        <v>788</v>
      </c>
      <c r="K918" s="143">
        <v>46098</v>
      </c>
      <c r="L918" s="143">
        <v>46093</v>
      </c>
      <c r="M918">
        <v>32026</v>
      </c>
      <c r="N918" t="s">
        <v>771</v>
      </c>
      <c r="O918">
        <v>2001</v>
      </c>
      <c r="S918" t="s">
        <v>778</v>
      </c>
      <c r="T918">
        <v>1500059778</v>
      </c>
    </row>
    <row r="919" spans="1:20" x14ac:dyDescent="0.25">
      <c r="A919">
        <v>5100745446</v>
      </c>
      <c r="B919">
        <v>384552</v>
      </c>
      <c r="C919" t="s">
        <v>768</v>
      </c>
      <c r="D919" s="143">
        <v>46093</v>
      </c>
      <c r="E919" s="55">
        <v>44882.559999999998</v>
      </c>
      <c r="F919" t="s">
        <v>769</v>
      </c>
      <c r="G919">
        <v>1500030318</v>
      </c>
      <c r="H919" t="s">
        <v>755</v>
      </c>
      <c r="I919" t="s">
        <v>788</v>
      </c>
      <c r="K919" s="143">
        <v>46098</v>
      </c>
      <c r="L919" s="143">
        <v>46093</v>
      </c>
      <c r="M919">
        <v>32026</v>
      </c>
      <c r="N919" t="s">
        <v>771</v>
      </c>
      <c r="O919">
        <v>2001</v>
      </c>
      <c r="S919" t="s">
        <v>778</v>
      </c>
      <c r="T919">
        <v>1500059778</v>
      </c>
    </row>
    <row r="920" spans="1:20" x14ac:dyDescent="0.25">
      <c r="A920">
        <v>5100453811</v>
      </c>
      <c r="B920">
        <v>384552</v>
      </c>
      <c r="C920" t="s">
        <v>768</v>
      </c>
      <c r="D920" s="143">
        <v>46072</v>
      </c>
      <c r="E920" s="55">
        <v>173461.94</v>
      </c>
      <c r="F920" t="s">
        <v>769</v>
      </c>
      <c r="G920">
        <v>1500091646</v>
      </c>
      <c r="H920" t="s">
        <v>755</v>
      </c>
      <c r="I920" t="s">
        <v>791</v>
      </c>
      <c r="K920" s="143">
        <v>46076</v>
      </c>
      <c r="L920" s="143">
        <v>46072</v>
      </c>
      <c r="M920">
        <v>22026</v>
      </c>
      <c r="N920" t="s">
        <v>771</v>
      </c>
      <c r="O920">
        <v>2001</v>
      </c>
      <c r="S920" t="s">
        <v>773</v>
      </c>
      <c r="T920">
        <v>1500059778</v>
      </c>
    </row>
    <row r="921" spans="1:20" x14ac:dyDescent="0.25">
      <c r="A921">
        <v>5100226330</v>
      </c>
      <c r="B921">
        <v>387860</v>
      </c>
      <c r="C921" t="s">
        <v>768</v>
      </c>
      <c r="D921" s="143">
        <v>46077</v>
      </c>
      <c r="E921" s="55">
        <v>310064</v>
      </c>
      <c r="F921" t="s">
        <v>769</v>
      </c>
      <c r="G921">
        <v>1500049126</v>
      </c>
      <c r="H921" t="s">
        <v>755</v>
      </c>
      <c r="I921" t="s">
        <v>796</v>
      </c>
      <c r="K921" s="143">
        <v>46078</v>
      </c>
      <c r="L921" s="143">
        <v>46077</v>
      </c>
      <c r="M921">
        <v>22026</v>
      </c>
      <c r="N921" t="s">
        <v>771</v>
      </c>
      <c r="O921">
        <v>2001</v>
      </c>
      <c r="S921" t="s">
        <v>783</v>
      </c>
      <c r="T921">
        <v>693262785</v>
      </c>
    </row>
    <row r="922" spans="1:20" x14ac:dyDescent="0.25">
      <c r="A922">
        <v>5100090627</v>
      </c>
      <c r="B922">
        <v>387860</v>
      </c>
      <c r="C922" t="s">
        <v>768</v>
      </c>
      <c r="D922" s="143">
        <v>46066</v>
      </c>
      <c r="E922" s="55">
        <v>116919.67999999999</v>
      </c>
      <c r="F922" t="s">
        <v>769</v>
      </c>
      <c r="G922">
        <v>1500049222</v>
      </c>
      <c r="H922" t="s">
        <v>755</v>
      </c>
      <c r="I922" t="s">
        <v>789</v>
      </c>
      <c r="K922" s="143">
        <v>46069</v>
      </c>
      <c r="L922" s="143">
        <v>46066</v>
      </c>
      <c r="M922">
        <v>22026</v>
      </c>
      <c r="N922" t="s">
        <v>771</v>
      </c>
      <c r="O922">
        <v>2001</v>
      </c>
      <c r="S922" t="s">
        <v>783</v>
      </c>
      <c r="T922">
        <v>1500059778</v>
      </c>
    </row>
    <row r="923" spans="1:20" x14ac:dyDescent="0.25">
      <c r="A923">
        <v>5100132286</v>
      </c>
      <c r="B923">
        <v>388801</v>
      </c>
      <c r="C923" t="s">
        <v>768</v>
      </c>
      <c r="D923" s="143">
        <v>46079</v>
      </c>
      <c r="E923">
        <v>572</v>
      </c>
      <c r="F923" t="s">
        <v>769</v>
      </c>
      <c r="G923">
        <v>1500056453</v>
      </c>
      <c r="H923" t="s">
        <v>755</v>
      </c>
      <c r="I923" t="s">
        <v>785</v>
      </c>
      <c r="K923" s="143">
        <v>46098</v>
      </c>
      <c r="L923" s="143">
        <v>46079</v>
      </c>
      <c r="M923">
        <v>22026</v>
      </c>
      <c r="N923" t="s">
        <v>771</v>
      </c>
      <c r="O923">
        <v>2001</v>
      </c>
      <c r="S923" t="s">
        <v>778</v>
      </c>
      <c r="T923">
        <v>1500059778</v>
      </c>
    </row>
    <row r="924" spans="1:20" x14ac:dyDescent="0.25">
      <c r="A924">
        <v>5100745448</v>
      </c>
      <c r="B924">
        <v>388801</v>
      </c>
      <c r="C924" t="s">
        <v>768</v>
      </c>
      <c r="D924" s="143">
        <v>46093</v>
      </c>
      <c r="E924" s="55">
        <v>120000</v>
      </c>
      <c r="F924" t="s">
        <v>769</v>
      </c>
      <c r="G924">
        <v>1500056453</v>
      </c>
      <c r="H924" t="s">
        <v>755</v>
      </c>
      <c r="I924" t="s">
        <v>788</v>
      </c>
      <c r="K924" s="143">
        <v>46098</v>
      </c>
      <c r="L924" s="143">
        <v>46093</v>
      </c>
      <c r="M924">
        <v>32026</v>
      </c>
      <c r="N924" t="s">
        <v>771</v>
      </c>
      <c r="O924">
        <v>2001</v>
      </c>
      <c r="S924" t="s">
        <v>778</v>
      </c>
      <c r="T924">
        <v>1500059778</v>
      </c>
    </row>
    <row r="925" spans="1:20" x14ac:dyDescent="0.25">
      <c r="A925">
        <v>5101902222</v>
      </c>
      <c r="B925">
        <v>388801</v>
      </c>
      <c r="C925" t="s">
        <v>768</v>
      </c>
      <c r="D925" s="143">
        <v>46100</v>
      </c>
      <c r="E925" s="55">
        <v>61194.19</v>
      </c>
      <c r="F925" t="s">
        <v>769</v>
      </c>
      <c r="G925">
        <v>1500122079</v>
      </c>
      <c r="H925" t="s">
        <v>755</v>
      </c>
      <c r="I925" t="s">
        <v>786</v>
      </c>
      <c r="K925" s="143">
        <v>46104</v>
      </c>
      <c r="L925" s="143">
        <v>46100</v>
      </c>
      <c r="M925">
        <v>32026</v>
      </c>
      <c r="N925" t="s">
        <v>771</v>
      </c>
      <c r="O925">
        <v>2001</v>
      </c>
      <c r="S925" t="s">
        <v>776</v>
      </c>
      <c r="T925">
        <v>1500059778</v>
      </c>
    </row>
    <row r="926" spans="1:20" x14ac:dyDescent="0.25">
      <c r="A926">
        <v>5100104522</v>
      </c>
      <c r="B926">
        <v>391177</v>
      </c>
      <c r="C926" t="s">
        <v>768</v>
      </c>
      <c r="D926" s="143">
        <v>46072</v>
      </c>
      <c r="E926" s="55">
        <v>298267.90999999997</v>
      </c>
      <c r="F926" t="s">
        <v>769</v>
      </c>
      <c r="G926">
        <v>1500091648</v>
      </c>
      <c r="H926" t="s">
        <v>755</v>
      </c>
      <c r="I926" t="s">
        <v>791</v>
      </c>
      <c r="K926" s="143">
        <v>46076</v>
      </c>
      <c r="L926" s="143">
        <v>46072</v>
      </c>
      <c r="M926">
        <v>22026</v>
      </c>
      <c r="N926" t="s">
        <v>771</v>
      </c>
      <c r="O926">
        <v>2001</v>
      </c>
      <c r="S926" t="s">
        <v>773</v>
      </c>
      <c r="T926">
        <v>1500059778</v>
      </c>
    </row>
    <row r="927" spans="1:20" x14ac:dyDescent="0.25">
      <c r="A927">
        <v>5100132278</v>
      </c>
      <c r="B927">
        <v>391177</v>
      </c>
      <c r="C927" t="s">
        <v>768</v>
      </c>
      <c r="D927" s="143">
        <v>46079</v>
      </c>
      <c r="E927" s="55">
        <v>60339.68</v>
      </c>
      <c r="F927" t="s">
        <v>769</v>
      </c>
      <c r="G927">
        <v>1500099219</v>
      </c>
      <c r="H927" t="s">
        <v>755</v>
      </c>
      <c r="I927" t="s">
        <v>785</v>
      </c>
      <c r="K927" s="143">
        <v>46083</v>
      </c>
      <c r="L927" s="143">
        <v>46079</v>
      </c>
      <c r="M927">
        <v>22026</v>
      </c>
      <c r="N927" t="s">
        <v>771</v>
      </c>
      <c r="O927">
        <v>2001</v>
      </c>
      <c r="S927" t="s">
        <v>783</v>
      </c>
      <c r="T927">
        <v>1500059778</v>
      </c>
    </row>
    <row r="928" spans="1:20" x14ac:dyDescent="0.25">
      <c r="A928">
        <v>1900128122</v>
      </c>
      <c r="B928">
        <v>398289</v>
      </c>
      <c r="C928" t="s">
        <v>792</v>
      </c>
      <c r="D928" s="143">
        <v>46066</v>
      </c>
      <c r="E928" s="55">
        <v>-53146.05</v>
      </c>
      <c r="F928" t="s">
        <v>769</v>
      </c>
      <c r="G928">
        <v>101529505</v>
      </c>
      <c r="H928" t="s">
        <v>755</v>
      </c>
      <c r="I928" t="s">
        <v>789</v>
      </c>
      <c r="K928" s="143">
        <v>46079</v>
      </c>
      <c r="L928" s="143">
        <v>46066</v>
      </c>
      <c r="M928">
        <v>22026</v>
      </c>
      <c r="N928" t="s">
        <v>771</v>
      </c>
      <c r="O928">
        <v>2001</v>
      </c>
      <c r="Q928" t="s">
        <v>793</v>
      </c>
      <c r="S928" t="s">
        <v>795</v>
      </c>
      <c r="T928">
        <v>1500059778</v>
      </c>
    </row>
    <row r="929" spans="1:20" x14ac:dyDescent="0.25">
      <c r="A929">
        <v>1900140214</v>
      </c>
      <c r="B929">
        <v>398289</v>
      </c>
      <c r="C929" t="s">
        <v>792</v>
      </c>
      <c r="D929" s="143">
        <v>46077</v>
      </c>
      <c r="E929" s="55">
        <v>-189681</v>
      </c>
      <c r="F929" t="s">
        <v>769</v>
      </c>
      <c r="G929">
        <v>101529505</v>
      </c>
      <c r="H929" t="s">
        <v>755</v>
      </c>
      <c r="I929" t="s">
        <v>796</v>
      </c>
      <c r="K929" s="143">
        <v>46079</v>
      </c>
      <c r="L929" s="143">
        <v>46077</v>
      </c>
      <c r="M929">
        <v>22026</v>
      </c>
      <c r="N929" t="s">
        <v>771</v>
      </c>
      <c r="O929">
        <v>2001</v>
      </c>
      <c r="Q929" t="s">
        <v>800</v>
      </c>
      <c r="S929" t="s">
        <v>795</v>
      </c>
      <c r="T929">
        <v>693262785</v>
      </c>
    </row>
    <row r="930" spans="1:20" x14ac:dyDescent="0.25">
      <c r="A930">
        <v>5100090631</v>
      </c>
      <c r="B930">
        <v>398289</v>
      </c>
      <c r="C930" t="s">
        <v>768</v>
      </c>
      <c r="D930" s="143">
        <v>46066</v>
      </c>
      <c r="E930" s="55">
        <v>53146.05</v>
      </c>
      <c r="F930" t="s">
        <v>769</v>
      </c>
      <c r="G930">
        <v>101529505</v>
      </c>
      <c r="H930" t="s">
        <v>755</v>
      </c>
      <c r="I930" t="s">
        <v>789</v>
      </c>
      <c r="K930" s="143">
        <v>46079</v>
      </c>
      <c r="L930" s="143">
        <v>46066</v>
      </c>
      <c r="M930">
        <v>22026</v>
      </c>
      <c r="N930" t="s">
        <v>771</v>
      </c>
      <c r="O930">
        <v>2001</v>
      </c>
      <c r="S930" t="s">
        <v>795</v>
      </c>
      <c r="T930">
        <v>1500059778</v>
      </c>
    </row>
    <row r="931" spans="1:20" x14ac:dyDescent="0.25">
      <c r="A931">
        <v>5100226332</v>
      </c>
      <c r="B931">
        <v>398289</v>
      </c>
      <c r="C931" t="s">
        <v>768</v>
      </c>
      <c r="D931" s="143">
        <v>46077</v>
      </c>
      <c r="E931" s="55">
        <v>189681</v>
      </c>
      <c r="F931" t="s">
        <v>769</v>
      </c>
      <c r="G931">
        <v>101529505</v>
      </c>
      <c r="H931" t="s">
        <v>755</v>
      </c>
      <c r="I931" t="s">
        <v>796</v>
      </c>
      <c r="K931" s="143">
        <v>46079</v>
      </c>
      <c r="L931" s="143">
        <v>46077</v>
      </c>
      <c r="M931">
        <v>22026</v>
      </c>
      <c r="N931" t="s">
        <v>771</v>
      </c>
      <c r="O931">
        <v>2001</v>
      </c>
      <c r="S931" t="s">
        <v>795</v>
      </c>
      <c r="T931">
        <v>693262785</v>
      </c>
    </row>
    <row r="932" spans="1:20" x14ac:dyDescent="0.25">
      <c r="A932">
        <v>5100361615</v>
      </c>
      <c r="B932">
        <v>191</v>
      </c>
      <c r="C932" t="s">
        <v>768</v>
      </c>
      <c r="D932" s="143">
        <v>46035</v>
      </c>
      <c r="E932" s="55">
        <v>44270.42</v>
      </c>
      <c r="F932" t="s">
        <v>769</v>
      </c>
      <c r="G932">
        <v>1500045028</v>
      </c>
      <c r="H932" t="s">
        <v>755</v>
      </c>
      <c r="I932" t="s">
        <v>770</v>
      </c>
      <c r="K932" s="143">
        <v>46083</v>
      </c>
      <c r="L932" s="143">
        <v>46035</v>
      </c>
      <c r="M932">
        <v>12025</v>
      </c>
      <c r="N932" t="s">
        <v>771</v>
      </c>
      <c r="O932">
        <v>2001</v>
      </c>
      <c r="S932">
        <v>514378</v>
      </c>
      <c r="T932" t="s">
        <v>772</v>
      </c>
    </row>
    <row r="933" spans="1:20" x14ac:dyDescent="0.25">
      <c r="A933">
        <v>5100361616</v>
      </c>
      <c r="B933">
        <v>191</v>
      </c>
      <c r="C933" t="s">
        <v>768</v>
      </c>
      <c r="D933" s="143">
        <v>46035</v>
      </c>
      <c r="E933" s="55">
        <v>4240</v>
      </c>
      <c r="F933" t="s">
        <v>769</v>
      </c>
      <c r="G933">
        <v>1500045028</v>
      </c>
      <c r="H933" t="s">
        <v>755</v>
      </c>
      <c r="I933" t="s">
        <v>770</v>
      </c>
      <c r="K933" s="143">
        <v>46083</v>
      </c>
      <c r="L933" s="143">
        <v>46035</v>
      </c>
      <c r="M933">
        <v>22025</v>
      </c>
      <c r="N933" t="s">
        <v>771</v>
      </c>
      <c r="O933">
        <v>2001</v>
      </c>
      <c r="S933">
        <v>514378</v>
      </c>
      <c r="T933" t="s">
        <v>772</v>
      </c>
    </row>
    <row r="934" spans="1:20" x14ac:dyDescent="0.25">
      <c r="A934">
        <v>5100361617</v>
      </c>
      <c r="B934">
        <v>191</v>
      </c>
      <c r="C934" t="s">
        <v>768</v>
      </c>
      <c r="D934" s="143">
        <v>46035</v>
      </c>
      <c r="E934" s="55">
        <v>17565.73</v>
      </c>
      <c r="F934" t="s">
        <v>769</v>
      </c>
      <c r="G934">
        <v>1500045028</v>
      </c>
      <c r="H934" t="s">
        <v>755</v>
      </c>
      <c r="I934" t="s">
        <v>770</v>
      </c>
      <c r="K934" s="143">
        <v>46083</v>
      </c>
      <c r="L934" s="143">
        <v>46035</v>
      </c>
      <c r="M934">
        <v>32025</v>
      </c>
      <c r="N934" t="s">
        <v>771</v>
      </c>
      <c r="O934">
        <v>2001</v>
      </c>
      <c r="S934">
        <v>514378</v>
      </c>
      <c r="T934" t="s">
        <v>772</v>
      </c>
    </row>
    <row r="935" spans="1:20" x14ac:dyDescent="0.25">
      <c r="A935">
        <v>5100361618</v>
      </c>
      <c r="B935">
        <v>191</v>
      </c>
      <c r="C935" t="s">
        <v>768</v>
      </c>
      <c r="D935" s="143">
        <v>46035</v>
      </c>
      <c r="E935">
        <v>222.1</v>
      </c>
      <c r="F935" t="s">
        <v>769</v>
      </c>
      <c r="G935">
        <v>1500045028</v>
      </c>
      <c r="H935" t="s">
        <v>755</v>
      </c>
      <c r="I935" t="s">
        <v>770</v>
      </c>
      <c r="K935" s="143">
        <v>46083</v>
      </c>
      <c r="L935" s="143">
        <v>46035</v>
      </c>
      <c r="M935">
        <v>52025</v>
      </c>
      <c r="N935" t="s">
        <v>771</v>
      </c>
      <c r="O935">
        <v>2001</v>
      </c>
      <c r="S935">
        <v>514378</v>
      </c>
      <c r="T935" t="s">
        <v>772</v>
      </c>
    </row>
    <row r="936" spans="1:20" x14ac:dyDescent="0.25">
      <c r="A936">
        <v>5100361619</v>
      </c>
      <c r="B936">
        <v>191</v>
      </c>
      <c r="C936" t="s">
        <v>768</v>
      </c>
      <c r="D936" s="143">
        <v>46035</v>
      </c>
      <c r="E936" s="55">
        <v>33905.839999999997</v>
      </c>
      <c r="F936" t="s">
        <v>769</v>
      </c>
      <c r="G936">
        <v>1500045028</v>
      </c>
      <c r="H936" t="s">
        <v>755</v>
      </c>
      <c r="I936" t="s">
        <v>770</v>
      </c>
      <c r="K936" s="143">
        <v>46083</v>
      </c>
      <c r="L936" s="143">
        <v>46035</v>
      </c>
      <c r="M936">
        <v>62025</v>
      </c>
      <c r="N936" t="s">
        <v>771</v>
      </c>
      <c r="O936">
        <v>2001</v>
      </c>
      <c r="S936">
        <v>514378</v>
      </c>
      <c r="T936" t="s">
        <v>772</v>
      </c>
    </row>
    <row r="937" spans="1:20" x14ac:dyDescent="0.25">
      <c r="A937">
        <v>5100361620</v>
      </c>
      <c r="B937">
        <v>191</v>
      </c>
      <c r="C937" t="s">
        <v>768</v>
      </c>
      <c r="D937" s="143">
        <v>46035</v>
      </c>
      <c r="E937" s="55">
        <v>27226.21</v>
      </c>
      <c r="F937" t="s">
        <v>769</v>
      </c>
      <c r="G937">
        <v>1500045028</v>
      </c>
      <c r="H937" t="s">
        <v>755</v>
      </c>
      <c r="I937" t="s">
        <v>770</v>
      </c>
      <c r="K937" s="143">
        <v>46083</v>
      </c>
      <c r="L937" s="143">
        <v>46035</v>
      </c>
      <c r="M937">
        <v>72025</v>
      </c>
      <c r="N937" t="s">
        <v>771</v>
      </c>
      <c r="O937">
        <v>2001</v>
      </c>
      <c r="S937">
        <v>514378</v>
      </c>
      <c r="T937" t="s">
        <v>772</v>
      </c>
    </row>
    <row r="938" spans="1:20" x14ac:dyDescent="0.25">
      <c r="A938">
        <v>5100423230</v>
      </c>
      <c r="B938">
        <v>453</v>
      </c>
      <c r="C938" t="s">
        <v>768</v>
      </c>
      <c r="D938" s="143">
        <v>46035</v>
      </c>
      <c r="E938" s="55">
        <v>21783.56</v>
      </c>
      <c r="F938" t="s">
        <v>769</v>
      </c>
      <c r="G938">
        <v>1500060330</v>
      </c>
      <c r="H938" t="s">
        <v>755</v>
      </c>
      <c r="I938" t="s">
        <v>770</v>
      </c>
      <c r="K938" s="143">
        <v>46083</v>
      </c>
      <c r="L938" s="143">
        <v>46035</v>
      </c>
      <c r="M938">
        <v>12025</v>
      </c>
      <c r="N938" t="s">
        <v>771</v>
      </c>
      <c r="O938">
        <v>2001</v>
      </c>
      <c r="R938" t="s">
        <v>780</v>
      </c>
      <c r="S938" t="s">
        <v>781</v>
      </c>
      <c r="T938" t="s">
        <v>772</v>
      </c>
    </row>
    <row r="939" spans="1:20" x14ac:dyDescent="0.25">
      <c r="A939">
        <v>5100423231</v>
      </c>
      <c r="B939">
        <v>453</v>
      </c>
      <c r="C939" t="s">
        <v>768</v>
      </c>
      <c r="D939" s="143">
        <v>46035</v>
      </c>
      <c r="E939" s="55">
        <v>18161.57</v>
      </c>
      <c r="F939" t="s">
        <v>769</v>
      </c>
      <c r="G939">
        <v>1500060330</v>
      </c>
      <c r="H939" t="s">
        <v>755</v>
      </c>
      <c r="I939" t="s">
        <v>770</v>
      </c>
      <c r="K939" s="143">
        <v>46083</v>
      </c>
      <c r="L939" s="143">
        <v>46035</v>
      </c>
      <c r="M939">
        <v>22025</v>
      </c>
      <c r="N939" t="s">
        <v>771</v>
      </c>
      <c r="O939">
        <v>2001</v>
      </c>
      <c r="R939" t="s">
        <v>780</v>
      </c>
      <c r="S939" t="s">
        <v>781</v>
      </c>
      <c r="T939" t="s">
        <v>772</v>
      </c>
    </row>
    <row r="940" spans="1:20" x14ac:dyDescent="0.25">
      <c r="A940">
        <v>5100423232</v>
      </c>
      <c r="B940">
        <v>453</v>
      </c>
      <c r="C940" t="s">
        <v>768</v>
      </c>
      <c r="D940" s="143">
        <v>46035</v>
      </c>
      <c r="E940" s="55">
        <v>28144.799999999999</v>
      </c>
      <c r="F940" t="s">
        <v>769</v>
      </c>
      <c r="G940">
        <v>1500060330</v>
      </c>
      <c r="H940" t="s">
        <v>755</v>
      </c>
      <c r="I940" t="s">
        <v>770</v>
      </c>
      <c r="K940" s="143">
        <v>46083</v>
      </c>
      <c r="L940" s="143">
        <v>46035</v>
      </c>
      <c r="M940">
        <v>32025</v>
      </c>
      <c r="N940" t="s">
        <v>771</v>
      </c>
      <c r="O940">
        <v>2001</v>
      </c>
      <c r="R940" t="s">
        <v>780</v>
      </c>
      <c r="S940" t="s">
        <v>781</v>
      </c>
      <c r="T940" t="s">
        <v>772</v>
      </c>
    </row>
    <row r="941" spans="1:20" x14ac:dyDescent="0.25">
      <c r="A941">
        <v>5100423233</v>
      </c>
      <c r="B941">
        <v>453</v>
      </c>
      <c r="C941" t="s">
        <v>768</v>
      </c>
      <c r="D941" s="143">
        <v>46035</v>
      </c>
      <c r="E941">
        <v>238.53</v>
      </c>
      <c r="F941" t="s">
        <v>769</v>
      </c>
      <c r="G941">
        <v>1500060330</v>
      </c>
      <c r="H941" t="s">
        <v>755</v>
      </c>
      <c r="I941" t="s">
        <v>770</v>
      </c>
      <c r="K941" s="143">
        <v>46083</v>
      </c>
      <c r="L941" s="143">
        <v>46035</v>
      </c>
      <c r="M941">
        <v>62025</v>
      </c>
      <c r="N941" t="s">
        <v>771</v>
      </c>
      <c r="O941">
        <v>2001</v>
      </c>
      <c r="R941" t="s">
        <v>780</v>
      </c>
      <c r="S941" t="s">
        <v>781</v>
      </c>
      <c r="T941" t="s">
        <v>772</v>
      </c>
    </row>
    <row r="942" spans="1:20" x14ac:dyDescent="0.25">
      <c r="A942">
        <v>5100423234</v>
      </c>
      <c r="B942">
        <v>453</v>
      </c>
      <c r="C942" t="s">
        <v>768</v>
      </c>
      <c r="D942" s="143">
        <v>46035</v>
      </c>
      <c r="E942" s="55">
        <v>1499.75</v>
      </c>
      <c r="F942" t="s">
        <v>769</v>
      </c>
      <c r="G942">
        <v>1500060330</v>
      </c>
      <c r="H942" t="s">
        <v>755</v>
      </c>
      <c r="I942" t="s">
        <v>770</v>
      </c>
      <c r="K942" s="143">
        <v>46083</v>
      </c>
      <c r="L942" s="143">
        <v>46035</v>
      </c>
      <c r="M942">
        <v>72025</v>
      </c>
      <c r="N942" t="s">
        <v>771</v>
      </c>
      <c r="O942">
        <v>2001</v>
      </c>
      <c r="R942" t="s">
        <v>780</v>
      </c>
      <c r="S942" t="s">
        <v>781</v>
      </c>
      <c r="T942" t="s">
        <v>772</v>
      </c>
    </row>
    <row r="943" spans="1:20" x14ac:dyDescent="0.25">
      <c r="A943">
        <v>5100423235</v>
      </c>
      <c r="B943">
        <v>453</v>
      </c>
      <c r="C943" t="s">
        <v>768</v>
      </c>
      <c r="D943" s="143">
        <v>46035</v>
      </c>
      <c r="E943" s="55">
        <v>14747.56</v>
      </c>
      <c r="F943" t="s">
        <v>769</v>
      </c>
      <c r="G943">
        <v>1500060330</v>
      </c>
      <c r="H943" t="s">
        <v>755</v>
      </c>
      <c r="I943" t="s">
        <v>770</v>
      </c>
      <c r="K943" s="143">
        <v>46083</v>
      </c>
      <c r="L943" s="143">
        <v>46035</v>
      </c>
      <c r="M943">
        <v>82025</v>
      </c>
      <c r="N943" t="s">
        <v>771</v>
      </c>
      <c r="O943">
        <v>2001</v>
      </c>
      <c r="R943" t="s">
        <v>780</v>
      </c>
      <c r="S943" t="s">
        <v>781</v>
      </c>
      <c r="T943" t="s">
        <v>772</v>
      </c>
    </row>
    <row r="944" spans="1:20" x14ac:dyDescent="0.25">
      <c r="A944">
        <v>5100423236</v>
      </c>
      <c r="B944">
        <v>453</v>
      </c>
      <c r="C944" t="s">
        <v>768</v>
      </c>
      <c r="D944" s="143">
        <v>46035</v>
      </c>
      <c r="E944" s="55">
        <v>16997.189999999999</v>
      </c>
      <c r="F944" t="s">
        <v>769</v>
      </c>
      <c r="G944">
        <v>1500060330</v>
      </c>
      <c r="H944" t="s">
        <v>755</v>
      </c>
      <c r="I944" t="s">
        <v>770</v>
      </c>
      <c r="K944" s="143">
        <v>46083</v>
      </c>
      <c r="L944" s="143">
        <v>46035</v>
      </c>
      <c r="M944">
        <v>92025</v>
      </c>
      <c r="N944" t="s">
        <v>771</v>
      </c>
      <c r="O944">
        <v>2001</v>
      </c>
      <c r="R944" t="s">
        <v>780</v>
      </c>
      <c r="S944" t="s">
        <v>781</v>
      </c>
      <c r="T944" t="s">
        <v>772</v>
      </c>
    </row>
    <row r="945" spans="1:20" x14ac:dyDescent="0.25">
      <c r="A945">
        <v>5100423237</v>
      </c>
      <c r="B945">
        <v>466</v>
      </c>
      <c r="C945" t="s">
        <v>768</v>
      </c>
      <c r="D945" s="143">
        <v>46035</v>
      </c>
      <c r="E945">
        <v>107.31</v>
      </c>
      <c r="F945" t="s">
        <v>769</v>
      </c>
      <c r="G945">
        <v>1500087606</v>
      </c>
      <c r="H945" t="s">
        <v>755</v>
      </c>
      <c r="I945" t="s">
        <v>770</v>
      </c>
      <c r="K945" s="143">
        <v>46076</v>
      </c>
      <c r="L945" s="143">
        <v>46035</v>
      </c>
      <c r="M945">
        <v>22025</v>
      </c>
      <c r="N945" t="s">
        <v>771</v>
      </c>
      <c r="O945">
        <v>2001</v>
      </c>
      <c r="S945" t="s">
        <v>783</v>
      </c>
      <c r="T945" t="s">
        <v>772</v>
      </c>
    </row>
    <row r="946" spans="1:20" x14ac:dyDescent="0.25">
      <c r="A946">
        <v>5100423238</v>
      </c>
      <c r="B946">
        <v>466</v>
      </c>
      <c r="C946" t="s">
        <v>768</v>
      </c>
      <c r="D946" s="143">
        <v>46035</v>
      </c>
      <c r="E946">
        <v>144.54</v>
      </c>
      <c r="F946" t="s">
        <v>769</v>
      </c>
      <c r="G946">
        <v>1500087606</v>
      </c>
      <c r="H946" t="s">
        <v>755</v>
      </c>
      <c r="I946" t="s">
        <v>770</v>
      </c>
      <c r="K946" s="143">
        <v>46076</v>
      </c>
      <c r="L946" s="143">
        <v>46035</v>
      </c>
      <c r="M946">
        <v>32025</v>
      </c>
      <c r="N946" t="s">
        <v>771</v>
      </c>
      <c r="O946">
        <v>2001</v>
      </c>
      <c r="S946" t="s">
        <v>783</v>
      </c>
      <c r="T946" t="s">
        <v>772</v>
      </c>
    </row>
    <row r="947" spans="1:20" x14ac:dyDescent="0.25">
      <c r="A947">
        <v>5100423239</v>
      </c>
      <c r="B947">
        <v>466</v>
      </c>
      <c r="C947" t="s">
        <v>768</v>
      </c>
      <c r="D947" s="143">
        <v>46035</v>
      </c>
      <c r="E947" s="55">
        <v>1662.31</v>
      </c>
      <c r="F947" t="s">
        <v>769</v>
      </c>
      <c r="G947">
        <v>1500087606</v>
      </c>
      <c r="H947" t="s">
        <v>755</v>
      </c>
      <c r="I947" t="s">
        <v>770</v>
      </c>
      <c r="K947" s="143">
        <v>46076</v>
      </c>
      <c r="L947" s="143">
        <v>46035</v>
      </c>
      <c r="M947">
        <v>42025</v>
      </c>
      <c r="N947" t="s">
        <v>771</v>
      </c>
      <c r="O947">
        <v>2001</v>
      </c>
      <c r="S947" t="s">
        <v>783</v>
      </c>
      <c r="T947" t="s">
        <v>772</v>
      </c>
    </row>
    <row r="948" spans="1:20" x14ac:dyDescent="0.25">
      <c r="A948">
        <v>5100423240</v>
      </c>
      <c r="B948">
        <v>466</v>
      </c>
      <c r="C948" t="s">
        <v>768</v>
      </c>
      <c r="D948" s="143">
        <v>46035</v>
      </c>
      <c r="E948">
        <v>105.5</v>
      </c>
      <c r="F948" t="s">
        <v>769</v>
      </c>
      <c r="G948">
        <v>1500087606</v>
      </c>
      <c r="H948" t="s">
        <v>755</v>
      </c>
      <c r="I948" t="s">
        <v>770</v>
      </c>
      <c r="K948" s="143">
        <v>46076</v>
      </c>
      <c r="L948" s="143">
        <v>46035</v>
      </c>
      <c r="M948">
        <v>62025</v>
      </c>
      <c r="N948" t="s">
        <v>771</v>
      </c>
      <c r="O948">
        <v>2001</v>
      </c>
      <c r="S948" t="s">
        <v>783</v>
      </c>
      <c r="T948" t="s">
        <v>772</v>
      </c>
    </row>
    <row r="949" spans="1:20" x14ac:dyDescent="0.25">
      <c r="A949">
        <v>5100423241</v>
      </c>
      <c r="B949">
        <v>466</v>
      </c>
      <c r="C949" t="s">
        <v>768</v>
      </c>
      <c r="D949" s="143">
        <v>46035</v>
      </c>
      <c r="E949" s="55">
        <v>63894.66</v>
      </c>
      <c r="F949" t="s">
        <v>769</v>
      </c>
      <c r="G949">
        <v>1500087606</v>
      </c>
      <c r="H949" t="s">
        <v>755</v>
      </c>
      <c r="I949" t="s">
        <v>770</v>
      </c>
      <c r="K949" s="143">
        <v>46076</v>
      </c>
      <c r="L949" s="143">
        <v>46035</v>
      </c>
      <c r="M949">
        <v>72025</v>
      </c>
      <c r="N949" t="s">
        <v>771</v>
      </c>
      <c r="O949">
        <v>2001</v>
      </c>
      <c r="S949" t="s">
        <v>783</v>
      </c>
      <c r="T949" t="s">
        <v>772</v>
      </c>
    </row>
    <row r="950" spans="1:20" x14ac:dyDescent="0.25">
      <c r="A950">
        <v>5100423242</v>
      </c>
      <c r="B950">
        <v>466</v>
      </c>
      <c r="C950" t="s">
        <v>768</v>
      </c>
      <c r="D950" s="143">
        <v>46035</v>
      </c>
      <c r="E950">
        <v>192.73</v>
      </c>
      <c r="F950" t="s">
        <v>769</v>
      </c>
      <c r="G950">
        <v>1500087606</v>
      </c>
      <c r="H950" t="s">
        <v>755</v>
      </c>
      <c r="I950" t="s">
        <v>770</v>
      </c>
      <c r="K950" s="143">
        <v>46076</v>
      </c>
      <c r="L950" s="143">
        <v>46035</v>
      </c>
      <c r="M950">
        <v>82025</v>
      </c>
      <c r="N950" t="s">
        <v>771</v>
      </c>
      <c r="O950">
        <v>2001</v>
      </c>
      <c r="S950" t="s">
        <v>783</v>
      </c>
      <c r="T950" t="s">
        <v>772</v>
      </c>
    </row>
    <row r="951" spans="1:20" x14ac:dyDescent="0.25">
      <c r="A951">
        <v>5100423249</v>
      </c>
      <c r="B951">
        <v>487</v>
      </c>
      <c r="C951" t="s">
        <v>768</v>
      </c>
      <c r="D951" s="143">
        <v>46035</v>
      </c>
      <c r="E951" s="55">
        <v>1592.85</v>
      </c>
      <c r="F951" t="s">
        <v>769</v>
      </c>
      <c r="G951">
        <v>1500087607</v>
      </c>
      <c r="H951" t="s">
        <v>755</v>
      </c>
      <c r="I951" t="s">
        <v>770</v>
      </c>
      <c r="K951" s="143">
        <v>46076</v>
      </c>
      <c r="L951" s="143">
        <v>46035</v>
      </c>
      <c r="M951">
        <v>22025</v>
      </c>
      <c r="N951" t="s">
        <v>771</v>
      </c>
      <c r="O951">
        <v>2001</v>
      </c>
      <c r="S951">
        <v>514385</v>
      </c>
      <c r="T951" t="s">
        <v>772</v>
      </c>
    </row>
    <row r="952" spans="1:20" x14ac:dyDescent="0.25">
      <c r="A952">
        <v>5100423250</v>
      </c>
      <c r="B952">
        <v>487</v>
      </c>
      <c r="C952" t="s">
        <v>768</v>
      </c>
      <c r="D952" s="143">
        <v>46035</v>
      </c>
      <c r="E952" s="55">
        <v>20102.39</v>
      </c>
      <c r="F952" t="s">
        <v>769</v>
      </c>
      <c r="G952">
        <v>1500087607</v>
      </c>
      <c r="H952" t="s">
        <v>755</v>
      </c>
      <c r="I952" t="s">
        <v>770</v>
      </c>
      <c r="K952" s="143">
        <v>46076</v>
      </c>
      <c r="L952" s="143">
        <v>46035</v>
      </c>
      <c r="M952">
        <v>32025</v>
      </c>
      <c r="N952" t="s">
        <v>771</v>
      </c>
      <c r="O952">
        <v>2001</v>
      </c>
      <c r="S952">
        <v>514385</v>
      </c>
      <c r="T952" t="s">
        <v>772</v>
      </c>
    </row>
    <row r="953" spans="1:20" x14ac:dyDescent="0.25">
      <c r="A953">
        <v>5100423251</v>
      </c>
      <c r="B953">
        <v>487</v>
      </c>
      <c r="C953" t="s">
        <v>768</v>
      </c>
      <c r="D953" s="143">
        <v>46035</v>
      </c>
      <c r="E953" s="55">
        <v>4196.3100000000004</v>
      </c>
      <c r="F953" t="s">
        <v>769</v>
      </c>
      <c r="G953">
        <v>1500087607</v>
      </c>
      <c r="H953" t="s">
        <v>755</v>
      </c>
      <c r="I953" t="s">
        <v>770</v>
      </c>
      <c r="K953" s="143">
        <v>46076</v>
      </c>
      <c r="L953" s="143">
        <v>46035</v>
      </c>
      <c r="M953">
        <v>42025</v>
      </c>
      <c r="N953" t="s">
        <v>771</v>
      </c>
      <c r="O953">
        <v>2001</v>
      </c>
      <c r="S953">
        <v>514385</v>
      </c>
      <c r="T953" t="s">
        <v>772</v>
      </c>
    </row>
    <row r="954" spans="1:20" x14ac:dyDescent="0.25">
      <c r="A954">
        <v>5100423252</v>
      </c>
      <c r="B954">
        <v>487</v>
      </c>
      <c r="C954" t="s">
        <v>768</v>
      </c>
      <c r="D954" s="143">
        <v>46035</v>
      </c>
      <c r="E954" s="55">
        <v>4054.96</v>
      </c>
      <c r="F954" t="s">
        <v>769</v>
      </c>
      <c r="G954">
        <v>1500087607</v>
      </c>
      <c r="H954" t="s">
        <v>755</v>
      </c>
      <c r="I954" t="s">
        <v>770</v>
      </c>
      <c r="K954" s="143">
        <v>46076</v>
      </c>
      <c r="L954" s="143">
        <v>46035</v>
      </c>
      <c r="M954">
        <v>62025</v>
      </c>
      <c r="N954" t="s">
        <v>771</v>
      </c>
      <c r="O954">
        <v>2001</v>
      </c>
      <c r="S954">
        <v>514385</v>
      </c>
      <c r="T954" t="s">
        <v>772</v>
      </c>
    </row>
    <row r="955" spans="1:20" x14ac:dyDescent="0.25">
      <c r="A955">
        <v>5100423253</v>
      </c>
      <c r="B955">
        <v>487</v>
      </c>
      <c r="C955" t="s">
        <v>768</v>
      </c>
      <c r="D955" s="143">
        <v>46035</v>
      </c>
      <c r="E955">
        <v>758.42</v>
      </c>
      <c r="F955" t="s">
        <v>769</v>
      </c>
      <c r="G955">
        <v>1500087607</v>
      </c>
      <c r="H955" t="s">
        <v>755</v>
      </c>
      <c r="I955" t="s">
        <v>770</v>
      </c>
      <c r="K955" s="143">
        <v>46076</v>
      </c>
      <c r="L955" s="143">
        <v>46035</v>
      </c>
      <c r="M955">
        <v>72025</v>
      </c>
      <c r="N955" t="s">
        <v>771</v>
      </c>
      <c r="O955">
        <v>2001</v>
      </c>
      <c r="S955">
        <v>514385</v>
      </c>
      <c r="T955" t="s">
        <v>772</v>
      </c>
    </row>
    <row r="956" spans="1:20" x14ac:dyDescent="0.25">
      <c r="A956">
        <v>5100421580</v>
      </c>
      <c r="B956">
        <v>1398</v>
      </c>
      <c r="C956" t="s">
        <v>768</v>
      </c>
      <c r="D956" s="143">
        <v>46035</v>
      </c>
      <c r="E956">
        <v>46</v>
      </c>
      <c r="F956" t="s">
        <v>769</v>
      </c>
      <c r="G956">
        <v>1500087609</v>
      </c>
      <c r="H956" t="s">
        <v>755</v>
      </c>
      <c r="I956" t="s">
        <v>770</v>
      </c>
      <c r="K956" s="143">
        <v>46076</v>
      </c>
      <c r="L956" s="143">
        <v>46035</v>
      </c>
      <c r="M956">
        <v>32025</v>
      </c>
      <c r="N956" t="s">
        <v>771</v>
      </c>
      <c r="O956">
        <v>2001</v>
      </c>
      <c r="S956">
        <v>515068</v>
      </c>
      <c r="T956" t="s">
        <v>772</v>
      </c>
    </row>
    <row r="957" spans="1:20" x14ac:dyDescent="0.25">
      <c r="A957">
        <v>5100421581</v>
      </c>
      <c r="B957">
        <v>1398</v>
      </c>
      <c r="C957" t="s">
        <v>768</v>
      </c>
      <c r="D957" s="143">
        <v>46035</v>
      </c>
      <c r="E957">
        <v>77.900000000000006</v>
      </c>
      <c r="F957" t="s">
        <v>769</v>
      </c>
      <c r="G957">
        <v>1500087609</v>
      </c>
      <c r="H957" t="s">
        <v>755</v>
      </c>
      <c r="I957" t="s">
        <v>770</v>
      </c>
      <c r="K957" s="143">
        <v>46076</v>
      </c>
      <c r="L957" s="143">
        <v>46035</v>
      </c>
      <c r="M957">
        <v>42025</v>
      </c>
      <c r="N957" t="s">
        <v>771</v>
      </c>
      <c r="O957">
        <v>2001</v>
      </c>
      <c r="S957">
        <v>515068</v>
      </c>
      <c r="T957" t="s">
        <v>772</v>
      </c>
    </row>
    <row r="958" spans="1:20" x14ac:dyDescent="0.25">
      <c r="A958">
        <v>5100421582</v>
      </c>
      <c r="B958">
        <v>1398</v>
      </c>
      <c r="C958" t="s">
        <v>768</v>
      </c>
      <c r="D958" s="143">
        <v>46035</v>
      </c>
      <c r="E958" s="55">
        <v>8264.7000000000007</v>
      </c>
      <c r="F958" t="s">
        <v>769</v>
      </c>
      <c r="G958">
        <v>1500087609</v>
      </c>
      <c r="H958" t="s">
        <v>755</v>
      </c>
      <c r="I958" t="s">
        <v>770</v>
      </c>
      <c r="K958" s="143">
        <v>46076</v>
      </c>
      <c r="L958" s="143">
        <v>46035</v>
      </c>
      <c r="M958">
        <v>72025</v>
      </c>
      <c r="N958" t="s">
        <v>771</v>
      </c>
      <c r="O958">
        <v>2001</v>
      </c>
      <c r="S958">
        <v>515068</v>
      </c>
      <c r="T958" t="s">
        <v>772</v>
      </c>
    </row>
    <row r="959" spans="1:20" x14ac:dyDescent="0.25">
      <c r="A959">
        <v>5100421583</v>
      </c>
      <c r="B959">
        <v>1398</v>
      </c>
      <c r="C959" t="s">
        <v>768</v>
      </c>
      <c r="D959" s="143">
        <v>46035</v>
      </c>
      <c r="E959" s="55">
        <v>6694.97</v>
      </c>
      <c r="F959" t="s">
        <v>769</v>
      </c>
      <c r="G959">
        <v>1500087609</v>
      </c>
      <c r="H959" t="s">
        <v>755</v>
      </c>
      <c r="I959" t="s">
        <v>770</v>
      </c>
      <c r="K959" s="143">
        <v>46076</v>
      </c>
      <c r="L959" s="143">
        <v>46035</v>
      </c>
      <c r="M959">
        <v>82025</v>
      </c>
      <c r="N959" t="s">
        <v>771</v>
      </c>
      <c r="O959">
        <v>2001</v>
      </c>
      <c r="S959">
        <v>515068</v>
      </c>
      <c r="T959" t="s">
        <v>772</v>
      </c>
    </row>
    <row r="960" spans="1:20" x14ac:dyDescent="0.25">
      <c r="A960">
        <v>5100421584</v>
      </c>
      <c r="B960">
        <v>1398</v>
      </c>
      <c r="C960" t="s">
        <v>768</v>
      </c>
      <c r="D960" s="143">
        <v>46035</v>
      </c>
      <c r="E960" s="55">
        <v>23790.85</v>
      </c>
      <c r="F960" t="s">
        <v>769</v>
      </c>
      <c r="G960">
        <v>1500087609</v>
      </c>
      <c r="H960" t="s">
        <v>755</v>
      </c>
      <c r="I960" t="s">
        <v>770</v>
      </c>
      <c r="K960" s="143">
        <v>46076</v>
      </c>
      <c r="L960" s="143">
        <v>46035</v>
      </c>
      <c r="M960">
        <v>92025</v>
      </c>
      <c r="N960" t="s">
        <v>771</v>
      </c>
      <c r="O960">
        <v>2001</v>
      </c>
      <c r="S960">
        <v>515068</v>
      </c>
      <c r="T960" t="s">
        <v>772</v>
      </c>
    </row>
    <row r="961" spans="1:20" x14ac:dyDescent="0.25">
      <c r="A961">
        <v>5100422797</v>
      </c>
      <c r="B961">
        <v>3773</v>
      </c>
      <c r="C961" t="s">
        <v>768</v>
      </c>
      <c r="D961" s="143">
        <v>46035</v>
      </c>
      <c r="E961" s="55">
        <v>54635.31</v>
      </c>
      <c r="F961" t="s">
        <v>769</v>
      </c>
      <c r="G961">
        <v>1500038739</v>
      </c>
      <c r="H961" t="s">
        <v>755</v>
      </c>
      <c r="I961" t="s">
        <v>770</v>
      </c>
      <c r="K961" s="143">
        <v>46069</v>
      </c>
      <c r="L961" s="143">
        <v>46035</v>
      </c>
      <c r="M961">
        <v>22025</v>
      </c>
      <c r="N961" t="s">
        <v>771</v>
      </c>
      <c r="O961">
        <v>2001</v>
      </c>
      <c r="S961">
        <v>514444</v>
      </c>
      <c r="T961" t="s">
        <v>772</v>
      </c>
    </row>
    <row r="962" spans="1:20" x14ac:dyDescent="0.25">
      <c r="A962">
        <v>5100422798</v>
      </c>
      <c r="B962">
        <v>3773</v>
      </c>
      <c r="C962" t="s">
        <v>768</v>
      </c>
      <c r="D962" s="143">
        <v>46035</v>
      </c>
      <c r="E962" s="55">
        <v>75176.95</v>
      </c>
      <c r="F962" t="s">
        <v>769</v>
      </c>
      <c r="G962">
        <v>1500038739</v>
      </c>
      <c r="H962" t="s">
        <v>755</v>
      </c>
      <c r="I962" t="s">
        <v>770</v>
      </c>
      <c r="K962" s="143">
        <v>46069</v>
      </c>
      <c r="L962" s="143">
        <v>46035</v>
      </c>
      <c r="M962">
        <v>32025</v>
      </c>
      <c r="N962" t="s">
        <v>771</v>
      </c>
      <c r="O962">
        <v>2001</v>
      </c>
      <c r="S962">
        <v>514444</v>
      </c>
      <c r="T962" t="s">
        <v>772</v>
      </c>
    </row>
    <row r="963" spans="1:20" x14ac:dyDescent="0.25">
      <c r="A963">
        <v>5100422799</v>
      </c>
      <c r="B963">
        <v>3773</v>
      </c>
      <c r="C963" t="s">
        <v>768</v>
      </c>
      <c r="D963" s="143">
        <v>46035</v>
      </c>
      <c r="E963">
        <v>394.34</v>
      </c>
      <c r="F963" t="s">
        <v>769</v>
      </c>
      <c r="G963">
        <v>1500038739</v>
      </c>
      <c r="H963" t="s">
        <v>755</v>
      </c>
      <c r="I963" t="s">
        <v>770</v>
      </c>
      <c r="K963" s="143">
        <v>46069</v>
      </c>
      <c r="L963" s="143">
        <v>46035</v>
      </c>
      <c r="M963">
        <v>52025</v>
      </c>
      <c r="N963" t="s">
        <v>771</v>
      </c>
      <c r="O963">
        <v>2001</v>
      </c>
      <c r="S963">
        <v>514444</v>
      </c>
      <c r="T963" t="s">
        <v>772</v>
      </c>
    </row>
    <row r="964" spans="1:20" x14ac:dyDescent="0.25">
      <c r="A964">
        <v>5100422800</v>
      </c>
      <c r="B964">
        <v>3773</v>
      </c>
      <c r="C964" t="s">
        <v>768</v>
      </c>
      <c r="D964" s="143">
        <v>46035</v>
      </c>
      <c r="E964" s="55">
        <v>5159.53</v>
      </c>
      <c r="F964" t="s">
        <v>769</v>
      </c>
      <c r="G964">
        <v>1500038739</v>
      </c>
      <c r="H964" t="s">
        <v>755</v>
      </c>
      <c r="I964" t="s">
        <v>770</v>
      </c>
      <c r="K964" s="143">
        <v>46069</v>
      </c>
      <c r="L964" s="143">
        <v>46035</v>
      </c>
      <c r="M964">
        <v>72025</v>
      </c>
      <c r="N964" t="s">
        <v>771</v>
      </c>
      <c r="O964">
        <v>2001</v>
      </c>
      <c r="S964">
        <v>514444</v>
      </c>
      <c r="T964" t="s">
        <v>772</v>
      </c>
    </row>
    <row r="965" spans="1:20" x14ac:dyDescent="0.25">
      <c r="A965">
        <v>5100423185</v>
      </c>
      <c r="B965">
        <v>4404</v>
      </c>
      <c r="C965" t="s">
        <v>768</v>
      </c>
      <c r="D965" s="143">
        <v>46035</v>
      </c>
      <c r="E965">
        <v>770.98</v>
      </c>
      <c r="F965" t="s">
        <v>769</v>
      </c>
      <c r="G965">
        <v>1500030421</v>
      </c>
      <c r="H965" t="s">
        <v>755</v>
      </c>
      <c r="I965" t="s">
        <v>770</v>
      </c>
      <c r="K965" s="143">
        <v>46090</v>
      </c>
      <c r="L965" s="143">
        <v>46035</v>
      </c>
      <c r="M965">
        <v>92025</v>
      </c>
      <c r="N965" t="s">
        <v>771</v>
      </c>
      <c r="O965">
        <v>2001</v>
      </c>
      <c r="S965">
        <v>515234</v>
      </c>
      <c r="T965" t="s">
        <v>772</v>
      </c>
    </row>
    <row r="966" spans="1:20" x14ac:dyDescent="0.25">
      <c r="A966">
        <v>5100423178</v>
      </c>
      <c r="B966">
        <v>4404</v>
      </c>
      <c r="C966" t="s">
        <v>768</v>
      </c>
      <c r="D966" s="143">
        <v>46035</v>
      </c>
      <c r="E966" s="55">
        <v>3864.53</v>
      </c>
      <c r="F966" t="s">
        <v>769</v>
      </c>
      <c r="G966">
        <v>1500036314</v>
      </c>
      <c r="H966" t="s">
        <v>755</v>
      </c>
      <c r="I966" t="s">
        <v>770</v>
      </c>
      <c r="K966" s="143">
        <v>46078</v>
      </c>
      <c r="L966" s="143">
        <v>46035</v>
      </c>
      <c r="M966">
        <v>22025</v>
      </c>
      <c r="N966" t="s">
        <v>771</v>
      </c>
      <c r="O966">
        <v>2001</v>
      </c>
      <c r="S966" t="s">
        <v>783</v>
      </c>
      <c r="T966" t="s">
        <v>772</v>
      </c>
    </row>
    <row r="967" spans="1:20" x14ac:dyDescent="0.25">
      <c r="A967">
        <v>5100423180</v>
      </c>
      <c r="B967">
        <v>4404</v>
      </c>
      <c r="C967" t="s">
        <v>768</v>
      </c>
      <c r="D967" s="143">
        <v>46035</v>
      </c>
      <c r="E967" s="55">
        <v>1090.73</v>
      </c>
      <c r="F967" t="s">
        <v>769</v>
      </c>
      <c r="G967">
        <v>1500036314</v>
      </c>
      <c r="H967" t="s">
        <v>755</v>
      </c>
      <c r="I967" t="s">
        <v>770</v>
      </c>
      <c r="K967" s="143">
        <v>46078</v>
      </c>
      <c r="L967" s="143">
        <v>46035</v>
      </c>
      <c r="M967">
        <v>42025</v>
      </c>
      <c r="N967" t="s">
        <v>771</v>
      </c>
      <c r="O967">
        <v>2001</v>
      </c>
      <c r="S967" t="s">
        <v>783</v>
      </c>
      <c r="T967" t="s">
        <v>772</v>
      </c>
    </row>
    <row r="968" spans="1:20" x14ac:dyDescent="0.25">
      <c r="A968">
        <v>5100423181</v>
      </c>
      <c r="B968">
        <v>4404</v>
      </c>
      <c r="C968" t="s">
        <v>768</v>
      </c>
      <c r="D968" s="143">
        <v>46035</v>
      </c>
      <c r="E968" s="55">
        <v>2486.13</v>
      </c>
      <c r="F968" t="s">
        <v>769</v>
      </c>
      <c r="G968">
        <v>1500036314</v>
      </c>
      <c r="H968" t="s">
        <v>755</v>
      </c>
      <c r="I968" t="s">
        <v>770</v>
      </c>
      <c r="K968" s="143">
        <v>46078</v>
      </c>
      <c r="L968" s="143">
        <v>46035</v>
      </c>
      <c r="M968">
        <v>52025</v>
      </c>
      <c r="N968" t="s">
        <v>771</v>
      </c>
      <c r="O968">
        <v>2001</v>
      </c>
      <c r="S968" t="s">
        <v>783</v>
      </c>
      <c r="T968" t="s">
        <v>772</v>
      </c>
    </row>
    <row r="969" spans="1:20" x14ac:dyDescent="0.25">
      <c r="A969">
        <v>5100423182</v>
      </c>
      <c r="B969">
        <v>4404</v>
      </c>
      <c r="C969" t="s">
        <v>768</v>
      </c>
      <c r="D969" s="143">
        <v>46035</v>
      </c>
      <c r="E969" s="55">
        <v>5032.2</v>
      </c>
      <c r="F969" t="s">
        <v>769</v>
      </c>
      <c r="G969">
        <v>1500036314</v>
      </c>
      <c r="H969" t="s">
        <v>755</v>
      </c>
      <c r="I969" t="s">
        <v>770</v>
      </c>
      <c r="K969" s="143">
        <v>46078</v>
      </c>
      <c r="L969" s="143">
        <v>46035</v>
      </c>
      <c r="M969">
        <v>62025</v>
      </c>
      <c r="N969" t="s">
        <v>771</v>
      </c>
      <c r="O969">
        <v>2001</v>
      </c>
      <c r="S969" t="s">
        <v>783</v>
      </c>
      <c r="T969" t="s">
        <v>772</v>
      </c>
    </row>
    <row r="970" spans="1:20" x14ac:dyDescent="0.25">
      <c r="A970">
        <v>5100423183</v>
      </c>
      <c r="B970">
        <v>4404</v>
      </c>
      <c r="C970" t="s">
        <v>768</v>
      </c>
      <c r="D970" s="143">
        <v>46035</v>
      </c>
      <c r="E970" s="55">
        <v>6963.97</v>
      </c>
      <c r="F970" t="s">
        <v>769</v>
      </c>
      <c r="G970">
        <v>1500036314</v>
      </c>
      <c r="H970" t="s">
        <v>755</v>
      </c>
      <c r="I970" t="s">
        <v>770</v>
      </c>
      <c r="K970" s="143">
        <v>46078</v>
      </c>
      <c r="L970" s="143">
        <v>46035</v>
      </c>
      <c r="M970">
        <v>72025</v>
      </c>
      <c r="N970" t="s">
        <v>771</v>
      </c>
      <c r="O970">
        <v>2001</v>
      </c>
      <c r="S970" t="s">
        <v>783</v>
      </c>
      <c r="T970" t="s">
        <v>772</v>
      </c>
    </row>
    <row r="971" spans="1:20" x14ac:dyDescent="0.25">
      <c r="A971">
        <v>5100423184</v>
      </c>
      <c r="B971">
        <v>4404</v>
      </c>
      <c r="C971" t="s">
        <v>768</v>
      </c>
      <c r="D971" s="143">
        <v>46035</v>
      </c>
      <c r="E971">
        <v>317.47000000000003</v>
      </c>
      <c r="F971" t="s">
        <v>769</v>
      </c>
      <c r="G971">
        <v>1500036314</v>
      </c>
      <c r="H971" t="s">
        <v>755</v>
      </c>
      <c r="I971" t="s">
        <v>770</v>
      </c>
      <c r="K971" s="143">
        <v>46078</v>
      </c>
      <c r="L971" s="143">
        <v>46035</v>
      </c>
      <c r="M971">
        <v>82025</v>
      </c>
      <c r="N971" t="s">
        <v>771</v>
      </c>
      <c r="O971">
        <v>2001</v>
      </c>
      <c r="S971" t="s">
        <v>783</v>
      </c>
      <c r="T971" t="s">
        <v>772</v>
      </c>
    </row>
    <row r="972" spans="1:20" x14ac:dyDescent="0.25">
      <c r="A972">
        <v>5100423177</v>
      </c>
      <c r="B972">
        <v>4404</v>
      </c>
      <c r="C972" t="s">
        <v>768</v>
      </c>
      <c r="D972" s="143">
        <v>46035</v>
      </c>
      <c r="E972" s="55">
        <v>2685.84</v>
      </c>
      <c r="F972" t="s">
        <v>769</v>
      </c>
      <c r="G972">
        <v>1500061112</v>
      </c>
      <c r="H972" t="s">
        <v>755</v>
      </c>
      <c r="I972" t="s">
        <v>770</v>
      </c>
      <c r="K972" s="143">
        <v>46098</v>
      </c>
      <c r="L972" s="143">
        <v>46035</v>
      </c>
      <c r="M972">
        <v>12025</v>
      </c>
      <c r="N972" t="s">
        <v>771</v>
      </c>
      <c r="O972">
        <v>2001</v>
      </c>
      <c r="S972" t="s">
        <v>778</v>
      </c>
      <c r="T972" t="s">
        <v>772</v>
      </c>
    </row>
    <row r="973" spans="1:20" x14ac:dyDescent="0.25">
      <c r="A973">
        <v>5100423179</v>
      </c>
      <c r="B973">
        <v>4404</v>
      </c>
      <c r="C973" t="s">
        <v>768</v>
      </c>
      <c r="D973" s="143">
        <v>46035</v>
      </c>
      <c r="E973" s="55">
        <v>3684.09</v>
      </c>
      <c r="F973" t="s">
        <v>769</v>
      </c>
      <c r="G973">
        <v>1500061112</v>
      </c>
      <c r="H973" t="s">
        <v>755</v>
      </c>
      <c r="I973" t="s">
        <v>770</v>
      </c>
      <c r="K973" s="143">
        <v>46098</v>
      </c>
      <c r="L973" s="143">
        <v>46035</v>
      </c>
      <c r="M973">
        <v>32025</v>
      </c>
      <c r="N973" t="s">
        <v>771</v>
      </c>
      <c r="O973">
        <v>2001</v>
      </c>
      <c r="S973" t="s">
        <v>778</v>
      </c>
      <c r="T973" t="s">
        <v>772</v>
      </c>
    </row>
    <row r="974" spans="1:20" x14ac:dyDescent="0.25">
      <c r="A974">
        <v>5100423226</v>
      </c>
      <c r="B974">
        <v>4502</v>
      </c>
      <c r="C974" t="s">
        <v>768</v>
      </c>
      <c r="D974" s="143">
        <v>46035</v>
      </c>
      <c r="E974" s="55">
        <v>6683.39</v>
      </c>
      <c r="F974" t="s">
        <v>769</v>
      </c>
      <c r="G974">
        <v>1500032785</v>
      </c>
      <c r="H974" t="s">
        <v>755</v>
      </c>
      <c r="I974" t="s">
        <v>770</v>
      </c>
      <c r="K974" s="143">
        <v>46083</v>
      </c>
      <c r="L974" s="143">
        <v>46035</v>
      </c>
      <c r="M974">
        <v>22025</v>
      </c>
      <c r="N974" t="s">
        <v>771</v>
      </c>
      <c r="O974">
        <v>2001</v>
      </c>
      <c r="S974">
        <v>525218</v>
      </c>
      <c r="T974" t="s">
        <v>772</v>
      </c>
    </row>
    <row r="975" spans="1:20" x14ac:dyDescent="0.25">
      <c r="A975">
        <v>5100423227</v>
      </c>
      <c r="B975">
        <v>4502</v>
      </c>
      <c r="C975" t="s">
        <v>768</v>
      </c>
      <c r="D975" s="143">
        <v>46035</v>
      </c>
      <c r="E975" s="55">
        <v>24524.16</v>
      </c>
      <c r="F975" t="s">
        <v>769</v>
      </c>
      <c r="G975">
        <v>1500032785</v>
      </c>
      <c r="H975" t="s">
        <v>755</v>
      </c>
      <c r="I975" t="s">
        <v>770</v>
      </c>
      <c r="K975" s="143">
        <v>46083</v>
      </c>
      <c r="L975" s="143">
        <v>46035</v>
      </c>
      <c r="M975">
        <v>32025</v>
      </c>
      <c r="N975" t="s">
        <v>771</v>
      </c>
      <c r="O975">
        <v>2001</v>
      </c>
      <c r="S975">
        <v>525218</v>
      </c>
      <c r="T975" t="s">
        <v>772</v>
      </c>
    </row>
    <row r="976" spans="1:20" x14ac:dyDescent="0.25">
      <c r="A976">
        <v>5100423228</v>
      </c>
      <c r="B976">
        <v>4502</v>
      </c>
      <c r="C976" t="s">
        <v>768</v>
      </c>
      <c r="D976" s="143">
        <v>46035</v>
      </c>
      <c r="E976" s="55">
        <v>29400.17</v>
      </c>
      <c r="F976" t="s">
        <v>769</v>
      </c>
      <c r="G976">
        <v>1500032785</v>
      </c>
      <c r="H976" t="s">
        <v>755</v>
      </c>
      <c r="I976" t="s">
        <v>770</v>
      </c>
      <c r="K976" s="143">
        <v>46083</v>
      </c>
      <c r="L976" s="143">
        <v>46035</v>
      </c>
      <c r="M976">
        <v>42025</v>
      </c>
      <c r="N976" t="s">
        <v>771</v>
      </c>
      <c r="O976">
        <v>2001</v>
      </c>
      <c r="S976">
        <v>525218</v>
      </c>
      <c r="T976" t="s">
        <v>772</v>
      </c>
    </row>
    <row r="977" spans="1:20" x14ac:dyDescent="0.25">
      <c r="A977">
        <v>5100423229</v>
      </c>
      <c r="B977">
        <v>4502</v>
      </c>
      <c r="C977" t="s">
        <v>768</v>
      </c>
      <c r="D977" s="143">
        <v>46035</v>
      </c>
      <c r="E977" s="55">
        <v>6307.24</v>
      </c>
      <c r="F977" t="s">
        <v>769</v>
      </c>
      <c r="G977">
        <v>1500032785</v>
      </c>
      <c r="H977" t="s">
        <v>755</v>
      </c>
      <c r="I977" t="s">
        <v>770</v>
      </c>
      <c r="K977" s="143">
        <v>46083</v>
      </c>
      <c r="L977" s="143">
        <v>46035</v>
      </c>
      <c r="M977">
        <v>82025</v>
      </c>
      <c r="N977" t="s">
        <v>771</v>
      </c>
      <c r="O977">
        <v>2001</v>
      </c>
      <c r="S977">
        <v>525218</v>
      </c>
      <c r="T977" t="s">
        <v>772</v>
      </c>
    </row>
    <row r="978" spans="1:20" x14ac:dyDescent="0.25">
      <c r="A978">
        <v>5100423494</v>
      </c>
      <c r="B978">
        <v>6052</v>
      </c>
      <c r="C978" t="s">
        <v>768</v>
      </c>
      <c r="D978" s="143">
        <v>46035</v>
      </c>
      <c r="E978" s="55">
        <v>1217.54</v>
      </c>
      <c r="F978" t="s">
        <v>769</v>
      </c>
      <c r="G978">
        <v>1500107412</v>
      </c>
      <c r="H978" t="s">
        <v>755</v>
      </c>
      <c r="I978" t="s">
        <v>770</v>
      </c>
      <c r="K978" s="143">
        <v>46090</v>
      </c>
      <c r="L978" s="143">
        <v>46035</v>
      </c>
      <c r="M978">
        <v>12025</v>
      </c>
      <c r="N978" t="s">
        <v>771</v>
      </c>
      <c r="O978">
        <v>2001</v>
      </c>
      <c r="S978" t="s">
        <v>777</v>
      </c>
      <c r="T978" t="s">
        <v>772</v>
      </c>
    </row>
    <row r="979" spans="1:20" x14ac:dyDescent="0.25">
      <c r="A979">
        <v>5100423495</v>
      </c>
      <c r="B979">
        <v>6052</v>
      </c>
      <c r="C979" t="s">
        <v>768</v>
      </c>
      <c r="D979" s="143">
        <v>46035</v>
      </c>
      <c r="E979" s="55">
        <v>1473.87</v>
      </c>
      <c r="F979" t="s">
        <v>769</v>
      </c>
      <c r="G979">
        <v>1500107412</v>
      </c>
      <c r="H979" t="s">
        <v>755</v>
      </c>
      <c r="I979" t="s">
        <v>770</v>
      </c>
      <c r="K979" s="143">
        <v>46090</v>
      </c>
      <c r="L979" s="143">
        <v>46035</v>
      </c>
      <c r="M979">
        <v>22025</v>
      </c>
      <c r="N979" t="s">
        <v>771</v>
      </c>
      <c r="O979">
        <v>2001</v>
      </c>
      <c r="S979" t="s">
        <v>777</v>
      </c>
      <c r="T979" t="s">
        <v>772</v>
      </c>
    </row>
    <row r="980" spans="1:20" x14ac:dyDescent="0.25">
      <c r="A980">
        <v>5100423496</v>
      </c>
      <c r="B980">
        <v>6052</v>
      </c>
      <c r="C980" t="s">
        <v>768</v>
      </c>
      <c r="D980" s="143">
        <v>46035</v>
      </c>
      <c r="E980" s="55">
        <v>8696.9</v>
      </c>
      <c r="F980" t="s">
        <v>769</v>
      </c>
      <c r="G980">
        <v>1500107412</v>
      </c>
      <c r="H980" t="s">
        <v>755</v>
      </c>
      <c r="I980" t="s">
        <v>770</v>
      </c>
      <c r="K980" s="143">
        <v>46090</v>
      </c>
      <c r="L980" s="143">
        <v>46035</v>
      </c>
      <c r="M980">
        <v>32025</v>
      </c>
      <c r="N980" t="s">
        <v>771</v>
      </c>
      <c r="O980">
        <v>2001</v>
      </c>
      <c r="S980" t="s">
        <v>777</v>
      </c>
      <c r="T980" t="s">
        <v>772</v>
      </c>
    </row>
    <row r="981" spans="1:20" x14ac:dyDescent="0.25">
      <c r="A981">
        <v>5100423497</v>
      </c>
      <c r="B981">
        <v>6052</v>
      </c>
      <c r="C981" t="s">
        <v>768</v>
      </c>
      <c r="D981" s="143">
        <v>46035</v>
      </c>
      <c r="E981" s="55">
        <v>11348.97</v>
      </c>
      <c r="F981" t="s">
        <v>769</v>
      </c>
      <c r="G981">
        <v>1500107412</v>
      </c>
      <c r="H981" t="s">
        <v>755</v>
      </c>
      <c r="I981" t="s">
        <v>770</v>
      </c>
      <c r="K981" s="143">
        <v>46090</v>
      </c>
      <c r="L981" s="143">
        <v>46035</v>
      </c>
      <c r="M981">
        <v>52025</v>
      </c>
      <c r="N981" t="s">
        <v>771</v>
      </c>
      <c r="O981">
        <v>2001</v>
      </c>
      <c r="S981" t="s">
        <v>777</v>
      </c>
      <c r="T981" t="s">
        <v>772</v>
      </c>
    </row>
    <row r="982" spans="1:20" x14ac:dyDescent="0.25">
      <c r="A982">
        <v>5100423498</v>
      </c>
      <c r="B982">
        <v>6052</v>
      </c>
      <c r="C982" t="s">
        <v>768</v>
      </c>
      <c r="D982" s="143">
        <v>46035</v>
      </c>
      <c r="E982" s="55">
        <v>9987.09</v>
      </c>
      <c r="F982" t="s">
        <v>769</v>
      </c>
      <c r="G982">
        <v>1500107412</v>
      </c>
      <c r="H982" t="s">
        <v>755</v>
      </c>
      <c r="I982" t="s">
        <v>770</v>
      </c>
      <c r="K982" s="143">
        <v>46090</v>
      </c>
      <c r="L982" s="143">
        <v>46035</v>
      </c>
      <c r="M982">
        <v>92025</v>
      </c>
      <c r="N982" t="s">
        <v>771</v>
      </c>
      <c r="O982">
        <v>2001</v>
      </c>
      <c r="S982" t="s">
        <v>777</v>
      </c>
      <c r="T982" t="s">
        <v>772</v>
      </c>
    </row>
    <row r="983" spans="1:20" x14ac:dyDescent="0.25">
      <c r="A983">
        <v>5100423594</v>
      </c>
      <c r="B983">
        <v>6470</v>
      </c>
      <c r="C983" t="s">
        <v>768</v>
      </c>
      <c r="D983" s="143">
        <v>46035</v>
      </c>
      <c r="E983" s="55">
        <v>64632.12</v>
      </c>
      <c r="F983" t="s">
        <v>769</v>
      </c>
      <c r="G983">
        <v>1500069020</v>
      </c>
      <c r="H983" t="s">
        <v>755</v>
      </c>
      <c r="I983" t="s">
        <v>770</v>
      </c>
      <c r="K983" s="143">
        <v>46076</v>
      </c>
      <c r="L983" s="143">
        <v>46035</v>
      </c>
      <c r="M983">
        <v>52025</v>
      </c>
      <c r="N983" t="s">
        <v>771</v>
      </c>
      <c r="O983">
        <v>2001</v>
      </c>
      <c r="S983">
        <v>525231</v>
      </c>
      <c r="T983" t="s">
        <v>772</v>
      </c>
    </row>
    <row r="984" spans="1:20" x14ac:dyDescent="0.25">
      <c r="A984">
        <v>5100423595</v>
      </c>
      <c r="B984">
        <v>6470</v>
      </c>
      <c r="C984" t="s">
        <v>768</v>
      </c>
      <c r="D984" s="143">
        <v>46035</v>
      </c>
      <c r="E984" s="55">
        <v>50368.14</v>
      </c>
      <c r="F984" t="s">
        <v>769</v>
      </c>
      <c r="G984">
        <v>1500069020</v>
      </c>
      <c r="H984" t="s">
        <v>755</v>
      </c>
      <c r="I984" t="s">
        <v>770</v>
      </c>
      <c r="K984" s="143">
        <v>46076</v>
      </c>
      <c r="L984" s="143">
        <v>46035</v>
      </c>
      <c r="M984">
        <v>82025</v>
      </c>
      <c r="N984" t="s">
        <v>771</v>
      </c>
      <c r="O984">
        <v>2001</v>
      </c>
      <c r="S984">
        <v>525231</v>
      </c>
      <c r="T984" t="s">
        <v>772</v>
      </c>
    </row>
    <row r="985" spans="1:20" x14ac:dyDescent="0.25">
      <c r="A985">
        <v>5100423625</v>
      </c>
      <c r="B985">
        <v>7034</v>
      </c>
      <c r="C985" t="s">
        <v>768</v>
      </c>
      <c r="D985" s="143">
        <v>46035</v>
      </c>
      <c r="E985" s="55">
        <v>30200.52</v>
      </c>
      <c r="F985" t="s">
        <v>769</v>
      </c>
      <c r="G985">
        <v>1500038742</v>
      </c>
      <c r="H985" t="s">
        <v>755</v>
      </c>
      <c r="I985" t="s">
        <v>770</v>
      </c>
      <c r="K985" s="143">
        <v>46069</v>
      </c>
      <c r="L985" s="143">
        <v>46035</v>
      </c>
      <c r="M985">
        <v>22025</v>
      </c>
      <c r="N985" t="s">
        <v>771</v>
      </c>
      <c r="O985">
        <v>2001</v>
      </c>
      <c r="S985">
        <v>516420</v>
      </c>
      <c r="T985" t="s">
        <v>772</v>
      </c>
    </row>
    <row r="986" spans="1:20" x14ac:dyDescent="0.25">
      <c r="A986">
        <v>5100423626</v>
      </c>
      <c r="B986">
        <v>7034</v>
      </c>
      <c r="C986" t="s">
        <v>768</v>
      </c>
      <c r="D986" s="143">
        <v>46035</v>
      </c>
      <c r="E986" s="55">
        <v>10693.04</v>
      </c>
      <c r="F986" t="s">
        <v>769</v>
      </c>
      <c r="G986">
        <v>1500038742</v>
      </c>
      <c r="H986" t="s">
        <v>755</v>
      </c>
      <c r="I986" t="s">
        <v>770</v>
      </c>
      <c r="K986" s="143">
        <v>46069</v>
      </c>
      <c r="L986" s="143">
        <v>46035</v>
      </c>
      <c r="M986">
        <v>32025</v>
      </c>
      <c r="N986" t="s">
        <v>771</v>
      </c>
      <c r="O986">
        <v>2001</v>
      </c>
      <c r="S986">
        <v>516420</v>
      </c>
      <c r="T986" t="s">
        <v>772</v>
      </c>
    </row>
    <row r="987" spans="1:20" x14ac:dyDescent="0.25">
      <c r="A987">
        <v>5100423627</v>
      </c>
      <c r="B987">
        <v>7034</v>
      </c>
      <c r="C987" t="s">
        <v>768</v>
      </c>
      <c r="D987" s="143">
        <v>46035</v>
      </c>
      <c r="E987" s="55">
        <v>7180.87</v>
      </c>
      <c r="F987" t="s">
        <v>769</v>
      </c>
      <c r="G987">
        <v>1500038742</v>
      </c>
      <c r="H987" t="s">
        <v>755</v>
      </c>
      <c r="I987" t="s">
        <v>770</v>
      </c>
      <c r="K987" s="143">
        <v>46069</v>
      </c>
      <c r="L987" s="143">
        <v>46035</v>
      </c>
      <c r="M987">
        <v>42025</v>
      </c>
      <c r="N987" t="s">
        <v>771</v>
      </c>
      <c r="O987">
        <v>2001</v>
      </c>
      <c r="S987">
        <v>516420</v>
      </c>
      <c r="T987" t="s">
        <v>772</v>
      </c>
    </row>
    <row r="988" spans="1:20" x14ac:dyDescent="0.25">
      <c r="A988">
        <v>5100423628</v>
      </c>
      <c r="B988">
        <v>7034</v>
      </c>
      <c r="C988" t="s">
        <v>768</v>
      </c>
      <c r="D988" s="143">
        <v>46035</v>
      </c>
      <c r="E988" s="55">
        <v>3433.14</v>
      </c>
      <c r="F988" t="s">
        <v>769</v>
      </c>
      <c r="G988">
        <v>1500038742</v>
      </c>
      <c r="H988" t="s">
        <v>755</v>
      </c>
      <c r="I988" t="s">
        <v>770</v>
      </c>
      <c r="K988" s="143">
        <v>46069</v>
      </c>
      <c r="L988" s="143">
        <v>46035</v>
      </c>
      <c r="M988">
        <v>42025</v>
      </c>
      <c r="N988" t="s">
        <v>771</v>
      </c>
      <c r="O988">
        <v>2001</v>
      </c>
      <c r="S988">
        <v>516420</v>
      </c>
      <c r="T988" t="s">
        <v>772</v>
      </c>
    </row>
    <row r="989" spans="1:20" x14ac:dyDescent="0.25">
      <c r="A989">
        <v>5100423629</v>
      </c>
      <c r="B989">
        <v>7034</v>
      </c>
      <c r="C989" t="s">
        <v>768</v>
      </c>
      <c r="D989" s="143">
        <v>46035</v>
      </c>
      <c r="E989" s="55">
        <v>7180.87</v>
      </c>
      <c r="F989" t="s">
        <v>769</v>
      </c>
      <c r="G989">
        <v>1500038742</v>
      </c>
      <c r="H989" t="s">
        <v>755</v>
      </c>
      <c r="I989" t="s">
        <v>770</v>
      </c>
      <c r="K989" s="143">
        <v>46069</v>
      </c>
      <c r="L989" s="143">
        <v>46035</v>
      </c>
      <c r="M989">
        <v>82025</v>
      </c>
      <c r="N989" t="s">
        <v>771</v>
      </c>
      <c r="O989">
        <v>2001</v>
      </c>
      <c r="S989">
        <v>516420</v>
      </c>
      <c r="T989" t="s">
        <v>772</v>
      </c>
    </row>
    <row r="990" spans="1:20" x14ac:dyDescent="0.25">
      <c r="A990">
        <v>5100423630</v>
      </c>
      <c r="B990">
        <v>7034</v>
      </c>
      <c r="C990" t="s">
        <v>768</v>
      </c>
      <c r="D990" s="143">
        <v>46035</v>
      </c>
      <c r="E990">
        <v>513.82000000000005</v>
      </c>
      <c r="F990" t="s">
        <v>769</v>
      </c>
      <c r="G990">
        <v>1500038742</v>
      </c>
      <c r="H990" t="s">
        <v>755</v>
      </c>
      <c r="I990" t="s">
        <v>770</v>
      </c>
      <c r="K990" s="143">
        <v>46069</v>
      </c>
      <c r="L990" s="143">
        <v>46035</v>
      </c>
      <c r="M990">
        <v>82025</v>
      </c>
      <c r="N990" t="s">
        <v>771</v>
      </c>
      <c r="O990">
        <v>2001</v>
      </c>
      <c r="S990">
        <v>516420</v>
      </c>
      <c r="T990" t="s">
        <v>772</v>
      </c>
    </row>
    <row r="991" spans="1:20" x14ac:dyDescent="0.25">
      <c r="A991">
        <v>5100423631</v>
      </c>
      <c r="B991">
        <v>7034</v>
      </c>
      <c r="C991" t="s">
        <v>768</v>
      </c>
      <c r="D991" s="143">
        <v>46035</v>
      </c>
      <c r="E991" s="55">
        <v>12115.8</v>
      </c>
      <c r="F991" t="s">
        <v>769</v>
      </c>
      <c r="G991">
        <v>1500038742</v>
      </c>
      <c r="H991" t="s">
        <v>755</v>
      </c>
      <c r="I991" t="s">
        <v>770</v>
      </c>
      <c r="K991" s="143">
        <v>46069</v>
      </c>
      <c r="L991" s="143">
        <v>46035</v>
      </c>
      <c r="M991">
        <v>92025</v>
      </c>
      <c r="N991" t="s">
        <v>771</v>
      </c>
      <c r="O991">
        <v>2001</v>
      </c>
      <c r="S991">
        <v>516420</v>
      </c>
      <c r="T991" t="s">
        <v>772</v>
      </c>
    </row>
    <row r="992" spans="1:20" x14ac:dyDescent="0.25">
      <c r="A992">
        <v>5100423661</v>
      </c>
      <c r="B992">
        <v>7325</v>
      </c>
      <c r="C992" t="s">
        <v>768</v>
      </c>
      <c r="D992" s="143">
        <v>46035</v>
      </c>
      <c r="E992" s="55">
        <v>18157.22</v>
      </c>
      <c r="F992" t="s">
        <v>769</v>
      </c>
      <c r="G992">
        <v>1500087612</v>
      </c>
      <c r="H992" t="s">
        <v>755</v>
      </c>
      <c r="I992" t="s">
        <v>770</v>
      </c>
      <c r="K992" s="143">
        <v>46076</v>
      </c>
      <c r="L992" s="143">
        <v>46035</v>
      </c>
      <c r="M992">
        <v>42025</v>
      </c>
      <c r="N992" t="s">
        <v>771</v>
      </c>
      <c r="O992">
        <v>2001</v>
      </c>
      <c r="S992">
        <v>515488</v>
      </c>
      <c r="T992" t="s">
        <v>772</v>
      </c>
    </row>
    <row r="993" spans="1:20" x14ac:dyDescent="0.25">
      <c r="A993">
        <v>5100423662</v>
      </c>
      <c r="B993">
        <v>7325</v>
      </c>
      <c r="C993" t="s">
        <v>768</v>
      </c>
      <c r="D993" s="143">
        <v>46035</v>
      </c>
      <c r="E993" s="55">
        <v>28560.84</v>
      </c>
      <c r="F993" t="s">
        <v>769</v>
      </c>
      <c r="G993">
        <v>1500087612</v>
      </c>
      <c r="H993" t="s">
        <v>755</v>
      </c>
      <c r="I993" t="s">
        <v>770</v>
      </c>
      <c r="K993" s="143">
        <v>46076</v>
      </c>
      <c r="L993" s="143">
        <v>46035</v>
      </c>
      <c r="M993">
        <v>62025</v>
      </c>
      <c r="N993" t="s">
        <v>771</v>
      </c>
      <c r="O993">
        <v>2001</v>
      </c>
      <c r="S993">
        <v>515488</v>
      </c>
      <c r="T993" t="s">
        <v>772</v>
      </c>
    </row>
    <row r="994" spans="1:20" x14ac:dyDescent="0.25">
      <c r="A994">
        <v>5100423663</v>
      </c>
      <c r="B994">
        <v>7325</v>
      </c>
      <c r="C994" t="s">
        <v>768</v>
      </c>
      <c r="D994" s="143">
        <v>46035</v>
      </c>
      <c r="E994" s="55">
        <v>7300.35</v>
      </c>
      <c r="F994" t="s">
        <v>769</v>
      </c>
      <c r="G994">
        <v>1500087612</v>
      </c>
      <c r="H994" t="s">
        <v>755</v>
      </c>
      <c r="I994" t="s">
        <v>770</v>
      </c>
      <c r="K994" s="143">
        <v>46076</v>
      </c>
      <c r="L994" s="143">
        <v>46035</v>
      </c>
      <c r="M994">
        <v>72025</v>
      </c>
      <c r="N994" t="s">
        <v>771</v>
      </c>
      <c r="O994">
        <v>2001</v>
      </c>
      <c r="S994">
        <v>515488</v>
      </c>
      <c r="T994" t="s">
        <v>772</v>
      </c>
    </row>
    <row r="995" spans="1:20" x14ac:dyDescent="0.25">
      <c r="A995">
        <v>5100423664</v>
      </c>
      <c r="B995">
        <v>7325</v>
      </c>
      <c r="C995" t="s">
        <v>768</v>
      </c>
      <c r="D995" s="143">
        <v>46035</v>
      </c>
      <c r="E995" s="55">
        <v>1982.77</v>
      </c>
      <c r="F995" t="s">
        <v>769</v>
      </c>
      <c r="G995">
        <v>1500087612</v>
      </c>
      <c r="H995" t="s">
        <v>755</v>
      </c>
      <c r="I995" t="s">
        <v>770</v>
      </c>
      <c r="K995" s="143">
        <v>46076</v>
      </c>
      <c r="L995" s="143">
        <v>46035</v>
      </c>
      <c r="M995">
        <v>92025</v>
      </c>
      <c r="N995" t="s">
        <v>771</v>
      </c>
      <c r="O995">
        <v>2001</v>
      </c>
      <c r="S995">
        <v>515488</v>
      </c>
      <c r="T995" t="s">
        <v>772</v>
      </c>
    </row>
    <row r="996" spans="1:20" x14ac:dyDescent="0.25">
      <c r="A996">
        <v>5100424198</v>
      </c>
      <c r="B996">
        <v>9957</v>
      </c>
      <c r="C996" t="s">
        <v>768</v>
      </c>
      <c r="D996" s="143">
        <v>46035</v>
      </c>
      <c r="E996" s="55">
        <v>2483.4299999999998</v>
      </c>
      <c r="F996" t="s">
        <v>769</v>
      </c>
      <c r="G996">
        <v>1500038745</v>
      </c>
      <c r="H996" t="s">
        <v>755</v>
      </c>
      <c r="I996" t="s">
        <v>770</v>
      </c>
      <c r="K996" s="143">
        <v>46069</v>
      </c>
      <c r="L996" s="143">
        <v>46035</v>
      </c>
      <c r="M996">
        <v>12025</v>
      </c>
      <c r="N996" t="s">
        <v>771</v>
      </c>
      <c r="O996">
        <v>2001</v>
      </c>
      <c r="S996">
        <v>515427</v>
      </c>
      <c r="T996" t="s">
        <v>772</v>
      </c>
    </row>
    <row r="997" spans="1:20" x14ac:dyDescent="0.25">
      <c r="A997">
        <v>5100424199</v>
      </c>
      <c r="B997">
        <v>9957</v>
      </c>
      <c r="C997" t="s">
        <v>768</v>
      </c>
      <c r="D997" s="143">
        <v>46035</v>
      </c>
      <c r="E997" s="55">
        <v>37424.69</v>
      </c>
      <c r="F997" t="s">
        <v>769</v>
      </c>
      <c r="G997">
        <v>1500038745</v>
      </c>
      <c r="H997" t="s">
        <v>755</v>
      </c>
      <c r="I997" t="s">
        <v>770</v>
      </c>
      <c r="K997" s="143">
        <v>46069</v>
      </c>
      <c r="L997" s="143">
        <v>46035</v>
      </c>
      <c r="M997">
        <v>22025</v>
      </c>
      <c r="N997" t="s">
        <v>771</v>
      </c>
      <c r="O997">
        <v>2001</v>
      </c>
      <c r="S997">
        <v>515427</v>
      </c>
      <c r="T997" t="s">
        <v>772</v>
      </c>
    </row>
    <row r="998" spans="1:20" x14ac:dyDescent="0.25">
      <c r="A998">
        <v>5100424200</v>
      </c>
      <c r="B998">
        <v>9957</v>
      </c>
      <c r="C998" t="s">
        <v>768</v>
      </c>
      <c r="D998" s="143">
        <v>46035</v>
      </c>
      <c r="E998" s="55">
        <v>12363.69</v>
      </c>
      <c r="F998" t="s">
        <v>769</v>
      </c>
      <c r="G998">
        <v>1500038745</v>
      </c>
      <c r="H998" t="s">
        <v>755</v>
      </c>
      <c r="I998" t="s">
        <v>770</v>
      </c>
      <c r="K998" s="143">
        <v>46069</v>
      </c>
      <c r="L998" s="143">
        <v>46035</v>
      </c>
      <c r="M998">
        <v>32025</v>
      </c>
      <c r="N998" t="s">
        <v>771</v>
      </c>
      <c r="O998">
        <v>2001</v>
      </c>
      <c r="S998">
        <v>515427</v>
      </c>
      <c r="T998" t="s">
        <v>772</v>
      </c>
    </row>
    <row r="999" spans="1:20" x14ac:dyDescent="0.25">
      <c r="A999">
        <v>5100424201</v>
      </c>
      <c r="B999">
        <v>9957</v>
      </c>
      <c r="C999" t="s">
        <v>768</v>
      </c>
      <c r="D999" s="143">
        <v>46035</v>
      </c>
      <c r="E999" s="55">
        <v>3299.86</v>
      </c>
      <c r="F999" t="s">
        <v>769</v>
      </c>
      <c r="G999">
        <v>1500038745</v>
      </c>
      <c r="H999" t="s">
        <v>755</v>
      </c>
      <c r="I999" t="s">
        <v>770</v>
      </c>
      <c r="K999" s="143">
        <v>46069</v>
      </c>
      <c r="L999" s="143">
        <v>46035</v>
      </c>
      <c r="M999">
        <v>42025</v>
      </c>
      <c r="N999" t="s">
        <v>771</v>
      </c>
      <c r="O999">
        <v>2001</v>
      </c>
      <c r="S999">
        <v>515427</v>
      </c>
      <c r="T999" t="s">
        <v>772</v>
      </c>
    </row>
    <row r="1000" spans="1:20" x14ac:dyDescent="0.25">
      <c r="A1000">
        <v>5100424202</v>
      </c>
      <c r="B1000">
        <v>9957</v>
      </c>
      <c r="C1000" t="s">
        <v>768</v>
      </c>
      <c r="D1000" s="143">
        <v>46035</v>
      </c>
      <c r="E1000" s="55">
        <v>11314.51</v>
      </c>
      <c r="F1000" t="s">
        <v>769</v>
      </c>
      <c r="G1000">
        <v>1500038745</v>
      </c>
      <c r="H1000" t="s">
        <v>755</v>
      </c>
      <c r="I1000" t="s">
        <v>770</v>
      </c>
      <c r="K1000" s="143">
        <v>46069</v>
      </c>
      <c r="L1000" s="143">
        <v>46035</v>
      </c>
      <c r="M1000">
        <v>52025</v>
      </c>
      <c r="N1000" t="s">
        <v>771</v>
      </c>
      <c r="O1000">
        <v>2001</v>
      </c>
      <c r="S1000">
        <v>515427</v>
      </c>
      <c r="T1000" t="s">
        <v>772</v>
      </c>
    </row>
    <row r="1001" spans="1:20" x14ac:dyDescent="0.25">
      <c r="A1001">
        <v>5100424203</v>
      </c>
      <c r="B1001">
        <v>9957</v>
      </c>
      <c r="C1001" t="s">
        <v>768</v>
      </c>
      <c r="D1001" s="143">
        <v>46035</v>
      </c>
      <c r="E1001" s="55">
        <v>7843.68</v>
      </c>
      <c r="F1001" t="s">
        <v>769</v>
      </c>
      <c r="G1001">
        <v>1500038745</v>
      </c>
      <c r="H1001" t="s">
        <v>755</v>
      </c>
      <c r="I1001" t="s">
        <v>770</v>
      </c>
      <c r="K1001" s="143">
        <v>46069</v>
      </c>
      <c r="L1001" s="143">
        <v>46035</v>
      </c>
      <c r="M1001">
        <v>62025</v>
      </c>
      <c r="N1001" t="s">
        <v>771</v>
      </c>
      <c r="O1001">
        <v>2001</v>
      </c>
      <c r="S1001">
        <v>515427</v>
      </c>
      <c r="T1001" t="s">
        <v>772</v>
      </c>
    </row>
    <row r="1002" spans="1:20" x14ac:dyDescent="0.25">
      <c r="A1002">
        <v>5100424204</v>
      </c>
      <c r="B1002">
        <v>9957</v>
      </c>
      <c r="C1002" t="s">
        <v>768</v>
      </c>
      <c r="D1002" s="143">
        <v>46035</v>
      </c>
      <c r="E1002" s="55">
        <v>13482.35</v>
      </c>
      <c r="F1002" t="s">
        <v>769</v>
      </c>
      <c r="G1002">
        <v>1500038745</v>
      </c>
      <c r="H1002" t="s">
        <v>755</v>
      </c>
      <c r="I1002" t="s">
        <v>770</v>
      </c>
      <c r="K1002" s="143">
        <v>46069</v>
      </c>
      <c r="L1002" s="143">
        <v>46035</v>
      </c>
      <c r="M1002">
        <v>72025</v>
      </c>
      <c r="N1002" t="s">
        <v>771</v>
      </c>
      <c r="O1002">
        <v>2001</v>
      </c>
      <c r="S1002">
        <v>515427</v>
      </c>
      <c r="T1002" t="s">
        <v>772</v>
      </c>
    </row>
    <row r="1003" spans="1:20" x14ac:dyDescent="0.25">
      <c r="A1003">
        <v>5100424205</v>
      </c>
      <c r="B1003">
        <v>9957</v>
      </c>
      <c r="C1003" t="s">
        <v>768</v>
      </c>
      <c r="D1003" s="143">
        <v>46035</v>
      </c>
      <c r="E1003" s="55">
        <v>9417.1</v>
      </c>
      <c r="F1003" t="s">
        <v>769</v>
      </c>
      <c r="G1003">
        <v>1500038745</v>
      </c>
      <c r="H1003" t="s">
        <v>755</v>
      </c>
      <c r="I1003" t="s">
        <v>770</v>
      </c>
      <c r="K1003" s="143">
        <v>46069</v>
      </c>
      <c r="L1003" s="143">
        <v>46035</v>
      </c>
      <c r="M1003">
        <v>82025</v>
      </c>
      <c r="N1003" t="s">
        <v>771</v>
      </c>
      <c r="O1003">
        <v>2001</v>
      </c>
      <c r="S1003">
        <v>515427</v>
      </c>
      <c r="T1003" t="s">
        <v>772</v>
      </c>
    </row>
    <row r="1004" spans="1:20" x14ac:dyDescent="0.25">
      <c r="A1004">
        <v>5100424206</v>
      </c>
      <c r="B1004">
        <v>9957</v>
      </c>
      <c r="C1004" t="s">
        <v>768</v>
      </c>
      <c r="D1004" s="143">
        <v>46035</v>
      </c>
      <c r="E1004" s="55">
        <v>2199.91</v>
      </c>
      <c r="F1004" t="s">
        <v>769</v>
      </c>
      <c r="G1004">
        <v>1500038745</v>
      </c>
      <c r="H1004" t="s">
        <v>755</v>
      </c>
      <c r="I1004" t="s">
        <v>770</v>
      </c>
      <c r="K1004" s="143">
        <v>46069</v>
      </c>
      <c r="L1004" s="143">
        <v>46035</v>
      </c>
      <c r="M1004">
        <v>92025</v>
      </c>
      <c r="N1004" t="s">
        <v>771</v>
      </c>
      <c r="O1004">
        <v>2001</v>
      </c>
      <c r="S1004">
        <v>515427</v>
      </c>
      <c r="T1004" t="s">
        <v>772</v>
      </c>
    </row>
    <row r="1005" spans="1:20" x14ac:dyDescent="0.25">
      <c r="A1005">
        <v>5100421501</v>
      </c>
      <c r="B1005">
        <v>12229</v>
      </c>
      <c r="C1005" t="s">
        <v>768</v>
      </c>
      <c r="D1005" s="143">
        <v>46035</v>
      </c>
      <c r="E1005" s="55">
        <v>48180.39</v>
      </c>
      <c r="F1005" t="s">
        <v>769</v>
      </c>
      <c r="G1005">
        <v>1500093220</v>
      </c>
      <c r="H1005" t="s">
        <v>755</v>
      </c>
      <c r="I1005" t="s">
        <v>770</v>
      </c>
      <c r="K1005" s="143">
        <v>46104</v>
      </c>
      <c r="L1005" s="143">
        <v>46035</v>
      </c>
      <c r="M1005">
        <v>22025</v>
      </c>
      <c r="N1005" t="s">
        <v>771</v>
      </c>
      <c r="O1005">
        <v>2001</v>
      </c>
      <c r="S1005" t="s">
        <v>776</v>
      </c>
      <c r="T1005" t="s">
        <v>772</v>
      </c>
    </row>
    <row r="1006" spans="1:20" x14ac:dyDescent="0.25">
      <c r="A1006">
        <v>5100421502</v>
      </c>
      <c r="B1006">
        <v>12229</v>
      </c>
      <c r="C1006" t="s">
        <v>768</v>
      </c>
      <c r="D1006" s="143">
        <v>46035</v>
      </c>
      <c r="E1006" s="55">
        <v>13304.5</v>
      </c>
      <c r="F1006" t="s">
        <v>769</v>
      </c>
      <c r="G1006">
        <v>1500093220</v>
      </c>
      <c r="H1006" t="s">
        <v>755</v>
      </c>
      <c r="I1006" t="s">
        <v>770</v>
      </c>
      <c r="K1006" s="143">
        <v>46104</v>
      </c>
      <c r="L1006" s="143">
        <v>46035</v>
      </c>
      <c r="M1006">
        <v>22025</v>
      </c>
      <c r="N1006" t="s">
        <v>771</v>
      </c>
      <c r="O1006">
        <v>2001</v>
      </c>
      <c r="S1006" t="s">
        <v>776</v>
      </c>
      <c r="T1006" t="s">
        <v>772</v>
      </c>
    </row>
    <row r="1007" spans="1:20" x14ac:dyDescent="0.25">
      <c r="A1007">
        <v>5100421503</v>
      </c>
      <c r="B1007">
        <v>12229</v>
      </c>
      <c r="C1007" t="s">
        <v>768</v>
      </c>
      <c r="D1007" s="143">
        <v>46035</v>
      </c>
      <c r="E1007" s="55">
        <v>3531.66</v>
      </c>
      <c r="F1007" t="s">
        <v>769</v>
      </c>
      <c r="G1007">
        <v>1500093220</v>
      </c>
      <c r="H1007" t="s">
        <v>755</v>
      </c>
      <c r="I1007" t="s">
        <v>770</v>
      </c>
      <c r="K1007" s="143">
        <v>46104</v>
      </c>
      <c r="L1007" s="143">
        <v>46035</v>
      </c>
      <c r="M1007">
        <v>112025</v>
      </c>
      <c r="N1007" t="s">
        <v>771</v>
      </c>
      <c r="O1007">
        <v>2001</v>
      </c>
      <c r="S1007" t="s">
        <v>776</v>
      </c>
      <c r="T1007" t="s">
        <v>772</v>
      </c>
    </row>
    <row r="1008" spans="1:20" x14ac:dyDescent="0.25">
      <c r="A1008">
        <v>5100421504</v>
      </c>
      <c r="B1008">
        <v>12246</v>
      </c>
      <c r="C1008" t="s">
        <v>768</v>
      </c>
      <c r="D1008" s="143">
        <v>46035</v>
      </c>
      <c r="E1008" s="55">
        <v>9378.5300000000007</v>
      </c>
      <c r="F1008" t="s">
        <v>769</v>
      </c>
      <c r="G1008">
        <v>1500087621</v>
      </c>
      <c r="H1008" t="s">
        <v>755</v>
      </c>
      <c r="I1008" t="s">
        <v>770</v>
      </c>
      <c r="K1008" s="143">
        <v>46076</v>
      </c>
      <c r="L1008" s="143">
        <v>46035</v>
      </c>
      <c r="M1008">
        <v>12025</v>
      </c>
      <c r="N1008" t="s">
        <v>771</v>
      </c>
      <c r="O1008">
        <v>2001</v>
      </c>
      <c r="S1008">
        <v>515934</v>
      </c>
      <c r="T1008" t="s">
        <v>772</v>
      </c>
    </row>
    <row r="1009" spans="1:20" x14ac:dyDescent="0.25">
      <c r="A1009">
        <v>5100421505</v>
      </c>
      <c r="B1009">
        <v>12246</v>
      </c>
      <c r="C1009" t="s">
        <v>768</v>
      </c>
      <c r="D1009" s="143">
        <v>46035</v>
      </c>
      <c r="E1009" s="55">
        <v>17565.32</v>
      </c>
      <c r="F1009" t="s">
        <v>769</v>
      </c>
      <c r="G1009">
        <v>1500087621</v>
      </c>
      <c r="H1009" t="s">
        <v>755</v>
      </c>
      <c r="I1009" t="s">
        <v>770</v>
      </c>
      <c r="K1009" s="143">
        <v>46076</v>
      </c>
      <c r="L1009" s="143">
        <v>46035</v>
      </c>
      <c r="M1009">
        <v>22025</v>
      </c>
      <c r="N1009" t="s">
        <v>771</v>
      </c>
      <c r="O1009">
        <v>2001</v>
      </c>
      <c r="S1009">
        <v>515934</v>
      </c>
      <c r="T1009" t="s">
        <v>772</v>
      </c>
    </row>
    <row r="1010" spans="1:20" x14ac:dyDescent="0.25">
      <c r="A1010">
        <v>5100421506</v>
      </c>
      <c r="B1010">
        <v>12246</v>
      </c>
      <c r="C1010" t="s">
        <v>768</v>
      </c>
      <c r="D1010" s="143">
        <v>46035</v>
      </c>
      <c r="E1010">
        <v>466.03</v>
      </c>
      <c r="F1010" t="s">
        <v>769</v>
      </c>
      <c r="G1010">
        <v>1500087621</v>
      </c>
      <c r="H1010" t="s">
        <v>755</v>
      </c>
      <c r="I1010" t="s">
        <v>770</v>
      </c>
      <c r="K1010" s="143">
        <v>46076</v>
      </c>
      <c r="L1010" s="143">
        <v>46035</v>
      </c>
      <c r="M1010">
        <v>32025</v>
      </c>
      <c r="N1010" t="s">
        <v>771</v>
      </c>
      <c r="O1010">
        <v>2001</v>
      </c>
      <c r="S1010">
        <v>515934</v>
      </c>
      <c r="T1010" t="s">
        <v>772</v>
      </c>
    </row>
    <row r="1011" spans="1:20" x14ac:dyDescent="0.25">
      <c r="A1011">
        <v>5100421507</v>
      </c>
      <c r="B1011">
        <v>12246</v>
      </c>
      <c r="C1011" t="s">
        <v>768</v>
      </c>
      <c r="D1011" s="143">
        <v>46035</v>
      </c>
      <c r="E1011">
        <v>514.58000000000004</v>
      </c>
      <c r="F1011" t="s">
        <v>769</v>
      </c>
      <c r="G1011">
        <v>1500087621</v>
      </c>
      <c r="H1011" t="s">
        <v>755</v>
      </c>
      <c r="I1011" t="s">
        <v>770</v>
      </c>
      <c r="K1011" s="143">
        <v>46076</v>
      </c>
      <c r="L1011" s="143">
        <v>46035</v>
      </c>
      <c r="M1011">
        <v>52025</v>
      </c>
      <c r="N1011" t="s">
        <v>771</v>
      </c>
      <c r="O1011">
        <v>2001</v>
      </c>
      <c r="S1011">
        <v>515934</v>
      </c>
      <c r="T1011" t="s">
        <v>772</v>
      </c>
    </row>
    <row r="1012" spans="1:20" x14ac:dyDescent="0.25">
      <c r="A1012">
        <v>5100421508</v>
      </c>
      <c r="B1012">
        <v>12246</v>
      </c>
      <c r="C1012" t="s">
        <v>768</v>
      </c>
      <c r="D1012" s="143">
        <v>46035</v>
      </c>
      <c r="E1012">
        <v>622.79</v>
      </c>
      <c r="F1012" t="s">
        <v>769</v>
      </c>
      <c r="G1012">
        <v>1500087621</v>
      </c>
      <c r="H1012" t="s">
        <v>755</v>
      </c>
      <c r="I1012" t="s">
        <v>770</v>
      </c>
      <c r="K1012" s="143">
        <v>46076</v>
      </c>
      <c r="L1012" s="143">
        <v>46035</v>
      </c>
      <c r="M1012">
        <v>62025</v>
      </c>
      <c r="N1012" t="s">
        <v>771</v>
      </c>
      <c r="O1012">
        <v>2001</v>
      </c>
      <c r="S1012">
        <v>515934</v>
      </c>
      <c r="T1012" t="s">
        <v>772</v>
      </c>
    </row>
    <row r="1013" spans="1:20" x14ac:dyDescent="0.25">
      <c r="A1013">
        <v>5100421590</v>
      </c>
      <c r="B1013">
        <v>14296</v>
      </c>
      <c r="C1013" t="s">
        <v>768</v>
      </c>
      <c r="D1013" s="143">
        <v>46035</v>
      </c>
      <c r="E1013" s="55">
        <v>72848.320000000007</v>
      </c>
      <c r="F1013" t="s">
        <v>769</v>
      </c>
      <c r="G1013">
        <v>101270028</v>
      </c>
      <c r="H1013" t="s">
        <v>755</v>
      </c>
      <c r="I1013" t="s">
        <v>770</v>
      </c>
      <c r="J1013">
        <v>0</v>
      </c>
      <c r="K1013" s="143">
        <v>46146</v>
      </c>
      <c r="L1013" s="143">
        <v>46035</v>
      </c>
      <c r="M1013">
        <v>22025</v>
      </c>
      <c r="N1013" t="s">
        <v>771</v>
      </c>
      <c r="O1013">
        <v>2001</v>
      </c>
      <c r="S1013">
        <v>2.00159000218072E+17</v>
      </c>
      <c r="T1013" t="s">
        <v>772</v>
      </c>
    </row>
    <row r="1014" spans="1:20" x14ac:dyDescent="0.25">
      <c r="A1014">
        <v>5100421591</v>
      </c>
      <c r="B1014">
        <v>14296</v>
      </c>
      <c r="C1014" t="s">
        <v>768</v>
      </c>
      <c r="D1014" s="143">
        <v>46035</v>
      </c>
      <c r="E1014">
        <v>470.64</v>
      </c>
      <c r="F1014" t="s">
        <v>769</v>
      </c>
      <c r="G1014">
        <v>101270028</v>
      </c>
      <c r="H1014" t="s">
        <v>755</v>
      </c>
      <c r="I1014" t="s">
        <v>770</v>
      </c>
      <c r="J1014">
        <v>0</v>
      </c>
      <c r="K1014" s="143">
        <v>46146</v>
      </c>
      <c r="L1014" s="143">
        <v>46035</v>
      </c>
      <c r="M1014">
        <v>42025</v>
      </c>
      <c r="N1014" t="s">
        <v>771</v>
      </c>
      <c r="O1014">
        <v>2001</v>
      </c>
      <c r="S1014">
        <v>2.00159000218072E+17</v>
      </c>
      <c r="T1014" t="s">
        <v>772</v>
      </c>
    </row>
    <row r="1015" spans="1:20" x14ac:dyDescent="0.25">
      <c r="A1015">
        <v>5100421592</v>
      </c>
      <c r="B1015">
        <v>14296</v>
      </c>
      <c r="C1015" t="s">
        <v>768</v>
      </c>
      <c r="D1015" s="143">
        <v>46035</v>
      </c>
      <c r="E1015">
        <v>352.98</v>
      </c>
      <c r="F1015" t="s">
        <v>769</v>
      </c>
      <c r="G1015">
        <v>101270028</v>
      </c>
      <c r="H1015" t="s">
        <v>755</v>
      </c>
      <c r="I1015" t="s">
        <v>770</v>
      </c>
      <c r="J1015">
        <v>0</v>
      </c>
      <c r="K1015" s="143">
        <v>46146</v>
      </c>
      <c r="L1015" s="143">
        <v>46035</v>
      </c>
      <c r="M1015">
        <v>52025</v>
      </c>
      <c r="N1015" t="s">
        <v>771</v>
      </c>
      <c r="O1015">
        <v>2001</v>
      </c>
      <c r="S1015">
        <v>2.00159000218072E+17</v>
      </c>
      <c r="T1015" t="s">
        <v>772</v>
      </c>
    </row>
    <row r="1016" spans="1:20" x14ac:dyDescent="0.25">
      <c r="A1016">
        <v>5100421593</v>
      </c>
      <c r="B1016">
        <v>14296</v>
      </c>
      <c r="C1016" t="s">
        <v>768</v>
      </c>
      <c r="D1016" s="143">
        <v>46035</v>
      </c>
      <c r="E1016" s="55">
        <v>1647.24</v>
      </c>
      <c r="F1016" t="s">
        <v>769</v>
      </c>
      <c r="G1016">
        <v>101270028</v>
      </c>
      <c r="H1016" t="s">
        <v>755</v>
      </c>
      <c r="I1016" t="s">
        <v>770</v>
      </c>
      <c r="J1016">
        <v>0</v>
      </c>
      <c r="K1016" s="143">
        <v>46146</v>
      </c>
      <c r="L1016" s="143">
        <v>46035</v>
      </c>
      <c r="M1016">
        <v>62025</v>
      </c>
      <c r="N1016" t="s">
        <v>771</v>
      </c>
      <c r="O1016">
        <v>2001</v>
      </c>
      <c r="S1016">
        <v>2.00159000218072E+17</v>
      </c>
      <c r="T1016" t="s">
        <v>772</v>
      </c>
    </row>
    <row r="1017" spans="1:20" x14ac:dyDescent="0.25">
      <c r="A1017">
        <v>5100421594</v>
      </c>
      <c r="B1017">
        <v>14296</v>
      </c>
      <c r="C1017" t="s">
        <v>768</v>
      </c>
      <c r="D1017" s="143">
        <v>46035</v>
      </c>
      <c r="E1017" s="55">
        <v>1294.26</v>
      </c>
      <c r="F1017" t="s">
        <v>769</v>
      </c>
      <c r="G1017">
        <v>101270028</v>
      </c>
      <c r="H1017" t="s">
        <v>755</v>
      </c>
      <c r="I1017" t="s">
        <v>770</v>
      </c>
      <c r="J1017">
        <v>0</v>
      </c>
      <c r="K1017" s="143">
        <v>46146</v>
      </c>
      <c r="L1017" s="143">
        <v>46035</v>
      </c>
      <c r="M1017">
        <v>72025</v>
      </c>
      <c r="N1017" t="s">
        <v>771</v>
      </c>
      <c r="O1017">
        <v>2001</v>
      </c>
      <c r="S1017">
        <v>2.00159000218072E+17</v>
      </c>
      <c r="T1017" t="s">
        <v>772</v>
      </c>
    </row>
    <row r="1018" spans="1:20" x14ac:dyDescent="0.25">
      <c r="A1018">
        <v>5100421595</v>
      </c>
      <c r="B1018">
        <v>14296</v>
      </c>
      <c r="C1018" t="s">
        <v>768</v>
      </c>
      <c r="D1018" s="143">
        <v>46035</v>
      </c>
      <c r="E1018">
        <v>941.28</v>
      </c>
      <c r="F1018" t="s">
        <v>769</v>
      </c>
      <c r="G1018">
        <v>101270028</v>
      </c>
      <c r="H1018" t="s">
        <v>755</v>
      </c>
      <c r="I1018" t="s">
        <v>770</v>
      </c>
      <c r="J1018">
        <v>0</v>
      </c>
      <c r="K1018" s="143">
        <v>46146</v>
      </c>
      <c r="L1018" s="143">
        <v>46035</v>
      </c>
      <c r="M1018">
        <v>82025</v>
      </c>
      <c r="N1018" t="s">
        <v>771</v>
      </c>
      <c r="O1018">
        <v>2001</v>
      </c>
      <c r="S1018">
        <v>2.00159000218072E+17</v>
      </c>
      <c r="T1018" t="s">
        <v>772</v>
      </c>
    </row>
    <row r="1019" spans="1:20" x14ac:dyDescent="0.25">
      <c r="A1019">
        <v>5100361614</v>
      </c>
      <c r="B1019">
        <v>18614</v>
      </c>
      <c r="C1019" t="s">
        <v>768</v>
      </c>
      <c r="D1019" s="143">
        <v>46035</v>
      </c>
      <c r="E1019" s="55">
        <v>68026.570000000007</v>
      </c>
      <c r="F1019" t="s">
        <v>769</v>
      </c>
      <c r="G1019">
        <v>1500038750</v>
      </c>
      <c r="H1019" t="s">
        <v>755</v>
      </c>
      <c r="I1019" t="s">
        <v>770</v>
      </c>
      <c r="K1019" s="143">
        <v>46069</v>
      </c>
      <c r="L1019" s="143">
        <v>46035</v>
      </c>
      <c r="M1019">
        <v>62025</v>
      </c>
      <c r="N1019" t="s">
        <v>771</v>
      </c>
      <c r="O1019">
        <v>2001</v>
      </c>
      <c r="S1019">
        <v>514510</v>
      </c>
      <c r="T1019" t="s">
        <v>772</v>
      </c>
    </row>
    <row r="1020" spans="1:20" x14ac:dyDescent="0.25">
      <c r="A1020">
        <v>5100361626</v>
      </c>
      <c r="B1020">
        <v>20016</v>
      </c>
      <c r="C1020" t="s">
        <v>768</v>
      </c>
      <c r="D1020" s="143">
        <v>46035</v>
      </c>
      <c r="E1020" s="55">
        <v>128527.67</v>
      </c>
      <c r="F1020" t="s">
        <v>769</v>
      </c>
      <c r="G1020">
        <v>1500085900</v>
      </c>
      <c r="H1020" t="s">
        <v>755</v>
      </c>
      <c r="I1020" t="s">
        <v>770</v>
      </c>
      <c r="K1020" s="143">
        <v>46069</v>
      </c>
      <c r="L1020" s="143">
        <v>46035</v>
      </c>
      <c r="M1020">
        <v>62025</v>
      </c>
      <c r="N1020" t="s">
        <v>771</v>
      </c>
      <c r="O1020">
        <v>2001</v>
      </c>
      <c r="S1020" t="s">
        <v>783</v>
      </c>
      <c r="T1020" t="s">
        <v>772</v>
      </c>
    </row>
    <row r="1021" spans="1:20" x14ac:dyDescent="0.25">
      <c r="A1021">
        <v>5100361659</v>
      </c>
      <c r="B1021">
        <v>20456</v>
      </c>
      <c r="C1021" t="s">
        <v>768</v>
      </c>
      <c r="D1021" s="143">
        <v>46035</v>
      </c>
      <c r="E1021" s="55">
        <v>46327.85</v>
      </c>
      <c r="F1021" t="s">
        <v>769</v>
      </c>
      <c r="G1021">
        <v>1500061116</v>
      </c>
      <c r="H1021" t="s">
        <v>755</v>
      </c>
      <c r="I1021" t="s">
        <v>770</v>
      </c>
      <c r="K1021" s="143">
        <v>46098</v>
      </c>
      <c r="L1021" s="143">
        <v>46035</v>
      </c>
      <c r="M1021">
        <v>32025</v>
      </c>
      <c r="N1021" t="s">
        <v>771</v>
      </c>
      <c r="O1021">
        <v>2001</v>
      </c>
      <c r="S1021" t="s">
        <v>778</v>
      </c>
      <c r="T1021" t="s">
        <v>772</v>
      </c>
    </row>
    <row r="1022" spans="1:20" x14ac:dyDescent="0.25">
      <c r="A1022">
        <v>5100361660</v>
      </c>
      <c r="B1022">
        <v>20456</v>
      </c>
      <c r="C1022" t="s">
        <v>768</v>
      </c>
      <c r="D1022" s="143">
        <v>46035</v>
      </c>
      <c r="E1022">
        <v>71.91</v>
      </c>
      <c r="F1022" t="s">
        <v>769</v>
      </c>
      <c r="G1022">
        <v>1500061116</v>
      </c>
      <c r="H1022" t="s">
        <v>755</v>
      </c>
      <c r="I1022" t="s">
        <v>770</v>
      </c>
      <c r="K1022" s="143">
        <v>46098</v>
      </c>
      <c r="L1022" s="143">
        <v>46035</v>
      </c>
      <c r="M1022">
        <v>42025</v>
      </c>
      <c r="N1022" t="s">
        <v>771</v>
      </c>
      <c r="O1022">
        <v>2001</v>
      </c>
      <c r="S1022" t="s">
        <v>778</v>
      </c>
      <c r="T1022" t="s">
        <v>772</v>
      </c>
    </row>
    <row r="1023" spans="1:20" x14ac:dyDescent="0.25">
      <c r="A1023">
        <v>5100361661</v>
      </c>
      <c r="B1023">
        <v>20456</v>
      </c>
      <c r="C1023" t="s">
        <v>768</v>
      </c>
      <c r="D1023" s="143">
        <v>46035</v>
      </c>
      <c r="E1023" s="55">
        <v>25206.38</v>
      </c>
      <c r="F1023" t="s">
        <v>769</v>
      </c>
      <c r="G1023">
        <v>1500061116</v>
      </c>
      <c r="H1023" t="s">
        <v>755</v>
      </c>
      <c r="I1023" t="s">
        <v>770</v>
      </c>
      <c r="K1023" s="143">
        <v>46098</v>
      </c>
      <c r="L1023" s="143">
        <v>46035</v>
      </c>
      <c r="M1023">
        <v>52025</v>
      </c>
      <c r="N1023" t="s">
        <v>771</v>
      </c>
      <c r="O1023">
        <v>2001</v>
      </c>
      <c r="S1023" t="s">
        <v>778</v>
      </c>
      <c r="T1023" t="s">
        <v>772</v>
      </c>
    </row>
    <row r="1024" spans="1:20" x14ac:dyDescent="0.25">
      <c r="A1024">
        <v>5100361662</v>
      </c>
      <c r="B1024">
        <v>20456</v>
      </c>
      <c r="C1024" t="s">
        <v>768</v>
      </c>
      <c r="D1024" s="143">
        <v>46035</v>
      </c>
      <c r="E1024">
        <v>3</v>
      </c>
      <c r="F1024" t="s">
        <v>769</v>
      </c>
      <c r="G1024">
        <v>1500061116</v>
      </c>
      <c r="H1024" t="s">
        <v>755</v>
      </c>
      <c r="I1024" t="s">
        <v>770</v>
      </c>
      <c r="K1024" s="143">
        <v>46098</v>
      </c>
      <c r="L1024" s="143">
        <v>46035</v>
      </c>
      <c r="M1024">
        <v>82025</v>
      </c>
      <c r="N1024" t="s">
        <v>771</v>
      </c>
      <c r="O1024">
        <v>2001</v>
      </c>
      <c r="S1024" t="s">
        <v>778</v>
      </c>
      <c r="T1024" t="s">
        <v>772</v>
      </c>
    </row>
    <row r="1025" spans="1:20" x14ac:dyDescent="0.25">
      <c r="A1025">
        <v>5100361673</v>
      </c>
      <c r="B1025">
        <v>20623</v>
      </c>
      <c r="C1025" t="s">
        <v>768</v>
      </c>
      <c r="D1025" s="143">
        <v>46035</v>
      </c>
      <c r="E1025" s="55">
        <v>17600.3</v>
      </c>
      <c r="F1025" t="s">
        <v>769</v>
      </c>
      <c r="G1025">
        <v>1500038752</v>
      </c>
      <c r="H1025" t="s">
        <v>755</v>
      </c>
      <c r="I1025" t="s">
        <v>770</v>
      </c>
      <c r="K1025" s="143">
        <v>46069</v>
      </c>
      <c r="L1025" s="143">
        <v>46035</v>
      </c>
      <c r="M1025">
        <v>12025</v>
      </c>
      <c r="N1025" t="s">
        <v>771</v>
      </c>
      <c r="O1025">
        <v>2001</v>
      </c>
      <c r="S1025">
        <v>525327</v>
      </c>
      <c r="T1025" t="s">
        <v>772</v>
      </c>
    </row>
    <row r="1026" spans="1:20" x14ac:dyDescent="0.25">
      <c r="A1026">
        <v>5100361674</v>
      </c>
      <c r="B1026">
        <v>20623</v>
      </c>
      <c r="C1026" t="s">
        <v>768</v>
      </c>
      <c r="D1026" s="143">
        <v>46035</v>
      </c>
      <c r="E1026" s="55">
        <v>3952.03</v>
      </c>
      <c r="F1026" t="s">
        <v>769</v>
      </c>
      <c r="G1026">
        <v>1500038752</v>
      </c>
      <c r="H1026" t="s">
        <v>755</v>
      </c>
      <c r="I1026" t="s">
        <v>770</v>
      </c>
      <c r="K1026" s="143">
        <v>46069</v>
      </c>
      <c r="L1026" s="143">
        <v>46035</v>
      </c>
      <c r="M1026">
        <v>22025</v>
      </c>
      <c r="N1026" t="s">
        <v>771</v>
      </c>
      <c r="O1026">
        <v>2001</v>
      </c>
      <c r="S1026">
        <v>525327</v>
      </c>
      <c r="T1026" t="s">
        <v>772</v>
      </c>
    </row>
    <row r="1027" spans="1:20" x14ac:dyDescent="0.25">
      <c r="A1027">
        <v>5100361675</v>
      </c>
      <c r="B1027">
        <v>20623</v>
      </c>
      <c r="C1027" t="s">
        <v>768</v>
      </c>
      <c r="D1027" s="143">
        <v>46035</v>
      </c>
      <c r="E1027" s="55">
        <v>5877.95</v>
      </c>
      <c r="F1027" t="s">
        <v>769</v>
      </c>
      <c r="G1027">
        <v>1500038752</v>
      </c>
      <c r="H1027" t="s">
        <v>755</v>
      </c>
      <c r="I1027" t="s">
        <v>770</v>
      </c>
      <c r="K1027" s="143">
        <v>46069</v>
      </c>
      <c r="L1027" s="143">
        <v>46035</v>
      </c>
      <c r="M1027">
        <v>32025</v>
      </c>
      <c r="N1027" t="s">
        <v>771</v>
      </c>
      <c r="O1027">
        <v>2001</v>
      </c>
      <c r="S1027">
        <v>525327</v>
      </c>
      <c r="T1027" t="s">
        <v>772</v>
      </c>
    </row>
    <row r="1028" spans="1:20" x14ac:dyDescent="0.25">
      <c r="A1028">
        <v>5100361676</v>
      </c>
      <c r="B1028">
        <v>20623</v>
      </c>
      <c r="C1028" t="s">
        <v>768</v>
      </c>
      <c r="D1028" s="143">
        <v>46035</v>
      </c>
      <c r="E1028" s="55">
        <v>2408.83</v>
      </c>
      <c r="F1028" t="s">
        <v>769</v>
      </c>
      <c r="G1028">
        <v>1500038752</v>
      </c>
      <c r="H1028" t="s">
        <v>755</v>
      </c>
      <c r="I1028" t="s">
        <v>770</v>
      </c>
      <c r="K1028" s="143">
        <v>46069</v>
      </c>
      <c r="L1028" s="143">
        <v>46035</v>
      </c>
      <c r="M1028">
        <v>42025</v>
      </c>
      <c r="N1028" t="s">
        <v>771</v>
      </c>
      <c r="O1028">
        <v>2001</v>
      </c>
      <c r="S1028">
        <v>525327</v>
      </c>
      <c r="T1028" t="s">
        <v>772</v>
      </c>
    </row>
    <row r="1029" spans="1:20" x14ac:dyDescent="0.25">
      <c r="A1029">
        <v>5100361677</v>
      </c>
      <c r="B1029">
        <v>20623</v>
      </c>
      <c r="C1029" t="s">
        <v>768</v>
      </c>
      <c r="D1029" s="143">
        <v>46035</v>
      </c>
      <c r="E1029" s="55">
        <v>16624.060000000001</v>
      </c>
      <c r="F1029" t="s">
        <v>769</v>
      </c>
      <c r="G1029">
        <v>1500038752</v>
      </c>
      <c r="H1029" t="s">
        <v>755</v>
      </c>
      <c r="I1029" t="s">
        <v>770</v>
      </c>
      <c r="K1029" s="143">
        <v>46069</v>
      </c>
      <c r="L1029" s="143">
        <v>46035</v>
      </c>
      <c r="M1029">
        <v>52025</v>
      </c>
      <c r="N1029" t="s">
        <v>771</v>
      </c>
      <c r="O1029">
        <v>2001</v>
      </c>
      <c r="S1029">
        <v>525327</v>
      </c>
      <c r="T1029" t="s">
        <v>772</v>
      </c>
    </row>
    <row r="1030" spans="1:20" x14ac:dyDescent="0.25">
      <c r="A1030">
        <v>5100361678</v>
      </c>
      <c r="B1030">
        <v>20623</v>
      </c>
      <c r="C1030" t="s">
        <v>768</v>
      </c>
      <c r="D1030" s="143">
        <v>46035</v>
      </c>
      <c r="E1030" s="55">
        <v>14873.11</v>
      </c>
      <c r="F1030" t="s">
        <v>769</v>
      </c>
      <c r="G1030">
        <v>1500038752</v>
      </c>
      <c r="H1030" t="s">
        <v>755</v>
      </c>
      <c r="I1030" t="s">
        <v>770</v>
      </c>
      <c r="K1030" s="143">
        <v>46069</v>
      </c>
      <c r="L1030" s="143">
        <v>46035</v>
      </c>
      <c r="M1030">
        <v>62025</v>
      </c>
      <c r="N1030" t="s">
        <v>771</v>
      </c>
      <c r="O1030">
        <v>2001</v>
      </c>
      <c r="S1030">
        <v>525327</v>
      </c>
      <c r="T1030" t="s">
        <v>772</v>
      </c>
    </row>
    <row r="1031" spans="1:20" x14ac:dyDescent="0.25">
      <c r="A1031">
        <v>5100361679</v>
      </c>
      <c r="B1031">
        <v>20623</v>
      </c>
      <c r="C1031" t="s">
        <v>768</v>
      </c>
      <c r="D1031" s="143">
        <v>46035</v>
      </c>
      <c r="E1031" s="55">
        <v>17501.580000000002</v>
      </c>
      <c r="F1031" t="s">
        <v>769</v>
      </c>
      <c r="G1031">
        <v>1500038752</v>
      </c>
      <c r="H1031" t="s">
        <v>755</v>
      </c>
      <c r="I1031" t="s">
        <v>770</v>
      </c>
      <c r="K1031" s="143">
        <v>46069</v>
      </c>
      <c r="L1031" s="143">
        <v>46035</v>
      </c>
      <c r="M1031">
        <v>72025</v>
      </c>
      <c r="N1031" t="s">
        <v>771</v>
      </c>
      <c r="O1031">
        <v>2001</v>
      </c>
      <c r="S1031">
        <v>525327</v>
      </c>
      <c r="T1031" t="s">
        <v>772</v>
      </c>
    </row>
    <row r="1032" spans="1:20" x14ac:dyDescent="0.25">
      <c r="A1032">
        <v>5100361680</v>
      </c>
      <c r="B1032">
        <v>20623</v>
      </c>
      <c r="C1032" t="s">
        <v>768</v>
      </c>
      <c r="D1032" s="143">
        <v>46035</v>
      </c>
      <c r="E1032" s="55">
        <v>2494.71</v>
      </c>
      <c r="F1032" t="s">
        <v>769</v>
      </c>
      <c r="G1032">
        <v>1500038752</v>
      </c>
      <c r="H1032" t="s">
        <v>755</v>
      </c>
      <c r="I1032" t="s">
        <v>770</v>
      </c>
      <c r="K1032" s="143">
        <v>46069</v>
      </c>
      <c r="L1032" s="143">
        <v>46035</v>
      </c>
      <c r="M1032">
        <v>82025</v>
      </c>
      <c r="N1032" t="s">
        <v>771</v>
      </c>
      <c r="O1032">
        <v>2001</v>
      </c>
      <c r="S1032">
        <v>525327</v>
      </c>
      <c r="T1032" t="s">
        <v>772</v>
      </c>
    </row>
    <row r="1033" spans="1:20" x14ac:dyDescent="0.25">
      <c r="A1033">
        <v>5100361681</v>
      </c>
      <c r="B1033">
        <v>20623</v>
      </c>
      <c r="C1033" t="s">
        <v>768</v>
      </c>
      <c r="D1033" s="143">
        <v>46035</v>
      </c>
      <c r="E1033">
        <v>272.52</v>
      </c>
      <c r="F1033" t="s">
        <v>769</v>
      </c>
      <c r="G1033">
        <v>1500038752</v>
      </c>
      <c r="H1033" t="s">
        <v>755</v>
      </c>
      <c r="I1033" t="s">
        <v>770</v>
      </c>
      <c r="K1033" s="143">
        <v>46069</v>
      </c>
      <c r="L1033" s="143">
        <v>46035</v>
      </c>
      <c r="M1033">
        <v>92025</v>
      </c>
      <c r="N1033" t="s">
        <v>771</v>
      </c>
      <c r="O1033">
        <v>2001</v>
      </c>
      <c r="S1033">
        <v>525327</v>
      </c>
      <c r="T1033" t="s">
        <v>772</v>
      </c>
    </row>
    <row r="1034" spans="1:20" x14ac:dyDescent="0.25">
      <c r="A1034">
        <v>5100421809</v>
      </c>
      <c r="B1034">
        <v>20780</v>
      </c>
      <c r="C1034" t="s">
        <v>768</v>
      </c>
      <c r="D1034" s="143">
        <v>46035</v>
      </c>
      <c r="E1034" s="55">
        <v>67371.08</v>
      </c>
      <c r="F1034" t="s">
        <v>769</v>
      </c>
      <c r="G1034">
        <v>1500093221</v>
      </c>
      <c r="H1034" t="s">
        <v>755</v>
      </c>
      <c r="I1034" t="s">
        <v>770</v>
      </c>
      <c r="K1034" s="143">
        <v>46104</v>
      </c>
      <c r="L1034" s="143">
        <v>46035</v>
      </c>
      <c r="M1034">
        <v>72025</v>
      </c>
      <c r="N1034" t="s">
        <v>771</v>
      </c>
      <c r="O1034">
        <v>2001</v>
      </c>
      <c r="S1034" t="s">
        <v>776</v>
      </c>
      <c r="T1034" t="s">
        <v>772</v>
      </c>
    </row>
    <row r="1035" spans="1:20" x14ac:dyDescent="0.25">
      <c r="A1035">
        <v>5100421848</v>
      </c>
      <c r="B1035">
        <v>21157</v>
      </c>
      <c r="C1035" t="s">
        <v>768</v>
      </c>
      <c r="D1035" s="143">
        <v>46035</v>
      </c>
      <c r="E1035" s="55">
        <v>51458.51</v>
      </c>
      <c r="F1035" t="s">
        <v>769</v>
      </c>
      <c r="G1035">
        <v>1500087630</v>
      </c>
      <c r="H1035" t="s">
        <v>755</v>
      </c>
      <c r="I1035" t="s">
        <v>770</v>
      </c>
      <c r="K1035" s="143">
        <v>46076</v>
      </c>
      <c r="L1035" s="143">
        <v>46035</v>
      </c>
      <c r="M1035">
        <v>62025</v>
      </c>
      <c r="N1035" t="s">
        <v>771</v>
      </c>
      <c r="O1035">
        <v>2001</v>
      </c>
      <c r="S1035">
        <v>525339</v>
      </c>
      <c r="T1035" t="s">
        <v>772</v>
      </c>
    </row>
    <row r="1036" spans="1:20" x14ac:dyDescent="0.25">
      <c r="A1036">
        <v>5100421849</v>
      </c>
      <c r="B1036">
        <v>21157</v>
      </c>
      <c r="C1036" t="s">
        <v>768</v>
      </c>
      <c r="D1036" s="143">
        <v>46035</v>
      </c>
      <c r="E1036">
        <v>72.17</v>
      </c>
      <c r="F1036" t="s">
        <v>769</v>
      </c>
      <c r="G1036">
        <v>1500087630</v>
      </c>
      <c r="H1036" t="s">
        <v>755</v>
      </c>
      <c r="I1036" t="s">
        <v>770</v>
      </c>
      <c r="K1036" s="143">
        <v>46076</v>
      </c>
      <c r="L1036" s="143">
        <v>46035</v>
      </c>
      <c r="M1036">
        <v>72025</v>
      </c>
      <c r="N1036" t="s">
        <v>771</v>
      </c>
      <c r="O1036">
        <v>2001</v>
      </c>
      <c r="S1036">
        <v>525339</v>
      </c>
      <c r="T1036" t="s">
        <v>772</v>
      </c>
    </row>
    <row r="1037" spans="1:20" x14ac:dyDescent="0.25">
      <c r="A1037">
        <v>5100421936</v>
      </c>
      <c r="B1037">
        <v>21986</v>
      </c>
      <c r="C1037" t="s">
        <v>768</v>
      </c>
      <c r="D1037" s="143">
        <v>46035</v>
      </c>
      <c r="E1037" s="55">
        <v>101328.02</v>
      </c>
      <c r="F1037" t="s">
        <v>769</v>
      </c>
      <c r="G1037">
        <v>1500038757</v>
      </c>
      <c r="H1037" t="s">
        <v>755</v>
      </c>
      <c r="I1037" t="s">
        <v>770</v>
      </c>
      <c r="K1037" s="143">
        <v>46069</v>
      </c>
      <c r="L1037" s="143">
        <v>46035</v>
      </c>
      <c r="M1037">
        <v>92025</v>
      </c>
      <c r="N1037" t="s">
        <v>771</v>
      </c>
      <c r="O1037">
        <v>2001</v>
      </c>
      <c r="S1037">
        <v>516430</v>
      </c>
      <c r="T1037" t="s">
        <v>772</v>
      </c>
    </row>
    <row r="1038" spans="1:20" x14ac:dyDescent="0.25">
      <c r="A1038">
        <v>5100421939</v>
      </c>
      <c r="B1038">
        <v>22053</v>
      </c>
      <c r="C1038" t="s">
        <v>768</v>
      </c>
      <c r="D1038" s="143">
        <v>46035</v>
      </c>
      <c r="E1038" s="55">
        <v>1836.21</v>
      </c>
      <c r="F1038" t="s">
        <v>769</v>
      </c>
      <c r="G1038">
        <v>1500107414</v>
      </c>
      <c r="H1038" t="s">
        <v>755</v>
      </c>
      <c r="I1038" t="s">
        <v>770</v>
      </c>
      <c r="K1038" s="143">
        <v>46090</v>
      </c>
      <c r="L1038" s="143">
        <v>46035</v>
      </c>
      <c r="M1038">
        <v>62025</v>
      </c>
      <c r="N1038" t="s">
        <v>771</v>
      </c>
      <c r="O1038">
        <v>2001</v>
      </c>
      <c r="S1038" t="s">
        <v>777</v>
      </c>
      <c r="T1038" t="s">
        <v>772</v>
      </c>
    </row>
    <row r="1039" spans="1:20" x14ac:dyDescent="0.25">
      <c r="A1039">
        <v>5100421940</v>
      </c>
      <c r="B1039">
        <v>22053</v>
      </c>
      <c r="C1039" t="s">
        <v>768</v>
      </c>
      <c r="D1039" s="143">
        <v>46035</v>
      </c>
      <c r="E1039" s="55">
        <v>115754.53</v>
      </c>
      <c r="F1039" t="s">
        <v>769</v>
      </c>
      <c r="G1039">
        <v>1500107414</v>
      </c>
      <c r="H1039" t="s">
        <v>755</v>
      </c>
      <c r="I1039" t="s">
        <v>770</v>
      </c>
      <c r="K1039" s="143">
        <v>46090</v>
      </c>
      <c r="L1039" s="143">
        <v>46035</v>
      </c>
      <c r="M1039">
        <v>62025</v>
      </c>
      <c r="N1039" t="s">
        <v>771</v>
      </c>
      <c r="O1039">
        <v>2001</v>
      </c>
      <c r="S1039" t="s">
        <v>777</v>
      </c>
      <c r="T1039" t="s">
        <v>772</v>
      </c>
    </row>
    <row r="1040" spans="1:20" x14ac:dyDescent="0.25">
      <c r="A1040">
        <v>5100421981</v>
      </c>
      <c r="B1040">
        <v>22605</v>
      </c>
      <c r="C1040" t="s">
        <v>768</v>
      </c>
      <c r="D1040" s="143">
        <v>46035</v>
      </c>
      <c r="E1040" s="55">
        <v>12606.7</v>
      </c>
      <c r="F1040" t="s">
        <v>769</v>
      </c>
      <c r="G1040">
        <v>1500097967</v>
      </c>
      <c r="H1040" t="s">
        <v>755</v>
      </c>
      <c r="I1040" t="s">
        <v>770</v>
      </c>
      <c r="K1040" s="143">
        <v>46083</v>
      </c>
      <c r="L1040" s="143">
        <v>46035</v>
      </c>
      <c r="M1040">
        <v>42025</v>
      </c>
      <c r="N1040" t="s">
        <v>771</v>
      </c>
      <c r="O1040">
        <v>2001</v>
      </c>
      <c r="S1040">
        <v>525372</v>
      </c>
      <c r="T1040" t="s">
        <v>772</v>
      </c>
    </row>
    <row r="1041" spans="1:20" x14ac:dyDescent="0.25">
      <c r="A1041">
        <v>5100421982</v>
      </c>
      <c r="B1041">
        <v>22605</v>
      </c>
      <c r="C1041" t="s">
        <v>768</v>
      </c>
      <c r="D1041" s="143">
        <v>46035</v>
      </c>
      <c r="E1041" s="55">
        <v>38513.68</v>
      </c>
      <c r="F1041" t="s">
        <v>769</v>
      </c>
      <c r="G1041">
        <v>1500097967</v>
      </c>
      <c r="H1041" t="s">
        <v>755</v>
      </c>
      <c r="I1041" t="s">
        <v>770</v>
      </c>
      <c r="K1041" s="143">
        <v>46083</v>
      </c>
      <c r="L1041" s="143">
        <v>46035</v>
      </c>
      <c r="M1041">
        <v>52025</v>
      </c>
      <c r="N1041" t="s">
        <v>771</v>
      </c>
      <c r="O1041">
        <v>2001</v>
      </c>
      <c r="S1041">
        <v>525372</v>
      </c>
      <c r="T1041" t="s">
        <v>772</v>
      </c>
    </row>
    <row r="1042" spans="1:20" x14ac:dyDescent="0.25">
      <c r="A1042">
        <v>5100421983</v>
      </c>
      <c r="B1042">
        <v>22605</v>
      </c>
      <c r="C1042" t="s">
        <v>768</v>
      </c>
      <c r="D1042" s="143">
        <v>46035</v>
      </c>
      <c r="E1042" s="55">
        <v>10264.950000000001</v>
      </c>
      <c r="F1042" t="s">
        <v>769</v>
      </c>
      <c r="G1042">
        <v>1500097967</v>
      </c>
      <c r="H1042" t="s">
        <v>755</v>
      </c>
      <c r="I1042" t="s">
        <v>770</v>
      </c>
      <c r="K1042" s="143">
        <v>46083</v>
      </c>
      <c r="L1042" s="143">
        <v>46035</v>
      </c>
      <c r="M1042">
        <v>62025</v>
      </c>
      <c r="N1042" t="s">
        <v>771</v>
      </c>
      <c r="O1042">
        <v>2001</v>
      </c>
      <c r="S1042">
        <v>525372</v>
      </c>
      <c r="T1042" t="s">
        <v>772</v>
      </c>
    </row>
    <row r="1043" spans="1:20" x14ac:dyDescent="0.25">
      <c r="A1043">
        <v>5100421984</v>
      </c>
      <c r="B1043">
        <v>22605</v>
      </c>
      <c r="C1043" t="s">
        <v>768</v>
      </c>
      <c r="D1043" s="143">
        <v>46035</v>
      </c>
      <c r="E1043" s="55">
        <v>5253.25</v>
      </c>
      <c r="F1043" t="s">
        <v>769</v>
      </c>
      <c r="G1043">
        <v>1500097967</v>
      </c>
      <c r="H1043" t="s">
        <v>755</v>
      </c>
      <c r="I1043" t="s">
        <v>770</v>
      </c>
      <c r="K1043" s="143">
        <v>46083</v>
      </c>
      <c r="L1043" s="143">
        <v>46035</v>
      </c>
      <c r="M1043">
        <v>82025</v>
      </c>
      <c r="N1043" t="s">
        <v>771</v>
      </c>
      <c r="O1043">
        <v>2001</v>
      </c>
      <c r="S1043">
        <v>525372</v>
      </c>
      <c r="T1043" t="s">
        <v>772</v>
      </c>
    </row>
    <row r="1044" spans="1:20" x14ac:dyDescent="0.25">
      <c r="A1044">
        <v>5100421985</v>
      </c>
      <c r="B1044">
        <v>22605</v>
      </c>
      <c r="C1044" t="s">
        <v>768</v>
      </c>
      <c r="D1044" s="143">
        <v>46035</v>
      </c>
      <c r="E1044" s="55">
        <v>4398.1000000000004</v>
      </c>
      <c r="F1044" t="s">
        <v>769</v>
      </c>
      <c r="G1044">
        <v>1500097967</v>
      </c>
      <c r="H1044" t="s">
        <v>755</v>
      </c>
      <c r="I1044" t="s">
        <v>770</v>
      </c>
      <c r="K1044" s="143">
        <v>46083</v>
      </c>
      <c r="L1044" s="143">
        <v>46035</v>
      </c>
      <c r="M1044">
        <v>92025</v>
      </c>
      <c r="N1044" t="s">
        <v>771</v>
      </c>
      <c r="O1044">
        <v>2001</v>
      </c>
      <c r="S1044">
        <v>525372</v>
      </c>
      <c r="T1044" t="s">
        <v>772</v>
      </c>
    </row>
    <row r="1045" spans="1:20" x14ac:dyDescent="0.25">
      <c r="A1045">
        <v>5100422023</v>
      </c>
      <c r="B1045">
        <v>23431</v>
      </c>
      <c r="C1045" t="s">
        <v>768</v>
      </c>
      <c r="D1045" s="143">
        <v>46035</v>
      </c>
      <c r="E1045" s="55">
        <v>39223.4</v>
      </c>
      <c r="F1045" t="s">
        <v>769</v>
      </c>
      <c r="G1045">
        <v>1500033206</v>
      </c>
      <c r="H1045" t="s">
        <v>755</v>
      </c>
      <c r="I1045" t="s">
        <v>770</v>
      </c>
      <c r="K1045" s="143">
        <v>46098</v>
      </c>
      <c r="L1045" s="143">
        <v>46035</v>
      </c>
      <c r="M1045">
        <v>12025</v>
      </c>
      <c r="N1045" t="s">
        <v>779</v>
      </c>
      <c r="O1045">
        <v>2001</v>
      </c>
      <c r="S1045" t="s">
        <v>778</v>
      </c>
      <c r="T1045" t="s">
        <v>772</v>
      </c>
    </row>
    <row r="1046" spans="1:20" x14ac:dyDescent="0.25">
      <c r="A1046">
        <v>5100422024</v>
      </c>
      <c r="B1046">
        <v>23431</v>
      </c>
      <c r="C1046" t="s">
        <v>768</v>
      </c>
      <c r="D1046" s="143">
        <v>46035</v>
      </c>
      <c r="E1046" s="55">
        <v>3132.11</v>
      </c>
      <c r="F1046" t="s">
        <v>769</v>
      </c>
      <c r="G1046">
        <v>1500033206</v>
      </c>
      <c r="H1046" t="s">
        <v>755</v>
      </c>
      <c r="I1046" t="s">
        <v>770</v>
      </c>
      <c r="K1046" s="143">
        <v>46098</v>
      </c>
      <c r="L1046" s="143">
        <v>46035</v>
      </c>
      <c r="M1046">
        <v>22025</v>
      </c>
      <c r="N1046" t="s">
        <v>779</v>
      </c>
      <c r="O1046">
        <v>2001</v>
      </c>
      <c r="S1046" t="s">
        <v>778</v>
      </c>
      <c r="T1046" t="s">
        <v>772</v>
      </c>
    </row>
    <row r="1047" spans="1:20" x14ac:dyDescent="0.25">
      <c r="A1047">
        <v>5100422025</v>
      </c>
      <c r="B1047">
        <v>23431</v>
      </c>
      <c r="C1047" t="s">
        <v>768</v>
      </c>
      <c r="D1047" s="143">
        <v>46035</v>
      </c>
      <c r="E1047">
        <v>243.01</v>
      </c>
      <c r="F1047" t="s">
        <v>769</v>
      </c>
      <c r="G1047">
        <v>1500033206</v>
      </c>
      <c r="H1047" t="s">
        <v>755</v>
      </c>
      <c r="I1047" t="s">
        <v>770</v>
      </c>
      <c r="K1047" s="143">
        <v>46098</v>
      </c>
      <c r="L1047" s="143">
        <v>46035</v>
      </c>
      <c r="M1047">
        <v>32025</v>
      </c>
      <c r="N1047" t="s">
        <v>779</v>
      </c>
      <c r="O1047">
        <v>2001</v>
      </c>
      <c r="S1047" t="s">
        <v>778</v>
      </c>
      <c r="T1047" t="s">
        <v>772</v>
      </c>
    </row>
    <row r="1048" spans="1:20" x14ac:dyDescent="0.25">
      <c r="A1048">
        <v>5100422026</v>
      </c>
      <c r="B1048">
        <v>23431</v>
      </c>
      <c r="C1048" t="s">
        <v>768</v>
      </c>
      <c r="D1048" s="143">
        <v>46035</v>
      </c>
      <c r="E1048" s="55">
        <v>10161.35</v>
      </c>
      <c r="F1048" t="s">
        <v>769</v>
      </c>
      <c r="G1048">
        <v>1500033206</v>
      </c>
      <c r="H1048" t="s">
        <v>755</v>
      </c>
      <c r="I1048" t="s">
        <v>770</v>
      </c>
      <c r="K1048" s="143">
        <v>46098</v>
      </c>
      <c r="L1048" s="143">
        <v>46035</v>
      </c>
      <c r="M1048">
        <v>42025</v>
      </c>
      <c r="N1048" t="s">
        <v>779</v>
      </c>
      <c r="O1048">
        <v>2001</v>
      </c>
      <c r="S1048" t="s">
        <v>778</v>
      </c>
      <c r="T1048" t="s">
        <v>772</v>
      </c>
    </row>
    <row r="1049" spans="1:20" x14ac:dyDescent="0.25">
      <c r="A1049">
        <v>5100422027</v>
      </c>
      <c r="B1049">
        <v>23431</v>
      </c>
      <c r="C1049" t="s">
        <v>768</v>
      </c>
      <c r="D1049" s="143">
        <v>46035</v>
      </c>
      <c r="E1049" s="55">
        <v>8307.26</v>
      </c>
      <c r="F1049" t="s">
        <v>769</v>
      </c>
      <c r="G1049">
        <v>1500033206</v>
      </c>
      <c r="H1049" t="s">
        <v>755</v>
      </c>
      <c r="I1049" t="s">
        <v>770</v>
      </c>
      <c r="K1049" s="143">
        <v>46098</v>
      </c>
      <c r="L1049" s="143">
        <v>46035</v>
      </c>
      <c r="M1049">
        <v>52025</v>
      </c>
      <c r="N1049" t="s">
        <v>779</v>
      </c>
      <c r="O1049">
        <v>2001</v>
      </c>
      <c r="S1049" t="s">
        <v>778</v>
      </c>
      <c r="T1049" t="s">
        <v>772</v>
      </c>
    </row>
    <row r="1050" spans="1:20" x14ac:dyDescent="0.25">
      <c r="A1050">
        <v>5100422028</v>
      </c>
      <c r="B1050">
        <v>23431</v>
      </c>
      <c r="C1050" t="s">
        <v>768</v>
      </c>
      <c r="D1050" s="143">
        <v>46035</v>
      </c>
      <c r="E1050" s="55">
        <v>34160.620000000003</v>
      </c>
      <c r="F1050" t="s">
        <v>769</v>
      </c>
      <c r="G1050">
        <v>1500033206</v>
      </c>
      <c r="H1050" t="s">
        <v>755</v>
      </c>
      <c r="I1050" t="s">
        <v>770</v>
      </c>
      <c r="K1050" s="143">
        <v>46098</v>
      </c>
      <c r="L1050" s="143">
        <v>46035</v>
      </c>
      <c r="M1050">
        <v>72025</v>
      </c>
      <c r="N1050" t="s">
        <v>779</v>
      </c>
      <c r="O1050">
        <v>2001</v>
      </c>
      <c r="S1050" t="s">
        <v>778</v>
      </c>
      <c r="T1050" t="s">
        <v>772</v>
      </c>
    </row>
    <row r="1051" spans="1:20" x14ac:dyDescent="0.25">
      <c r="A1051">
        <v>5100422029</v>
      </c>
      <c r="B1051">
        <v>23431</v>
      </c>
      <c r="C1051" t="s">
        <v>768</v>
      </c>
      <c r="D1051" s="143">
        <v>46035</v>
      </c>
      <c r="E1051" s="55">
        <v>1212.79</v>
      </c>
      <c r="F1051" t="s">
        <v>769</v>
      </c>
      <c r="G1051">
        <v>1500033206</v>
      </c>
      <c r="H1051" t="s">
        <v>755</v>
      </c>
      <c r="I1051" t="s">
        <v>770</v>
      </c>
      <c r="K1051" s="143">
        <v>46098</v>
      </c>
      <c r="L1051" s="143">
        <v>46035</v>
      </c>
      <c r="M1051">
        <v>92025</v>
      </c>
      <c r="N1051" t="s">
        <v>779</v>
      </c>
      <c r="O1051">
        <v>2001</v>
      </c>
      <c r="S1051" t="s">
        <v>778</v>
      </c>
      <c r="T1051" t="s">
        <v>772</v>
      </c>
    </row>
    <row r="1052" spans="1:20" x14ac:dyDescent="0.25">
      <c r="A1052">
        <v>5100422063</v>
      </c>
      <c r="B1052">
        <v>24687</v>
      </c>
      <c r="C1052" t="s">
        <v>768</v>
      </c>
      <c r="D1052" s="143">
        <v>46035</v>
      </c>
      <c r="E1052" s="55">
        <v>24181.02</v>
      </c>
      <c r="F1052" t="s">
        <v>769</v>
      </c>
      <c r="G1052">
        <v>1500091101</v>
      </c>
      <c r="H1052" t="s">
        <v>755</v>
      </c>
      <c r="I1052" t="s">
        <v>770</v>
      </c>
      <c r="J1052">
        <v>8</v>
      </c>
      <c r="K1052" s="143">
        <v>46080</v>
      </c>
      <c r="L1052" s="143">
        <v>46035</v>
      </c>
      <c r="M1052">
        <v>22025</v>
      </c>
      <c r="N1052" t="s">
        <v>771</v>
      </c>
      <c r="O1052">
        <v>2001</v>
      </c>
      <c r="S1052" t="s">
        <v>802</v>
      </c>
      <c r="T1052" t="s">
        <v>772</v>
      </c>
    </row>
    <row r="1053" spans="1:20" x14ac:dyDescent="0.25">
      <c r="A1053">
        <v>5100422064</v>
      </c>
      <c r="B1053">
        <v>24687</v>
      </c>
      <c r="C1053" t="s">
        <v>768</v>
      </c>
      <c r="D1053" s="143">
        <v>46035</v>
      </c>
      <c r="E1053" s="55">
        <v>30008.43</v>
      </c>
      <c r="F1053" t="s">
        <v>769</v>
      </c>
      <c r="G1053">
        <v>1500091101</v>
      </c>
      <c r="H1053" t="s">
        <v>755</v>
      </c>
      <c r="I1053" t="s">
        <v>770</v>
      </c>
      <c r="J1053">
        <v>8</v>
      </c>
      <c r="K1053" s="143">
        <v>46080</v>
      </c>
      <c r="L1053" s="143">
        <v>46035</v>
      </c>
      <c r="M1053">
        <v>32025</v>
      </c>
      <c r="N1053" t="s">
        <v>771</v>
      </c>
      <c r="O1053">
        <v>2001</v>
      </c>
      <c r="S1053" t="s">
        <v>802</v>
      </c>
      <c r="T1053" t="s">
        <v>772</v>
      </c>
    </row>
    <row r="1054" spans="1:20" x14ac:dyDescent="0.25">
      <c r="A1054">
        <v>5100422088</v>
      </c>
      <c r="B1054">
        <v>25957</v>
      </c>
      <c r="C1054" t="s">
        <v>768</v>
      </c>
      <c r="D1054" s="143">
        <v>46035</v>
      </c>
      <c r="E1054" s="55">
        <v>20189.060000000001</v>
      </c>
      <c r="F1054" t="s">
        <v>769</v>
      </c>
      <c r="G1054">
        <v>1500098500</v>
      </c>
      <c r="H1054" t="s">
        <v>755</v>
      </c>
      <c r="I1054" t="s">
        <v>803</v>
      </c>
      <c r="K1054" s="143">
        <v>46083</v>
      </c>
      <c r="L1054" s="143">
        <v>46035</v>
      </c>
      <c r="M1054">
        <v>11900</v>
      </c>
      <c r="N1054" t="s">
        <v>771</v>
      </c>
      <c r="O1054">
        <v>2001</v>
      </c>
      <c r="S1054">
        <v>0</v>
      </c>
      <c r="T1054" t="s">
        <v>772</v>
      </c>
    </row>
    <row r="1055" spans="1:20" x14ac:dyDescent="0.25">
      <c r="A1055">
        <v>5100422089</v>
      </c>
      <c r="B1055">
        <v>25957</v>
      </c>
      <c r="C1055" t="s">
        <v>768</v>
      </c>
      <c r="D1055" s="143">
        <v>46035</v>
      </c>
      <c r="E1055" s="55">
        <v>8227.66</v>
      </c>
      <c r="F1055" t="s">
        <v>769</v>
      </c>
      <c r="G1055">
        <v>1500098500</v>
      </c>
      <c r="H1055" t="s">
        <v>755</v>
      </c>
      <c r="I1055" t="s">
        <v>770</v>
      </c>
      <c r="K1055" s="143">
        <v>46083</v>
      </c>
      <c r="L1055" s="143">
        <v>46035</v>
      </c>
      <c r="M1055">
        <v>32025</v>
      </c>
      <c r="N1055" t="s">
        <v>771</v>
      </c>
      <c r="O1055">
        <v>2001</v>
      </c>
      <c r="S1055">
        <v>514525</v>
      </c>
      <c r="T1055" t="s">
        <v>772</v>
      </c>
    </row>
    <row r="1056" spans="1:20" x14ac:dyDescent="0.25">
      <c r="A1056">
        <v>5100422090</v>
      </c>
      <c r="B1056">
        <v>25957</v>
      </c>
      <c r="C1056" t="s">
        <v>768</v>
      </c>
      <c r="D1056" s="143">
        <v>46035</v>
      </c>
      <c r="E1056" s="55">
        <v>4342.92</v>
      </c>
      <c r="F1056" t="s">
        <v>769</v>
      </c>
      <c r="G1056">
        <v>1500098500</v>
      </c>
      <c r="H1056" t="s">
        <v>755</v>
      </c>
      <c r="I1056" t="s">
        <v>770</v>
      </c>
      <c r="K1056" s="143">
        <v>46083</v>
      </c>
      <c r="L1056" s="143">
        <v>46035</v>
      </c>
      <c r="M1056">
        <v>42025</v>
      </c>
      <c r="N1056" t="s">
        <v>771</v>
      </c>
      <c r="O1056">
        <v>2001</v>
      </c>
      <c r="S1056">
        <v>514525</v>
      </c>
      <c r="T1056" t="s">
        <v>772</v>
      </c>
    </row>
    <row r="1057" spans="1:20" x14ac:dyDescent="0.25">
      <c r="A1057">
        <v>5100422091</v>
      </c>
      <c r="B1057">
        <v>25957</v>
      </c>
      <c r="C1057" t="s">
        <v>768</v>
      </c>
      <c r="D1057" s="143">
        <v>46035</v>
      </c>
      <c r="E1057" s="55">
        <v>35161.96</v>
      </c>
      <c r="F1057" t="s">
        <v>769</v>
      </c>
      <c r="G1057">
        <v>1500098500</v>
      </c>
      <c r="H1057" t="s">
        <v>755</v>
      </c>
      <c r="I1057" t="s">
        <v>770</v>
      </c>
      <c r="K1057" s="143">
        <v>46083</v>
      </c>
      <c r="L1057" s="143">
        <v>46035</v>
      </c>
      <c r="M1057">
        <v>62025</v>
      </c>
      <c r="N1057" t="s">
        <v>771</v>
      </c>
      <c r="O1057">
        <v>2001</v>
      </c>
      <c r="S1057">
        <v>514525</v>
      </c>
      <c r="T1057" t="s">
        <v>772</v>
      </c>
    </row>
    <row r="1058" spans="1:20" x14ac:dyDescent="0.25">
      <c r="A1058">
        <v>5100422092</v>
      </c>
      <c r="B1058">
        <v>25957</v>
      </c>
      <c r="C1058" t="s">
        <v>768</v>
      </c>
      <c r="D1058" s="143">
        <v>46035</v>
      </c>
      <c r="E1058" s="55">
        <v>6805.54</v>
      </c>
      <c r="F1058" t="s">
        <v>769</v>
      </c>
      <c r="G1058">
        <v>1500098500</v>
      </c>
      <c r="H1058" t="s">
        <v>755</v>
      </c>
      <c r="I1058" t="s">
        <v>770</v>
      </c>
      <c r="K1058" s="143">
        <v>46083</v>
      </c>
      <c r="L1058" s="143">
        <v>46035</v>
      </c>
      <c r="M1058">
        <v>72025</v>
      </c>
      <c r="N1058" t="s">
        <v>771</v>
      </c>
      <c r="O1058">
        <v>2001</v>
      </c>
      <c r="S1058">
        <v>514525</v>
      </c>
      <c r="T1058" t="s">
        <v>772</v>
      </c>
    </row>
    <row r="1059" spans="1:20" x14ac:dyDescent="0.25">
      <c r="A1059">
        <v>5100422116</v>
      </c>
      <c r="B1059">
        <v>27011</v>
      </c>
      <c r="C1059" t="s">
        <v>768</v>
      </c>
      <c r="D1059" s="143">
        <v>46035</v>
      </c>
      <c r="E1059">
        <v>134.97999999999999</v>
      </c>
      <c r="F1059" t="s">
        <v>769</v>
      </c>
      <c r="G1059">
        <v>101045791</v>
      </c>
      <c r="H1059" t="s">
        <v>755</v>
      </c>
      <c r="I1059" t="s">
        <v>770</v>
      </c>
      <c r="J1059">
        <v>0</v>
      </c>
      <c r="K1059" s="143">
        <v>46118</v>
      </c>
      <c r="L1059" s="143">
        <v>46035</v>
      </c>
      <c r="M1059">
        <v>12025</v>
      </c>
      <c r="N1059" t="s">
        <v>771</v>
      </c>
      <c r="O1059">
        <v>2001</v>
      </c>
      <c r="S1059">
        <v>2.0015900012602202E+17</v>
      </c>
      <c r="T1059" t="s">
        <v>772</v>
      </c>
    </row>
    <row r="1060" spans="1:20" x14ac:dyDescent="0.25">
      <c r="A1060">
        <v>5100422117</v>
      </c>
      <c r="B1060">
        <v>27011</v>
      </c>
      <c r="C1060" t="s">
        <v>768</v>
      </c>
      <c r="D1060" s="143">
        <v>46035</v>
      </c>
      <c r="E1060" s="55">
        <v>6637.03</v>
      </c>
      <c r="F1060" t="s">
        <v>769</v>
      </c>
      <c r="G1060">
        <v>101045791</v>
      </c>
      <c r="H1060" t="s">
        <v>755</v>
      </c>
      <c r="I1060" t="s">
        <v>770</v>
      </c>
      <c r="J1060">
        <v>0</v>
      </c>
      <c r="K1060" s="143">
        <v>46118</v>
      </c>
      <c r="L1060" s="143">
        <v>46035</v>
      </c>
      <c r="M1060">
        <v>22025</v>
      </c>
      <c r="N1060" t="s">
        <v>771</v>
      </c>
      <c r="O1060">
        <v>2001</v>
      </c>
      <c r="S1060">
        <v>2.0015900012602202E+17</v>
      </c>
      <c r="T1060" t="s">
        <v>772</v>
      </c>
    </row>
    <row r="1061" spans="1:20" x14ac:dyDescent="0.25">
      <c r="A1061">
        <v>5100422118</v>
      </c>
      <c r="B1061">
        <v>27011</v>
      </c>
      <c r="C1061" t="s">
        <v>768</v>
      </c>
      <c r="D1061" s="143">
        <v>46035</v>
      </c>
      <c r="E1061" s="55">
        <v>10811.05</v>
      </c>
      <c r="F1061" t="s">
        <v>769</v>
      </c>
      <c r="G1061">
        <v>101045791</v>
      </c>
      <c r="H1061" t="s">
        <v>755</v>
      </c>
      <c r="I1061" t="s">
        <v>770</v>
      </c>
      <c r="J1061">
        <v>0</v>
      </c>
      <c r="K1061" s="143">
        <v>46118</v>
      </c>
      <c r="L1061" s="143">
        <v>46035</v>
      </c>
      <c r="M1061">
        <v>32025</v>
      </c>
      <c r="N1061" t="s">
        <v>771</v>
      </c>
      <c r="O1061">
        <v>2001</v>
      </c>
      <c r="S1061">
        <v>2.0015900012602202E+17</v>
      </c>
      <c r="T1061" t="s">
        <v>772</v>
      </c>
    </row>
    <row r="1062" spans="1:20" x14ac:dyDescent="0.25">
      <c r="A1062">
        <v>5100422119</v>
      </c>
      <c r="B1062">
        <v>27011</v>
      </c>
      <c r="C1062" t="s">
        <v>768</v>
      </c>
      <c r="D1062" s="143">
        <v>46035</v>
      </c>
      <c r="E1062" s="55">
        <v>20008.05</v>
      </c>
      <c r="F1062" t="s">
        <v>769</v>
      </c>
      <c r="G1062">
        <v>101045791</v>
      </c>
      <c r="H1062" t="s">
        <v>755</v>
      </c>
      <c r="I1062" t="s">
        <v>770</v>
      </c>
      <c r="J1062">
        <v>0</v>
      </c>
      <c r="K1062" s="143">
        <v>46118</v>
      </c>
      <c r="L1062" s="143">
        <v>46035</v>
      </c>
      <c r="M1062">
        <v>42025</v>
      </c>
      <c r="N1062" t="s">
        <v>771</v>
      </c>
      <c r="O1062">
        <v>2001</v>
      </c>
      <c r="S1062">
        <v>2.0015900012602202E+17</v>
      </c>
      <c r="T1062" t="s">
        <v>772</v>
      </c>
    </row>
    <row r="1063" spans="1:20" x14ac:dyDescent="0.25">
      <c r="A1063">
        <v>5100422120</v>
      </c>
      <c r="B1063">
        <v>27011</v>
      </c>
      <c r="C1063" t="s">
        <v>768</v>
      </c>
      <c r="D1063" s="143">
        <v>46035</v>
      </c>
      <c r="E1063">
        <v>902.34</v>
      </c>
      <c r="F1063" t="s">
        <v>769</v>
      </c>
      <c r="G1063">
        <v>101045791</v>
      </c>
      <c r="H1063" t="s">
        <v>755</v>
      </c>
      <c r="I1063" t="s">
        <v>770</v>
      </c>
      <c r="J1063">
        <v>0</v>
      </c>
      <c r="K1063" s="143">
        <v>46118</v>
      </c>
      <c r="L1063" s="143">
        <v>46035</v>
      </c>
      <c r="M1063">
        <v>52025</v>
      </c>
      <c r="N1063" t="s">
        <v>771</v>
      </c>
      <c r="O1063">
        <v>2001</v>
      </c>
      <c r="S1063">
        <v>2.0015900012602202E+17</v>
      </c>
      <c r="T1063" t="s">
        <v>772</v>
      </c>
    </row>
    <row r="1064" spans="1:20" x14ac:dyDescent="0.25">
      <c r="A1064">
        <v>5100422121</v>
      </c>
      <c r="B1064">
        <v>27011</v>
      </c>
      <c r="C1064" t="s">
        <v>768</v>
      </c>
      <c r="D1064" s="143">
        <v>46035</v>
      </c>
      <c r="E1064">
        <v>460.28</v>
      </c>
      <c r="F1064" t="s">
        <v>769</v>
      </c>
      <c r="G1064">
        <v>101045791</v>
      </c>
      <c r="H1064" t="s">
        <v>755</v>
      </c>
      <c r="I1064" t="s">
        <v>770</v>
      </c>
      <c r="J1064">
        <v>0</v>
      </c>
      <c r="K1064" s="143">
        <v>46118</v>
      </c>
      <c r="L1064" s="143">
        <v>46035</v>
      </c>
      <c r="M1064">
        <v>62025</v>
      </c>
      <c r="N1064" t="s">
        <v>771</v>
      </c>
      <c r="O1064">
        <v>2001</v>
      </c>
      <c r="S1064">
        <v>2.0015900012602202E+17</v>
      </c>
      <c r="T1064" t="s">
        <v>772</v>
      </c>
    </row>
    <row r="1065" spans="1:20" x14ac:dyDescent="0.25">
      <c r="A1065">
        <v>5100422122</v>
      </c>
      <c r="B1065">
        <v>27011</v>
      </c>
      <c r="C1065" t="s">
        <v>768</v>
      </c>
      <c r="D1065" s="143">
        <v>46035</v>
      </c>
      <c r="E1065">
        <v>109.67</v>
      </c>
      <c r="F1065" t="s">
        <v>769</v>
      </c>
      <c r="G1065">
        <v>101045791</v>
      </c>
      <c r="H1065" t="s">
        <v>755</v>
      </c>
      <c r="I1065" t="s">
        <v>770</v>
      </c>
      <c r="J1065">
        <v>0</v>
      </c>
      <c r="K1065" s="143">
        <v>46118</v>
      </c>
      <c r="L1065" s="143">
        <v>46035</v>
      </c>
      <c r="M1065">
        <v>72025</v>
      </c>
      <c r="N1065" t="s">
        <v>771</v>
      </c>
      <c r="O1065">
        <v>2001</v>
      </c>
      <c r="S1065">
        <v>2.0015900012602202E+17</v>
      </c>
      <c r="T1065" t="s">
        <v>772</v>
      </c>
    </row>
    <row r="1066" spans="1:20" x14ac:dyDescent="0.25">
      <c r="A1066">
        <v>5100422126</v>
      </c>
      <c r="B1066">
        <v>28241</v>
      </c>
      <c r="C1066" t="s">
        <v>768</v>
      </c>
      <c r="D1066" s="143">
        <v>46035</v>
      </c>
      <c r="E1066">
        <v>808.43</v>
      </c>
      <c r="F1066" t="s">
        <v>769</v>
      </c>
      <c r="G1066">
        <v>1500037847</v>
      </c>
      <c r="H1066" t="s">
        <v>755</v>
      </c>
      <c r="I1066" t="s">
        <v>770</v>
      </c>
      <c r="K1066" s="143">
        <v>46076</v>
      </c>
      <c r="L1066" s="143">
        <v>46035</v>
      </c>
      <c r="M1066">
        <v>12025</v>
      </c>
      <c r="N1066" t="s">
        <v>771</v>
      </c>
      <c r="O1066">
        <v>2001</v>
      </c>
      <c r="S1066">
        <v>515255</v>
      </c>
      <c r="T1066" t="s">
        <v>772</v>
      </c>
    </row>
    <row r="1067" spans="1:20" x14ac:dyDescent="0.25">
      <c r="A1067">
        <v>5100422127</v>
      </c>
      <c r="B1067">
        <v>28241</v>
      </c>
      <c r="C1067" t="s">
        <v>768</v>
      </c>
      <c r="D1067" s="143">
        <v>46035</v>
      </c>
      <c r="E1067">
        <v>307.42</v>
      </c>
      <c r="F1067" t="s">
        <v>769</v>
      </c>
      <c r="G1067">
        <v>1500037847</v>
      </c>
      <c r="H1067" t="s">
        <v>755</v>
      </c>
      <c r="I1067" t="s">
        <v>770</v>
      </c>
      <c r="K1067" s="143">
        <v>46076</v>
      </c>
      <c r="L1067" s="143">
        <v>46035</v>
      </c>
      <c r="M1067">
        <v>22025</v>
      </c>
      <c r="N1067" t="s">
        <v>771</v>
      </c>
      <c r="O1067">
        <v>2001</v>
      </c>
      <c r="S1067">
        <v>515255</v>
      </c>
      <c r="T1067" t="s">
        <v>772</v>
      </c>
    </row>
    <row r="1068" spans="1:20" x14ac:dyDescent="0.25">
      <c r="A1068">
        <v>5100422128</v>
      </c>
      <c r="B1068">
        <v>28241</v>
      </c>
      <c r="C1068" t="s">
        <v>768</v>
      </c>
      <c r="D1068" s="143">
        <v>46035</v>
      </c>
      <c r="E1068" s="55">
        <v>5520.13</v>
      </c>
      <c r="F1068" t="s">
        <v>769</v>
      </c>
      <c r="G1068">
        <v>1500037847</v>
      </c>
      <c r="H1068" t="s">
        <v>755</v>
      </c>
      <c r="I1068" t="s">
        <v>770</v>
      </c>
      <c r="K1068" s="143">
        <v>46076</v>
      </c>
      <c r="L1068" s="143">
        <v>46035</v>
      </c>
      <c r="M1068">
        <v>22025</v>
      </c>
      <c r="N1068" t="s">
        <v>771</v>
      </c>
      <c r="O1068">
        <v>2001</v>
      </c>
      <c r="S1068">
        <v>515255</v>
      </c>
      <c r="T1068" t="s">
        <v>772</v>
      </c>
    </row>
    <row r="1069" spans="1:20" x14ac:dyDescent="0.25">
      <c r="A1069">
        <v>5100422129</v>
      </c>
      <c r="B1069">
        <v>28241</v>
      </c>
      <c r="C1069" t="s">
        <v>768</v>
      </c>
      <c r="D1069" s="143">
        <v>46035</v>
      </c>
      <c r="E1069" s="55">
        <v>4199.25</v>
      </c>
      <c r="F1069" t="s">
        <v>769</v>
      </c>
      <c r="G1069">
        <v>1500037847</v>
      </c>
      <c r="H1069" t="s">
        <v>755</v>
      </c>
      <c r="I1069" t="s">
        <v>770</v>
      </c>
      <c r="K1069" s="143">
        <v>46076</v>
      </c>
      <c r="L1069" s="143">
        <v>46035</v>
      </c>
      <c r="M1069">
        <v>32025</v>
      </c>
      <c r="N1069" t="s">
        <v>771</v>
      </c>
      <c r="O1069">
        <v>2001</v>
      </c>
      <c r="S1069">
        <v>515255</v>
      </c>
      <c r="T1069" t="s">
        <v>772</v>
      </c>
    </row>
    <row r="1070" spans="1:20" x14ac:dyDescent="0.25">
      <c r="A1070">
        <v>5100422130</v>
      </c>
      <c r="B1070">
        <v>28241</v>
      </c>
      <c r="C1070" t="s">
        <v>768</v>
      </c>
      <c r="D1070" s="143">
        <v>46035</v>
      </c>
      <c r="E1070" s="55">
        <v>6748.49</v>
      </c>
      <c r="F1070" t="s">
        <v>769</v>
      </c>
      <c r="G1070">
        <v>1500037847</v>
      </c>
      <c r="H1070" t="s">
        <v>755</v>
      </c>
      <c r="I1070" t="s">
        <v>770</v>
      </c>
      <c r="K1070" s="143">
        <v>46076</v>
      </c>
      <c r="L1070" s="143">
        <v>46035</v>
      </c>
      <c r="M1070">
        <v>32025</v>
      </c>
      <c r="N1070" t="s">
        <v>771</v>
      </c>
      <c r="O1070">
        <v>2001</v>
      </c>
      <c r="S1070">
        <v>515255</v>
      </c>
      <c r="T1070" t="s">
        <v>772</v>
      </c>
    </row>
    <row r="1071" spans="1:20" x14ac:dyDescent="0.25">
      <c r="A1071">
        <v>5100422131</v>
      </c>
      <c r="B1071">
        <v>28241</v>
      </c>
      <c r="C1071" t="s">
        <v>768</v>
      </c>
      <c r="D1071" s="143">
        <v>46035</v>
      </c>
      <c r="E1071">
        <v>130.13</v>
      </c>
      <c r="F1071" t="s">
        <v>769</v>
      </c>
      <c r="G1071">
        <v>1500037847</v>
      </c>
      <c r="H1071" t="s">
        <v>755</v>
      </c>
      <c r="I1071" t="s">
        <v>770</v>
      </c>
      <c r="K1071" s="143">
        <v>46076</v>
      </c>
      <c r="L1071" s="143">
        <v>46035</v>
      </c>
      <c r="M1071">
        <v>42025</v>
      </c>
      <c r="N1071" t="s">
        <v>771</v>
      </c>
      <c r="O1071">
        <v>2001</v>
      </c>
      <c r="S1071">
        <v>515255</v>
      </c>
      <c r="T1071" t="s">
        <v>772</v>
      </c>
    </row>
    <row r="1072" spans="1:20" x14ac:dyDescent="0.25">
      <c r="A1072">
        <v>5100422132</v>
      </c>
      <c r="B1072">
        <v>28241</v>
      </c>
      <c r="C1072" t="s">
        <v>768</v>
      </c>
      <c r="D1072" s="143">
        <v>46035</v>
      </c>
      <c r="E1072">
        <v>377.06</v>
      </c>
      <c r="F1072" t="s">
        <v>769</v>
      </c>
      <c r="G1072">
        <v>1500037847</v>
      </c>
      <c r="H1072" t="s">
        <v>755</v>
      </c>
      <c r="I1072" t="s">
        <v>770</v>
      </c>
      <c r="K1072" s="143">
        <v>46076</v>
      </c>
      <c r="L1072" s="143">
        <v>46035</v>
      </c>
      <c r="M1072">
        <v>62025</v>
      </c>
      <c r="N1072" t="s">
        <v>771</v>
      </c>
      <c r="O1072">
        <v>2001</v>
      </c>
      <c r="S1072">
        <v>515255</v>
      </c>
      <c r="T1072" t="s">
        <v>772</v>
      </c>
    </row>
    <row r="1073" spans="1:20" x14ac:dyDescent="0.25">
      <c r="A1073">
        <v>5100422133</v>
      </c>
      <c r="B1073">
        <v>28241</v>
      </c>
      <c r="C1073" t="s">
        <v>768</v>
      </c>
      <c r="D1073" s="143">
        <v>46035</v>
      </c>
      <c r="E1073" s="55">
        <v>2017.68</v>
      </c>
      <c r="F1073" t="s">
        <v>769</v>
      </c>
      <c r="G1073">
        <v>1500037847</v>
      </c>
      <c r="H1073" t="s">
        <v>755</v>
      </c>
      <c r="I1073" t="s">
        <v>770</v>
      </c>
      <c r="K1073" s="143">
        <v>46076</v>
      </c>
      <c r="L1073" s="143">
        <v>46035</v>
      </c>
      <c r="M1073">
        <v>62025</v>
      </c>
      <c r="N1073" t="s">
        <v>771</v>
      </c>
      <c r="O1073">
        <v>2001</v>
      </c>
      <c r="S1073">
        <v>515255</v>
      </c>
      <c r="T1073" t="s">
        <v>772</v>
      </c>
    </row>
    <row r="1074" spans="1:20" x14ac:dyDescent="0.25">
      <c r="A1074">
        <v>5100422134</v>
      </c>
      <c r="B1074">
        <v>28241</v>
      </c>
      <c r="C1074" t="s">
        <v>768</v>
      </c>
      <c r="D1074" s="143">
        <v>46035</v>
      </c>
      <c r="E1074" s="55">
        <v>6340.8</v>
      </c>
      <c r="F1074" t="s">
        <v>769</v>
      </c>
      <c r="G1074">
        <v>1500037847</v>
      </c>
      <c r="H1074" t="s">
        <v>755</v>
      </c>
      <c r="I1074" t="s">
        <v>770</v>
      </c>
      <c r="K1074" s="143">
        <v>46076</v>
      </c>
      <c r="L1074" s="143">
        <v>46035</v>
      </c>
      <c r="M1074">
        <v>72025</v>
      </c>
      <c r="N1074" t="s">
        <v>771</v>
      </c>
      <c r="O1074">
        <v>2001</v>
      </c>
      <c r="S1074">
        <v>515255</v>
      </c>
      <c r="T1074" t="s">
        <v>772</v>
      </c>
    </row>
    <row r="1075" spans="1:20" x14ac:dyDescent="0.25">
      <c r="A1075">
        <v>5100422135</v>
      </c>
      <c r="B1075">
        <v>28241</v>
      </c>
      <c r="C1075" t="s">
        <v>768</v>
      </c>
      <c r="D1075" s="143">
        <v>46035</v>
      </c>
      <c r="E1075">
        <v>410.71</v>
      </c>
      <c r="F1075" t="s">
        <v>769</v>
      </c>
      <c r="G1075">
        <v>1500037847</v>
      </c>
      <c r="H1075" t="s">
        <v>755</v>
      </c>
      <c r="I1075" t="s">
        <v>770</v>
      </c>
      <c r="K1075" s="143">
        <v>46076</v>
      </c>
      <c r="L1075" s="143">
        <v>46035</v>
      </c>
      <c r="M1075">
        <v>72025</v>
      </c>
      <c r="N1075" t="s">
        <v>771</v>
      </c>
      <c r="O1075">
        <v>2001</v>
      </c>
      <c r="S1075">
        <v>515255</v>
      </c>
      <c r="T1075" t="s">
        <v>772</v>
      </c>
    </row>
    <row r="1076" spans="1:20" x14ac:dyDescent="0.25">
      <c r="A1076">
        <v>5100422136</v>
      </c>
      <c r="B1076">
        <v>28241</v>
      </c>
      <c r="C1076" t="s">
        <v>768</v>
      </c>
      <c r="D1076" s="143">
        <v>46035</v>
      </c>
      <c r="E1076" s="55">
        <v>22404.16</v>
      </c>
      <c r="F1076" t="s">
        <v>769</v>
      </c>
      <c r="G1076">
        <v>1500037847</v>
      </c>
      <c r="H1076" t="s">
        <v>755</v>
      </c>
      <c r="I1076" t="s">
        <v>770</v>
      </c>
      <c r="K1076" s="143">
        <v>46076</v>
      </c>
      <c r="L1076" s="143">
        <v>46035</v>
      </c>
      <c r="M1076">
        <v>82025</v>
      </c>
      <c r="N1076" t="s">
        <v>771</v>
      </c>
      <c r="O1076">
        <v>2001</v>
      </c>
      <c r="S1076">
        <v>515255</v>
      </c>
      <c r="T1076" t="s">
        <v>772</v>
      </c>
    </row>
    <row r="1077" spans="1:20" x14ac:dyDescent="0.25">
      <c r="A1077">
        <v>5100422236</v>
      </c>
      <c r="B1077">
        <v>30494</v>
      </c>
      <c r="C1077" t="s">
        <v>768</v>
      </c>
      <c r="D1077" s="143">
        <v>46035</v>
      </c>
      <c r="E1077" s="55">
        <v>1579.96</v>
      </c>
      <c r="F1077" t="s">
        <v>769</v>
      </c>
      <c r="G1077">
        <v>1500098202</v>
      </c>
      <c r="H1077" t="s">
        <v>755</v>
      </c>
      <c r="I1077" t="s">
        <v>770</v>
      </c>
      <c r="K1077" s="143">
        <v>46083</v>
      </c>
      <c r="L1077" s="143">
        <v>46035</v>
      </c>
      <c r="M1077">
        <v>22025</v>
      </c>
      <c r="N1077" t="s">
        <v>771</v>
      </c>
      <c r="O1077">
        <v>2001</v>
      </c>
      <c r="S1077">
        <v>515085</v>
      </c>
      <c r="T1077" t="s">
        <v>772</v>
      </c>
    </row>
    <row r="1078" spans="1:20" x14ac:dyDescent="0.25">
      <c r="A1078">
        <v>5100422237</v>
      </c>
      <c r="B1078">
        <v>30494</v>
      </c>
      <c r="C1078" t="s">
        <v>768</v>
      </c>
      <c r="D1078" s="143">
        <v>46035</v>
      </c>
      <c r="E1078" s="55">
        <v>30869.78</v>
      </c>
      <c r="F1078" t="s">
        <v>769</v>
      </c>
      <c r="G1078">
        <v>1500098202</v>
      </c>
      <c r="H1078" t="s">
        <v>755</v>
      </c>
      <c r="I1078" t="s">
        <v>770</v>
      </c>
      <c r="K1078" s="143">
        <v>46083</v>
      </c>
      <c r="L1078" s="143">
        <v>46035</v>
      </c>
      <c r="M1078">
        <v>32025</v>
      </c>
      <c r="N1078" t="s">
        <v>771</v>
      </c>
      <c r="O1078">
        <v>2001</v>
      </c>
      <c r="S1078">
        <v>515085</v>
      </c>
      <c r="T1078" t="s">
        <v>772</v>
      </c>
    </row>
    <row r="1079" spans="1:20" x14ac:dyDescent="0.25">
      <c r="A1079">
        <v>5100422238</v>
      </c>
      <c r="B1079">
        <v>30494</v>
      </c>
      <c r="C1079" t="s">
        <v>768</v>
      </c>
      <c r="D1079" s="143">
        <v>46035</v>
      </c>
      <c r="E1079" s="55">
        <v>1071.3399999999999</v>
      </c>
      <c r="F1079" t="s">
        <v>769</v>
      </c>
      <c r="G1079">
        <v>1500098202</v>
      </c>
      <c r="H1079" t="s">
        <v>755</v>
      </c>
      <c r="I1079" t="s">
        <v>770</v>
      </c>
      <c r="K1079" s="143">
        <v>46083</v>
      </c>
      <c r="L1079" s="143">
        <v>46035</v>
      </c>
      <c r="M1079">
        <v>42025</v>
      </c>
      <c r="N1079" t="s">
        <v>771</v>
      </c>
      <c r="O1079">
        <v>2001</v>
      </c>
      <c r="S1079">
        <v>515085</v>
      </c>
      <c r="T1079" t="s">
        <v>772</v>
      </c>
    </row>
    <row r="1080" spans="1:20" x14ac:dyDescent="0.25">
      <c r="A1080">
        <v>5100422239</v>
      </c>
      <c r="B1080">
        <v>30494</v>
      </c>
      <c r="C1080" t="s">
        <v>768</v>
      </c>
      <c r="D1080" s="143">
        <v>46035</v>
      </c>
      <c r="E1080" s="55">
        <v>6193.49</v>
      </c>
      <c r="F1080" t="s">
        <v>769</v>
      </c>
      <c r="G1080">
        <v>1500098202</v>
      </c>
      <c r="H1080" t="s">
        <v>755</v>
      </c>
      <c r="I1080" t="s">
        <v>770</v>
      </c>
      <c r="K1080" s="143">
        <v>46083</v>
      </c>
      <c r="L1080" s="143">
        <v>46035</v>
      </c>
      <c r="M1080">
        <v>52025</v>
      </c>
      <c r="N1080" t="s">
        <v>771</v>
      </c>
      <c r="O1080">
        <v>2001</v>
      </c>
      <c r="S1080">
        <v>515085</v>
      </c>
      <c r="T1080" t="s">
        <v>772</v>
      </c>
    </row>
    <row r="1081" spans="1:20" x14ac:dyDescent="0.25">
      <c r="A1081">
        <v>5100422240</v>
      </c>
      <c r="B1081">
        <v>30494</v>
      </c>
      <c r="C1081" t="s">
        <v>768</v>
      </c>
      <c r="D1081" s="143">
        <v>46035</v>
      </c>
      <c r="E1081" s="55">
        <v>17187.490000000002</v>
      </c>
      <c r="F1081" t="s">
        <v>769</v>
      </c>
      <c r="G1081">
        <v>1500098202</v>
      </c>
      <c r="H1081" t="s">
        <v>755</v>
      </c>
      <c r="I1081" t="s">
        <v>770</v>
      </c>
      <c r="K1081" s="143">
        <v>46083</v>
      </c>
      <c r="L1081" s="143">
        <v>46035</v>
      </c>
      <c r="M1081">
        <v>62025</v>
      </c>
      <c r="N1081" t="s">
        <v>771</v>
      </c>
      <c r="O1081">
        <v>2001</v>
      </c>
      <c r="S1081">
        <v>515085</v>
      </c>
      <c r="T1081" t="s">
        <v>772</v>
      </c>
    </row>
    <row r="1082" spans="1:20" x14ac:dyDescent="0.25">
      <c r="A1082">
        <v>5100422241</v>
      </c>
      <c r="B1082">
        <v>30494</v>
      </c>
      <c r="C1082" t="s">
        <v>768</v>
      </c>
      <c r="D1082" s="143">
        <v>46035</v>
      </c>
      <c r="E1082" s="55">
        <v>31761.51</v>
      </c>
      <c r="F1082" t="s">
        <v>769</v>
      </c>
      <c r="G1082">
        <v>1500098202</v>
      </c>
      <c r="H1082" t="s">
        <v>755</v>
      </c>
      <c r="I1082" t="s">
        <v>770</v>
      </c>
      <c r="K1082" s="143">
        <v>46083</v>
      </c>
      <c r="L1082" s="143">
        <v>46035</v>
      </c>
      <c r="M1082">
        <v>72025</v>
      </c>
      <c r="N1082" t="s">
        <v>771</v>
      </c>
      <c r="O1082">
        <v>2001</v>
      </c>
      <c r="S1082">
        <v>515085</v>
      </c>
      <c r="T1082" t="s">
        <v>772</v>
      </c>
    </row>
    <row r="1083" spans="1:20" x14ac:dyDescent="0.25">
      <c r="A1083">
        <v>5100422242</v>
      </c>
      <c r="B1083">
        <v>30494</v>
      </c>
      <c r="C1083" t="s">
        <v>768</v>
      </c>
      <c r="D1083" s="143">
        <v>46035</v>
      </c>
      <c r="E1083" s="55">
        <v>18022.37</v>
      </c>
      <c r="F1083" t="s">
        <v>769</v>
      </c>
      <c r="G1083">
        <v>1500098202</v>
      </c>
      <c r="H1083" t="s">
        <v>755</v>
      </c>
      <c r="I1083" t="s">
        <v>770</v>
      </c>
      <c r="K1083" s="143">
        <v>46083</v>
      </c>
      <c r="L1083" s="143">
        <v>46035</v>
      </c>
      <c r="M1083">
        <v>82025</v>
      </c>
      <c r="N1083" t="s">
        <v>771</v>
      </c>
      <c r="O1083">
        <v>2001</v>
      </c>
      <c r="S1083">
        <v>515085</v>
      </c>
      <c r="T1083" t="s">
        <v>772</v>
      </c>
    </row>
    <row r="1084" spans="1:20" x14ac:dyDescent="0.25">
      <c r="A1084">
        <v>5100422243</v>
      </c>
      <c r="B1084">
        <v>30494</v>
      </c>
      <c r="C1084" t="s">
        <v>768</v>
      </c>
      <c r="D1084" s="143">
        <v>46035</v>
      </c>
      <c r="E1084">
        <v>608.22</v>
      </c>
      <c r="F1084" t="s">
        <v>769</v>
      </c>
      <c r="G1084">
        <v>1500098202</v>
      </c>
      <c r="H1084" t="s">
        <v>755</v>
      </c>
      <c r="I1084" t="s">
        <v>770</v>
      </c>
      <c r="K1084" s="143">
        <v>46083</v>
      </c>
      <c r="L1084" s="143">
        <v>46035</v>
      </c>
      <c r="M1084">
        <v>92025</v>
      </c>
      <c r="N1084" t="s">
        <v>771</v>
      </c>
      <c r="O1084">
        <v>2001</v>
      </c>
      <c r="S1084">
        <v>515085</v>
      </c>
      <c r="T1084" t="s">
        <v>772</v>
      </c>
    </row>
    <row r="1085" spans="1:20" x14ac:dyDescent="0.25">
      <c r="A1085">
        <v>5100422751</v>
      </c>
      <c r="B1085">
        <v>36137</v>
      </c>
      <c r="C1085" t="s">
        <v>768</v>
      </c>
      <c r="D1085" s="143">
        <v>46035</v>
      </c>
      <c r="E1085" s="55">
        <v>3975.33</v>
      </c>
      <c r="F1085" t="s">
        <v>769</v>
      </c>
      <c r="G1085">
        <v>1500032789</v>
      </c>
      <c r="H1085" t="s">
        <v>755</v>
      </c>
      <c r="I1085" t="s">
        <v>770</v>
      </c>
      <c r="K1085" s="143">
        <v>46083</v>
      </c>
      <c r="L1085" s="143">
        <v>46035</v>
      </c>
      <c r="M1085">
        <v>12025</v>
      </c>
      <c r="N1085" t="s">
        <v>771</v>
      </c>
      <c r="O1085">
        <v>2001</v>
      </c>
      <c r="S1085">
        <v>514554</v>
      </c>
      <c r="T1085" t="s">
        <v>772</v>
      </c>
    </row>
    <row r="1086" spans="1:20" x14ac:dyDescent="0.25">
      <c r="A1086">
        <v>5100422752</v>
      </c>
      <c r="B1086">
        <v>36137</v>
      </c>
      <c r="C1086" t="s">
        <v>768</v>
      </c>
      <c r="D1086" s="143">
        <v>46035</v>
      </c>
      <c r="E1086" s="55">
        <v>1037.05</v>
      </c>
      <c r="F1086" t="s">
        <v>769</v>
      </c>
      <c r="G1086">
        <v>1500032789</v>
      </c>
      <c r="H1086" t="s">
        <v>755</v>
      </c>
      <c r="I1086" t="s">
        <v>770</v>
      </c>
      <c r="K1086" s="143">
        <v>46083</v>
      </c>
      <c r="L1086" s="143">
        <v>46035</v>
      </c>
      <c r="M1086">
        <v>32025</v>
      </c>
      <c r="N1086" t="s">
        <v>771</v>
      </c>
      <c r="O1086">
        <v>2001</v>
      </c>
      <c r="S1086">
        <v>514554</v>
      </c>
      <c r="T1086" t="s">
        <v>772</v>
      </c>
    </row>
    <row r="1087" spans="1:20" x14ac:dyDescent="0.25">
      <c r="A1087">
        <v>5100422753</v>
      </c>
      <c r="B1087">
        <v>36137</v>
      </c>
      <c r="C1087" t="s">
        <v>768</v>
      </c>
      <c r="D1087" s="143">
        <v>46035</v>
      </c>
      <c r="E1087" s="55">
        <v>11898.01</v>
      </c>
      <c r="F1087" t="s">
        <v>769</v>
      </c>
      <c r="G1087">
        <v>1500032789</v>
      </c>
      <c r="H1087" t="s">
        <v>755</v>
      </c>
      <c r="I1087" t="s">
        <v>770</v>
      </c>
      <c r="K1087" s="143">
        <v>46083</v>
      </c>
      <c r="L1087" s="143">
        <v>46035</v>
      </c>
      <c r="M1087">
        <v>42025</v>
      </c>
      <c r="N1087" t="s">
        <v>771</v>
      </c>
      <c r="O1087">
        <v>2001</v>
      </c>
      <c r="S1087">
        <v>514554</v>
      </c>
      <c r="T1087" t="s">
        <v>772</v>
      </c>
    </row>
    <row r="1088" spans="1:20" x14ac:dyDescent="0.25">
      <c r="A1088">
        <v>5100422754</v>
      </c>
      <c r="B1088">
        <v>36137</v>
      </c>
      <c r="C1088" t="s">
        <v>768</v>
      </c>
      <c r="D1088" s="143">
        <v>46035</v>
      </c>
      <c r="E1088" s="55">
        <v>11911.1</v>
      </c>
      <c r="F1088" t="s">
        <v>769</v>
      </c>
      <c r="G1088">
        <v>1500032789</v>
      </c>
      <c r="H1088" t="s">
        <v>755</v>
      </c>
      <c r="I1088" t="s">
        <v>770</v>
      </c>
      <c r="K1088" s="143">
        <v>46083</v>
      </c>
      <c r="L1088" s="143">
        <v>46035</v>
      </c>
      <c r="M1088">
        <v>52025</v>
      </c>
      <c r="N1088" t="s">
        <v>771</v>
      </c>
      <c r="O1088">
        <v>2001</v>
      </c>
      <c r="S1088">
        <v>514554</v>
      </c>
      <c r="T1088" t="s">
        <v>772</v>
      </c>
    </row>
    <row r="1089" spans="1:20" x14ac:dyDescent="0.25">
      <c r="A1089">
        <v>5100422755</v>
      </c>
      <c r="B1089">
        <v>36137</v>
      </c>
      <c r="C1089" t="s">
        <v>768</v>
      </c>
      <c r="D1089" s="143">
        <v>46035</v>
      </c>
      <c r="E1089" s="55">
        <v>3781.62</v>
      </c>
      <c r="F1089" t="s">
        <v>769</v>
      </c>
      <c r="G1089">
        <v>1500032789</v>
      </c>
      <c r="H1089" t="s">
        <v>755</v>
      </c>
      <c r="I1089" t="s">
        <v>770</v>
      </c>
      <c r="K1089" s="143">
        <v>46083</v>
      </c>
      <c r="L1089" s="143">
        <v>46035</v>
      </c>
      <c r="M1089">
        <v>62025</v>
      </c>
      <c r="N1089" t="s">
        <v>771</v>
      </c>
      <c r="O1089">
        <v>2001</v>
      </c>
      <c r="S1089">
        <v>514554</v>
      </c>
      <c r="T1089" t="s">
        <v>772</v>
      </c>
    </row>
    <row r="1090" spans="1:20" x14ac:dyDescent="0.25">
      <c r="A1090">
        <v>5100423111</v>
      </c>
      <c r="B1090">
        <v>40089</v>
      </c>
      <c r="C1090" t="s">
        <v>768</v>
      </c>
      <c r="D1090" s="143">
        <v>46035</v>
      </c>
      <c r="E1090">
        <v>65.16</v>
      </c>
      <c r="F1090" t="s">
        <v>769</v>
      </c>
      <c r="G1090">
        <v>1500087634</v>
      </c>
      <c r="H1090" t="s">
        <v>755</v>
      </c>
      <c r="I1090" t="s">
        <v>770</v>
      </c>
      <c r="K1090" s="143">
        <v>46076</v>
      </c>
      <c r="L1090" s="143">
        <v>46035</v>
      </c>
      <c r="M1090">
        <v>32025</v>
      </c>
      <c r="N1090" t="s">
        <v>771</v>
      </c>
      <c r="O1090">
        <v>2001</v>
      </c>
      <c r="S1090">
        <v>514561</v>
      </c>
      <c r="T1090" t="s">
        <v>772</v>
      </c>
    </row>
    <row r="1091" spans="1:20" x14ac:dyDescent="0.25">
      <c r="A1091">
        <v>5100423112</v>
      </c>
      <c r="B1091">
        <v>40089</v>
      </c>
      <c r="C1091" t="s">
        <v>768</v>
      </c>
      <c r="D1091" s="143">
        <v>46035</v>
      </c>
      <c r="E1091">
        <v>331.35</v>
      </c>
      <c r="F1091" t="s">
        <v>769</v>
      </c>
      <c r="G1091">
        <v>1500087634</v>
      </c>
      <c r="H1091" t="s">
        <v>755</v>
      </c>
      <c r="I1091" t="s">
        <v>770</v>
      </c>
      <c r="K1091" s="143">
        <v>46076</v>
      </c>
      <c r="L1091" s="143">
        <v>46035</v>
      </c>
      <c r="M1091">
        <v>52025</v>
      </c>
      <c r="N1091" t="s">
        <v>771</v>
      </c>
      <c r="O1091">
        <v>2001</v>
      </c>
      <c r="S1091">
        <v>514561</v>
      </c>
      <c r="T1091" t="s">
        <v>772</v>
      </c>
    </row>
    <row r="1092" spans="1:20" x14ac:dyDescent="0.25">
      <c r="A1092">
        <v>5100423113</v>
      </c>
      <c r="B1092">
        <v>40089</v>
      </c>
      <c r="C1092" t="s">
        <v>768</v>
      </c>
      <c r="D1092" s="143">
        <v>46035</v>
      </c>
      <c r="E1092" s="55">
        <v>18719.89</v>
      </c>
      <c r="F1092" t="s">
        <v>769</v>
      </c>
      <c r="G1092">
        <v>1500087634</v>
      </c>
      <c r="H1092" t="s">
        <v>755</v>
      </c>
      <c r="I1092" t="s">
        <v>770</v>
      </c>
      <c r="K1092" s="143">
        <v>46076</v>
      </c>
      <c r="L1092" s="143">
        <v>46035</v>
      </c>
      <c r="M1092">
        <v>62025</v>
      </c>
      <c r="N1092" t="s">
        <v>771</v>
      </c>
      <c r="O1092">
        <v>2001</v>
      </c>
      <c r="S1092">
        <v>514561</v>
      </c>
      <c r="T1092" t="s">
        <v>772</v>
      </c>
    </row>
    <row r="1093" spans="1:20" x14ac:dyDescent="0.25">
      <c r="A1093">
        <v>5100423114</v>
      </c>
      <c r="B1093">
        <v>40089</v>
      </c>
      <c r="C1093" t="s">
        <v>768</v>
      </c>
      <c r="D1093" s="143">
        <v>46035</v>
      </c>
      <c r="E1093" s="55">
        <v>23766.13</v>
      </c>
      <c r="F1093" t="s">
        <v>769</v>
      </c>
      <c r="G1093">
        <v>1500087634</v>
      </c>
      <c r="H1093" t="s">
        <v>755</v>
      </c>
      <c r="I1093" t="s">
        <v>770</v>
      </c>
      <c r="K1093" s="143">
        <v>46076</v>
      </c>
      <c r="L1093" s="143">
        <v>46035</v>
      </c>
      <c r="M1093">
        <v>82025</v>
      </c>
      <c r="N1093" t="s">
        <v>771</v>
      </c>
      <c r="O1093">
        <v>2001</v>
      </c>
      <c r="S1093">
        <v>514561</v>
      </c>
      <c r="T1093" t="s">
        <v>772</v>
      </c>
    </row>
    <row r="1094" spans="1:20" x14ac:dyDescent="0.25">
      <c r="A1094">
        <v>5100423115</v>
      </c>
      <c r="B1094">
        <v>40089</v>
      </c>
      <c r="C1094" t="s">
        <v>768</v>
      </c>
      <c r="D1094" s="143">
        <v>46035</v>
      </c>
      <c r="E1094" s="55">
        <v>29034.94</v>
      </c>
      <c r="F1094" t="s">
        <v>769</v>
      </c>
      <c r="G1094">
        <v>1500087634</v>
      </c>
      <c r="H1094" t="s">
        <v>755</v>
      </c>
      <c r="I1094" t="s">
        <v>770</v>
      </c>
      <c r="K1094" s="143">
        <v>46076</v>
      </c>
      <c r="L1094" s="143">
        <v>46035</v>
      </c>
      <c r="M1094">
        <v>92025</v>
      </c>
      <c r="N1094" t="s">
        <v>771</v>
      </c>
      <c r="O1094">
        <v>2001</v>
      </c>
      <c r="S1094">
        <v>514561</v>
      </c>
      <c r="T1094" t="s">
        <v>772</v>
      </c>
    </row>
    <row r="1095" spans="1:20" x14ac:dyDescent="0.25">
      <c r="A1095">
        <v>5100423301</v>
      </c>
      <c r="B1095">
        <v>50989</v>
      </c>
      <c r="C1095" t="s">
        <v>768</v>
      </c>
      <c r="D1095" s="143">
        <v>46035</v>
      </c>
      <c r="E1095" s="55">
        <v>3570</v>
      </c>
      <c r="F1095" t="s">
        <v>769</v>
      </c>
      <c r="G1095">
        <v>1500087636</v>
      </c>
      <c r="H1095" t="s">
        <v>755</v>
      </c>
      <c r="I1095" t="s">
        <v>770</v>
      </c>
      <c r="K1095" s="143">
        <v>46076</v>
      </c>
      <c r="L1095" s="143">
        <v>46035</v>
      </c>
      <c r="M1095">
        <v>82025</v>
      </c>
      <c r="N1095" t="s">
        <v>774</v>
      </c>
      <c r="O1095">
        <v>2001</v>
      </c>
      <c r="S1095">
        <v>524216</v>
      </c>
      <c r="T1095" t="s">
        <v>772</v>
      </c>
    </row>
    <row r="1096" spans="1:20" x14ac:dyDescent="0.25">
      <c r="A1096">
        <v>5100423296</v>
      </c>
      <c r="B1096">
        <v>50989</v>
      </c>
      <c r="C1096" t="s">
        <v>768</v>
      </c>
      <c r="D1096" s="143">
        <v>46035</v>
      </c>
      <c r="E1096">
        <v>79.459999999999994</v>
      </c>
      <c r="F1096" t="s">
        <v>769</v>
      </c>
      <c r="G1096">
        <v>1500087636</v>
      </c>
      <c r="H1096" t="s">
        <v>755</v>
      </c>
      <c r="I1096" t="s">
        <v>770</v>
      </c>
      <c r="K1096" s="143">
        <v>46076</v>
      </c>
      <c r="L1096" s="143">
        <v>46035</v>
      </c>
      <c r="M1096">
        <v>12025</v>
      </c>
      <c r="N1096" t="s">
        <v>771</v>
      </c>
      <c r="O1096">
        <v>2001</v>
      </c>
      <c r="S1096">
        <v>525453</v>
      </c>
      <c r="T1096" t="s">
        <v>772</v>
      </c>
    </row>
    <row r="1097" spans="1:20" x14ac:dyDescent="0.25">
      <c r="A1097">
        <v>5100423297</v>
      </c>
      <c r="B1097">
        <v>50989</v>
      </c>
      <c r="C1097" t="s">
        <v>768</v>
      </c>
      <c r="D1097" s="143">
        <v>46035</v>
      </c>
      <c r="E1097">
        <v>715.07</v>
      </c>
      <c r="F1097" t="s">
        <v>769</v>
      </c>
      <c r="G1097">
        <v>1500087636</v>
      </c>
      <c r="H1097" t="s">
        <v>755</v>
      </c>
      <c r="I1097" t="s">
        <v>770</v>
      </c>
      <c r="K1097" s="143">
        <v>46076</v>
      </c>
      <c r="L1097" s="143">
        <v>46035</v>
      </c>
      <c r="M1097">
        <v>22025</v>
      </c>
      <c r="N1097" t="s">
        <v>771</v>
      </c>
      <c r="O1097">
        <v>2001</v>
      </c>
      <c r="S1097">
        <v>525453</v>
      </c>
      <c r="T1097" t="s">
        <v>772</v>
      </c>
    </row>
    <row r="1098" spans="1:20" x14ac:dyDescent="0.25">
      <c r="A1098">
        <v>5100423298</v>
      </c>
      <c r="B1098">
        <v>50989</v>
      </c>
      <c r="C1098" t="s">
        <v>768</v>
      </c>
      <c r="D1098" s="143">
        <v>46035</v>
      </c>
      <c r="E1098">
        <v>519.14</v>
      </c>
      <c r="F1098" t="s">
        <v>769</v>
      </c>
      <c r="G1098">
        <v>1500087636</v>
      </c>
      <c r="H1098" t="s">
        <v>755</v>
      </c>
      <c r="I1098" t="s">
        <v>770</v>
      </c>
      <c r="K1098" s="143">
        <v>46076</v>
      </c>
      <c r="L1098" s="143">
        <v>46035</v>
      </c>
      <c r="M1098">
        <v>52025</v>
      </c>
      <c r="N1098" t="s">
        <v>771</v>
      </c>
      <c r="O1098">
        <v>2001</v>
      </c>
      <c r="S1098">
        <v>525453</v>
      </c>
      <c r="T1098" t="s">
        <v>772</v>
      </c>
    </row>
    <row r="1099" spans="1:20" x14ac:dyDescent="0.25">
      <c r="A1099">
        <v>5100423299</v>
      </c>
      <c r="B1099">
        <v>50989</v>
      </c>
      <c r="C1099" t="s">
        <v>768</v>
      </c>
      <c r="D1099" s="143">
        <v>46035</v>
      </c>
      <c r="E1099">
        <v>196.5</v>
      </c>
      <c r="F1099" t="s">
        <v>769</v>
      </c>
      <c r="G1099">
        <v>1500087636</v>
      </c>
      <c r="H1099" t="s">
        <v>755</v>
      </c>
      <c r="I1099" t="s">
        <v>770</v>
      </c>
      <c r="K1099" s="143">
        <v>46076</v>
      </c>
      <c r="L1099" s="143">
        <v>46035</v>
      </c>
      <c r="M1099">
        <v>62025</v>
      </c>
      <c r="N1099" t="s">
        <v>771</v>
      </c>
      <c r="O1099">
        <v>2001</v>
      </c>
      <c r="S1099">
        <v>525453</v>
      </c>
      <c r="T1099" t="s">
        <v>772</v>
      </c>
    </row>
    <row r="1100" spans="1:20" x14ac:dyDescent="0.25">
      <c r="A1100">
        <v>5100423300</v>
      </c>
      <c r="B1100">
        <v>50989</v>
      </c>
      <c r="C1100" t="s">
        <v>768</v>
      </c>
      <c r="D1100" s="143">
        <v>46035</v>
      </c>
      <c r="E1100" s="55">
        <v>3935.9</v>
      </c>
      <c r="F1100" t="s">
        <v>769</v>
      </c>
      <c r="G1100">
        <v>1500087636</v>
      </c>
      <c r="H1100" t="s">
        <v>755</v>
      </c>
      <c r="I1100" t="s">
        <v>770</v>
      </c>
      <c r="K1100" s="143">
        <v>46076</v>
      </c>
      <c r="L1100" s="143">
        <v>46035</v>
      </c>
      <c r="M1100">
        <v>72025</v>
      </c>
      <c r="N1100" t="s">
        <v>771</v>
      </c>
      <c r="O1100">
        <v>2001</v>
      </c>
      <c r="S1100">
        <v>525453</v>
      </c>
      <c r="T1100" t="s">
        <v>772</v>
      </c>
    </row>
    <row r="1101" spans="1:20" x14ac:dyDescent="0.25">
      <c r="A1101">
        <v>5100423302</v>
      </c>
      <c r="B1101">
        <v>50989</v>
      </c>
      <c r="C1101" t="s">
        <v>768</v>
      </c>
      <c r="D1101" s="143">
        <v>46035</v>
      </c>
      <c r="E1101" s="55">
        <v>26226.7</v>
      </c>
      <c r="F1101" t="s">
        <v>769</v>
      </c>
      <c r="G1101">
        <v>1500087636</v>
      </c>
      <c r="H1101" t="s">
        <v>755</v>
      </c>
      <c r="I1101" t="s">
        <v>770</v>
      </c>
      <c r="K1101" s="143">
        <v>46076</v>
      </c>
      <c r="L1101" s="143">
        <v>46035</v>
      </c>
      <c r="M1101">
        <v>82025</v>
      </c>
      <c r="N1101" t="s">
        <v>771</v>
      </c>
      <c r="O1101">
        <v>2001</v>
      </c>
      <c r="S1101">
        <v>525453</v>
      </c>
      <c r="T1101" t="s">
        <v>772</v>
      </c>
    </row>
    <row r="1102" spans="1:20" x14ac:dyDescent="0.25">
      <c r="A1102">
        <v>5100423323</v>
      </c>
      <c r="B1102">
        <v>52035</v>
      </c>
      <c r="C1102" t="s">
        <v>768</v>
      </c>
      <c r="D1102" s="143">
        <v>46035</v>
      </c>
      <c r="E1102" s="55">
        <v>1460.88</v>
      </c>
      <c r="F1102" t="s">
        <v>769</v>
      </c>
      <c r="G1102">
        <v>1500029741</v>
      </c>
      <c r="H1102" t="s">
        <v>755</v>
      </c>
      <c r="I1102" t="s">
        <v>770</v>
      </c>
      <c r="K1102" s="143">
        <v>46098</v>
      </c>
      <c r="L1102" s="143">
        <v>46035</v>
      </c>
      <c r="M1102">
        <v>22025</v>
      </c>
      <c r="N1102" t="s">
        <v>771</v>
      </c>
      <c r="O1102">
        <v>2001</v>
      </c>
      <c r="S1102" t="s">
        <v>778</v>
      </c>
      <c r="T1102" t="s">
        <v>772</v>
      </c>
    </row>
    <row r="1103" spans="1:20" x14ac:dyDescent="0.25">
      <c r="A1103">
        <v>5100423324</v>
      </c>
      <c r="B1103">
        <v>52035</v>
      </c>
      <c r="C1103" t="s">
        <v>768</v>
      </c>
      <c r="D1103" s="143">
        <v>46035</v>
      </c>
      <c r="E1103" s="55">
        <v>4830.07</v>
      </c>
      <c r="F1103" t="s">
        <v>769</v>
      </c>
      <c r="G1103">
        <v>1500029741</v>
      </c>
      <c r="H1103" t="s">
        <v>755</v>
      </c>
      <c r="I1103" t="s">
        <v>770</v>
      </c>
      <c r="K1103" s="143">
        <v>46098</v>
      </c>
      <c r="L1103" s="143">
        <v>46035</v>
      </c>
      <c r="M1103">
        <v>32025</v>
      </c>
      <c r="N1103" t="s">
        <v>771</v>
      </c>
      <c r="O1103">
        <v>2001</v>
      </c>
      <c r="S1103" t="s">
        <v>778</v>
      </c>
      <c r="T1103" t="s">
        <v>772</v>
      </c>
    </row>
    <row r="1104" spans="1:20" x14ac:dyDescent="0.25">
      <c r="A1104">
        <v>5100423325</v>
      </c>
      <c r="B1104">
        <v>52035</v>
      </c>
      <c r="C1104" t="s">
        <v>768</v>
      </c>
      <c r="D1104" s="143">
        <v>46035</v>
      </c>
      <c r="E1104" s="55">
        <v>59267.88</v>
      </c>
      <c r="F1104" t="s">
        <v>769</v>
      </c>
      <c r="G1104">
        <v>1500029741</v>
      </c>
      <c r="H1104" t="s">
        <v>755</v>
      </c>
      <c r="I1104" t="s">
        <v>770</v>
      </c>
      <c r="K1104" s="143">
        <v>46098</v>
      </c>
      <c r="L1104" s="143">
        <v>46035</v>
      </c>
      <c r="M1104">
        <v>42025</v>
      </c>
      <c r="N1104" t="s">
        <v>771</v>
      </c>
      <c r="O1104">
        <v>2001</v>
      </c>
      <c r="S1104" t="s">
        <v>778</v>
      </c>
      <c r="T1104" t="s">
        <v>772</v>
      </c>
    </row>
    <row r="1105" spans="1:20" x14ac:dyDescent="0.25">
      <c r="A1105">
        <v>5100423326</v>
      </c>
      <c r="B1105">
        <v>52035</v>
      </c>
      <c r="C1105" t="s">
        <v>768</v>
      </c>
      <c r="D1105" s="143">
        <v>46035</v>
      </c>
      <c r="E1105" s="55">
        <v>2379.13</v>
      </c>
      <c r="F1105" t="s">
        <v>769</v>
      </c>
      <c r="G1105">
        <v>1500029741</v>
      </c>
      <c r="H1105" t="s">
        <v>755</v>
      </c>
      <c r="I1105" t="s">
        <v>770</v>
      </c>
      <c r="K1105" s="143">
        <v>46098</v>
      </c>
      <c r="L1105" s="143">
        <v>46035</v>
      </c>
      <c r="M1105">
        <v>52025</v>
      </c>
      <c r="N1105" t="s">
        <v>771</v>
      </c>
      <c r="O1105">
        <v>2001</v>
      </c>
      <c r="S1105" t="s">
        <v>778</v>
      </c>
      <c r="T1105" t="s">
        <v>772</v>
      </c>
    </row>
    <row r="1106" spans="1:20" x14ac:dyDescent="0.25">
      <c r="A1106">
        <v>5100423327</v>
      </c>
      <c r="B1106">
        <v>52035</v>
      </c>
      <c r="C1106" t="s">
        <v>768</v>
      </c>
      <c r="D1106" s="143">
        <v>46035</v>
      </c>
      <c r="E1106" s="55">
        <v>2732.6</v>
      </c>
      <c r="F1106" t="s">
        <v>769</v>
      </c>
      <c r="G1106">
        <v>1500029741</v>
      </c>
      <c r="H1106" t="s">
        <v>755</v>
      </c>
      <c r="I1106" t="s">
        <v>770</v>
      </c>
      <c r="K1106" s="143">
        <v>46098</v>
      </c>
      <c r="L1106" s="143">
        <v>46035</v>
      </c>
      <c r="M1106">
        <v>82025</v>
      </c>
      <c r="N1106" t="s">
        <v>771</v>
      </c>
      <c r="O1106">
        <v>2001</v>
      </c>
      <c r="S1106" t="s">
        <v>778</v>
      </c>
      <c r="T1106" t="s">
        <v>772</v>
      </c>
    </row>
    <row r="1107" spans="1:20" x14ac:dyDescent="0.25">
      <c r="A1107">
        <v>5100423328</v>
      </c>
      <c r="B1107">
        <v>52035</v>
      </c>
      <c r="C1107" t="s">
        <v>768</v>
      </c>
      <c r="D1107" s="143">
        <v>46035</v>
      </c>
      <c r="E1107" s="55">
        <v>65174.07</v>
      </c>
      <c r="F1107" t="s">
        <v>769</v>
      </c>
      <c r="G1107">
        <v>1500029741</v>
      </c>
      <c r="H1107" t="s">
        <v>755</v>
      </c>
      <c r="I1107" t="s">
        <v>770</v>
      </c>
      <c r="K1107" s="143">
        <v>46098</v>
      </c>
      <c r="L1107" s="143">
        <v>46035</v>
      </c>
      <c r="M1107">
        <v>102025</v>
      </c>
      <c r="N1107" t="s">
        <v>771</v>
      </c>
      <c r="O1107">
        <v>2001</v>
      </c>
      <c r="S1107" t="s">
        <v>778</v>
      </c>
      <c r="T1107" t="s">
        <v>772</v>
      </c>
    </row>
    <row r="1108" spans="1:20" x14ac:dyDescent="0.25">
      <c r="A1108">
        <v>5100423489</v>
      </c>
      <c r="B1108">
        <v>59493</v>
      </c>
      <c r="C1108" t="s">
        <v>768</v>
      </c>
      <c r="D1108" s="143">
        <v>46035</v>
      </c>
      <c r="E1108">
        <v>54.75</v>
      </c>
      <c r="F1108" t="s">
        <v>769</v>
      </c>
      <c r="G1108">
        <v>1500038766</v>
      </c>
      <c r="H1108" t="s">
        <v>755</v>
      </c>
      <c r="I1108" t="s">
        <v>770</v>
      </c>
      <c r="K1108" s="143">
        <v>46069</v>
      </c>
      <c r="L1108" s="143">
        <v>46035</v>
      </c>
      <c r="M1108">
        <v>12025</v>
      </c>
      <c r="N1108" t="s">
        <v>771</v>
      </c>
      <c r="O1108">
        <v>2001</v>
      </c>
      <c r="S1108">
        <v>515265</v>
      </c>
      <c r="T1108" t="s">
        <v>772</v>
      </c>
    </row>
    <row r="1109" spans="1:20" x14ac:dyDescent="0.25">
      <c r="A1109">
        <v>5100423490</v>
      </c>
      <c r="B1109">
        <v>59493</v>
      </c>
      <c r="C1109" t="s">
        <v>768</v>
      </c>
      <c r="D1109" s="143">
        <v>46035</v>
      </c>
      <c r="E1109" s="55">
        <v>26635.22</v>
      </c>
      <c r="F1109" t="s">
        <v>769</v>
      </c>
      <c r="G1109">
        <v>1500038766</v>
      </c>
      <c r="H1109" t="s">
        <v>755</v>
      </c>
      <c r="I1109" t="s">
        <v>770</v>
      </c>
      <c r="K1109" s="143">
        <v>46069</v>
      </c>
      <c r="L1109" s="143">
        <v>46035</v>
      </c>
      <c r="M1109">
        <v>22025</v>
      </c>
      <c r="N1109" t="s">
        <v>771</v>
      </c>
      <c r="O1109">
        <v>2001</v>
      </c>
      <c r="S1109">
        <v>515265</v>
      </c>
      <c r="T1109" t="s">
        <v>772</v>
      </c>
    </row>
    <row r="1110" spans="1:20" x14ac:dyDescent="0.25">
      <c r="A1110">
        <v>5100423491</v>
      </c>
      <c r="B1110">
        <v>59493</v>
      </c>
      <c r="C1110" t="s">
        <v>768</v>
      </c>
      <c r="D1110" s="143">
        <v>46035</v>
      </c>
      <c r="E1110" s="55">
        <v>1784.88</v>
      </c>
      <c r="F1110" t="s">
        <v>769</v>
      </c>
      <c r="G1110">
        <v>1500038766</v>
      </c>
      <c r="H1110" t="s">
        <v>755</v>
      </c>
      <c r="I1110" t="s">
        <v>770</v>
      </c>
      <c r="K1110" s="143">
        <v>46069</v>
      </c>
      <c r="L1110" s="143">
        <v>46035</v>
      </c>
      <c r="M1110">
        <v>52025</v>
      </c>
      <c r="N1110" t="s">
        <v>771</v>
      </c>
      <c r="O1110">
        <v>2001</v>
      </c>
      <c r="S1110">
        <v>515265</v>
      </c>
      <c r="T1110" t="s">
        <v>772</v>
      </c>
    </row>
    <row r="1111" spans="1:20" x14ac:dyDescent="0.25">
      <c r="A1111">
        <v>5100423492</v>
      </c>
      <c r="B1111">
        <v>59493</v>
      </c>
      <c r="C1111" t="s">
        <v>768</v>
      </c>
      <c r="D1111" s="143">
        <v>46035</v>
      </c>
      <c r="E1111" s="55">
        <v>3339.97</v>
      </c>
      <c r="F1111" t="s">
        <v>769</v>
      </c>
      <c r="G1111">
        <v>1500038766</v>
      </c>
      <c r="H1111" t="s">
        <v>755</v>
      </c>
      <c r="I1111" t="s">
        <v>770</v>
      </c>
      <c r="K1111" s="143">
        <v>46069</v>
      </c>
      <c r="L1111" s="143">
        <v>46035</v>
      </c>
      <c r="M1111">
        <v>62025</v>
      </c>
      <c r="N1111" t="s">
        <v>771</v>
      </c>
      <c r="O1111">
        <v>2001</v>
      </c>
      <c r="S1111">
        <v>515265</v>
      </c>
      <c r="T1111" t="s">
        <v>772</v>
      </c>
    </row>
    <row r="1112" spans="1:20" x14ac:dyDescent="0.25">
      <c r="A1112">
        <v>5100423493</v>
      </c>
      <c r="B1112">
        <v>59493</v>
      </c>
      <c r="C1112" t="s">
        <v>768</v>
      </c>
      <c r="D1112" s="143">
        <v>46035</v>
      </c>
      <c r="E1112" s="55">
        <v>7422.1</v>
      </c>
      <c r="F1112" t="s">
        <v>769</v>
      </c>
      <c r="G1112">
        <v>1500038766</v>
      </c>
      <c r="H1112" t="s">
        <v>755</v>
      </c>
      <c r="I1112" t="s">
        <v>770</v>
      </c>
      <c r="K1112" s="143">
        <v>46069</v>
      </c>
      <c r="L1112" s="143">
        <v>46035</v>
      </c>
      <c r="M1112">
        <v>82025</v>
      </c>
      <c r="N1112" t="s">
        <v>771</v>
      </c>
      <c r="O1112">
        <v>2001</v>
      </c>
      <c r="S1112">
        <v>515265</v>
      </c>
      <c r="T1112" t="s">
        <v>772</v>
      </c>
    </row>
    <row r="1113" spans="1:20" x14ac:dyDescent="0.25">
      <c r="A1113">
        <v>5100423525</v>
      </c>
      <c r="B1113">
        <v>61846</v>
      </c>
      <c r="C1113" t="s">
        <v>768</v>
      </c>
      <c r="D1113" s="143">
        <v>46035</v>
      </c>
      <c r="E1113" s="55">
        <v>7361.49</v>
      </c>
      <c r="F1113" t="s">
        <v>769</v>
      </c>
      <c r="G1113">
        <v>101839482</v>
      </c>
      <c r="H1113" t="s">
        <v>755</v>
      </c>
      <c r="I1113" t="s">
        <v>770</v>
      </c>
      <c r="J1113">
        <v>0</v>
      </c>
      <c r="K1113" s="143">
        <v>46139</v>
      </c>
      <c r="L1113" s="143">
        <v>46035</v>
      </c>
      <c r="M1113">
        <v>12025</v>
      </c>
      <c r="N1113" t="s">
        <v>771</v>
      </c>
      <c r="O1113">
        <v>2001</v>
      </c>
      <c r="S1113">
        <v>2.00159000326132E+17</v>
      </c>
      <c r="T1113" t="s">
        <v>772</v>
      </c>
    </row>
    <row r="1114" spans="1:20" x14ac:dyDescent="0.25">
      <c r="A1114">
        <v>5100423526</v>
      </c>
      <c r="B1114">
        <v>61846</v>
      </c>
      <c r="C1114" t="s">
        <v>768</v>
      </c>
      <c r="D1114" s="143">
        <v>46035</v>
      </c>
      <c r="E1114">
        <v>203.59</v>
      </c>
      <c r="F1114" t="s">
        <v>769</v>
      </c>
      <c r="G1114">
        <v>101839482</v>
      </c>
      <c r="H1114" t="s">
        <v>755</v>
      </c>
      <c r="I1114" t="s">
        <v>770</v>
      </c>
      <c r="J1114">
        <v>0</v>
      </c>
      <c r="K1114" s="143">
        <v>46139</v>
      </c>
      <c r="L1114" s="143">
        <v>46035</v>
      </c>
      <c r="M1114">
        <v>22025</v>
      </c>
      <c r="N1114" t="s">
        <v>771</v>
      </c>
      <c r="O1114">
        <v>2001</v>
      </c>
      <c r="S1114">
        <v>2.00159000326132E+17</v>
      </c>
      <c r="T1114" t="s">
        <v>772</v>
      </c>
    </row>
    <row r="1115" spans="1:20" x14ac:dyDescent="0.25">
      <c r="A1115">
        <v>5100423527</v>
      </c>
      <c r="B1115">
        <v>61846</v>
      </c>
      <c r="C1115" t="s">
        <v>768</v>
      </c>
      <c r="D1115" s="143">
        <v>46035</v>
      </c>
      <c r="E1115" s="55">
        <v>7375.45</v>
      </c>
      <c r="F1115" t="s">
        <v>769</v>
      </c>
      <c r="G1115">
        <v>101839482</v>
      </c>
      <c r="H1115" t="s">
        <v>755</v>
      </c>
      <c r="I1115" t="s">
        <v>770</v>
      </c>
      <c r="J1115">
        <v>0</v>
      </c>
      <c r="K1115" s="143">
        <v>46139</v>
      </c>
      <c r="L1115" s="143">
        <v>46035</v>
      </c>
      <c r="M1115">
        <v>32025</v>
      </c>
      <c r="N1115" t="s">
        <v>771</v>
      </c>
      <c r="O1115">
        <v>2001</v>
      </c>
      <c r="S1115">
        <v>2.00159000326132E+17</v>
      </c>
      <c r="T1115" t="s">
        <v>772</v>
      </c>
    </row>
    <row r="1116" spans="1:20" x14ac:dyDescent="0.25">
      <c r="A1116">
        <v>5100423528</v>
      </c>
      <c r="B1116">
        <v>61846</v>
      </c>
      <c r="C1116" t="s">
        <v>768</v>
      </c>
      <c r="D1116" s="143">
        <v>46035</v>
      </c>
      <c r="E1116" s="55">
        <v>32639.15</v>
      </c>
      <c r="F1116" t="s">
        <v>769</v>
      </c>
      <c r="G1116">
        <v>101839482</v>
      </c>
      <c r="H1116" t="s">
        <v>755</v>
      </c>
      <c r="I1116" t="s">
        <v>770</v>
      </c>
      <c r="J1116">
        <v>0</v>
      </c>
      <c r="K1116" s="143">
        <v>46139</v>
      </c>
      <c r="L1116" s="143">
        <v>46035</v>
      </c>
      <c r="M1116">
        <v>42025</v>
      </c>
      <c r="N1116" t="s">
        <v>771</v>
      </c>
      <c r="O1116">
        <v>2001</v>
      </c>
      <c r="S1116">
        <v>2.00159000326132E+17</v>
      </c>
      <c r="T1116" t="s">
        <v>772</v>
      </c>
    </row>
    <row r="1117" spans="1:20" x14ac:dyDescent="0.25">
      <c r="A1117">
        <v>5100423529</v>
      </c>
      <c r="B1117">
        <v>61846</v>
      </c>
      <c r="C1117" t="s">
        <v>768</v>
      </c>
      <c r="D1117" s="143">
        <v>46035</v>
      </c>
      <c r="E1117" s="55">
        <v>51310.38</v>
      </c>
      <c r="F1117" t="s">
        <v>769</v>
      </c>
      <c r="G1117">
        <v>101839482</v>
      </c>
      <c r="H1117" t="s">
        <v>755</v>
      </c>
      <c r="I1117" t="s">
        <v>770</v>
      </c>
      <c r="J1117">
        <v>0</v>
      </c>
      <c r="K1117" s="143">
        <v>46139</v>
      </c>
      <c r="L1117" s="143">
        <v>46035</v>
      </c>
      <c r="M1117">
        <v>52025</v>
      </c>
      <c r="N1117" t="s">
        <v>771</v>
      </c>
      <c r="O1117">
        <v>2001</v>
      </c>
      <c r="S1117">
        <v>2.00159000326132E+17</v>
      </c>
      <c r="T1117" t="s">
        <v>772</v>
      </c>
    </row>
    <row r="1118" spans="1:20" x14ac:dyDescent="0.25">
      <c r="A1118">
        <v>5100423530</v>
      </c>
      <c r="B1118">
        <v>61846</v>
      </c>
      <c r="C1118" t="s">
        <v>768</v>
      </c>
      <c r="D1118" s="143">
        <v>46035</v>
      </c>
      <c r="E1118" s="55">
        <v>9036.14</v>
      </c>
      <c r="F1118" t="s">
        <v>769</v>
      </c>
      <c r="G1118">
        <v>101839482</v>
      </c>
      <c r="H1118" t="s">
        <v>755</v>
      </c>
      <c r="I1118" t="s">
        <v>770</v>
      </c>
      <c r="J1118">
        <v>0</v>
      </c>
      <c r="K1118" s="143">
        <v>46139</v>
      </c>
      <c r="L1118" s="143">
        <v>46035</v>
      </c>
      <c r="M1118">
        <v>62025</v>
      </c>
      <c r="N1118" t="s">
        <v>771</v>
      </c>
      <c r="O1118">
        <v>2001</v>
      </c>
      <c r="S1118">
        <v>2.00159000326132E+17</v>
      </c>
      <c r="T1118" t="s">
        <v>772</v>
      </c>
    </row>
    <row r="1119" spans="1:20" x14ac:dyDescent="0.25">
      <c r="A1119">
        <v>5100423531</v>
      </c>
      <c r="B1119">
        <v>61846</v>
      </c>
      <c r="C1119" t="s">
        <v>768</v>
      </c>
      <c r="D1119" s="143">
        <v>46035</v>
      </c>
      <c r="E1119" s="55">
        <v>3846.6</v>
      </c>
      <c r="F1119" t="s">
        <v>769</v>
      </c>
      <c r="G1119">
        <v>101839482</v>
      </c>
      <c r="H1119" t="s">
        <v>755</v>
      </c>
      <c r="I1119" t="s">
        <v>770</v>
      </c>
      <c r="J1119">
        <v>0</v>
      </c>
      <c r="K1119" s="143">
        <v>46139</v>
      </c>
      <c r="L1119" s="143">
        <v>46035</v>
      </c>
      <c r="M1119">
        <v>72025</v>
      </c>
      <c r="N1119" t="s">
        <v>771</v>
      </c>
      <c r="O1119">
        <v>2001</v>
      </c>
      <c r="S1119">
        <v>2.00159000326132E+17</v>
      </c>
      <c r="T1119" t="s">
        <v>772</v>
      </c>
    </row>
    <row r="1120" spans="1:20" x14ac:dyDescent="0.25">
      <c r="A1120">
        <v>5100423532</v>
      </c>
      <c r="B1120">
        <v>61846</v>
      </c>
      <c r="C1120" t="s">
        <v>768</v>
      </c>
      <c r="D1120" s="143">
        <v>46035</v>
      </c>
      <c r="E1120" s="55">
        <v>2448.17</v>
      </c>
      <c r="F1120" t="s">
        <v>769</v>
      </c>
      <c r="G1120">
        <v>101839482</v>
      </c>
      <c r="H1120" t="s">
        <v>755</v>
      </c>
      <c r="I1120" t="s">
        <v>770</v>
      </c>
      <c r="J1120">
        <v>0</v>
      </c>
      <c r="K1120" s="143">
        <v>46139</v>
      </c>
      <c r="L1120" s="143">
        <v>46035</v>
      </c>
      <c r="M1120">
        <v>92025</v>
      </c>
      <c r="N1120" t="s">
        <v>771</v>
      </c>
      <c r="O1120">
        <v>2001</v>
      </c>
      <c r="S1120">
        <v>2.00159000326132E+17</v>
      </c>
      <c r="T1120" t="s">
        <v>772</v>
      </c>
    </row>
    <row r="1121" spans="1:20" x14ac:dyDescent="0.25">
      <c r="A1121">
        <v>5100423587</v>
      </c>
      <c r="B1121">
        <v>64345</v>
      </c>
      <c r="C1121" t="s">
        <v>768</v>
      </c>
      <c r="D1121" s="143">
        <v>46035</v>
      </c>
      <c r="E1121" s="55">
        <v>22939.57</v>
      </c>
      <c r="F1121" t="s">
        <v>769</v>
      </c>
      <c r="G1121">
        <v>1500038768</v>
      </c>
      <c r="H1121" t="s">
        <v>755</v>
      </c>
      <c r="I1121" t="s">
        <v>770</v>
      </c>
      <c r="K1121" s="143">
        <v>46069</v>
      </c>
      <c r="L1121" s="143">
        <v>46035</v>
      </c>
      <c r="M1121">
        <v>22025</v>
      </c>
      <c r="N1121" t="s">
        <v>771</v>
      </c>
      <c r="O1121">
        <v>2001</v>
      </c>
      <c r="S1121">
        <v>515382</v>
      </c>
      <c r="T1121" t="s">
        <v>772</v>
      </c>
    </row>
    <row r="1122" spans="1:20" x14ac:dyDescent="0.25">
      <c r="A1122">
        <v>5100423589</v>
      </c>
      <c r="B1122">
        <v>64345</v>
      </c>
      <c r="C1122" t="s">
        <v>768</v>
      </c>
      <c r="D1122" s="143">
        <v>46035</v>
      </c>
      <c r="E1122" s="55">
        <v>21637.25</v>
      </c>
      <c r="F1122" t="s">
        <v>769</v>
      </c>
      <c r="G1122">
        <v>1500038768</v>
      </c>
      <c r="H1122" t="s">
        <v>755</v>
      </c>
      <c r="I1122" t="s">
        <v>770</v>
      </c>
      <c r="K1122" s="143">
        <v>46069</v>
      </c>
      <c r="L1122" s="143">
        <v>46035</v>
      </c>
      <c r="M1122">
        <v>32025</v>
      </c>
      <c r="N1122" t="s">
        <v>771</v>
      </c>
      <c r="O1122">
        <v>2001</v>
      </c>
      <c r="S1122">
        <v>515382</v>
      </c>
      <c r="T1122" t="s">
        <v>772</v>
      </c>
    </row>
    <row r="1123" spans="1:20" x14ac:dyDescent="0.25">
      <c r="A1123">
        <v>5100423590</v>
      </c>
      <c r="B1123">
        <v>64345</v>
      </c>
      <c r="C1123" t="s">
        <v>768</v>
      </c>
      <c r="D1123" s="143">
        <v>46035</v>
      </c>
      <c r="E1123" s="55">
        <v>15971.65</v>
      </c>
      <c r="F1123" t="s">
        <v>769</v>
      </c>
      <c r="G1123">
        <v>1500038768</v>
      </c>
      <c r="H1123" t="s">
        <v>755</v>
      </c>
      <c r="I1123" t="s">
        <v>770</v>
      </c>
      <c r="K1123" s="143">
        <v>46069</v>
      </c>
      <c r="L1123" s="143">
        <v>46035</v>
      </c>
      <c r="M1123">
        <v>52025</v>
      </c>
      <c r="N1123" t="s">
        <v>771</v>
      </c>
      <c r="O1123">
        <v>2001</v>
      </c>
      <c r="S1123">
        <v>515382</v>
      </c>
      <c r="T1123" t="s">
        <v>772</v>
      </c>
    </row>
    <row r="1124" spans="1:20" x14ac:dyDescent="0.25">
      <c r="A1124">
        <v>5100423592</v>
      </c>
      <c r="B1124">
        <v>64345</v>
      </c>
      <c r="C1124" t="s">
        <v>768</v>
      </c>
      <c r="D1124" s="143">
        <v>46035</v>
      </c>
      <c r="E1124" s="55">
        <v>8227.2199999999993</v>
      </c>
      <c r="F1124" t="s">
        <v>769</v>
      </c>
      <c r="G1124">
        <v>1500038768</v>
      </c>
      <c r="H1124" t="s">
        <v>755</v>
      </c>
      <c r="I1124" t="s">
        <v>770</v>
      </c>
      <c r="K1124" s="143">
        <v>46069</v>
      </c>
      <c r="L1124" s="143">
        <v>46035</v>
      </c>
      <c r="M1124">
        <v>62025</v>
      </c>
      <c r="N1124" t="s">
        <v>771</v>
      </c>
      <c r="O1124">
        <v>2001</v>
      </c>
      <c r="S1124">
        <v>515382</v>
      </c>
      <c r="T1124" t="s">
        <v>772</v>
      </c>
    </row>
    <row r="1125" spans="1:20" x14ac:dyDescent="0.25">
      <c r="A1125">
        <v>5100423593</v>
      </c>
      <c r="B1125">
        <v>64345</v>
      </c>
      <c r="C1125" t="s">
        <v>768</v>
      </c>
      <c r="D1125" s="143">
        <v>46035</v>
      </c>
      <c r="E1125">
        <v>250.31</v>
      </c>
      <c r="F1125" t="s">
        <v>769</v>
      </c>
      <c r="G1125">
        <v>1500038768</v>
      </c>
      <c r="H1125" t="s">
        <v>755</v>
      </c>
      <c r="I1125" t="s">
        <v>770</v>
      </c>
      <c r="K1125" s="143">
        <v>46069</v>
      </c>
      <c r="L1125" s="143">
        <v>46035</v>
      </c>
      <c r="M1125">
        <v>92025</v>
      </c>
      <c r="N1125" t="s">
        <v>771</v>
      </c>
      <c r="O1125">
        <v>2001</v>
      </c>
      <c r="S1125">
        <v>515382</v>
      </c>
      <c r="T1125" t="s">
        <v>772</v>
      </c>
    </row>
    <row r="1126" spans="1:20" x14ac:dyDescent="0.25">
      <c r="A1126">
        <v>5100423588</v>
      </c>
      <c r="B1126">
        <v>64345</v>
      </c>
      <c r="C1126" t="s">
        <v>768</v>
      </c>
      <c r="D1126" s="143">
        <v>46035</v>
      </c>
      <c r="E1126" s="55">
        <v>54713.64</v>
      </c>
      <c r="F1126" t="s">
        <v>769</v>
      </c>
      <c r="G1126">
        <v>1500038768</v>
      </c>
      <c r="H1126" t="s">
        <v>755</v>
      </c>
      <c r="I1126" t="s">
        <v>770</v>
      </c>
      <c r="K1126" s="143">
        <v>46069</v>
      </c>
      <c r="L1126" s="143">
        <v>46035</v>
      </c>
      <c r="M1126">
        <v>22025</v>
      </c>
      <c r="N1126" t="s">
        <v>771</v>
      </c>
      <c r="O1126">
        <v>2001</v>
      </c>
      <c r="S1126">
        <v>525484</v>
      </c>
      <c r="T1126" t="s">
        <v>772</v>
      </c>
    </row>
    <row r="1127" spans="1:20" x14ac:dyDescent="0.25">
      <c r="A1127">
        <v>5100423591</v>
      </c>
      <c r="B1127">
        <v>64345</v>
      </c>
      <c r="C1127" t="s">
        <v>768</v>
      </c>
      <c r="D1127" s="143">
        <v>46035</v>
      </c>
      <c r="E1127" s="55">
        <v>1522.61</v>
      </c>
      <c r="F1127" t="s">
        <v>769</v>
      </c>
      <c r="G1127">
        <v>1500038768</v>
      </c>
      <c r="H1127" t="s">
        <v>755</v>
      </c>
      <c r="I1127" t="s">
        <v>770</v>
      </c>
      <c r="K1127" s="143">
        <v>46069</v>
      </c>
      <c r="L1127" s="143">
        <v>46035</v>
      </c>
      <c r="M1127">
        <v>52025</v>
      </c>
      <c r="N1127" t="s">
        <v>771</v>
      </c>
      <c r="O1127">
        <v>2001</v>
      </c>
      <c r="S1127">
        <v>525484</v>
      </c>
      <c r="T1127" t="s">
        <v>772</v>
      </c>
    </row>
    <row r="1128" spans="1:20" x14ac:dyDescent="0.25">
      <c r="A1128">
        <v>5100423596</v>
      </c>
      <c r="B1128">
        <v>64840</v>
      </c>
      <c r="C1128" t="s">
        <v>768</v>
      </c>
      <c r="D1128" s="143">
        <v>46035</v>
      </c>
      <c r="E1128" s="55">
        <v>14723.92</v>
      </c>
      <c r="F1128" t="s">
        <v>769</v>
      </c>
      <c r="G1128">
        <v>1500038769</v>
      </c>
      <c r="H1128" t="s">
        <v>755</v>
      </c>
      <c r="I1128" t="s">
        <v>770</v>
      </c>
      <c r="K1128" s="143">
        <v>46069</v>
      </c>
      <c r="L1128" s="143">
        <v>46035</v>
      </c>
      <c r="M1128">
        <v>12025</v>
      </c>
      <c r="N1128" t="s">
        <v>771</v>
      </c>
      <c r="O1128">
        <v>2001</v>
      </c>
      <c r="S1128">
        <v>525486</v>
      </c>
      <c r="T1128" t="s">
        <v>772</v>
      </c>
    </row>
    <row r="1129" spans="1:20" x14ac:dyDescent="0.25">
      <c r="A1129">
        <v>5100423597</v>
      </c>
      <c r="B1129">
        <v>64840</v>
      </c>
      <c r="C1129" t="s">
        <v>768</v>
      </c>
      <c r="D1129" s="143">
        <v>46035</v>
      </c>
      <c r="E1129" s="55">
        <v>15637.5</v>
      </c>
      <c r="F1129" t="s">
        <v>769</v>
      </c>
      <c r="G1129">
        <v>1500038769</v>
      </c>
      <c r="H1129" t="s">
        <v>755</v>
      </c>
      <c r="I1129" t="s">
        <v>770</v>
      </c>
      <c r="K1129" s="143">
        <v>46069</v>
      </c>
      <c r="L1129" s="143">
        <v>46035</v>
      </c>
      <c r="M1129">
        <v>42025</v>
      </c>
      <c r="N1129" t="s">
        <v>771</v>
      </c>
      <c r="O1129">
        <v>2001</v>
      </c>
      <c r="S1129">
        <v>525486</v>
      </c>
      <c r="T1129" t="s">
        <v>772</v>
      </c>
    </row>
    <row r="1130" spans="1:20" x14ac:dyDescent="0.25">
      <c r="A1130">
        <v>5100423598</v>
      </c>
      <c r="B1130">
        <v>64840</v>
      </c>
      <c r="C1130" t="s">
        <v>768</v>
      </c>
      <c r="D1130" s="143">
        <v>46035</v>
      </c>
      <c r="E1130" s="55">
        <v>3839.85</v>
      </c>
      <c r="F1130" t="s">
        <v>769</v>
      </c>
      <c r="G1130">
        <v>1500038769</v>
      </c>
      <c r="H1130" t="s">
        <v>755</v>
      </c>
      <c r="I1130" t="s">
        <v>770</v>
      </c>
      <c r="K1130" s="143">
        <v>46069</v>
      </c>
      <c r="L1130" s="143">
        <v>46035</v>
      </c>
      <c r="M1130">
        <v>62025</v>
      </c>
      <c r="N1130" t="s">
        <v>771</v>
      </c>
      <c r="O1130">
        <v>2001</v>
      </c>
      <c r="S1130">
        <v>525486</v>
      </c>
      <c r="T1130" t="s">
        <v>772</v>
      </c>
    </row>
    <row r="1131" spans="1:20" x14ac:dyDescent="0.25">
      <c r="A1131">
        <v>5100423599</v>
      </c>
      <c r="B1131">
        <v>64840</v>
      </c>
      <c r="C1131" t="s">
        <v>768</v>
      </c>
      <c r="D1131" s="143">
        <v>46035</v>
      </c>
      <c r="E1131">
        <v>670.45</v>
      </c>
      <c r="F1131" t="s">
        <v>769</v>
      </c>
      <c r="G1131">
        <v>1500038769</v>
      </c>
      <c r="H1131" t="s">
        <v>755</v>
      </c>
      <c r="I1131" t="s">
        <v>770</v>
      </c>
      <c r="K1131" s="143">
        <v>46069</v>
      </c>
      <c r="L1131" s="143">
        <v>46035</v>
      </c>
      <c r="M1131">
        <v>82025</v>
      </c>
      <c r="N1131" t="s">
        <v>771</v>
      </c>
      <c r="O1131">
        <v>2001</v>
      </c>
      <c r="S1131">
        <v>525486</v>
      </c>
      <c r="T1131" t="s">
        <v>772</v>
      </c>
    </row>
    <row r="1132" spans="1:20" x14ac:dyDescent="0.25">
      <c r="A1132">
        <v>5100423607</v>
      </c>
      <c r="B1132">
        <v>66951</v>
      </c>
      <c r="C1132" t="s">
        <v>768</v>
      </c>
      <c r="D1132" s="143">
        <v>46035</v>
      </c>
      <c r="E1132">
        <v>587.70000000000005</v>
      </c>
      <c r="F1132" t="s">
        <v>769</v>
      </c>
      <c r="G1132">
        <v>1500038770</v>
      </c>
      <c r="H1132" t="s">
        <v>755</v>
      </c>
      <c r="I1132" t="s">
        <v>770</v>
      </c>
      <c r="K1132" s="143">
        <v>46069</v>
      </c>
      <c r="L1132" s="143">
        <v>46035</v>
      </c>
      <c r="M1132">
        <v>12025</v>
      </c>
      <c r="N1132" t="s">
        <v>771</v>
      </c>
      <c r="O1132">
        <v>2001</v>
      </c>
      <c r="S1132">
        <v>514967</v>
      </c>
      <c r="T1132" t="s">
        <v>772</v>
      </c>
    </row>
    <row r="1133" spans="1:20" x14ac:dyDescent="0.25">
      <c r="A1133">
        <v>5100423609</v>
      </c>
      <c r="B1133">
        <v>66951</v>
      </c>
      <c r="C1133" t="s">
        <v>768</v>
      </c>
      <c r="D1133" s="143">
        <v>46035</v>
      </c>
      <c r="E1133" s="55">
        <v>28788.61</v>
      </c>
      <c r="F1133" t="s">
        <v>769</v>
      </c>
      <c r="G1133">
        <v>1500038770</v>
      </c>
      <c r="H1133" t="s">
        <v>755</v>
      </c>
      <c r="I1133" t="s">
        <v>770</v>
      </c>
      <c r="K1133" s="143">
        <v>46069</v>
      </c>
      <c r="L1133" s="143">
        <v>46035</v>
      </c>
      <c r="M1133">
        <v>22025</v>
      </c>
      <c r="N1133" t="s">
        <v>771</v>
      </c>
      <c r="O1133">
        <v>2001</v>
      </c>
      <c r="S1133">
        <v>514967</v>
      </c>
      <c r="T1133" t="s">
        <v>772</v>
      </c>
    </row>
    <row r="1134" spans="1:20" x14ac:dyDescent="0.25">
      <c r="A1134">
        <v>5100423610</v>
      </c>
      <c r="B1134">
        <v>66951</v>
      </c>
      <c r="C1134" t="s">
        <v>768</v>
      </c>
      <c r="D1134" s="143">
        <v>46035</v>
      </c>
      <c r="E1134">
        <v>714.15</v>
      </c>
      <c r="F1134" t="s">
        <v>769</v>
      </c>
      <c r="G1134">
        <v>1500038770</v>
      </c>
      <c r="H1134" t="s">
        <v>755</v>
      </c>
      <c r="I1134" t="s">
        <v>770</v>
      </c>
      <c r="K1134" s="143">
        <v>46069</v>
      </c>
      <c r="L1134" s="143">
        <v>46035</v>
      </c>
      <c r="M1134">
        <v>32025</v>
      </c>
      <c r="N1134" t="s">
        <v>771</v>
      </c>
      <c r="O1134">
        <v>2001</v>
      </c>
      <c r="S1134">
        <v>514967</v>
      </c>
      <c r="T1134" t="s">
        <v>772</v>
      </c>
    </row>
    <row r="1135" spans="1:20" x14ac:dyDescent="0.25">
      <c r="A1135">
        <v>5100423611</v>
      </c>
      <c r="B1135">
        <v>66951</v>
      </c>
      <c r="C1135" t="s">
        <v>768</v>
      </c>
      <c r="D1135" s="143">
        <v>46035</v>
      </c>
      <c r="E1135">
        <v>311.14999999999998</v>
      </c>
      <c r="F1135" t="s">
        <v>769</v>
      </c>
      <c r="G1135">
        <v>1500038770</v>
      </c>
      <c r="H1135" t="s">
        <v>755</v>
      </c>
      <c r="I1135" t="s">
        <v>770</v>
      </c>
      <c r="K1135" s="143">
        <v>46069</v>
      </c>
      <c r="L1135" s="143">
        <v>46035</v>
      </c>
      <c r="M1135">
        <v>42025</v>
      </c>
      <c r="N1135" t="s">
        <v>771</v>
      </c>
      <c r="O1135">
        <v>2001</v>
      </c>
      <c r="S1135">
        <v>514967</v>
      </c>
      <c r="T1135" t="s">
        <v>772</v>
      </c>
    </row>
    <row r="1136" spans="1:20" x14ac:dyDescent="0.25">
      <c r="A1136">
        <v>5100423612</v>
      </c>
      <c r="B1136">
        <v>66951</v>
      </c>
      <c r="C1136" t="s">
        <v>768</v>
      </c>
      <c r="D1136" s="143">
        <v>46035</v>
      </c>
      <c r="E1136">
        <v>152.07</v>
      </c>
      <c r="F1136" t="s">
        <v>769</v>
      </c>
      <c r="G1136">
        <v>1500038770</v>
      </c>
      <c r="H1136" t="s">
        <v>755</v>
      </c>
      <c r="I1136" t="s">
        <v>770</v>
      </c>
      <c r="K1136" s="143">
        <v>46069</v>
      </c>
      <c r="L1136" s="143">
        <v>46035</v>
      </c>
      <c r="M1136">
        <v>52025</v>
      </c>
      <c r="N1136" t="s">
        <v>771</v>
      </c>
      <c r="O1136">
        <v>2001</v>
      </c>
      <c r="S1136">
        <v>514967</v>
      </c>
      <c r="T1136" t="s">
        <v>772</v>
      </c>
    </row>
    <row r="1137" spans="1:20" x14ac:dyDescent="0.25">
      <c r="A1137">
        <v>5100423613</v>
      </c>
      <c r="B1137">
        <v>66951</v>
      </c>
      <c r="C1137" t="s">
        <v>768</v>
      </c>
      <c r="D1137" s="143">
        <v>46035</v>
      </c>
      <c r="E1137" s="55">
        <v>6518.74</v>
      </c>
      <c r="F1137" t="s">
        <v>769</v>
      </c>
      <c r="G1137">
        <v>1500038770</v>
      </c>
      <c r="H1137" t="s">
        <v>755</v>
      </c>
      <c r="I1137" t="s">
        <v>770</v>
      </c>
      <c r="K1137" s="143">
        <v>46069</v>
      </c>
      <c r="L1137" s="143">
        <v>46035</v>
      </c>
      <c r="M1137">
        <v>62025</v>
      </c>
      <c r="N1137" t="s">
        <v>771</v>
      </c>
      <c r="O1137">
        <v>2001</v>
      </c>
      <c r="S1137">
        <v>514967</v>
      </c>
      <c r="T1137" t="s">
        <v>772</v>
      </c>
    </row>
    <row r="1138" spans="1:20" x14ac:dyDescent="0.25">
      <c r="A1138">
        <v>5100423608</v>
      </c>
      <c r="B1138">
        <v>66951</v>
      </c>
      <c r="C1138" t="s">
        <v>768</v>
      </c>
      <c r="D1138" s="143">
        <v>46035</v>
      </c>
      <c r="E1138">
        <v>334.58</v>
      </c>
      <c r="F1138" t="s">
        <v>769</v>
      </c>
      <c r="G1138">
        <v>1500038770</v>
      </c>
      <c r="H1138" t="s">
        <v>755</v>
      </c>
      <c r="I1138" t="s">
        <v>770</v>
      </c>
      <c r="K1138" s="143">
        <v>46069</v>
      </c>
      <c r="L1138" s="143">
        <v>46035</v>
      </c>
      <c r="M1138">
        <v>12025</v>
      </c>
      <c r="N1138" t="s">
        <v>771</v>
      </c>
      <c r="O1138">
        <v>2001</v>
      </c>
      <c r="S1138">
        <v>525490</v>
      </c>
      <c r="T1138" t="s">
        <v>772</v>
      </c>
    </row>
    <row r="1139" spans="1:20" x14ac:dyDescent="0.25">
      <c r="A1139">
        <v>5100423614</v>
      </c>
      <c r="B1139">
        <v>66951</v>
      </c>
      <c r="C1139" t="s">
        <v>768</v>
      </c>
      <c r="D1139" s="143">
        <v>46035</v>
      </c>
      <c r="E1139">
        <v>140.88</v>
      </c>
      <c r="F1139" t="s">
        <v>769</v>
      </c>
      <c r="G1139">
        <v>1500038770</v>
      </c>
      <c r="H1139" t="s">
        <v>755</v>
      </c>
      <c r="I1139" t="s">
        <v>770</v>
      </c>
      <c r="K1139" s="143">
        <v>46069</v>
      </c>
      <c r="L1139" s="143">
        <v>46035</v>
      </c>
      <c r="M1139">
        <v>72025</v>
      </c>
      <c r="N1139" t="s">
        <v>771</v>
      </c>
      <c r="O1139">
        <v>2001</v>
      </c>
      <c r="S1139">
        <v>525490</v>
      </c>
      <c r="T1139" t="s">
        <v>772</v>
      </c>
    </row>
    <row r="1140" spans="1:20" x14ac:dyDescent="0.25">
      <c r="A1140">
        <v>5100423615</v>
      </c>
      <c r="B1140">
        <v>66951</v>
      </c>
      <c r="C1140" t="s">
        <v>768</v>
      </c>
      <c r="D1140" s="143">
        <v>46035</v>
      </c>
      <c r="E1140">
        <v>669.16</v>
      </c>
      <c r="F1140" t="s">
        <v>769</v>
      </c>
      <c r="G1140">
        <v>1500038770</v>
      </c>
      <c r="H1140" t="s">
        <v>755</v>
      </c>
      <c r="I1140" t="s">
        <v>770</v>
      </c>
      <c r="K1140" s="143">
        <v>46069</v>
      </c>
      <c r="L1140" s="143">
        <v>46035</v>
      </c>
      <c r="M1140">
        <v>82025</v>
      </c>
      <c r="N1140" t="s">
        <v>771</v>
      </c>
      <c r="O1140">
        <v>2001</v>
      </c>
      <c r="S1140">
        <v>525490</v>
      </c>
      <c r="T1140" t="s">
        <v>772</v>
      </c>
    </row>
    <row r="1141" spans="1:20" x14ac:dyDescent="0.25">
      <c r="A1141">
        <v>5100423738</v>
      </c>
      <c r="B1141">
        <v>77933</v>
      </c>
      <c r="C1141" t="s">
        <v>768</v>
      </c>
      <c r="D1141" s="143">
        <v>46035</v>
      </c>
      <c r="E1141" s="55">
        <v>23488.94</v>
      </c>
      <c r="F1141" t="s">
        <v>769</v>
      </c>
      <c r="G1141">
        <v>1500013616</v>
      </c>
      <c r="H1141" t="s">
        <v>755</v>
      </c>
      <c r="I1141" t="s">
        <v>770</v>
      </c>
      <c r="K1141" s="143">
        <v>46104</v>
      </c>
      <c r="L1141" s="143">
        <v>46035</v>
      </c>
      <c r="M1141">
        <v>72025</v>
      </c>
      <c r="N1141" t="s">
        <v>771</v>
      </c>
      <c r="O1141">
        <v>2001</v>
      </c>
      <c r="S1141" t="s">
        <v>776</v>
      </c>
      <c r="T1141" t="s">
        <v>772</v>
      </c>
    </row>
    <row r="1142" spans="1:20" x14ac:dyDescent="0.25">
      <c r="A1142">
        <v>5100423739</v>
      </c>
      <c r="B1142">
        <v>77933</v>
      </c>
      <c r="C1142" t="s">
        <v>768</v>
      </c>
      <c r="D1142" s="143">
        <v>46035</v>
      </c>
      <c r="E1142" s="55">
        <v>2188.5300000000002</v>
      </c>
      <c r="F1142" t="s">
        <v>769</v>
      </c>
      <c r="G1142">
        <v>1500013616</v>
      </c>
      <c r="H1142" t="s">
        <v>755</v>
      </c>
      <c r="I1142" t="s">
        <v>770</v>
      </c>
      <c r="K1142" s="143">
        <v>46104</v>
      </c>
      <c r="L1142" s="143">
        <v>46035</v>
      </c>
      <c r="M1142">
        <v>92025</v>
      </c>
      <c r="N1142" t="s">
        <v>771</v>
      </c>
      <c r="O1142">
        <v>2001</v>
      </c>
      <c r="S1142" t="s">
        <v>776</v>
      </c>
      <c r="T1142" t="s">
        <v>772</v>
      </c>
    </row>
    <row r="1143" spans="1:20" x14ac:dyDescent="0.25">
      <c r="A1143">
        <v>5100423767</v>
      </c>
      <c r="B1143">
        <v>79681</v>
      </c>
      <c r="C1143" t="s">
        <v>768</v>
      </c>
      <c r="D1143" s="143">
        <v>46035</v>
      </c>
      <c r="E1143" s="55">
        <v>2876.06</v>
      </c>
      <c r="F1143" t="s">
        <v>769</v>
      </c>
      <c r="G1143">
        <v>1500060333</v>
      </c>
      <c r="H1143" t="s">
        <v>755</v>
      </c>
      <c r="I1143" t="s">
        <v>770</v>
      </c>
      <c r="K1143" s="143">
        <v>46083</v>
      </c>
      <c r="L1143" s="143">
        <v>46035</v>
      </c>
      <c r="M1143">
        <v>12025</v>
      </c>
      <c r="N1143" t="s">
        <v>779</v>
      </c>
      <c r="O1143">
        <v>2001</v>
      </c>
      <c r="R1143" t="s">
        <v>780</v>
      </c>
      <c r="S1143" t="s">
        <v>781</v>
      </c>
      <c r="T1143" t="s">
        <v>772</v>
      </c>
    </row>
    <row r="1144" spans="1:20" x14ac:dyDescent="0.25">
      <c r="A1144">
        <v>5100423768</v>
      </c>
      <c r="B1144">
        <v>79681</v>
      </c>
      <c r="C1144" t="s">
        <v>768</v>
      </c>
      <c r="D1144" s="143">
        <v>46035</v>
      </c>
      <c r="E1144" s="55">
        <v>1333.95</v>
      </c>
      <c r="F1144" t="s">
        <v>769</v>
      </c>
      <c r="G1144">
        <v>1500060333</v>
      </c>
      <c r="H1144" t="s">
        <v>755</v>
      </c>
      <c r="I1144" t="s">
        <v>770</v>
      </c>
      <c r="K1144" s="143">
        <v>46083</v>
      </c>
      <c r="L1144" s="143">
        <v>46035</v>
      </c>
      <c r="M1144">
        <v>12025</v>
      </c>
      <c r="N1144" t="s">
        <v>779</v>
      </c>
      <c r="O1144">
        <v>2001</v>
      </c>
      <c r="R1144" t="s">
        <v>780</v>
      </c>
      <c r="S1144" t="s">
        <v>781</v>
      </c>
      <c r="T1144" t="s">
        <v>772</v>
      </c>
    </row>
    <row r="1145" spans="1:20" x14ac:dyDescent="0.25">
      <c r="A1145">
        <v>5100423769</v>
      </c>
      <c r="B1145">
        <v>79681</v>
      </c>
      <c r="C1145" t="s">
        <v>768</v>
      </c>
      <c r="D1145" s="143">
        <v>46035</v>
      </c>
      <c r="E1145" s="55">
        <v>1556.27</v>
      </c>
      <c r="F1145" t="s">
        <v>769</v>
      </c>
      <c r="G1145">
        <v>1500060333</v>
      </c>
      <c r="H1145" t="s">
        <v>755</v>
      </c>
      <c r="I1145" t="s">
        <v>770</v>
      </c>
      <c r="K1145" s="143">
        <v>46083</v>
      </c>
      <c r="L1145" s="143">
        <v>46035</v>
      </c>
      <c r="M1145">
        <v>22025</v>
      </c>
      <c r="N1145" t="s">
        <v>779</v>
      </c>
      <c r="O1145">
        <v>2001</v>
      </c>
      <c r="R1145" t="s">
        <v>780</v>
      </c>
      <c r="S1145" t="s">
        <v>781</v>
      </c>
      <c r="T1145" t="s">
        <v>772</v>
      </c>
    </row>
    <row r="1146" spans="1:20" x14ac:dyDescent="0.25">
      <c r="A1146">
        <v>5100423770</v>
      </c>
      <c r="B1146">
        <v>79681</v>
      </c>
      <c r="C1146" t="s">
        <v>768</v>
      </c>
      <c r="D1146" s="143">
        <v>46035</v>
      </c>
      <c r="E1146" s="55">
        <v>4727.6899999999996</v>
      </c>
      <c r="F1146" t="s">
        <v>769</v>
      </c>
      <c r="G1146">
        <v>1500060333</v>
      </c>
      <c r="H1146" t="s">
        <v>755</v>
      </c>
      <c r="I1146" t="s">
        <v>770</v>
      </c>
      <c r="K1146" s="143">
        <v>46083</v>
      </c>
      <c r="L1146" s="143">
        <v>46035</v>
      </c>
      <c r="M1146">
        <v>42025</v>
      </c>
      <c r="N1146" t="s">
        <v>779</v>
      </c>
      <c r="O1146">
        <v>2001</v>
      </c>
      <c r="R1146" t="s">
        <v>780</v>
      </c>
      <c r="S1146" t="s">
        <v>781</v>
      </c>
      <c r="T1146" t="s">
        <v>772</v>
      </c>
    </row>
    <row r="1147" spans="1:20" x14ac:dyDescent="0.25">
      <c r="A1147">
        <v>5100423771</v>
      </c>
      <c r="B1147">
        <v>79681</v>
      </c>
      <c r="C1147" t="s">
        <v>768</v>
      </c>
      <c r="D1147" s="143">
        <v>46035</v>
      </c>
      <c r="E1147" s="55">
        <v>58440.11</v>
      </c>
      <c r="F1147" t="s">
        <v>769</v>
      </c>
      <c r="G1147">
        <v>1500060333</v>
      </c>
      <c r="H1147" t="s">
        <v>755</v>
      </c>
      <c r="I1147" t="s">
        <v>770</v>
      </c>
      <c r="K1147" s="143">
        <v>46083</v>
      </c>
      <c r="L1147" s="143">
        <v>46035</v>
      </c>
      <c r="M1147">
        <v>52025</v>
      </c>
      <c r="N1147" t="s">
        <v>779</v>
      </c>
      <c r="O1147">
        <v>2001</v>
      </c>
      <c r="R1147" t="s">
        <v>780</v>
      </c>
      <c r="S1147" t="s">
        <v>781</v>
      </c>
      <c r="T1147" t="s">
        <v>772</v>
      </c>
    </row>
    <row r="1148" spans="1:20" x14ac:dyDescent="0.25">
      <c r="A1148">
        <v>5100423772</v>
      </c>
      <c r="B1148">
        <v>79681</v>
      </c>
      <c r="C1148" t="s">
        <v>768</v>
      </c>
      <c r="D1148" s="143">
        <v>46035</v>
      </c>
      <c r="E1148" s="55">
        <v>1869.17</v>
      </c>
      <c r="F1148" t="s">
        <v>769</v>
      </c>
      <c r="G1148">
        <v>1500060333</v>
      </c>
      <c r="H1148" t="s">
        <v>755</v>
      </c>
      <c r="I1148" t="s">
        <v>770</v>
      </c>
      <c r="K1148" s="143">
        <v>46083</v>
      </c>
      <c r="L1148" s="143">
        <v>46035</v>
      </c>
      <c r="M1148">
        <v>72025</v>
      </c>
      <c r="N1148" t="s">
        <v>779</v>
      </c>
      <c r="O1148">
        <v>2001</v>
      </c>
      <c r="R1148" t="s">
        <v>780</v>
      </c>
      <c r="S1148" t="s">
        <v>781</v>
      </c>
      <c r="T1148" t="s">
        <v>772</v>
      </c>
    </row>
    <row r="1149" spans="1:20" x14ac:dyDescent="0.25">
      <c r="A1149">
        <v>5100423785</v>
      </c>
      <c r="B1149">
        <v>80853</v>
      </c>
      <c r="C1149" t="s">
        <v>768</v>
      </c>
      <c r="D1149" s="143">
        <v>46035</v>
      </c>
      <c r="E1149" s="55">
        <v>18162.43</v>
      </c>
      <c r="F1149" t="s">
        <v>769</v>
      </c>
      <c r="G1149">
        <v>1500087640</v>
      </c>
      <c r="H1149" t="s">
        <v>755</v>
      </c>
      <c r="I1149" t="s">
        <v>770</v>
      </c>
      <c r="K1149" s="143">
        <v>46076</v>
      </c>
      <c r="L1149" s="143">
        <v>46035</v>
      </c>
      <c r="M1149">
        <v>22025</v>
      </c>
      <c r="N1149" t="s">
        <v>771</v>
      </c>
      <c r="O1149">
        <v>2001</v>
      </c>
      <c r="S1149">
        <v>514649</v>
      </c>
      <c r="T1149" t="s">
        <v>772</v>
      </c>
    </row>
    <row r="1150" spans="1:20" x14ac:dyDescent="0.25">
      <c r="A1150">
        <v>5100423786</v>
      </c>
      <c r="B1150">
        <v>80853</v>
      </c>
      <c r="C1150" t="s">
        <v>768</v>
      </c>
      <c r="D1150" s="143">
        <v>46035</v>
      </c>
      <c r="E1150" s="55">
        <v>21785.360000000001</v>
      </c>
      <c r="F1150" t="s">
        <v>769</v>
      </c>
      <c r="G1150">
        <v>1500087640</v>
      </c>
      <c r="H1150" t="s">
        <v>755</v>
      </c>
      <c r="I1150" t="s">
        <v>770</v>
      </c>
      <c r="K1150" s="143">
        <v>46076</v>
      </c>
      <c r="L1150" s="143">
        <v>46035</v>
      </c>
      <c r="M1150">
        <v>52025</v>
      </c>
      <c r="N1150" t="s">
        <v>771</v>
      </c>
      <c r="O1150">
        <v>2001</v>
      </c>
      <c r="S1150">
        <v>514649</v>
      </c>
      <c r="T1150" t="s">
        <v>772</v>
      </c>
    </row>
    <row r="1151" spans="1:20" x14ac:dyDescent="0.25">
      <c r="A1151">
        <v>5100423908</v>
      </c>
      <c r="B1151">
        <v>86199</v>
      </c>
      <c r="C1151" t="s">
        <v>768</v>
      </c>
      <c r="D1151" s="143">
        <v>46035</v>
      </c>
      <c r="E1151" s="55">
        <v>34459.370000000003</v>
      </c>
      <c r="F1151" t="s">
        <v>769</v>
      </c>
      <c r="G1151">
        <v>1500038774</v>
      </c>
      <c r="H1151" t="s">
        <v>755</v>
      </c>
      <c r="I1151" t="s">
        <v>770</v>
      </c>
      <c r="K1151" s="143">
        <v>46069</v>
      </c>
      <c r="L1151" s="143">
        <v>46035</v>
      </c>
      <c r="M1151">
        <v>12025</v>
      </c>
      <c r="N1151" t="s">
        <v>771</v>
      </c>
      <c r="O1151">
        <v>2001</v>
      </c>
      <c r="S1151">
        <v>514977</v>
      </c>
      <c r="T1151" t="s">
        <v>772</v>
      </c>
    </row>
    <row r="1152" spans="1:20" x14ac:dyDescent="0.25">
      <c r="A1152">
        <v>5100423909</v>
      </c>
      <c r="B1152">
        <v>86199</v>
      </c>
      <c r="C1152" t="s">
        <v>768</v>
      </c>
      <c r="D1152" s="143">
        <v>46035</v>
      </c>
      <c r="E1152">
        <v>823.67</v>
      </c>
      <c r="F1152" t="s">
        <v>769</v>
      </c>
      <c r="G1152">
        <v>1500038774</v>
      </c>
      <c r="H1152" t="s">
        <v>755</v>
      </c>
      <c r="I1152" t="s">
        <v>770</v>
      </c>
      <c r="K1152" s="143">
        <v>46069</v>
      </c>
      <c r="L1152" s="143">
        <v>46035</v>
      </c>
      <c r="M1152">
        <v>62025</v>
      </c>
      <c r="N1152" t="s">
        <v>771</v>
      </c>
      <c r="O1152">
        <v>2001</v>
      </c>
      <c r="S1152">
        <v>514977</v>
      </c>
      <c r="T1152" t="s">
        <v>772</v>
      </c>
    </row>
    <row r="1153" spans="1:20" x14ac:dyDescent="0.25">
      <c r="A1153">
        <v>5100423928</v>
      </c>
      <c r="B1153">
        <v>87221</v>
      </c>
      <c r="C1153" t="s">
        <v>768</v>
      </c>
      <c r="D1153" s="143">
        <v>46035</v>
      </c>
      <c r="E1153" s="55">
        <v>2620.73</v>
      </c>
      <c r="F1153" t="s">
        <v>769</v>
      </c>
      <c r="G1153">
        <v>101500200</v>
      </c>
      <c r="H1153" t="s">
        <v>755</v>
      </c>
      <c r="I1153" t="s">
        <v>770</v>
      </c>
      <c r="J1153">
        <v>0</v>
      </c>
      <c r="K1153" s="143">
        <v>46139</v>
      </c>
      <c r="L1153" s="143">
        <v>46035</v>
      </c>
      <c r="M1153">
        <v>22025</v>
      </c>
      <c r="N1153" t="s">
        <v>771</v>
      </c>
      <c r="O1153">
        <v>2001</v>
      </c>
      <c r="S1153">
        <v>2.00159000225032E+17</v>
      </c>
      <c r="T1153" t="s">
        <v>772</v>
      </c>
    </row>
    <row r="1154" spans="1:20" x14ac:dyDescent="0.25">
      <c r="A1154">
        <v>5100423929</v>
      </c>
      <c r="B1154">
        <v>87221</v>
      </c>
      <c r="C1154" t="s">
        <v>768</v>
      </c>
      <c r="D1154" s="143">
        <v>46035</v>
      </c>
      <c r="E1154">
        <v>259.81</v>
      </c>
      <c r="F1154" t="s">
        <v>769</v>
      </c>
      <c r="G1154">
        <v>101500200</v>
      </c>
      <c r="H1154" t="s">
        <v>755</v>
      </c>
      <c r="I1154" t="s">
        <v>770</v>
      </c>
      <c r="J1154">
        <v>0</v>
      </c>
      <c r="K1154" s="143">
        <v>46139</v>
      </c>
      <c r="L1154" s="143">
        <v>46035</v>
      </c>
      <c r="M1154">
        <v>32025</v>
      </c>
      <c r="N1154" t="s">
        <v>771</v>
      </c>
      <c r="O1154">
        <v>2001</v>
      </c>
      <c r="S1154">
        <v>2.00159000225032E+17</v>
      </c>
      <c r="T1154" t="s">
        <v>772</v>
      </c>
    </row>
    <row r="1155" spans="1:20" x14ac:dyDescent="0.25">
      <c r="A1155">
        <v>5100423930</v>
      </c>
      <c r="B1155">
        <v>87221</v>
      </c>
      <c r="C1155" t="s">
        <v>768</v>
      </c>
      <c r="D1155" s="143">
        <v>46035</v>
      </c>
      <c r="E1155" s="55">
        <v>23803.119999999999</v>
      </c>
      <c r="F1155" t="s">
        <v>769</v>
      </c>
      <c r="G1155">
        <v>101500200</v>
      </c>
      <c r="H1155" t="s">
        <v>755</v>
      </c>
      <c r="I1155" t="s">
        <v>770</v>
      </c>
      <c r="J1155">
        <v>0</v>
      </c>
      <c r="K1155" s="143">
        <v>46139</v>
      </c>
      <c r="L1155" s="143">
        <v>46035</v>
      </c>
      <c r="M1155">
        <v>52025</v>
      </c>
      <c r="N1155" t="s">
        <v>771</v>
      </c>
      <c r="O1155">
        <v>2001</v>
      </c>
      <c r="S1155">
        <v>2.00159000225032E+17</v>
      </c>
      <c r="T1155" t="s">
        <v>772</v>
      </c>
    </row>
    <row r="1156" spans="1:20" x14ac:dyDescent="0.25">
      <c r="A1156">
        <v>5100423931</v>
      </c>
      <c r="B1156">
        <v>87221</v>
      </c>
      <c r="C1156" t="s">
        <v>768</v>
      </c>
      <c r="D1156" s="143">
        <v>46035</v>
      </c>
      <c r="E1156" s="55">
        <v>4301.21</v>
      </c>
      <c r="F1156" t="s">
        <v>769</v>
      </c>
      <c r="G1156">
        <v>101500200</v>
      </c>
      <c r="H1156" t="s">
        <v>755</v>
      </c>
      <c r="I1156" t="s">
        <v>770</v>
      </c>
      <c r="J1156">
        <v>0</v>
      </c>
      <c r="K1156" s="143">
        <v>46139</v>
      </c>
      <c r="L1156" s="143">
        <v>46035</v>
      </c>
      <c r="M1156">
        <v>62025</v>
      </c>
      <c r="N1156" t="s">
        <v>771</v>
      </c>
      <c r="O1156">
        <v>2001</v>
      </c>
      <c r="S1156">
        <v>2.00159000225032E+17</v>
      </c>
      <c r="T1156" t="s">
        <v>772</v>
      </c>
    </row>
    <row r="1157" spans="1:20" x14ac:dyDescent="0.25">
      <c r="A1157">
        <v>5100423932</v>
      </c>
      <c r="B1157">
        <v>87221</v>
      </c>
      <c r="C1157" t="s">
        <v>768</v>
      </c>
      <c r="D1157" s="143">
        <v>46035</v>
      </c>
      <c r="E1157">
        <v>729.08</v>
      </c>
      <c r="F1157" t="s">
        <v>769</v>
      </c>
      <c r="G1157">
        <v>101500200</v>
      </c>
      <c r="H1157" t="s">
        <v>755</v>
      </c>
      <c r="I1157" t="s">
        <v>770</v>
      </c>
      <c r="J1157">
        <v>0</v>
      </c>
      <c r="K1157" s="143">
        <v>46139</v>
      </c>
      <c r="L1157" s="143">
        <v>46035</v>
      </c>
      <c r="M1157">
        <v>72025</v>
      </c>
      <c r="N1157" t="s">
        <v>771</v>
      </c>
      <c r="O1157">
        <v>2001</v>
      </c>
      <c r="S1157">
        <v>2.00159000225032E+17</v>
      </c>
      <c r="T1157" t="s">
        <v>772</v>
      </c>
    </row>
    <row r="1158" spans="1:20" x14ac:dyDescent="0.25">
      <c r="A1158">
        <v>5100423933</v>
      </c>
      <c r="B1158">
        <v>87270</v>
      </c>
      <c r="C1158" t="s">
        <v>768</v>
      </c>
      <c r="D1158" s="143">
        <v>46035</v>
      </c>
      <c r="E1158" s="55">
        <v>5064.67</v>
      </c>
      <c r="F1158" t="s">
        <v>769</v>
      </c>
      <c r="G1158">
        <v>1500087641</v>
      </c>
      <c r="H1158" t="s">
        <v>755</v>
      </c>
      <c r="I1158" t="s">
        <v>770</v>
      </c>
      <c r="K1158" s="143">
        <v>46076</v>
      </c>
      <c r="L1158" s="143">
        <v>46035</v>
      </c>
      <c r="M1158">
        <v>22025</v>
      </c>
      <c r="N1158" t="s">
        <v>771</v>
      </c>
      <c r="O1158">
        <v>2001</v>
      </c>
      <c r="S1158">
        <v>514662</v>
      </c>
      <c r="T1158" t="s">
        <v>772</v>
      </c>
    </row>
    <row r="1159" spans="1:20" x14ac:dyDescent="0.25">
      <c r="A1159">
        <v>5100423934</v>
      </c>
      <c r="B1159">
        <v>87270</v>
      </c>
      <c r="C1159" t="s">
        <v>768</v>
      </c>
      <c r="D1159" s="143">
        <v>46035</v>
      </c>
      <c r="E1159" s="55">
        <v>36985.050000000003</v>
      </c>
      <c r="F1159" t="s">
        <v>769</v>
      </c>
      <c r="G1159">
        <v>1500087641</v>
      </c>
      <c r="H1159" t="s">
        <v>755</v>
      </c>
      <c r="I1159" t="s">
        <v>770</v>
      </c>
      <c r="K1159" s="143">
        <v>46076</v>
      </c>
      <c r="L1159" s="143">
        <v>46035</v>
      </c>
      <c r="M1159">
        <v>62025</v>
      </c>
      <c r="N1159" t="s">
        <v>771</v>
      </c>
      <c r="O1159">
        <v>2001</v>
      </c>
      <c r="S1159">
        <v>514662</v>
      </c>
      <c r="T1159" t="s">
        <v>772</v>
      </c>
    </row>
    <row r="1160" spans="1:20" x14ac:dyDescent="0.25">
      <c r="A1160">
        <v>5100423935</v>
      </c>
      <c r="B1160">
        <v>87270</v>
      </c>
      <c r="C1160" t="s">
        <v>768</v>
      </c>
      <c r="D1160" s="143">
        <v>46035</v>
      </c>
      <c r="E1160">
        <v>174.17</v>
      </c>
      <c r="F1160" t="s">
        <v>769</v>
      </c>
      <c r="G1160">
        <v>1500087641</v>
      </c>
      <c r="H1160" t="s">
        <v>755</v>
      </c>
      <c r="I1160" t="s">
        <v>770</v>
      </c>
      <c r="K1160" s="143">
        <v>46076</v>
      </c>
      <c r="L1160" s="143">
        <v>46035</v>
      </c>
      <c r="M1160">
        <v>82025</v>
      </c>
      <c r="N1160" t="s">
        <v>771</v>
      </c>
      <c r="O1160">
        <v>2001</v>
      </c>
      <c r="S1160">
        <v>514662</v>
      </c>
      <c r="T1160" t="s">
        <v>772</v>
      </c>
    </row>
    <row r="1161" spans="1:20" x14ac:dyDescent="0.25">
      <c r="A1161">
        <v>5100423961</v>
      </c>
      <c r="B1161">
        <v>90159</v>
      </c>
      <c r="C1161" t="s">
        <v>768</v>
      </c>
      <c r="D1161" s="143">
        <v>46035</v>
      </c>
      <c r="E1161" s="55">
        <v>77481.89</v>
      </c>
      <c r="F1161" t="s">
        <v>769</v>
      </c>
      <c r="G1161">
        <v>1500038775</v>
      </c>
      <c r="H1161" t="s">
        <v>755</v>
      </c>
      <c r="I1161" t="s">
        <v>770</v>
      </c>
      <c r="K1161" s="143">
        <v>46069</v>
      </c>
      <c r="L1161" s="143">
        <v>46035</v>
      </c>
      <c r="M1161">
        <v>22025</v>
      </c>
      <c r="N1161" t="s">
        <v>771</v>
      </c>
      <c r="O1161">
        <v>2001</v>
      </c>
      <c r="S1161">
        <v>515284</v>
      </c>
      <c r="T1161" t="s">
        <v>772</v>
      </c>
    </row>
    <row r="1162" spans="1:20" x14ac:dyDescent="0.25">
      <c r="A1162">
        <v>5100423962</v>
      </c>
      <c r="B1162">
        <v>90159</v>
      </c>
      <c r="C1162" t="s">
        <v>768</v>
      </c>
      <c r="D1162" s="143">
        <v>46035</v>
      </c>
      <c r="E1162">
        <v>104.64</v>
      </c>
      <c r="F1162" t="s">
        <v>769</v>
      </c>
      <c r="G1162">
        <v>1500038775</v>
      </c>
      <c r="H1162" t="s">
        <v>755</v>
      </c>
      <c r="I1162" t="s">
        <v>770</v>
      </c>
      <c r="K1162" s="143">
        <v>46069</v>
      </c>
      <c r="L1162" s="143">
        <v>46035</v>
      </c>
      <c r="M1162">
        <v>42025</v>
      </c>
      <c r="N1162" t="s">
        <v>771</v>
      </c>
      <c r="O1162">
        <v>2001</v>
      </c>
      <c r="S1162">
        <v>515284</v>
      </c>
      <c r="T1162" t="s">
        <v>772</v>
      </c>
    </row>
    <row r="1163" spans="1:20" x14ac:dyDescent="0.25">
      <c r="A1163">
        <v>5100423963</v>
      </c>
      <c r="B1163">
        <v>90159</v>
      </c>
      <c r="C1163" t="s">
        <v>768</v>
      </c>
      <c r="D1163" s="143">
        <v>46035</v>
      </c>
      <c r="E1163">
        <v>206.35</v>
      </c>
      <c r="F1163" t="s">
        <v>769</v>
      </c>
      <c r="G1163">
        <v>1500038775</v>
      </c>
      <c r="H1163" t="s">
        <v>755</v>
      </c>
      <c r="I1163" t="s">
        <v>770</v>
      </c>
      <c r="K1163" s="143">
        <v>46069</v>
      </c>
      <c r="L1163" s="143">
        <v>46035</v>
      </c>
      <c r="M1163">
        <v>52025</v>
      </c>
      <c r="N1163" t="s">
        <v>771</v>
      </c>
      <c r="O1163">
        <v>2001</v>
      </c>
      <c r="S1163">
        <v>515284</v>
      </c>
      <c r="T1163" t="s">
        <v>772</v>
      </c>
    </row>
    <row r="1164" spans="1:20" x14ac:dyDescent="0.25">
      <c r="A1164">
        <v>5100423964</v>
      </c>
      <c r="B1164">
        <v>90159</v>
      </c>
      <c r="C1164" t="s">
        <v>768</v>
      </c>
      <c r="D1164" s="143">
        <v>46035</v>
      </c>
      <c r="E1164" s="55">
        <v>20780.91</v>
      </c>
      <c r="F1164" t="s">
        <v>769</v>
      </c>
      <c r="G1164">
        <v>1500038775</v>
      </c>
      <c r="H1164" t="s">
        <v>755</v>
      </c>
      <c r="I1164" t="s">
        <v>770</v>
      </c>
      <c r="K1164" s="143">
        <v>46069</v>
      </c>
      <c r="L1164" s="143">
        <v>46035</v>
      </c>
      <c r="M1164">
        <v>72025</v>
      </c>
      <c r="N1164" t="s">
        <v>771</v>
      </c>
      <c r="O1164">
        <v>2001</v>
      </c>
      <c r="S1164">
        <v>515284</v>
      </c>
      <c r="T1164" t="s">
        <v>772</v>
      </c>
    </row>
    <row r="1165" spans="1:20" x14ac:dyDescent="0.25">
      <c r="A1165">
        <v>5100423965</v>
      </c>
      <c r="B1165">
        <v>90159</v>
      </c>
      <c r="C1165" t="s">
        <v>768</v>
      </c>
      <c r="D1165" s="143">
        <v>46035</v>
      </c>
      <c r="E1165">
        <v>732.54</v>
      </c>
      <c r="F1165" t="s">
        <v>769</v>
      </c>
      <c r="G1165">
        <v>1500038775</v>
      </c>
      <c r="H1165" t="s">
        <v>755</v>
      </c>
      <c r="I1165" t="s">
        <v>770</v>
      </c>
      <c r="K1165" s="143">
        <v>46069</v>
      </c>
      <c r="L1165" s="143">
        <v>46035</v>
      </c>
      <c r="M1165">
        <v>82025</v>
      </c>
      <c r="N1165" t="s">
        <v>771</v>
      </c>
      <c r="O1165">
        <v>2001</v>
      </c>
      <c r="S1165">
        <v>515284</v>
      </c>
      <c r="T1165" t="s">
        <v>772</v>
      </c>
    </row>
    <row r="1166" spans="1:20" x14ac:dyDescent="0.25">
      <c r="A1166">
        <v>5100423991</v>
      </c>
      <c r="B1166">
        <v>90647</v>
      </c>
      <c r="C1166" t="s">
        <v>768</v>
      </c>
      <c r="D1166" s="143">
        <v>46035</v>
      </c>
      <c r="E1166" s="55">
        <v>34628.94</v>
      </c>
      <c r="F1166" t="s">
        <v>769</v>
      </c>
      <c r="G1166">
        <v>1500087642</v>
      </c>
      <c r="H1166" t="s">
        <v>755</v>
      </c>
      <c r="I1166" t="s">
        <v>770</v>
      </c>
      <c r="K1166" s="143">
        <v>46076</v>
      </c>
      <c r="L1166" s="143">
        <v>46035</v>
      </c>
      <c r="M1166">
        <v>52025</v>
      </c>
      <c r="N1166" t="s">
        <v>771</v>
      </c>
      <c r="O1166">
        <v>2001</v>
      </c>
      <c r="S1166">
        <v>525539</v>
      </c>
      <c r="T1166" t="s">
        <v>772</v>
      </c>
    </row>
    <row r="1167" spans="1:20" x14ac:dyDescent="0.25">
      <c r="A1167">
        <v>5100423992</v>
      </c>
      <c r="B1167">
        <v>90647</v>
      </c>
      <c r="C1167" t="s">
        <v>768</v>
      </c>
      <c r="D1167" s="143">
        <v>46035</v>
      </c>
      <c r="E1167" s="55">
        <v>42407.68</v>
      </c>
      <c r="F1167" t="s">
        <v>769</v>
      </c>
      <c r="G1167">
        <v>1500087642</v>
      </c>
      <c r="H1167" t="s">
        <v>755</v>
      </c>
      <c r="I1167" t="s">
        <v>770</v>
      </c>
      <c r="K1167" s="143">
        <v>46076</v>
      </c>
      <c r="L1167" s="143">
        <v>46035</v>
      </c>
      <c r="M1167">
        <v>92025</v>
      </c>
      <c r="N1167" t="s">
        <v>771</v>
      </c>
      <c r="O1167">
        <v>2001</v>
      </c>
      <c r="S1167">
        <v>525539</v>
      </c>
      <c r="T1167" t="s">
        <v>772</v>
      </c>
    </row>
    <row r="1168" spans="1:20" x14ac:dyDescent="0.25">
      <c r="A1168">
        <v>5100424207</v>
      </c>
      <c r="B1168">
        <v>99861</v>
      </c>
      <c r="C1168" t="s">
        <v>768</v>
      </c>
      <c r="D1168" s="143">
        <v>46035</v>
      </c>
      <c r="E1168" s="55">
        <v>14141.3</v>
      </c>
      <c r="F1168" t="s">
        <v>769</v>
      </c>
      <c r="G1168">
        <v>1500038779</v>
      </c>
      <c r="H1168" t="s">
        <v>755</v>
      </c>
      <c r="I1168" t="s">
        <v>770</v>
      </c>
      <c r="K1168" s="143">
        <v>46069</v>
      </c>
      <c r="L1168" s="143">
        <v>46035</v>
      </c>
      <c r="M1168">
        <v>22025</v>
      </c>
      <c r="N1168" t="s">
        <v>771</v>
      </c>
      <c r="O1168">
        <v>2001</v>
      </c>
      <c r="S1168">
        <v>514691</v>
      </c>
      <c r="T1168" t="s">
        <v>772</v>
      </c>
    </row>
    <row r="1169" spans="1:20" x14ac:dyDescent="0.25">
      <c r="A1169">
        <v>5100424208</v>
      </c>
      <c r="B1169">
        <v>99861</v>
      </c>
      <c r="C1169" t="s">
        <v>768</v>
      </c>
      <c r="D1169" s="143">
        <v>46035</v>
      </c>
      <c r="E1169" s="55">
        <v>1630.74</v>
      </c>
      <c r="F1169" t="s">
        <v>769</v>
      </c>
      <c r="G1169">
        <v>1500038779</v>
      </c>
      <c r="H1169" t="s">
        <v>755</v>
      </c>
      <c r="I1169" t="s">
        <v>770</v>
      </c>
      <c r="K1169" s="143">
        <v>46069</v>
      </c>
      <c r="L1169" s="143">
        <v>46035</v>
      </c>
      <c r="M1169">
        <v>32025</v>
      </c>
      <c r="N1169" t="s">
        <v>771</v>
      </c>
      <c r="O1169">
        <v>2001</v>
      </c>
      <c r="S1169">
        <v>514691</v>
      </c>
      <c r="T1169" t="s">
        <v>772</v>
      </c>
    </row>
    <row r="1170" spans="1:20" x14ac:dyDescent="0.25">
      <c r="A1170">
        <v>5100424209</v>
      </c>
      <c r="B1170">
        <v>99861</v>
      </c>
      <c r="C1170" t="s">
        <v>768</v>
      </c>
      <c r="D1170" s="143">
        <v>46035</v>
      </c>
      <c r="E1170" s="55">
        <v>3374.93</v>
      </c>
      <c r="F1170" t="s">
        <v>769</v>
      </c>
      <c r="G1170">
        <v>1500038779</v>
      </c>
      <c r="H1170" t="s">
        <v>755</v>
      </c>
      <c r="I1170" t="s">
        <v>770</v>
      </c>
      <c r="K1170" s="143">
        <v>46069</v>
      </c>
      <c r="L1170" s="143">
        <v>46035</v>
      </c>
      <c r="M1170">
        <v>42025</v>
      </c>
      <c r="N1170" t="s">
        <v>771</v>
      </c>
      <c r="O1170">
        <v>2001</v>
      </c>
      <c r="S1170">
        <v>514691</v>
      </c>
      <c r="T1170" t="s">
        <v>772</v>
      </c>
    </row>
    <row r="1171" spans="1:20" x14ac:dyDescent="0.25">
      <c r="A1171">
        <v>5100424210</v>
      </c>
      <c r="B1171">
        <v>99861</v>
      </c>
      <c r="C1171" t="s">
        <v>768</v>
      </c>
      <c r="D1171" s="143">
        <v>46035</v>
      </c>
      <c r="E1171" s="55">
        <v>3923.48</v>
      </c>
      <c r="F1171" t="s">
        <v>769</v>
      </c>
      <c r="G1171">
        <v>1500038779</v>
      </c>
      <c r="H1171" t="s">
        <v>755</v>
      </c>
      <c r="I1171" t="s">
        <v>770</v>
      </c>
      <c r="K1171" s="143">
        <v>46069</v>
      </c>
      <c r="L1171" s="143">
        <v>46035</v>
      </c>
      <c r="M1171">
        <v>52025</v>
      </c>
      <c r="N1171" t="s">
        <v>771</v>
      </c>
      <c r="O1171">
        <v>2001</v>
      </c>
      <c r="S1171">
        <v>514691</v>
      </c>
      <c r="T1171" t="s">
        <v>772</v>
      </c>
    </row>
    <row r="1172" spans="1:20" x14ac:dyDescent="0.25">
      <c r="A1172">
        <v>5100424211</v>
      </c>
      <c r="B1172">
        <v>99861</v>
      </c>
      <c r="C1172" t="s">
        <v>768</v>
      </c>
      <c r="D1172" s="143">
        <v>46035</v>
      </c>
      <c r="E1172" s="55">
        <v>3262.88</v>
      </c>
      <c r="F1172" t="s">
        <v>769</v>
      </c>
      <c r="G1172">
        <v>1500038779</v>
      </c>
      <c r="H1172" t="s">
        <v>755</v>
      </c>
      <c r="I1172" t="s">
        <v>770</v>
      </c>
      <c r="K1172" s="143">
        <v>46069</v>
      </c>
      <c r="L1172" s="143">
        <v>46035</v>
      </c>
      <c r="M1172">
        <v>62025</v>
      </c>
      <c r="N1172" t="s">
        <v>771</v>
      </c>
      <c r="O1172">
        <v>2001</v>
      </c>
      <c r="S1172">
        <v>514691</v>
      </c>
      <c r="T1172" t="s">
        <v>772</v>
      </c>
    </row>
    <row r="1173" spans="1:20" x14ac:dyDescent="0.25">
      <c r="A1173">
        <v>5100424212</v>
      </c>
      <c r="B1173">
        <v>99861</v>
      </c>
      <c r="C1173" t="s">
        <v>768</v>
      </c>
      <c r="D1173" s="143">
        <v>46035</v>
      </c>
      <c r="E1173" s="55">
        <v>24137.15</v>
      </c>
      <c r="F1173" t="s">
        <v>769</v>
      </c>
      <c r="G1173">
        <v>1500038779</v>
      </c>
      <c r="H1173" t="s">
        <v>755</v>
      </c>
      <c r="I1173" t="s">
        <v>770</v>
      </c>
      <c r="K1173" s="143">
        <v>46069</v>
      </c>
      <c r="L1173" s="143">
        <v>46035</v>
      </c>
      <c r="M1173">
        <v>72025</v>
      </c>
      <c r="N1173" t="s">
        <v>771</v>
      </c>
      <c r="O1173">
        <v>2001</v>
      </c>
      <c r="S1173">
        <v>514691</v>
      </c>
      <c r="T1173" t="s">
        <v>772</v>
      </c>
    </row>
    <row r="1174" spans="1:20" x14ac:dyDescent="0.25">
      <c r="A1174">
        <v>5100361649</v>
      </c>
      <c r="B1174">
        <v>203749</v>
      </c>
      <c r="C1174" t="s">
        <v>768</v>
      </c>
      <c r="D1174" s="143">
        <v>46035</v>
      </c>
      <c r="E1174" s="55">
        <v>26038.32</v>
      </c>
      <c r="F1174" t="s">
        <v>769</v>
      </c>
      <c r="G1174">
        <v>101272111</v>
      </c>
      <c r="H1174" t="s">
        <v>755</v>
      </c>
      <c r="I1174" t="s">
        <v>770</v>
      </c>
      <c r="J1174">
        <v>0</v>
      </c>
      <c r="K1174" s="143">
        <v>46104</v>
      </c>
      <c r="L1174" s="143">
        <v>46035</v>
      </c>
      <c r="M1174">
        <v>32025</v>
      </c>
      <c r="N1174" t="s">
        <v>771</v>
      </c>
      <c r="O1174">
        <v>2001</v>
      </c>
      <c r="S1174">
        <v>2.00159000126052E+17</v>
      </c>
      <c r="T1174" t="s">
        <v>772</v>
      </c>
    </row>
    <row r="1175" spans="1:20" x14ac:dyDescent="0.25">
      <c r="A1175">
        <v>5100421986</v>
      </c>
      <c r="B1175">
        <v>226092</v>
      </c>
      <c r="C1175" t="s">
        <v>768</v>
      </c>
      <c r="D1175" s="143">
        <v>46035</v>
      </c>
      <c r="E1175" s="55">
        <v>1680.83</v>
      </c>
      <c r="F1175" t="s">
        <v>769</v>
      </c>
      <c r="G1175">
        <v>1500007033</v>
      </c>
      <c r="H1175" t="s">
        <v>755</v>
      </c>
      <c r="I1175" t="s">
        <v>770</v>
      </c>
      <c r="K1175" s="143">
        <v>46083</v>
      </c>
      <c r="L1175" s="143">
        <v>46035</v>
      </c>
      <c r="M1175">
        <v>32025</v>
      </c>
      <c r="N1175" t="s">
        <v>771</v>
      </c>
      <c r="O1175">
        <v>2001</v>
      </c>
      <c r="S1175" t="s">
        <v>797</v>
      </c>
      <c r="T1175" t="s">
        <v>772</v>
      </c>
    </row>
    <row r="1176" spans="1:20" x14ac:dyDescent="0.25">
      <c r="A1176">
        <v>5100421987</v>
      </c>
      <c r="B1176">
        <v>226092</v>
      </c>
      <c r="C1176" t="s">
        <v>768</v>
      </c>
      <c r="D1176" s="143">
        <v>46035</v>
      </c>
      <c r="E1176" s="55">
        <v>1680.83</v>
      </c>
      <c r="F1176" t="s">
        <v>769</v>
      </c>
      <c r="G1176">
        <v>1500007033</v>
      </c>
      <c r="H1176" t="s">
        <v>755</v>
      </c>
      <c r="I1176" t="s">
        <v>770</v>
      </c>
      <c r="K1176" s="143">
        <v>46083</v>
      </c>
      <c r="L1176" s="143">
        <v>46035</v>
      </c>
      <c r="M1176">
        <v>42025</v>
      </c>
      <c r="N1176" t="s">
        <v>771</v>
      </c>
      <c r="O1176">
        <v>2001</v>
      </c>
      <c r="S1176" t="s">
        <v>797</v>
      </c>
      <c r="T1176" t="s">
        <v>772</v>
      </c>
    </row>
    <row r="1177" spans="1:20" x14ac:dyDescent="0.25">
      <c r="A1177">
        <v>5100421988</v>
      </c>
      <c r="B1177">
        <v>226092</v>
      </c>
      <c r="C1177" t="s">
        <v>768</v>
      </c>
      <c r="D1177" s="143">
        <v>46035</v>
      </c>
      <c r="E1177" s="55">
        <v>4382.32</v>
      </c>
      <c r="F1177" t="s">
        <v>769</v>
      </c>
      <c r="G1177">
        <v>1500007033</v>
      </c>
      <c r="H1177" t="s">
        <v>755</v>
      </c>
      <c r="I1177" t="s">
        <v>770</v>
      </c>
      <c r="K1177" s="143">
        <v>46083</v>
      </c>
      <c r="L1177" s="143">
        <v>46035</v>
      </c>
      <c r="M1177">
        <v>52025</v>
      </c>
      <c r="N1177" t="s">
        <v>771</v>
      </c>
      <c r="O1177">
        <v>2001</v>
      </c>
      <c r="S1177" t="s">
        <v>797</v>
      </c>
      <c r="T1177" t="s">
        <v>772</v>
      </c>
    </row>
    <row r="1178" spans="1:20" x14ac:dyDescent="0.25">
      <c r="A1178">
        <v>5100421989</v>
      </c>
      <c r="B1178">
        <v>226092</v>
      </c>
      <c r="C1178" t="s">
        <v>768</v>
      </c>
      <c r="D1178" s="143">
        <v>46035</v>
      </c>
      <c r="E1178" s="55">
        <v>22806.18</v>
      </c>
      <c r="F1178" t="s">
        <v>769</v>
      </c>
      <c r="G1178">
        <v>1500007033</v>
      </c>
      <c r="H1178" t="s">
        <v>755</v>
      </c>
      <c r="I1178" t="s">
        <v>770</v>
      </c>
      <c r="K1178" s="143">
        <v>46083</v>
      </c>
      <c r="L1178" s="143">
        <v>46035</v>
      </c>
      <c r="M1178">
        <v>82025</v>
      </c>
      <c r="N1178" t="s">
        <v>771</v>
      </c>
      <c r="O1178">
        <v>2001</v>
      </c>
      <c r="S1178" t="s">
        <v>797</v>
      </c>
      <c r="T1178" t="s">
        <v>772</v>
      </c>
    </row>
    <row r="1179" spans="1:20" x14ac:dyDescent="0.25">
      <c r="A1179">
        <v>5100422153</v>
      </c>
      <c r="B1179">
        <v>301531</v>
      </c>
      <c r="C1179" t="s">
        <v>768</v>
      </c>
      <c r="D1179" s="143">
        <v>46035</v>
      </c>
      <c r="E1179">
        <v>568.95000000000005</v>
      </c>
      <c r="F1179" t="s">
        <v>769</v>
      </c>
      <c r="G1179">
        <v>1500039408</v>
      </c>
      <c r="H1179" t="s">
        <v>755</v>
      </c>
      <c r="I1179" t="s">
        <v>770</v>
      </c>
      <c r="K1179" s="143">
        <v>46076</v>
      </c>
      <c r="L1179" s="143">
        <v>46035</v>
      </c>
      <c r="M1179">
        <v>32025</v>
      </c>
      <c r="N1179" t="s">
        <v>771</v>
      </c>
      <c r="O1179">
        <v>2001</v>
      </c>
      <c r="S1179">
        <v>525604</v>
      </c>
      <c r="T1179" t="s">
        <v>772</v>
      </c>
    </row>
    <row r="1180" spans="1:20" x14ac:dyDescent="0.25">
      <c r="A1180">
        <v>5100422154</v>
      </c>
      <c r="B1180">
        <v>301531</v>
      </c>
      <c r="C1180" t="s">
        <v>768</v>
      </c>
      <c r="D1180" s="143">
        <v>46035</v>
      </c>
      <c r="E1180">
        <v>568.95000000000005</v>
      </c>
      <c r="F1180" t="s">
        <v>769</v>
      </c>
      <c r="G1180">
        <v>1500039408</v>
      </c>
      <c r="H1180" t="s">
        <v>755</v>
      </c>
      <c r="I1180" t="s">
        <v>770</v>
      </c>
      <c r="K1180" s="143">
        <v>46076</v>
      </c>
      <c r="L1180" s="143">
        <v>46035</v>
      </c>
      <c r="M1180">
        <v>42025</v>
      </c>
      <c r="N1180" t="s">
        <v>771</v>
      </c>
      <c r="O1180">
        <v>2001</v>
      </c>
      <c r="S1180">
        <v>525604</v>
      </c>
      <c r="T1180" t="s">
        <v>772</v>
      </c>
    </row>
    <row r="1181" spans="1:20" x14ac:dyDescent="0.25">
      <c r="A1181">
        <v>5100422155</v>
      </c>
      <c r="B1181">
        <v>301531</v>
      </c>
      <c r="C1181" t="s">
        <v>768</v>
      </c>
      <c r="D1181" s="143">
        <v>46035</v>
      </c>
      <c r="E1181" s="55">
        <v>1500.44</v>
      </c>
      <c r="F1181" t="s">
        <v>769</v>
      </c>
      <c r="G1181">
        <v>1500039408</v>
      </c>
      <c r="H1181" t="s">
        <v>755</v>
      </c>
      <c r="I1181" t="s">
        <v>770</v>
      </c>
      <c r="K1181" s="143">
        <v>46076</v>
      </c>
      <c r="L1181" s="143">
        <v>46035</v>
      </c>
      <c r="M1181">
        <v>42025</v>
      </c>
      <c r="N1181" t="s">
        <v>771</v>
      </c>
      <c r="O1181">
        <v>2001</v>
      </c>
      <c r="S1181">
        <v>525604</v>
      </c>
      <c r="T1181" t="s">
        <v>772</v>
      </c>
    </row>
    <row r="1182" spans="1:20" x14ac:dyDescent="0.25">
      <c r="A1182">
        <v>5100422156</v>
      </c>
      <c r="B1182">
        <v>301531</v>
      </c>
      <c r="C1182" t="s">
        <v>768</v>
      </c>
      <c r="D1182" s="143">
        <v>46035</v>
      </c>
      <c r="E1182" s="55">
        <v>1811.27</v>
      </c>
      <c r="F1182" t="s">
        <v>769</v>
      </c>
      <c r="G1182">
        <v>1500039408</v>
      </c>
      <c r="H1182" t="s">
        <v>755</v>
      </c>
      <c r="I1182" t="s">
        <v>770</v>
      </c>
      <c r="K1182" s="143">
        <v>46076</v>
      </c>
      <c r="L1182" s="143">
        <v>46035</v>
      </c>
      <c r="M1182">
        <v>52025</v>
      </c>
      <c r="N1182" t="s">
        <v>771</v>
      </c>
      <c r="O1182">
        <v>2001</v>
      </c>
      <c r="S1182">
        <v>525604</v>
      </c>
      <c r="T1182" t="s">
        <v>772</v>
      </c>
    </row>
    <row r="1183" spans="1:20" x14ac:dyDescent="0.25">
      <c r="A1183">
        <v>5100422157</v>
      </c>
      <c r="B1183">
        <v>301531</v>
      </c>
      <c r="C1183" t="s">
        <v>768</v>
      </c>
      <c r="D1183" s="143">
        <v>46035</v>
      </c>
      <c r="E1183" s="55">
        <v>1167.01</v>
      </c>
      <c r="F1183" t="s">
        <v>769</v>
      </c>
      <c r="G1183">
        <v>1500039408</v>
      </c>
      <c r="H1183" t="s">
        <v>755</v>
      </c>
      <c r="I1183" t="s">
        <v>770</v>
      </c>
      <c r="K1183" s="143">
        <v>46076</v>
      </c>
      <c r="L1183" s="143">
        <v>46035</v>
      </c>
      <c r="M1183">
        <v>52025</v>
      </c>
      <c r="N1183" t="s">
        <v>771</v>
      </c>
      <c r="O1183">
        <v>2001</v>
      </c>
      <c r="S1183">
        <v>525604</v>
      </c>
      <c r="T1183" t="s">
        <v>772</v>
      </c>
    </row>
    <row r="1184" spans="1:20" x14ac:dyDescent="0.25">
      <c r="A1184">
        <v>5100422158</v>
      </c>
      <c r="B1184">
        <v>301531</v>
      </c>
      <c r="C1184" t="s">
        <v>768</v>
      </c>
      <c r="D1184" s="143">
        <v>46035</v>
      </c>
      <c r="E1184">
        <v>92.2</v>
      </c>
      <c r="F1184" t="s">
        <v>769</v>
      </c>
      <c r="G1184">
        <v>1500039408</v>
      </c>
      <c r="H1184" t="s">
        <v>755</v>
      </c>
      <c r="I1184" t="s">
        <v>770</v>
      </c>
      <c r="K1184" s="143">
        <v>46076</v>
      </c>
      <c r="L1184" s="143">
        <v>46035</v>
      </c>
      <c r="M1184">
        <v>52025</v>
      </c>
      <c r="N1184" t="s">
        <v>771</v>
      </c>
      <c r="O1184">
        <v>2001</v>
      </c>
      <c r="S1184">
        <v>525604</v>
      </c>
      <c r="T1184" t="s">
        <v>772</v>
      </c>
    </row>
    <row r="1185" spans="1:20" x14ac:dyDescent="0.25">
      <c r="A1185">
        <v>5100422159</v>
      </c>
      <c r="B1185">
        <v>301531</v>
      </c>
      <c r="C1185" t="s">
        <v>768</v>
      </c>
      <c r="D1185" s="143">
        <v>46035</v>
      </c>
      <c r="E1185" s="55">
        <v>2210.7600000000002</v>
      </c>
      <c r="F1185" t="s">
        <v>769</v>
      </c>
      <c r="G1185">
        <v>1500039408</v>
      </c>
      <c r="H1185" t="s">
        <v>755</v>
      </c>
      <c r="I1185" t="s">
        <v>770</v>
      </c>
      <c r="K1185" s="143">
        <v>46076</v>
      </c>
      <c r="L1185" s="143">
        <v>46035</v>
      </c>
      <c r="M1185">
        <v>62025</v>
      </c>
      <c r="N1185" t="s">
        <v>771</v>
      </c>
      <c r="O1185">
        <v>2001</v>
      </c>
      <c r="S1185">
        <v>525604</v>
      </c>
      <c r="T1185" t="s">
        <v>772</v>
      </c>
    </row>
    <row r="1186" spans="1:20" x14ac:dyDescent="0.25">
      <c r="A1186">
        <v>5100422160</v>
      </c>
      <c r="B1186">
        <v>301531</v>
      </c>
      <c r="C1186" t="s">
        <v>768</v>
      </c>
      <c r="D1186" s="143">
        <v>46035</v>
      </c>
      <c r="E1186" s="55">
        <v>4056.71</v>
      </c>
      <c r="F1186" t="s">
        <v>769</v>
      </c>
      <c r="G1186">
        <v>1500039408</v>
      </c>
      <c r="H1186" t="s">
        <v>755</v>
      </c>
      <c r="I1186" t="s">
        <v>770</v>
      </c>
      <c r="K1186" s="143">
        <v>46076</v>
      </c>
      <c r="L1186" s="143">
        <v>46035</v>
      </c>
      <c r="M1186">
        <v>62025</v>
      </c>
      <c r="N1186" t="s">
        <v>771</v>
      </c>
      <c r="O1186">
        <v>2001</v>
      </c>
      <c r="S1186">
        <v>525604</v>
      </c>
      <c r="T1186" t="s">
        <v>772</v>
      </c>
    </row>
    <row r="1187" spans="1:20" x14ac:dyDescent="0.25">
      <c r="A1187">
        <v>5100422161</v>
      </c>
      <c r="B1187">
        <v>301531</v>
      </c>
      <c r="C1187" t="s">
        <v>768</v>
      </c>
      <c r="D1187" s="143">
        <v>46035</v>
      </c>
      <c r="E1187" s="55">
        <v>15228.16</v>
      </c>
      <c r="F1187" t="s">
        <v>769</v>
      </c>
      <c r="G1187">
        <v>1500039408</v>
      </c>
      <c r="H1187" t="s">
        <v>755</v>
      </c>
      <c r="I1187" t="s">
        <v>770</v>
      </c>
      <c r="K1187" s="143">
        <v>46076</v>
      </c>
      <c r="L1187" s="143">
        <v>46035</v>
      </c>
      <c r="M1187">
        <v>72025</v>
      </c>
      <c r="N1187" t="s">
        <v>771</v>
      </c>
      <c r="O1187">
        <v>2001</v>
      </c>
      <c r="S1187">
        <v>525604</v>
      </c>
      <c r="T1187" t="s">
        <v>772</v>
      </c>
    </row>
    <row r="1188" spans="1:20" x14ac:dyDescent="0.25">
      <c r="A1188">
        <v>5100422162</v>
      </c>
      <c r="B1188">
        <v>301531</v>
      </c>
      <c r="C1188" t="s">
        <v>768</v>
      </c>
      <c r="D1188" s="143">
        <v>46035</v>
      </c>
      <c r="E1188" s="55">
        <v>6253.38</v>
      </c>
      <c r="F1188" t="s">
        <v>769</v>
      </c>
      <c r="G1188">
        <v>1500039408</v>
      </c>
      <c r="H1188" t="s">
        <v>755</v>
      </c>
      <c r="I1188" t="s">
        <v>770</v>
      </c>
      <c r="K1188" s="143">
        <v>46076</v>
      </c>
      <c r="L1188" s="143">
        <v>46035</v>
      </c>
      <c r="M1188">
        <v>72025</v>
      </c>
      <c r="N1188" t="s">
        <v>771</v>
      </c>
      <c r="O1188">
        <v>2001</v>
      </c>
      <c r="S1188">
        <v>525604</v>
      </c>
      <c r="T1188" t="s">
        <v>772</v>
      </c>
    </row>
    <row r="1189" spans="1:20" x14ac:dyDescent="0.25">
      <c r="A1189">
        <v>5100422163</v>
      </c>
      <c r="B1189">
        <v>301531</v>
      </c>
      <c r="C1189" t="s">
        <v>768</v>
      </c>
      <c r="D1189" s="143">
        <v>46035</v>
      </c>
      <c r="E1189">
        <v>669.25</v>
      </c>
      <c r="F1189" t="s">
        <v>769</v>
      </c>
      <c r="G1189">
        <v>1500039408</v>
      </c>
      <c r="H1189" t="s">
        <v>755</v>
      </c>
      <c r="I1189" t="s">
        <v>770</v>
      </c>
      <c r="K1189" s="143">
        <v>46076</v>
      </c>
      <c r="L1189" s="143">
        <v>46035</v>
      </c>
      <c r="M1189">
        <v>82025</v>
      </c>
      <c r="N1189" t="s">
        <v>771</v>
      </c>
      <c r="O1189">
        <v>2001</v>
      </c>
      <c r="S1189">
        <v>525604</v>
      </c>
      <c r="T1189" t="s">
        <v>772</v>
      </c>
    </row>
    <row r="1190" spans="1:20" x14ac:dyDescent="0.25">
      <c r="A1190">
        <v>5100422164</v>
      </c>
      <c r="B1190">
        <v>301531</v>
      </c>
      <c r="C1190" t="s">
        <v>768</v>
      </c>
      <c r="D1190" s="143">
        <v>46035</v>
      </c>
      <c r="E1190" s="55">
        <v>6269.45</v>
      </c>
      <c r="F1190" t="s">
        <v>769</v>
      </c>
      <c r="G1190">
        <v>1500039408</v>
      </c>
      <c r="H1190" t="s">
        <v>755</v>
      </c>
      <c r="I1190" t="s">
        <v>770</v>
      </c>
      <c r="K1190" s="143">
        <v>46076</v>
      </c>
      <c r="L1190" s="143">
        <v>46035</v>
      </c>
      <c r="M1190">
        <v>82025</v>
      </c>
      <c r="N1190" t="s">
        <v>771</v>
      </c>
      <c r="O1190">
        <v>2001</v>
      </c>
      <c r="S1190">
        <v>525604</v>
      </c>
      <c r="T1190" t="s">
        <v>772</v>
      </c>
    </row>
    <row r="1191" spans="1:20" x14ac:dyDescent="0.25">
      <c r="A1191">
        <v>5100422165</v>
      </c>
      <c r="B1191">
        <v>302786</v>
      </c>
      <c r="C1191" t="s">
        <v>768</v>
      </c>
      <c r="D1191" s="143">
        <v>46035</v>
      </c>
      <c r="E1191">
        <v>596.65</v>
      </c>
      <c r="F1191" t="s">
        <v>769</v>
      </c>
      <c r="G1191">
        <v>1500061119</v>
      </c>
      <c r="H1191" t="s">
        <v>755</v>
      </c>
      <c r="I1191" t="s">
        <v>770</v>
      </c>
      <c r="K1191" s="143">
        <v>46098</v>
      </c>
      <c r="L1191" s="143">
        <v>46035</v>
      </c>
      <c r="M1191">
        <v>22025</v>
      </c>
      <c r="N1191" t="s">
        <v>771</v>
      </c>
      <c r="O1191">
        <v>2001</v>
      </c>
      <c r="S1191" t="s">
        <v>778</v>
      </c>
      <c r="T1191" t="s">
        <v>772</v>
      </c>
    </row>
    <row r="1192" spans="1:20" x14ac:dyDescent="0.25">
      <c r="A1192">
        <v>5100422166</v>
      </c>
      <c r="B1192">
        <v>302786</v>
      </c>
      <c r="C1192" t="s">
        <v>768</v>
      </c>
      <c r="D1192" s="143">
        <v>46035</v>
      </c>
      <c r="E1192" s="55">
        <v>5361.06</v>
      </c>
      <c r="F1192" t="s">
        <v>769</v>
      </c>
      <c r="G1192">
        <v>1500061119</v>
      </c>
      <c r="H1192" t="s">
        <v>755</v>
      </c>
      <c r="I1192" t="s">
        <v>770</v>
      </c>
      <c r="K1192" s="143">
        <v>46098</v>
      </c>
      <c r="L1192" s="143">
        <v>46035</v>
      </c>
      <c r="M1192">
        <v>42025</v>
      </c>
      <c r="N1192" t="s">
        <v>771</v>
      </c>
      <c r="O1192">
        <v>2001</v>
      </c>
      <c r="S1192" t="s">
        <v>778</v>
      </c>
      <c r="T1192" t="s">
        <v>772</v>
      </c>
    </row>
    <row r="1193" spans="1:20" x14ac:dyDescent="0.25">
      <c r="A1193">
        <v>5100422167</v>
      </c>
      <c r="B1193">
        <v>302786</v>
      </c>
      <c r="C1193" t="s">
        <v>768</v>
      </c>
      <c r="D1193" s="143">
        <v>46035</v>
      </c>
      <c r="E1193" s="55">
        <v>5840.73</v>
      </c>
      <c r="F1193" t="s">
        <v>769</v>
      </c>
      <c r="G1193">
        <v>1500061119</v>
      </c>
      <c r="H1193" t="s">
        <v>755</v>
      </c>
      <c r="I1193" t="s">
        <v>770</v>
      </c>
      <c r="K1193" s="143">
        <v>46098</v>
      </c>
      <c r="L1193" s="143">
        <v>46035</v>
      </c>
      <c r="M1193">
        <v>52025</v>
      </c>
      <c r="N1193" t="s">
        <v>771</v>
      </c>
      <c r="O1193">
        <v>2001</v>
      </c>
      <c r="S1193" t="s">
        <v>778</v>
      </c>
      <c r="T1193" t="s">
        <v>772</v>
      </c>
    </row>
    <row r="1194" spans="1:20" x14ac:dyDescent="0.25">
      <c r="A1194">
        <v>5100422168</v>
      </c>
      <c r="B1194">
        <v>302786</v>
      </c>
      <c r="C1194" t="s">
        <v>768</v>
      </c>
      <c r="D1194" s="143">
        <v>46035</v>
      </c>
      <c r="E1194" s="55">
        <v>16774.71</v>
      </c>
      <c r="F1194" t="s">
        <v>769</v>
      </c>
      <c r="G1194">
        <v>1500061119</v>
      </c>
      <c r="H1194" t="s">
        <v>755</v>
      </c>
      <c r="I1194" t="s">
        <v>770</v>
      </c>
      <c r="K1194" s="143">
        <v>46098</v>
      </c>
      <c r="L1194" s="143">
        <v>46035</v>
      </c>
      <c r="M1194">
        <v>52025</v>
      </c>
      <c r="N1194" t="s">
        <v>771</v>
      </c>
      <c r="O1194">
        <v>2001</v>
      </c>
      <c r="S1194" t="s">
        <v>778</v>
      </c>
      <c r="T1194" t="s">
        <v>772</v>
      </c>
    </row>
    <row r="1195" spans="1:20" x14ac:dyDescent="0.25">
      <c r="A1195">
        <v>5100422169</v>
      </c>
      <c r="B1195">
        <v>302786</v>
      </c>
      <c r="C1195" t="s">
        <v>768</v>
      </c>
      <c r="D1195" s="143">
        <v>46035</v>
      </c>
      <c r="E1195" s="55">
        <v>3160.79</v>
      </c>
      <c r="F1195" t="s">
        <v>769</v>
      </c>
      <c r="G1195">
        <v>1500061119</v>
      </c>
      <c r="H1195" t="s">
        <v>755</v>
      </c>
      <c r="I1195" t="s">
        <v>770</v>
      </c>
      <c r="K1195" s="143">
        <v>46098</v>
      </c>
      <c r="L1195" s="143">
        <v>46035</v>
      </c>
      <c r="M1195">
        <v>62025</v>
      </c>
      <c r="N1195" t="s">
        <v>771</v>
      </c>
      <c r="O1195">
        <v>2001</v>
      </c>
      <c r="S1195" t="s">
        <v>778</v>
      </c>
      <c r="T1195" t="s">
        <v>772</v>
      </c>
    </row>
    <row r="1196" spans="1:20" x14ac:dyDescent="0.25">
      <c r="A1196">
        <v>5100422170</v>
      </c>
      <c r="B1196">
        <v>302786</v>
      </c>
      <c r="C1196" t="s">
        <v>768</v>
      </c>
      <c r="D1196" s="143">
        <v>46035</v>
      </c>
      <c r="E1196">
        <v>171.53</v>
      </c>
      <c r="F1196" t="s">
        <v>769</v>
      </c>
      <c r="G1196">
        <v>1500061119</v>
      </c>
      <c r="H1196" t="s">
        <v>755</v>
      </c>
      <c r="I1196" t="s">
        <v>770</v>
      </c>
      <c r="K1196" s="143">
        <v>46098</v>
      </c>
      <c r="L1196" s="143">
        <v>46035</v>
      </c>
      <c r="M1196">
        <v>72025</v>
      </c>
      <c r="N1196" t="s">
        <v>771</v>
      </c>
      <c r="O1196">
        <v>2001</v>
      </c>
      <c r="S1196" t="s">
        <v>778</v>
      </c>
      <c r="T1196" t="s">
        <v>772</v>
      </c>
    </row>
    <row r="1197" spans="1:20" x14ac:dyDescent="0.25">
      <c r="A1197">
        <v>5100422171</v>
      </c>
      <c r="B1197">
        <v>302786</v>
      </c>
      <c r="C1197" t="s">
        <v>768</v>
      </c>
      <c r="D1197" s="143">
        <v>46035</v>
      </c>
      <c r="E1197">
        <v>218.46</v>
      </c>
      <c r="F1197" t="s">
        <v>769</v>
      </c>
      <c r="G1197">
        <v>1500061119</v>
      </c>
      <c r="H1197" t="s">
        <v>755</v>
      </c>
      <c r="I1197" t="s">
        <v>770</v>
      </c>
      <c r="K1197" s="143">
        <v>46098</v>
      </c>
      <c r="L1197" s="143">
        <v>46035</v>
      </c>
      <c r="M1197">
        <v>82025</v>
      </c>
      <c r="N1197" t="s">
        <v>771</v>
      </c>
      <c r="O1197">
        <v>2001</v>
      </c>
      <c r="S1197" t="s">
        <v>778</v>
      </c>
      <c r="T1197" t="s">
        <v>772</v>
      </c>
    </row>
    <row r="1198" spans="1:20" x14ac:dyDescent="0.25">
      <c r="A1198">
        <v>5100422172</v>
      </c>
      <c r="B1198">
        <v>302786</v>
      </c>
      <c r="C1198" t="s">
        <v>768</v>
      </c>
      <c r="D1198" s="143">
        <v>46035</v>
      </c>
      <c r="E1198">
        <v>809.63</v>
      </c>
      <c r="F1198" t="s">
        <v>769</v>
      </c>
      <c r="G1198">
        <v>1500061119</v>
      </c>
      <c r="H1198" t="s">
        <v>755</v>
      </c>
      <c r="I1198" t="s">
        <v>770</v>
      </c>
      <c r="K1198" s="143">
        <v>46098</v>
      </c>
      <c r="L1198" s="143">
        <v>46035</v>
      </c>
      <c r="M1198">
        <v>92025</v>
      </c>
      <c r="N1198" t="s">
        <v>771</v>
      </c>
      <c r="O1198">
        <v>2001</v>
      </c>
      <c r="S1198" t="s">
        <v>778</v>
      </c>
      <c r="T1198" t="s">
        <v>772</v>
      </c>
    </row>
    <row r="1199" spans="1:20" x14ac:dyDescent="0.25">
      <c r="A1199">
        <v>5100422173</v>
      </c>
      <c r="B1199">
        <v>303895</v>
      </c>
      <c r="C1199" t="s">
        <v>768</v>
      </c>
      <c r="D1199" s="143">
        <v>46035</v>
      </c>
      <c r="E1199" s="55">
        <v>16099.69</v>
      </c>
      <c r="F1199" t="s">
        <v>769</v>
      </c>
      <c r="G1199">
        <v>100866390</v>
      </c>
      <c r="H1199" t="s">
        <v>755</v>
      </c>
      <c r="I1199" t="s">
        <v>770</v>
      </c>
      <c r="J1199">
        <v>0</v>
      </c>
      <c r="K1199" s="143">
        <v>46132</v>
      </c>
      <c r="L1199" s="143">
        <v>46035</v>
      </c>
      <c r="M1199">
        <v>22025</v>
      </c>
      <c r="N1199" t="s">
        <v>771</v>
      </c>
      <c r="O1199">
        <v>2001</v>
      </c>
      <c r="S1199">
        <v>2.0015900022004198E+17</v>
      </c>
      <c r="T1199" t="s">
        <v>772</v>
      </c>
    </row>
    <row r="1200" spans="1:20" x14ac:dyDescent="0.25">
      <c r="A1200">
        <v>5100422174</v>
      </c>
      <c r="B1200">
        <v>303895</v>
      </c>
      <c r="C1200" t="s">
        <v>768</v>
      </c>
      <c r="D1200" s="143">
        <v>46035</v>
      </c>
      <c r="E1200" s="55">
        <v>17345.87</v>
      </c>
      <c r="F1200" t="s">
        <v>769</v>
      </c>
      <c r="G1200">
        <v>100866390</v>
      </c>
      <c r="H1200" t="s">
        <v>755</v>
      </c>
      <c r="I1200" t="s">
        <v>770</v>
      </c>
      <c r="J1200">
        <v>0</v>
      </c>
      <c r="K1200" s="143">
        <v>46132</v>
      </c>
      <c r="L1200" s="143">
        <v>46035</v>
      </c>
      <c r="M1200">
        <v>32025</v>
      </c>
      <c r="N1200" t="s">
        <v>771</v>
      </c>
      <c r="O1200">
        <v>2001</v>
      </c>
      <c r="S1200">
        <v>2.0015900022004198E+17</v>
      </c>
      <c r="T1200" t="s">
        <v>772</v>
      </c>
    </row>
    <row r="1201" spans="1:20" x14ac:dyDescent="0.25">
      <c r="A1201">
        <v>5100422175</v>
      </c>
      <c r="B1201">
        <v>303895</v>
      </c>
      <c r="C1201" t="s">
        <v>768</v>
      </c>
      <c r="D1201" s="143">
        <v>46035</v>
      </c>
      <c r="E1201" s="55">
        <v>5758.67</v>
      </c>
      <c r="F1201" t="s">
        <v>769</v>
      </c>
      <c r="G1201">
        <v>100866390</v>
      </c>
      <c r="H1201" t="s">
        <v>755</v>
      </c>
      <c r="I1201" t="s">
        <v>770</v>
      </c>
      <c r="J1201">
        <v>0</v>
      </c>
      <c r="K1201" s="143">
        <v>46132</v>
      </c>
      <c r="L1201" s="143">
        <v>46035</v>
      </c>
      <c r="M1201">
        <v>42025</v>
      </c>
      <c r="N1201" t="s">
        <v>771</v>
      </c>
      <c r="O1201">
        <v>2001</v>
      </c>
      <c r="S1201">
        <v>2.0015900022004198E+17</v>
      </c>
      <c r="T1201" t="s">
        <v>772</v>
      </c>
    </row>
    <row r="1202" spans="1:20" x14ac:dyDescent="0.25">
      <c r="A1202">
        <v>5100422176</v>
      </c>
      <c r="B1202">
        <v>303895</v>
      </c>
      <c r="C1202" t="s">
        <v>768</v>
      </c>
      <c r="D1202" s="143">
        <v>46035</v>
      </c>
      <c r="E1202" s="55">
        <v>13547.23</v>
      </c>
      <c r="F1202" t="s">
        <v>769</v>
      </c>
      <c r="G1202">
        <v>100866390</v>
      </c>
      <c r="H1202" t="s">
        <v>755</v>
      </c>
      <c r="I1202" t="s">
        <v>770</v>
      </c>
      <c r="J1202">
        <v>0</v>
      </c>
      <c r="K1202" s="143">
        <v>46132</v>
      </c>
      <c r="L1202" s="143">
        <v>46035</v>
      </c>
      <c r="M1202">
        <v>52025</v>
      </c>
      <c r="N1202" t="s">
        <v>771</v>
      </c>
      <c r="O1202">
        <v>2001</v>
      </c>
      <c r="S1202">
        <v>2.0015900022004198E+17</v>
      </c>
      <c r="T1202" t="s">
        <v>772</v>
      </c>
    </row>
    <row r="1203" spans="1:20" x14ac:dyDescent="0.25">
      <c r="A1203">
        <v>5100422177</v>
      </c>
      <c r="B1203">
        <v>303895</v>
      </c>
      <c r="C1203" t="s">
        <v>768</v>
      </c>
      <c r="D1203" s="143">
        <v>46035</v>
      </c>
      <c r="E1203" s="55">
        <v>40672.33</v>
      </c>
      <c r="F1203" t="s">
        <v>769</v>
      </c>
      <c r="G1203">
        <v>100866390</v>
      </c>
      <c r="H1203" t="s">
        <v>755</v>
      </c>
      <c r="I1203" t="s">
        <v>770</v>
      </c>
      <c r="J1203">
        <v>0</v>
      </c>
      <c r="K1203" s="143">
        <v>46132</v>
      </c>
      <c r="L1203" s="143">
        <v>46035</v>
      </c>
      <c r="M1203">
        <v>62025</v>
      </c>
      <c r="N1203" t="s">
        <v>771</v>
      </c>
      <c r="O1203">
        <v>2001</v>
      </c>
      <c r="S1203">
        <v>2.0015900022004198E+17</v>
      </c>
      <c r="T1203" t="s">
        <v>772</v>
      </c>
    </row>
    <row r="1204" spans="1:20" x14ac:dyDescent="0.25">
      <c r="A1204">
        <v>5100422178</v>
      </c>
      <c r="B1204">
        <v>303895</v>
      </c>
      <c r="C1204" t="s">
        <v>768</v>
      </c>
      <c r="D1204" s="143">
        <v>46035</v>
      </c>
      <c r="E1204" s="55">
        <v>14914.96</v>
      </c>
      <c r="F1204" t="s">
        <v>769</v>
      </c>
      <c r="G1204">
        <v>100866390</v>
      </c>
      <c r="H1204" t="s">
        <v>755</v>
      </c>
      <c r="I1204" t="s">
        <v>770</v>
      </c>
      <c r="J1204">
        <v>0</v>
      </c>
      <c r="K1204" s="143">
        <v>46132</v>
      </c>
      <c r="L1204" s="143">
        <v>46035</v>
      </c>
      <c r="M1204">
        <v>72025</v>
      </c>
      <c r="N1204" t="s">
        <v>771</v>
      </c>
      <c r="O1204">
        <v>2001</v>
      </c>
      <c r="S1204">
        <v>2.0015900022004198E+17</v>
      </c>
      <c r="T1204" t="s">
        <v>772</v>
      </c>
    </row>
    <row r="1205" spans="1:20" x14ac:dyDescent="0.25">
      <c r="A1205">
        <v>5100422179</v>
      </c>
      <c r="B1205">
        <v>303895</v>
      </c>
      <c r="C1205" t="s">
        <v>768</v>
      </c>
      <c r="D1205" s="143">
        <v>46035</v>
      </c>
      <c r="E1205" s="55">
        <v>5017.4399999999996</v>
      </c>
      <c r="F1205" t="s">
        <v>769</v>
      </c>
      <c r="G1205">
        <v>100866390</v>
      </c>
      <c r="H1205" t="s">
        <v>755</v>
      </c>
      <c r="I1205" t="s">
        <v>770</v>
      </c>
      <c r="J1205">
        <v>0</v>
      </c>
      <c r="K1205" s="143">
        <v>46132</v>
      </c>
      <c r="L1205" s="143">
        <v>46035</v>
      </c>
      <c r="M1205">
        <v>82025</v>
      </c>
      <c r="N1205" t="s">
        <v>771</v>
      </c>
      <c r="O1205">
        <v>2001</v>
      </c>
      <c r="S1205">
        <v>2.0015900022004198E+17</v>
      </c>
      <c r="T1205" t="s">
        <v>772</v>
      </c>
    </row>
    <row r="1206" spans="1:20" x14ac:dyDescent="0.25">
      <c r="A1206">
        <v>5100422180</v>
      </c>
      <c r="B1206">
        <v>303895</v>
      </c>
      <c r="C1206" t="s">
        <v>768</v>
      </c>
      <c r="D1206" s="143">
        <v>46035</v>
      </c>
      <c r="E1206" s="55">
        <v>2024.59</v>
      </c>
      <c r="F1206" t="s">
        <v>769</v>
      </c>
      <c r="G1206">
        <v>100866390</v>
      </c>
      <c r="H1206" t="s">
        <v>755</v>
      </c>
      <c r="I1206" t="s">
        <v>770</v>
      </c>
      <c r="J1206">
        <v>0</v>
      </c>
      <c r="K1206" s="143">
        <v>46132</v>
      </c>
      <c r="L1206" s="143">
        <v>46035</v>
      </c>
      <c r="M1206">
        <v>92025</v>
      </c>
      <c r="N1206" t="s">
        <v>771</v>
      </c>
      <c r="O1206">
        <v>2001</v>
      </c>
      <c r="S1206">
        <v>2.0015900022004198E+17</v>
      </c>
      <c r="T1206" t="s">
        <v>772</v>
      </c>
    </row>
    <row r="1207" spans="1:20" x14ac:dyDescent="0.25">
      <c r="A1207">
        <v>5100422294</v>
      </c>
      <c r="B1207">
        <v>307017</v>
      </c>
      <c r="C1207" t="s">
        <v>768</v>
      </c>
      <c r="D1207" s="143">
        <v>46035</v>
      </c>
      <c r="E1207" s="55">
        <v>19743.82</v>
      </c>
      <c r="F1207" t="s">
        <v>769</v>
      </c>
      <c r="G1207">
        <v>1500038785</v>
      </c>
      <c r="H1207" t="s">
        <v>755</v>
      </c>
      <c r="I1207" t="s">
        <v>770</v>
      </c>
      <c r="K1207" s="143">
        <v>46069</v>
      </c>
      <c r="L1207" s="143">
        <v>46035</v>
      </c>
      <c r="M1207">
        <v>12025</v>
      </c>
      <c r="N1207" t="s">
        <v>771</v>
      </c>
      <c r="O1207">
        <v>2001</v>
      </c>
      <c r="S1207">
        <v>515629</v>
      </c>
      <c r="T1207" t="s">
        <v>772</v>
      </c>
    </row>
    <row r="1208" spans="1:20" x14ac:dyDescent="0.25">
      <c r="A1208">
        <v>5100422295</v>
      </c>
      <c r="B1208">
        <v>307017</v>
      </c>
      <c r="C1208" t="s">
        <v>768</v>
      </c>
      <c r="D1208" s="143">
        <v>46035</v>
      </c>
      <c r="E1208" s="55">
        <v>4017.88</v>
      </c>
      <c r="F1208" t="s">
        <v>769</v>
      </c>
      <c r="G1208">
        <v>1500038785</v>
      </c>
      <c r="H1208" t="s">
        <v>755</v>
      </c>
      <c r="I1208" t="s">
        <v>770</v>
      </c>
      <c r="K1208" s="143">
        <v>46069</v>
      </c>
      <c r="L1208" s="143">
        <v>46035</v>
      </c>
      <c r="M1208">
        <v>22025</v>
      </c>
      <c r="N1208" t="s">
        <v>771</v>
      </c>
      <c r="O1208">
        <v>2001</v>
      </c>
      <c r="S1208">
        <v>515629</v>
      </c>
      <c r="T1208" t="s">
        <v>772</v>
      </c>
    </row>
    <row r="1209" spans="1:20" x14ac:dyDescent="0.25">
      <c r="A1209">
        <v>5100422296</v>
      </c>
      <c r="B1209">
        <v>307017</v>
      </c>
      <c r="C1209" t="s">
        <v>768</v>
      </c>
      <c r="D1209" s="143">
        <v>46035</v>
      </c>
      <c r="E1209" s="55">
        <v>16086.21</v>
      </c>
      <c r="F1209" t="s">
        <v>769</v>
      </c>
      <c r="G1209">
        <v>1500038785</v>
      </c>
      <c r="H1209" t="s">
        <v>755</v>
      </c>
      <c r="I1209" t="s">
        <v>770</v>
      </c>
      <c r="K1209" s="143">
        <v>46069</v>
      </c>
      <c r="L1209" s="143">
        <v>46035</v>
      </c>
      <c r="M1209">
        <v>32025</v>
      </c>
      <c r="N1209" t="s">
        <v>771</v>
      </c>
      <c r="O1209">
        <v>2001</v>
      </c>
      <c r="S1209">
        <v>515629</v>
      </c>
      <c r="T1209" t="s">
        <v>772</v>
      </c>
    </row>
    <row r="1210" spans="1:20" x14ac:dyDescent="0.25">
      <c r="A1210">
        <v>5100422297</v>
      </c>
      <c r="B1210">
        <v>307017</v>
      </c>
      <c r="C1210" t="s">
        <v>768</v>
      </c>
      <c r="D1210" s="143">
        <v>46035</v>
      </c>
      <c r="E1210" s="55">
        <v>2008.94</v>
      </c>
      <c r="F1210" t="s">
        <v>769</v>
      </c>
      <c r="G1210">
        <v>1500038785</v>
      </c>
      <c r="H1210" t="s">
        <v>755</v>
      </c>
      <c r="I1210" t="s">
        <v>770</v>
      </c>
      <c r="K1210" s="143">
        <v>46069</v>
      </c>
      <c r="L1210" s="143">
        <v>46035</v>
      </c>
      <c r="M1210">
        <v>42025</v>
      </c>
      <c r="N1210" t="s">
        <v>771</v>
      </c>
      <c r="O1210">
        <v>2001</v>
      </c>
      <c r="S1210">
        <v>515629</v>
      </c>
      <c r="T1210" t="s">
        <v>772</v>
      </c>
    </row>
    <row r="1211" spans="1:20" x14ac:dyDescent="0.25">
      <c r="A1211">
        <v>5100422298</v>
      </c>
      <c r="B1211">
        <v>307017</v>
      </c>
      <c r="C1211" t="s">
        <v>768</v>
      </c>
      <c r="D1211" s="143">
        <v>46035</v>
      </c>
      <c r="E1211" s="55">
        <v>5152.6499999999996</v>
      </c>
      <c r="F1211" t="s">
        <v>769</v>
      </c>
      <c r="G1211">
        <v>1500038785</v>
      </c>
      <c r="H1211" t="s">
        <v>755</v>
      </c>
      <c r="I1211" t="s">
        <v>770</v>
      </c>
      <c r="K1211" s="143">
        <v>46069</v>
      </c>
      <c r="L1211" s="143">
        <v>46035</v>
      </c>
      <c r="M1211">
        <v>52025</v>
      </c>
      <c r="N1211" t="s">
        <v>771</v>
      </c>
      <c r="O1211">
        <v>2001</v>
      </c>
      <c r="S1211">
        <v>515629</v>
      </c>
      <c r="T1211" t="s">
        <v>772</v>
      </c>
    </row>
    <row r="1212" spans="1:20" x14ac:dyDescent="0.25">
      <c r="A1212">
        <v>5100422299</v>
      </c>
      <c r="B1212">
        <v>307017</v>
      </c>
      <c r="C1212" t="s">
        <v>768</v>
      </c>
      <c r="D1212" s="143">
        <v>46035</v>
      </c>
      <c r="E1212" s="55">
        <v>3013.41</v>
      </c>
      <c r="F1212" t="s">
        <v>769</v>
      </c>
      <c r="G1212">
        <v>1500038785</v>
      </c>
      <c r="H1212" t="s">
        <v>755</v>
      </c>
      <c r="I1212" t="s">
        <v>770</v>
      </c>
      <c r="K1212" s="143">
        <v>46069</v>
      </c>
      <c r="L1212" s="143">
        <v>46035</v>
      </c>
      <c r="M1212">
        <v>62025</v>
      </c>
      <c r="N1212" t="s">
        <v>771</v>
      </c>
      <c r="O1212">
        <v>2001</v>
      </c>
      <c r="S1212">
        <v>515629</v>
      </c>
      <c r="T1212" t="s">
        <v>772</v>
      </c>
    </row>
    <row r="1213" spans="1:20" x14ac:dyDescent="0.25">
      <c r="A1213">
        <v>5100422300</v>
      </c>
      <c r="B1213">
        <v>307017</v>
      </c>
      <c r="C1213" t="s">
        <v>768</v>
      </c>
      <c r="D1213" s="143">
        <v>46035</v>
      </c>
      <c r="E1213" s="55">
        <v>2008.94</v>
      </c>
      <c r="F1213" t="s">
        <v>769</v>
      </c>
      <c r="G1213">
        <v>1500038785</v>
      </c>
      <c r="H1213" t="s">
        <v>755</v>
      </c>
      <c r="I1213" t="s">
        <v>770</v>
      </c>
      <c r="K1213" s="143">
        <v>46069</v>
      </c>
      <c r="L1213" s="143">
        <v>46035</v>
      </c>
      <c r="M1213">
        <v>72025</v>
      </c>
      <c r="N1213" t="s">
        <v>771</v>
      </c>
      <c r="O1213">
        <v>2001</v>
      </c>
      <c r="S1213">
        <v>515629</v>
      </c>
      <c r="T1213" t="s">
        <v>772</v>
      </c>
    </row>
    <row r="1214" spans="1:20" x14ac:dyDescent="0.25">
      <c r="A1214">
        <v>5100422301</v>
      </c>
      <c r="B1214">
        <v>307017</v>
      </c>
      <c r="C1214" t="s">
        <v>768</v>
      </c>
      <c r="D1214" s="143">
        <v>46035</v>
      </c>
      <c r="E1214" s="55">
        <v>2008.94</v>
      </c>
      <c r="F1214" t="s">
        <v>769</v>
      </c>
      <c r="G1214">
        <v>1500038785</v>
      </c>
      <c r="H1214" t="s">
        <v>755</v>
      </c>
      <c r="I1214" t="s">
        <v>770</v>
      </c>
      <c r="K1214" s="143">
        <v>46069</v>
      </c>
      <c r="L1214" s="143">
        <v>46035</v>
      </c>
      <c r="M1214">
        <v>82025</v>
      </c>
      <c r="N1214" t="s">
        <v>771</v>
      </c>
      <c r="O1214">
        <v>2001</v>
      </c>
      <c r="S1214">
        <v>515629</v>
      </c>
      <c r="T1214" t="s">
        <v>772</v>
      </c>
    </row>
    <row r="1215" spans="1:20" x14ac:dyDescent="0.25">
      <c r="A1215">
        <v>5100422345</v>
      </c>
      <c r="B1215">
        <v>309468</v>
      </c>
      <c r="C1215" t="s">
        <v>768</v>
      </c>
      <c r="D1215" s="143">
        <v>46035</v>
      </c>
      <c r="E1215" s="55">
        <v>17407.09</v>
      </c>
      <c r="F1215" t="s">
        <v>769</v>
      </c>
      <c r="G1215">
        <v>1500039409</v>
      </c>
      <c r="H1215" t="s">
        <v>755</v>
      </c>
      <c r="I1215" t="s">
        <v>770</v>
      </c>
      <c r="K1215" s="143">
        <v>46076</v>
      </c>
      <c r="L1215" s="143">
        <v>46035</v>
      </c>
      <c r="M1215">
        <v>12025</v>
      </c>
      <c r="N1215" t="s">
        <v>771</v>
      </c>
      <c r="O1215">
        <v>2001</v>
      </c>
      <c r="S1215">
        <v>515301</v>
      </c>
      <c r="T1215" t="s">
        <v>772</v>
      </c>
    </row>
    <row r="1216" spans="1:20" x14ac:dyDescent="0.25">
      <c r="A1216">
        <v>5100422346</v>
      </c>
      <c r="B1216">
        <v>309468</v>
      </c>
      <c r="C1216" t="s">
        <v>768</v>
      </c>
      <c r="D1216" s="143">
        <v>46035</v>
      </c>
      <c r="E1216" s="55">
        <v>4050.82</v>
      </c>
      <c r="F1216" t="s">
        <v>769</v>
      </c>
      <c r="G1216">
        <v>1500039409</v>
      </c>
      <c r="H1216" t="s">
        <v>755</v>
      </c>
      <c r="I1216" t="s">
        <v>770</v>
      </c>
      <c r="K1216" s="143">
        <v>46076</v>
      </c>
      <c r="L1216" s="143">
        <v>46035</v>
      </c>
      <c r="M1216">
        <v>22025</v>
      </c>
      <c r="N1216" t="s">
        <v>771</v>
      </c>
      <c r="O1216">
        <v>2001</v>
      </c>
      <c r="S1216">
        <v>515301</v>
      </c>
      <c r="T1216" t="s">
        <v>772</v>
      </c>
    </row>
    <row r="1217" spans="1:20" x14ac:dyDescent="0.25">
      <c r="A1217">
        <v>5100422347</v>
      </c>
      <c r="B1217">
        <v>309468</v>
      </c>
      <c r="C1217" t="s">
        <v>768</v>
      </c>
      <c r="D1217" s="143">
        <v>46035</v>
      </c>
      <c r="E1217" s="55">
        <v>47490.13</v>
      </c>
      <c r="F1217" t="s">
        <v>769</v>
      </c>
      <c r="G1217">
        <v>1500039409</v>
      </c>
      <c r="H1217" t="s">
        <v>755</v>
      </c>
      <c r="I1217" t="s">
        <v>770</v>
      </c>
      <c r="K1217" s="143">
        <v>46076</v>
      </c>
      <c r="L1217" s="143">
        <v>46035</v>
      </c>
      <c r="M1217">
        <v>32025</v>
      </c>
      <c r="N1217" t="s">
        <v>771</v>
      </c>
      <c r="O1217">
        <v>2001</v>
      </c>
      <c r="S1217">
        <v>515301</v>
      </c>
      <c r="T1217" t="s">
        <v>772</v>
      </c>
    </row>
    <row r="1218" spans="1:20" x14ac:dyDescent="0.25">
      <c r="A1218">
        <v>5100422348</v>
      </c>
      <c r="B1218">
        <v>309468</v>
      </c>
      <c r="C1218" t="s">
        <v>768</v>
      </c>
      <c r="D1218" s="143">
        <v>46035</v>
      </c>
      <c r="E1218" s="55">
        <v>9539.2000000000007</v>
      </c>
      <c r="F1218" t="s">
        <v>769</v>
      </c>
      <c r="G1218">
        <v>1500039409</v>
      </c>
      <c r="H1218" t="s">
        <v>755</v>
      </c>
      <c r="I1218" t="s">
        <v>770</v>
      </c>
      <c r="K1218" s="143">
        <v>46076</v>
      </c>
      <c r="L1218" s="143">
        <v>46035</v>
      </c>
      <c r="M1218">
        <v>42025</v>
      </c>
      <c r="N1218" t="s">
        <v>771</v>
      </c>
      <c r="O1218">
        <v>2001</v>
      </c>
      <c r="S1218">
        <v>515301</v>
      </c>
      <c r="T1218" t="s">
        <v>772</v>
      </c>
    </row>
    <row r="1219" spans="1:20" x14ac:dyDescent="0.25">
      <c r="A1219">
        <v>5100422349</v>
      </c>
      <c r="B1219">
        <v>309468</v>
      </c>
      <c r="C1219" t="s">
        <v>768</v>
      </c>
      <c r="D1219" s="143">
        <v>46035</v>
      </c>
      <c r="E1219" s="55">
        <v>10581.48</v>
      </c>
      <c r="F1219" t="s">
        <v>769</v>
      </c>
      <c r="G1219">
        <v>1500039409</v>
      </c>
      <c r="H1219" t="s">
        <v>755</v>
      </c>
      <c r="I1219" t="s">
        <v>770</v>
      </c>
      <c r="K1219" s="143">
        <v>46076</v>
      </c>
      <c r="L1219" s="143">
        <v>46035</v>
      </c>
      <c r="M1219">
        <v>52025</v>
      </c>
      <c r="N1219" t="s">
        <v>771</v>
      </c>
      <c r="O1219">
        <v>2001</v>
      </c>
      <c r="S1219">
        <v>515301</v>
      </c>
      <c r="T1219" t="s">
        <v>772</v>
      </c>
    </row>
    <row r="1220" spans="1:20" x14ac:dyDescent="0.25">
      <c r="A1220">
        <v>5100422350</v>
      </c>
      <c r="B1220">
        <v>309468</v>
      </c>
      <c r="C1220" t="s">
        <v>768</v>
      </c>
      <c r="D1220" s="143">
        <v>46035</v>
      </c>
      <c r="E1220" s="55">
        <v>5925.84</v>
      </c>
      <c r="F1220" t="s">
        <v>769</v>
      </c>
      <c r="G1220">
        <v>1500039409</v>
      </c>
      <c r="H1220" t="s">
        <v>755</v>
      </c>
      <c r="I1220" t="s">
        <v>770</v>
      </c>
      <c r="K1220" s="143">
        <v>46076</v>
      </c>
      <c r="L1220" s="143">
        <v>46035</v>
      </c>
      <c r="M1220">
        <v>62025</v>
      </c>
      <c r="N1220" t="s">
        <v>771</v>
      </c>
      <c r="O1220">
        <v>2001</v>
      </c>
      <c r="S1220">
        <v>515301</v>
      </c>
      <c r="T1220" t="s">
        <v>772</v>
      </c>
    </row>
    <row r="1221" spans="1:20" x14ac:dyDescent="0.25">
      <c r="A1221">
        <v>5100422351</v>
      </c>
      <c r="B1221">
        <v>309468</v>
      </c>
      <c r="C1221" t="s">
        <v>768</v>
      </c>
      <c r="D1221" s="143">
        <v>46035</v>
      </c>
      <c r="E1221" s="55">
        <v>7712.8</v>
      </c>
      <c r="F1221" t="s">
        <v>769</v>
      </c>
      <c r="G1221">
        <v>1500039409</v>
      </c>
      <c r="H1221" t="s">
        <v>755</v>
      </c>
      <c r="I1221" t="s">
        <v>770</v>
      </c>
      <c r="K1221" s="143">
        <v>46076</v>
      </c>
      <c r="L1221" s="143">
        <v>46035</v>
      </c>
      <c r="M1221">
        <v>72025</v>
      </c>
      <c r="N1221" t="s">
        <v>771</v>
      </c>
      <c r="O1221">
        <v>2001</v>
      </c>
      <c r="S1221">
        <v>515301</v>
      </c>
      <c r="T1221" t="s">
        <v>772</v>
      </c>
    </row>
    <row r="1222" spans="1:20" x14ac:dyDescent="0.25">
      <c r="A1222">
        <v>5100422352</v>
      </c>
      <c r="B1222">
        <v>309468</v>
      </c>
      <c r="C1222" t="s">
        <v>768</v>
      </c>
      <c r="D1222" s="143">
        <v>46035</v>
      </c>
      <c r="E1222" s="55">
        <v>5209.54</v>
      </c>
      <c r="F1222" t="s">
        <v>769</v>
      </c>
      <c r="G1222">
        <v>1500039409</v>
      </c>
      <c r="H1222" t="s">
        <v>755</v>
      </c>
      <c r="I1222" t="s">
        <v>770</v>
      </c>
      <c r="K1222" s="143">
        <v>46076</v>
      </c>
      <c r="L1222" s="143">
        <v>46035</v>
      </c>
      <c r="M1222">
        <v>72025</v>
      </c>
      <c r="N1222" t="s">
        <v>771</v>
      </c>
      <c r="O1222">
        <v>2001</v>
      </c>
      <c r="S1222">
        <v>525647</v>
      </c>
      <c r="T1222" t="s">
        <v>772</v>
      </c>
    </row>
    <row r="1223" spans="1:20" x14ac:dyDescent="0.25">
      <c r="A1223">
        <v>5100422353</v>
      </c>
      <c r="B1223">
        <v>309468</v>
      </c>
      <c r="C1223" t="s">
        <v>768</v>
      </c>
      <c r="D1223" s="143">
        <v>46035</v>
      </c>
      <c r="E1223" s="55">
        <v>11621.28</v>
      </c>
      <c r="F1223" t="s">
        <v>769</v>
      </c>
      <c r="G1223">
        <v>1500039409</v>
      </c>
      <c r="H1223" t="s">
        <v>755</v>
      </c>
      <c r="I1223" t="s">
        <v>770</v>
      </c>
      <c r="K1223" s="143">
        <v>46076</v>
      </c>
      <c r="L1223" s="143">
        <v>46035</v>
      </c>
      <c r="M1223">
        <v>92025</v>
      </c>
      <c r="N1223" t="s">
        <v>771</v>
      </c>
      <c r="O1223">
        <v>2001</v>
      </c>
      <c r="S1223">
        <v>525647</v>
      </c>
      <c r="T1223" t="s">
        <v>772</v>
      </c>
    </row>
    <row r="1224" spans="1:20" x14ac:dyDescent="0.25">
      <c r="A1224">
        <v>5100422363</v>
      </c>
      <c r="B1224">
        <v>312017</v>
      </c>
      <c r="C1224" t="s">
        <v>768</v>
      </c>
      <c r="D1224" s="143">
        <v>46035</v>
      </c>
      <c r="E1224">
        <v>269.42</v>
      </c>
      <c r="F1224" t="s">
        <v>769</v>
      </c>
      <c r="G1224">
        <v>1500068913</v>
      </c>
      <c r="H1224" t="s">
        <v>755</v>
      </c>
      <c r="I1224" t="s">
        <v>770</v>
      </c>
      <c r="K1224" s="143">
        <v>46069</v>
      </c>
      <c r="L1224" s="143">
        <v>46035</v>
      </c>
      <c r="M1224">
        <v>12025</v>
      </c>
      <c r="N1224" t="s">
        <v>771</v>
      </c>
      <c r="O1224">
        <v>2001</v>
      </c>
      <c r="S1224" t="s">
        <v>783</v>
      </c>
      <c r="T1224" t="s">
        <v>772</v>
      </c>
    </row>
    <row r="1225" spans="1:20" x14ac:dyDescent="0.25">
      <c r="A1225">
        <v>5100422364</v>
      </c>
      <c r="B1225">
        <v>312017</v>
      </c>
      <c r="C1225" t="s">
        <v>768</v>
      </c>
      <c r="D1225" s="143">
        <v>46035</v>
      </c>
      <c r="E1225">
        <v>979.89</v>
      </c>
      <c r="F1225" t="s">
        <v>769</v>
      </c>
      <c r="G1225">
        <v>1500068913</v>
      </c>
      <c r="H1225" t="s">
        <v>755</v>
      </c>
      <c r="I1225" t="s">
        <v>770</v>
      </c>
      <c r="K1225" s="143">
        <v>46069</v>
      </c>
      <c r="L1225" s="143">
        <v>46035</v>
      </c>
      <c r="M1225">
        <v>22025</v>
      </c>
      <c r="N1225" t="s">
        <v>771</v>
      </c>
      <c r="O1225">
        <v>2001</v>
      </c>
      <c r="S1225" t="s">
        <v>783</v>
      </c>
      <c r="T1225" t="s">
        <v>772</v>
      </c>
    </row>
    <row r="1226" spans="1:20" x14ac:dyDescent="0.25">
      <c r="A1226">
        <v>5100422365</v>
      </c>
      <c r="B1226">
        <v>312017</v>
      </c>
      <c r="C1226" t="s">
        <v>768</v>
      </c>
      <c r="D1226" s="143">
        <v>46035</v>
      </c>
      <c r="E1226" s="55">
        <v>20607.580000000002</v>
      </c>
      <c r="F1226" t="s">
        <v>769</v>
      </c>
      <c r="G1226">
        <v>1500068913</v>
      </c>
      <c r="H1226" t="s">
        <v>755</v>
      </c>
      <c r="I1226" t="s">
        <v>770</v>
      </c>
      <c r="K1226" s="143">
        <v>46069</v>
      </c>
      <c r="L1226" s="143">
        <v>46035</v>
      </c>
      <c r="M1226">
        <v>32025</v>
      </c>
      <c r="N1226" t="s">
        <v>771</v>
      </c>
      <c r="O1226">
        <v>2001</v>
      </c>
      <c r="S1226" t="s">
        <v>783</v>
      </c>
      <c r="T1226" t="s">
        <v>772</v>
      </c>
    </row>
    <row r="1227" spans="1:20" x14ac:dyDescent="0.25">
      <c r="A1227">
        <v>5100422366</v>
      </c>
      <c r="B1227">
        <v>312017</v>
      </c>
      <c r="C1227" t="s">
        <v>768</v>
      </c>
      <c r="D1227" s="143">
        <v>46035</v>
      </c>
      <c r="E1227">
        <v>603.27</v>
      </c>
      <c r="F1227" t="s">
        <v>769</v>
      </c>
      <c r="G1227">
        <v>1500068913</v>
      </c>
      <c r="H1227" t="s">
        <v>755</v>
      </c>
      <c r="I1227" t="s">
        <v>770</v>
      </c>
      <c r="K1227" s="143">
        <v>46069</v>
      </c>
      <c r="L1227" s="143">
        <v>46035</v>
      </c>
      <c r="M1227">
        <v>42025</v>
      </c>
      <c r="N1227" t="s">
        <v>771</v>
      </c>
      <c r="O1227">
        <v>2001</v>
      </c>
      <c r="S1227" t="s">
        <v>783</v>
      </c>
      <c r="T1227" t="s">
        <v>772</v>
      </c>
    </row>
    <row r="1228" spans="1:20" x14ac:dyDescent="0.25">
      <c r="A1228">
        <v>5100422367</v>
      </c>
      <c r="B1228">
        <v>312017</v>
      </c>
      <c r="C1228" t="s">
        <v>768</v>
      </c>
      <c r="D1228" s="143">
        <v>46035</v>
      </c>
      <c r="E1228">
        <v>604.97</v>
      </c>
      <c r="F1228" t="s">
        <v>769</v>
      </c>
      <c r="G1228">
        <v>1500068913</v>
      </c>
      <c r="H1228" t="s">
        <v>755</v>
      </c>
      <c r="I1228" t="s">
        <v>770</v>
      </c>
      <c r="K1228" s="143">
        <v>46069</v>
      </c>
      <c r="L1228" s="143">
        <v>46035</v>
      </c>
      <c r="M1228">
        <v>52025</v>
      </c>
      <c r="N1228" t="s">
        <v>771</v>
      </c>
      <c r="O1228">
        <v>2001</v>
      </c>
      <c r="S1228" t="s">
        <v>783</v>
      </c>
      <c r="T1228" t="s">
        <v>772</v>
      </c>
    </row>
    <row r="1229" spans="1:20" x14ac:dyDescent="0.25">
      <c r="A1229">
        <v>5100422368</v>
      </c>
      <c r="B1229">
        <v>312017</v>
      </c>
      <c r="C1229" t="s">
        <v>768</v>
      </c>
      <c r="D1229" s="143">
        <v>46035</v>
      </c>
      <c r="E1229" s="55">
        <v>2405.6999999999998</v>
      </c>
      <c r="F1229" t="s">
        <v>769</v>
      </c>
      <c r="G1229">
        <v>1500068913</v>
      </c>
      <c r="H1229" t="s">
        <v>755</v>
      </c>
      <c r="I1229" t="s">
        <v>770</v>
      </c>
      <c r="K1229" s="143">
        <v>46069</v>
      </c>
      <c r="L1229" s="143">
        <v>46035</v>
      </c>
      <c r="M1229">
        <v>62025</v>
      </c>
      <c r="N1229" t="s">
        <v>771</v>
      </c>
      <c r="O1229">
        <v>2001</v>
      </c>
      <c r="S1229" t="s">
        <v>783</v>
      </c>
      <c r="T1229" t="s">
        <v>772</v>
      </c>
    </row>
    <row r="1230" spans="1:20" x14ac:dyDescent="0.25">
      <c r="A1230">
        <v>5100422369</v>
      </c>
      <c r="B1230">
        <v>312017</v>
      </c>
      <c r="C1230" t="s">
        <v>768</v>
      </c>
      <c r="D1230" s="143">
        <v>46035</v>
      </c>
      <c r="E1230">
        <v>339.96</v>
      </c>
      <c r="F1230" t="s">
        <v>769</v>
      </c>
      <c r="G1230">
        <v>1500068913</v>
      </c>
      <c r="H1230" t="s">
        <v>755</v>
      </c>
      <c r="I1230" t="s">
        <v>770</v>
      </c>
      <c r="K1230" s="143">
        <v>46069</v>
      </c>
      <c r="L1230" s="143">
        <v>46035</v>
      </c>
      <c r="M1230">
        <v>82025</v>
      </c>
      <c r="N1230" t="s">
        <v>771</v>
      </c>
      <c r="O1230">
        <v>2001</v>
      </c>
      <c r="S1230" t="s">
        <v>783</v>
      </c>
      <c r="T1230" t="s">
        <v>772</v>
      </c>
    </row>
    <row r="1231" spans="1:20" x14ac:dyDescent="0.25">
      <c r="A1231">
        <v>5100422421</v>
      </c>
      <c r="B1231">
        <v>314161</v>
      </c>
      <c r="C1231" t="s">
        <v>768</v>
      </c>
      <c r="D1231" s="143">
        <v>46035</v>
      </c>
      <c r="E1231" s="55">
        <v>26898.59</v>
      </c>
      <c r="F1231" t="s">
        <v>769</v>
      </c>
      <c r="G1231">
        <v>101479651</v>
      </c>
      <c r="H1231" t="s">
        <v>755</v>
      </c>
      <c r="I1231" t="s">
        <v>770</v>
      </c>
      <c r="J1231">
        <v>0</v>
      </c>
      <c r="K1231" s="143">
        <v>46167</v>
      </c>
      <c r="L1231" s="143">
        <v>46035</v>
      </c>
      <c r="M1231">
        <v>22025</v>
      </c>
      <c r="N1231" t="s">
        <v>771</v>
      </c>
      <c r="O1231">
        <v>2001</v>
      </c>
      <c r="S1231">
        <v>2.0015900026802202E+17</v>
      </c>
      <c r="T1231" t="s">
        <v>772</v>
      </c>
    </row>
    <row r="1232" spans="1:20" x14ac:dyDescent="0.25">
      <c r="A1232">
        <v>5100422422</v>
      </c>
      <c r="B1232">
        <v>314161</v>
      </c>
      <c r="C1232" t="s">
        <v>768</v>
      </c>
      <c r="D1232" s="143">
        <v>46035</v>
      </c>
      <c r="E1232" s="55">
        <v>20140.490000000002</v>
      </c>
      <c r="F1232" t="s">
        <v>769</v>
      </c>
      <c r="G1232">
        <v>101479651</v>
      </c>
      <c r="H1232" t="s">
        <v>755</v>
      </c>
      <c r="I1232" t="s">
        <v>770</v>
      </c>
      <c r="J1232">
        <v>0</v>
      </c>
      <c r="K1232" s="143">
        <v>46167</v>
      </c>
      <c r="L1232" s="143">
        <v>46035</v>
      </c>
      <c r="M1232">
        <v>32025</v>
      </c>
      <c r="N1232" t="s">
        <v>771</v>
      </c>
      <c r="O1232">
        <v>2001</v>
      </c>
      <c r="S1232">
        <v>2.0015900026802202E+17</v>
      </c>
      <c r="T1232" t="s">
        <v>772</v>
      </c>
    </row>
    <row r="1233" spans="1:20" x14ac:dyDescent="0.25">
      <c r="A1233">
        <v>5100422423</v>
      </c>
      <c r="B1233">
        <v>314161</v>
      </c>
      <c r="C1233" t="s">
        <v>768</v>
      </c>
      <c r="D1233" s="143">
        <v>46035</v>
      </c>
      <c r="E1233" s="55">
        <v>6265.86</v>
      </c>
      <c r="F1233" t="s">
        <v>769</v>
      </c>
      <c r="G1233">
        <v>101479651</v>
      </c>
      <c r="H1233" t="s">
        <v>755</v>
      </c>
      <c r="I1233" t="s">
        <v>770</v>
      </c>
      <c r="J1233">
        <v>0</v>
      </c>
      <c r="K1233" s="143">
        <v>46167</v>
      </c>
      <c r="L1233" s="143">
        <v>46035</v>
      </c>
      <c r="M1233">
        <v>42025</v>
      </c>
      <c r="N1233" t="s">
        <v>771</v>
      </c>
      <c r="O1233">
        <v>2001</v>
      </c>
      <c r="S1233">
        <v>2.0015900026802202E+17</v>
      </c>
      <c r="T1233" t="s">
        <v>772</v>
      </c>
    </row>
    <row r="1234" spans="1:20" x14ac:dyDescent="0.25">
      <c r="A1234">
        <v>5100422424</v>
      </c>
      <c r="B1234">
        <v>314161</v>
      </c>
      <c r="C1234" t="s">
        <v>768</v>
      </c>
      <c r="D1234" s="143">
        <v>46035</v>
      </c>
      <c r="E1234" s="55">
        <v>11580.07</v>
      </c>
      <c r="F1234" t="s">
        <v>769</v>
      </c>
      <c r="G1234">
        <v>101479651</v>
      </c>
      <c r="H1234" t="s">
        <v>755</v>
      </c>
      <c r="I1234" t="s">
        <v>770</v>
      </c>
      <c r="J1234">
        <v>0</v>
      </c>
      <c r="K1234" s="143">
        <v>46167</v>
      </c>
      <c r="L1234" s="143">
        <v>46035</v>
      </c>
      <c r="M1234">
        <v>62025</v>
      </c>
      <c r="N1234" t="s">
        <v>771</v>
      </c>
      <c r="O1234">
        <v>2001</v>
      </c>
      <c r="S1234">
        <v>2.0015900026802202E+17</v>
      </c>
      <c r="T1234" t="s">
        <v>772</v>
      </c>
    </row>
    <row r="1235" spans="1:20" x14ac:dyDescent="0.25">
      <c r="A1235">
        <v>5100422425</v>
      </c>
      <c r="B1235">
        <v>314567</v>
      </c>
      <c r="C1235" t="s">
        <v>768</v>
      </c>
      <c r="D1235" s="143">
        <v>46035</v>
      </c>
      <c r="E1235" s="55">
        <v>6530.74</v>
      </c>
      <c r="F1235" t="s">
        <v>769</v>
      </c>
      <c r="G1235">
        <v>1500030424</v>
      </c>
      <c r="H1235" t="s">
        <v>755</v>
      </c>
      <c r="I1235" t="s">
        <v>770</v>
      </c>
      <c r="K1235" s="143">
        <v>46090</v>
      </c>
      <c r="L1235" s="143">
        <v>46035</v>
      </c>
      <c r="M1235">
        <v>22025</v>
      </c>
      <c r="N1235" t="s">
        <v>771</v>
      </c>
      <c r="O1235">
        <v>2001</v>
      </c>
      <c r="S1235">
        <v>514745</v>
      </c>
      <c r="T1235" t="s">
        <v>772</v>
      </c>
    </row>
    <row r="1236" spans="1:20" x14ac:dyDescent="0.25">
      <c r="A1236">
        <v>5100422426</v>
      </c>
      <c r="B1236">
        <v>314567</v>
      </c>
      <c r="C1236" t="s">
        <v>768</v>
      </c>
      <c r="D1236" s="143">
        <v>46035</v>
      </c>
      <c r="E1236" s="55">
        <v>4769.16</v>
      </c>
      <c r="F1236" t="s">
        <v>769</v>
      </c>
      <c r="G1236">
        <v>1500030424</v>
      </c>
      <c r="H1236" t="s">
        <v>755</v>
      </c>
      <c r="I1236" t="s">
        <v>770</v>
      </c>
      <c r="K1236" s="143">
        <v>46090</v>
      </c>
      <c r="L1236" s="143">
        <v>46035</v>
      </c>
      <c r="M1236">
        <v>32025</v>
      </c>
      <c r="N1236" t="s">
        <v>771</v>
      </c>
      <c r="O1236">
        <v>2001</v>
      </c>
      <c r="S1236">
        <v>514745</v>
      </c>
      <c r="T1236" t="s">
        <v>772</v>
      </c>
    </row>
    <row r="1237" spans="1:20" x14ac:dyDescent="0.25">
      <c r="A1237">
        <v>5100422427</v>
      </c>
      <c r="B1237">
        <v>314567</v>
      </c>
      <c r="C1237" t="s">
        <v>768</v>
      </c>
      <c r="D1237" s="143">
        <v>46035</v>
      </c>
      <c r="E1237" s="55">
        <v>10449.18</v>
      </c>
      <c r="F1237" t="s">
        <v>769</v>
      </c>
      <c r="G1237">
        <v>1500030424</v>
      </c>
      <c r="H1237" t="s">
        <v>755</v>
      </c>
      <c r="I1237" t="s">
        <v>770</v>
      </c>
      <c r="K1237" s="143">
        <v>46090</v>
      </c>
      <c r="L1237" s="143">
        <v>46035</v>
      </c>
      <c r="M1237">
        <v>52025</v>
      </c>
      <c r="N1237" t="s">
        <v>771</v>
      </c>
      <c r="O1237">
        <v>2001</v>
      </c>
      <c r="S1237">
        <v>514745</v>
      </c>
      <c r="T1237" t="s">
        <v>772</v>
      </c>
    </row>
    <row r="1238" spans="1:20" x14ac:dyDescent="0.25">
      <c r="A1238">
        <v>5100422428</v>
      </c>
      <c r="B1238">
        <v>314567</v>
      </c>
      <c r="C1238" t="s">
        <v>768</v>
      </c>
      <c r="D1238" s="143">
        <v>46035</v>
      </c>
      <c r="E1238" s="55">
        <v>23465.75</v>
      </c>
      <c r="F1238" t="s">
        <v>769</v>
      </c>
      <c r="G1238">
        <v>1500030424</v>
      </c>
      <c r="H1238" t="s">
        <v>755</v>
      </c>
      <c r="I1238" t="s">
        <v>770</v>
      </c>
      <c r="K1238" s="143">
        <v>46090</v>
      </c>
      <c r="L1238" s="143">
        <v>46035</v>
      </c>
      <c r="M1238">
        <v>62025</v>
      </c>
      <c r="N1238" t="s">
        <v>771</v>
      </c>
      <c r="O1238">
        <v>2001</v>
      </c>
      <c r="S1238">
        <v>514745</v>
      </c>
      <c r="T1238" t="s">
        <v>772</v>
      </c>
    </row>
    <row r="1239" spans="1:20" x14ac:dyDescent="0.25">
      <c r="A1239">
        <v>5100422429</v>
      </c>
      <c r="B1239">
        <v>314567</v>
      </c>
      <c r="C1239" t="s">
        <v>768</v>
      </c>
      <c r="D1239" s="143">
        <v>46035</v>
      </c>
      <c r="E1239">
        <v>464.03</v>
      </c>
      <c r="F1239" t="s">
        <v>769</v>
      </c>
      <c r="G1239">
        <v>1500030424</v>
      </c>
      <c r="H1239" t="s">
        <v>755</v>
      </c>
      <c r="I1239" t="s">
        <v>770</v>
      </c>
      <c r="K1239" s="143">
        <v>46090</v>
      </c>
      <c r="L1239" s="143">
        <v>46035</v>
      </c>
      <c r="M1239">
        <v>82025</v>
      </c>
      <c r="N1239" t="s">
        <v>771</v>
      </c>
      <c r="O1239">
        <v>2001</v>
      </c>
      <c r="S1239">
        <v>514745</v>
      </c>
      <c r="T1239" t="s">
        <v>772</v>
      </c>
    </row>
    <row r="1240" spans="1:20" x14ac:dyDescent="0.25">
      <c r="A1240">
        <v>5100422520</v>
      </c>
      <c r="B1240">
        <v>321729</v>
      </c>
      <c r="C1240" t="s">
        <v>768</v>
      </c>
      <c r="D1240" s="143">
        <v>46035</v>
      </c>
      <c r="E1240" s="55">
        <v>138065.76</v>
      </c>
      <c r="F1240" t="s">
        <v>769</v>
      </c>
      <c r="G1240">
        <v>1500014733</v>
      </c>
      <c r="H1240" t="s">
        <v>755</v>
      </c>
      <c r="I1240" t="s">
        <v>770</v>
      </c>
      <c r="K1240" s="143">
        <v>46076</v>
      </c>
      <c r="L1240" s="143">
        <v>46035</v>
      </c>
      <c r="M1240">
        <v>92025</v>
      </c>
      <c r="N1240" t="s">
        <v>771</v>
      </c>
      <c r="O1240">
        <v>2001</v>
      </c>
      <c r="S1240" t="s">
        <v>773</v>
      </c>
      <c r="T1240" t="s">
        <v>772</v>
      </c>
    </row>
    <row r="1241" spans="1:20" x14ac:dyDescent="0.25">
      <c r="A1241">
        <v>5100281006</v>
      </c>
      <c r="B1241">
        <v>327460</v>
      </c>
      <c r="C1241" t="s">
        <v>768</v>
      </c>
      <c r="D1241" s="143">
        <v>46035</v>
      </c>
      <c r="E1241" s="55">
        <v>2720.15</v>
      </c>
      <c r="F1241" t="s">
        <v>769</v>
      </c>
      <c r="G1241">
        <v>1500038788</v>
      </c>
      <c r="H1241" t="s">
        <v>755</v>
      </c>
      <c r="I1241" t="s">
        <v>770</v>
      </c>
      <c r="K1241" s="143">
        <v>46069</v>
      </c>
      <c r="L1241" s="143">
        <v>46035</v>
      </c>
      <c r="M1241">
        <v>12025</v>
      </c>
      <c r="N1241" t="s">
        <v>771</v>
      </c>
      <c r="O1241">
        <v>2001</v>
      </c>
      <c r="S1241">
        <v>515019</v>
      </c>
      <c r="T1241" t="s">
        <v>772</v>
      </c>
    </row>
    <row r="1242" spans="1:20" x14ac:dyDescent="0.25">
      <c r="A1242">
        <v>5100281007</v>
      </c>
      <c r="B1242">
        <v>327460</v>
      </c>
      <c r="C1242" t="s">
        <v>768</v>
      </c>
      <c r="D1242" s="143">
        <v>46035</v>
      </c>
      <c r="E1242" s="55">
        <v>2190.56</v>
      </c>
      <c r="F1242" t="s">
        <v>769</v>
      </c>
      <c r="G1242">
        <v>1500038788</v>
      </c>
      <c r="H1242" t="s">
        <v>755</v>
      </c>
      <c r="I1242" t="s">
        <v>770</v>
      </c>
      <c r="K1242" s="143">
        <v>46069</v>
      </c>
      <c r="L1242" s="143">
        <v>46035</v>
      </c>
      <c r="M1242">
        <v>12025</v>
      </c>
      <c r="N1242" t="s">
        <v>771</v>
      </c>
      <c r="O1242">
        <v>2001</v>
      </c>
      <c r="S1242">
        <v>515019</v>
      </c>
      <c r="T1242" t="s">
        <v>772</v>
      </c>
    </row>
    <row r="1243" spans="1:20" x14ac:dyDescent="0.25">
      <c r="A1243">
        <v>5100281008</v>
      </c>
      <c r="B1243">
        <v>327460</v>
      </c>
      <c r="C1243" t="s">
        <v>768</v>
      </c>
      <c r="D1243" s="143">
        <v>46035</v>
      </c>
      <c r="E1243" s="55">
        <v>1009.52</v>
      </c>
      <c r="F1243" t="s">
        <v>769</v>
      </c>
      <c r="G1243">
        <v>1500038788</v>
      </c>
      <c r="H1243" t="s">
        <v>755</v>
      </c>
      <c r="I1243" t="s">
        <v>770</v>
      </c>
      <c r="K1243" s="143">
        <v>46069</v>
      </c>
      <c r="L1243" s="143">
        <v>46035</v>
      </c>
      <c r="M1243">
        <v>12025</v>
      </c>
      <c r="N1243" t="s">
        <v>771</v>
      </c>
      <c r="O1243">
        <v>2001</v>
      </c>
      <c r="S1243">
        <v>515019</v>
      </c>
      <c r="T1243" t="s">
        <v>772</v>
      </c>
    </row>
    <row r="1244" spans="1:20" x14ac:dyDescent="0.25">
      <c r="A1244">
        <v>5100281009</v>
      </c>
      <c r="B1244">
        <v>327460</v>
      </c>
      <c r="C1244" t="s">
        <v>768</v>
      </c>
      <c r="D1244" s="143">
        <v>46035</v>
      </c>
      <c r="E1244" s="55">
        <v>3042.46</v>
      </c>
      <c r="F1244" t="s">
        <v>769</v>
      </c>
      <c r="G1244">
        <v>1500038788</v>
      </c>
      <c r="H1244" t="s">
        <v>755</v>
      </c>
      <c r="I1244" t="s">
        <v>770</v>
      </c>
      <c r="K1244" s="143">
        <v>46069</v>
      </c>
      <c r="L1244" s="143">
        <v>46035</v>
      </c>
      <c r="M1244">
        <v>22025</v>
      </c>
      <c r="N1244" t="s">
        <v>771</v>
      </c>
      <c r="O1244">
        <v>2001</v>
      </c>
      <c r="S1244">
        <v>515019</v>
      </c>
      <c r="T1244" t="s">
        <v>772</v>
      </c>
    </row>
    <row r="1245" spans="1:20" x14ac:dyDescent="0.25">
      <c r="A1245">
        <v>5100281010</v>
      </c>
      <c r="B1245">
        <v>327460</v>
      </c>
      <c r="C1245" t="s">
        <v>768</v>
      </c>
      <c r="D1245" s="143">
        <v>46035</v>
      </c>
      <c r="E1245">
        <v>407.54</v>
      </c>
      <c r="F1245" t="s">
        <v>769</v>
      </c>
      <c r="G1245">
        <v>1500038788</v>
      </c>
      <c r="H1245" t="s">
        <v>755</v>
      </c>
      <c r="I1245" t="s">
        <v>770</v>
      </c>
      <c r="K1245" s="143">
        <v>46069</v>
      </c>
      <c r="L1245" s="143">
        <v>46035</v>
      </c>
      <c r="M1245">
        <v>22025</v>
      </c>
      <c r="N1245" t="s">
        <v>771</v>
      </c>
      <c r="O1245">
        <v>2001</v>
      </c>
      <c r="S1245">
        <v>515019</v>
      </c>
      <c r="T1245" t="s">
        <v>772</v>
      </c>
    </row>
    <row r="1246" spans="1:20" x14ac:dyDescent="0.25">
      <c r="A1246">
        <v>5100281011</v>
      </c>
      <c r="B1246">
        <v>327460</v>
      </c>
      <c r="C1246" t="s">
        <v>768</v>
      </c>
      <c r="D1246" s="143">
        <v>46035</v>
      </c>
      <c r="E1246">
        <v>631.34</v>
      </c>
      <c r="F1246" t="s">
        <v>769</v>
      </c>
      <c r="G1246">
        <v>1500038788</v>
      </c>
      <c r="H1246" t="s">
        <v>755</v>
      </c>
      <c r="I1246" t="s">
        <v>770</v>
      </c>
      <c r="K1246" s="143">
        <v>46069</v>
      </c>
      <c r="L1246" s="143">
        <v>46035</v>
      </c>
      <c r="M1246">
        <v>22025</v>
      </c>
      <c r="N1246" t="s">
        <v>771</v>
      </c>
      <c r="O1246">
        <v>2001</v>
      </c>
      <c r="S1246">
        <v>515019</v>
      </c>
      <c r="T1246" t="s">
        <v>772</v>
      </c>
    </row>
    <row r="1247" spans="1:20" x14ac:dyDescent="0.25">
      <c r="A1247">
        <v>5100281012</v>
      </c>
      <c r="B1247">
        <v>327460</v>
      </c>
      <c r="C1247" t="s">
        <v>768</v>
      </c>
      <c r="D1247" s="143">
        <v>46035</v>
      </c>
      <c r="E1247" s="55">
        <v>3042.35</v>
      </c>
      <c r="F1247" t="s">
        <v>769</v>
      </c>
      <c r="G1247">
        <v>1500038788</v>
      </c>
      <c r="H1247" t="s">
        <v>755</v>
      </c>
      <c r="I1247" t="s">
        <v>770</v>
      </c>
      <c r="K1247" s="143">
        <v>46069</v>
      </c>
      <c r="L1247" s="143">
        <v>46035</v>
      </c>
      <c r="M1247">
        <v>32025</v>
      </c>
      <c r="N1247" t="s">
        <v>771</v>
      </c>
      <c r="O1247">
        <v>2001</v>
      </c>
      <c r="S1247">
        <v>515019</v>
      </c>
      <c r="T1247" t="s">
        <v>772</v>
      </c>
    </row>
    <row r="1248" spans="1:20" x14ac:dyDescent="0.25">
      <c r="A1248">
        <v>5100281013</v>
      </c>
      <c r="B1248">
        <v>327460</v>
      </c>
      <c r="C1248" t="s">
        <v>768</v>
      </c>
      <c r="D1248" s="143">
        <v>46035</v>
      </c>
      <c r="E1248">
        <v>779.18</v>
      </c>
      <c r="F1248" t="s">
        <v>769</v>
      </c>
      <c r="G1248">
        <v>1500038788</v>
      </c>
      <c r="H1248" t="s">
        <v>755</v>
      </c>
      <c r="I1248" t="s">
        <v>770</v>
      </c>
      <c r="K1248" s="143">
        <v>46069</v>
      </c>
      <c r="L1248" s="143">
        <v>46035</v>
      </c>
      <c r="M1248">
        <v>32025</v>
      </c>
      <c r="N1248" t="s">
        <v>771</v>
      </c>
      <c r="O1248">
        <v>2001</v>
      </c>
      <c r="S1248">
        <v>515019</v>
      </c>
      <c r="T1248" t="s">
        <v>772</v>
      </c>
    </row>
    <row r="1249" spans="1:20" x14ac:dyDescent="0.25">
      <c r="A1249">
        <v>5100281014</v>
      </c>
      <c r="B1249">
        <v>327460</v>
      </c>
      <c r="C1249" t="s">
        <v>768</v>
      </c>
      <c r="D1249" s="143">
        <v>46035</v>
      </c>
      <c r="E1249" s="55">
        <v>1726.37</v>
      </c>
      <c r="F1249" t="s">
        <v>769</v>
      </c>
      <c r="G1249">
        <v>1500038788</v>
      </c>
      <c r="H1249" t="s">
        <v>755</v>
      </c>
      <c r="I1249" t="s">
        <v>770</v>
      </c>
      <c r="K1249" s="143">
        <v>46069</v>
      </c>
      <c r="L1249" s="143">
        <v>46035</v>
      </c>
      <c r="M1249">
        <v>32025</v>
      </c>
      <c r="N1249" t="s">
        <v>771</v>
      </c>
      <c r="O1249">
        <v>2001</v>
      </c>
      <c r="S1249">
        <v>515019</v>
      </c>
      <c r="T1249" t="s">
        <v>772</v>
      </c>
    </row>
    <row r="1250" spans="1:20" x14ac:dyDescent="0.25">
      <c r="A1250">
        <v>5100281016</v>
      </c>
      <c r="B1250">
        <v>327460</v>
      </c>
      <c r="C1250" t="s">
        <v>768</v>
      </c>
      <c r="D1250" s="143">
        <v>46035</v>
      </c>
      <c r="E1250">
        <v>154.16999999999999</v>
      </c>
      <c r="F1250" t="s">
        <v>769</v>
      </c>
      <c r="G1250">
        <v>1500038788</v>
      </c>
      <c r="H1250" t="s">
        <v>755</v>
      </c>
      <c r="I1250" t="s">
        <v>770</v>
      </c>
      <c r="K1250" s="143">
        <v>46069</v>
      </c>
      <c r="L1250" s="143">
        <v>46035</v>
      </c>
      <c r="M1250">
        <v>42025</v>
      </c>
      <c r="N1250" t="s">
        <v>771</v>
      </c>
      <c r="O1250">
        <v>2001</v>
      </c>
      <c r="S1250">
        <v>515019</v>
      </c>
      <c r="T1250" t="s">
        <v>772</v>
      </c>
    </row>
    <row r="1251" spans="1:20" x14ac:dyDescent="0.25">
      <c r="A1251">
        <v>5100281017</v>
      </c>
      <c r="B1251">
        <v>327460</v>
      </c>
      <c r="C1251" t="s">
        <v>768</v>
      </c>
      <c r="D1251" s="143">
        <v>46035</v>
      </c>
      <c r="E1251">
        <v>768.3</v>
      </c>
      <c r="F1251" t="s">
        <v>769</v>
      </c>
      <c r="G1251">
        <v>1500038788</v>
      </c>
      <c r="H1251" t="s">
        <v>755</v>
      </c>
      <c r="I1251" t="s">
        <v>770</v>
      </c>
      <c r="K1251" s="143">
        <v>46069</v>
      </c>
      <c r="L1251" s="143">
        <v>46035</v>
      </c>
      <c r="M1251">
        <v>42025</v>
      </c>
      <c r="N1251" t="s">
        <v>771</v>
      </c>
      <c r="O1251">
        <v>2001</v>
      </c>
      <c r="S1251">
        <v>515019</v>
      </c>
      <c r="T1251" t="s">
        <v>772</v>
      </c>
    </row>
    <row r="1252" spans="1:20" x14ac:dyDescent="0.25">
      <c r="A1252">
        <v>5100281018</v>
      </c>
      <c r="B1252">
        <v>327460</v>
      </c>
      <c r="C1252" t="s">
        <v>768</v>
      </c>
      <c r="D1252" s="143">
        <v>46035</v>
      </c>
      <c r="E1252" s="55">
        <v>1119.0999999999999</v>
      </c>
      <c r="F1252" t="s">
        <v>769</v>
      </c>
      <c r="G1252">
        <v>1500038788</v>
      </c>
      <c r="H1252" t="s">
        <v>755</v>
      </c>
      <c r="I1252" t="s">
        <v>770</v>
      </c>
      <c r="K1252" s="143">
        <v>46069</v>
      </c>
      <c r="L1252" s="143">
        <v>46035</v>
      </c>
      <c r="M1252">
        <v>62025</v>
      </c>
      <c r="N1252" t="s">
        <v>771</v>
      </c>
      <c r="O1252">
        <v>2001</v>
      </c>
      <c r="S1252">
        <v>515019</v>
      </c>
      <c r="T1252" t="s">
        <v>772</v>
      </c>
    </row>
    <row r="1253" spans="1:20" x14ac:dyDescent="0.25">
      <c r="A1253">
        <v>5100281019</v>
      </c>
      <c r="B1253">
        <v>327460</v>
      </c>
      <c r="C1253" t="s">
        <v>768</v>
      </c>
      <c r="D1253" s="143">
        <v>46035</v>
      </c>
      <c r="E1253">
        <v>458.03</v>
      </c>
      <c r="F1253" t="s">
        <v>769</v>
      </c>
      <c r="G1253">
        <v>1500038788</v>
      </c>
      <c r="H1253" t="s">
        <v>755</v>
      </c>
      <c r="I1253" t="s">
        <v>770</v>
      </c>
      <c r="K1253" s="143">
        <v>46069</v>
      </c>
      <c r="L1253" s="143">
        <v>46035</v>
      </c>
      <c r="M1253">
        <v>62025</v>
      </c>
      <c r="N1253" t="s">
        <v>771</v>
      </c>
      <c r="O1253">
        <v>2001</v>
      </c>
      <c r="S1253">
        <v>515019</v>
      </c>
      <c r="T1253" t="s">
        <v>772</v>
      </c>
    </row>
    <row r="1254" spans="1:20" x14ac:dyDescent="0.25">
      <c r="A1254">
        <v>5100281020</v>
      </c>
      <c r="B1254">
        <v>327460</v>
      </c>
      <c r="C1254" t="s">
        <v>768</v>
      </c>
      <c r="D1254" s="143">
        <v>46035</v>
      </c>
      <c r="E1254" s="55">
        <v>1520.57</v>
      </c>
      <c r="F1254" t="s">
        <v>769</v>
      </c>
      <c r="G1254">
        <v>1500038788</v>
      </c>
      <c r="H1254" t="s">
        <v>755</v>
      </c>
      <c r="I1254" t="s">
        <v>770</v>
      </c>
      <c r="K1254" s="143">
        <v>46069</v>
      </c>
      <c r="L1254" s="143">
        <v>46035</v>
      </c>
      <c r="M1254">
        <v>72025</v>
      </c>
      <c r="N1254" t="s">
        <v>771</v>
      </c>
      <c r="O1254">
        <v>2001</v>
      </c>
      <c r="S1254">
        <v>515019</v>
      </c>
      <c r="T1254" t="s">
        <v>772</v>
      </c>
    </row>
    <row r="1255" spans="1:20" x14ac:dyDescent="0.25">
      <c r="A1255">
        <v>5100281021</v>
      </c>
      <c r="B1255">
        <v>327460</v>
      </c>
      <c r="C1255" t="s">
        <v>768</v>
      </c>
      <c r="D1255" s="143">
        <v>46035</v>
      </c>
      <c r="E1255" s="55">
        <v>1324.53</v>
      </c>
      <c r="F1255" t="s">
        <v>769</v>
      </c>
      <c r="G1255">
        <v>1500038788</v>
      </c>
      <c r="H1255" t="s">
        <v>755</v>
      </c>
      <c r="I1255" t="s">
        <v>770</v>
      </c>
      <c r="K1255" s="143">
        <v>46069</v>
      </c>
      <c r="L1255" s="143">
        <v>46035</v>
      </c>
      <c r="M1255">
        <v>72025</v>
      </c>
      <c r="N1255" t="s">
        <v>771</v>
      </c>
      <c r="O1255">
        <v>2001</v>
      </c>
      <c r="S1255">
        <v>515019</v>
      </c>
      <c r="T1255" t="s">
        <v>772</v>
      </c>
    </row>
    <row r="1256" spans="1:20" x14ac:dyDescent="0.25">
      <c r="A1256">
        <v>5100281022</v>
      </c>
      <c r="B1256">
        <v>327460</v>
      </c>
      <c r="C1256" t="s">
        <v>768</v>
      </c>
      <c r="D1256" s="143">
        <v>46035</v>
      </c>
      <c r="E1256" s="55">
        <v>1548.82</v>
      </c>
      <c r="F1256" t="s">
        <v>769</v>
      </c>
      <c r="G1256">
        <v>1500038788</v>
      </c>
      <c r="H1256" t="s">
        <v>755</v>
      </c>
      <c r="I1256" t="s">
        <v>770</v>
      </c>
      <c r="K1256" s="143">
        <v>46069</v>
      </c>
      <c r="L1256" s="143">
        <v>46035</v>
      </c>
      <c r="M1256">
        <v>72025</v>
      </c>
      <c r="N1256" t="s">
        <v>771</v>
      </c>
      <c r="O1256">
        <v>2001</v>
      </c>
      <c r="S1256">
        <v>515019</v>
      </c>
      <c r="T1256" t="s">
        <v>772</v>
      </c>
    </row>
    <row r="1257" spans="1:20" x14ac:dyDescent="0.25">
      <c r="A1257">
        <v>5100281023</v>
      </c>
      <c r="B1257">
        <v>327460</v>
      </c>
      <c r="C1257" t="s">
        <v>768</v>
      </c>
      <c r="D1257" s="143">
        <v>46035</v>
      </c>
      <c r="E1257" s="55">
        <v>2566.1</v>
      </c>
      <c r="F1257" t="s">
        <v>769</v>
      </c>
      <c r="G1257">
        <v>1500038788</v>
      </c>
      <c r="H1257" t="s">
        <v>755</v>
      </c>
      <c r="I1257" t="s">
        <v>770</v>
      </c>
      <c r="K1257" s="143">
        <v>46069</v>
      </c>
      <c r="L1257" s="143">
        <v>46035</v>
      </c>
      <c r="M1257">
        <v>82025</v>
      </c>
      <c r="N1257" t="s">
        <v>771</v>
      </c>
      <c r="O1257">
        <v>2001</v>
      </c>
      <c r="S1257">
        <v>515019</v>
      </c>
      <c r="T1257" t="s">
        <v>772</v>
      </c>
    </row>
    <row r="1258" spans="1:20" x14ac:dyDescent="0.25">
      <c r="A1258">
        <v>5100281024</v>
      </c>
      <c r="B1258">
        <v>327460</v>
      </c>
      <c r="C1258" t="s">
        <v>768</v>
      </c>
      <c r="D1258" s="143">
        <v>46035</v>
      </c>
      <c r="E1258" s="55">
        <v>1120.76</v>
      </c>
      <c r="F1258" t="s">
        <v>769</v>
      </c>
      <c r="G1258">
        <v>1500038788</v>
      </c>
      <c r="H1258" t="s">
        <v>755</v>
      </c>
      <c r="I1258" t="s">
        <v>770</v>
      </c>
      <c r="K1258" s="143">
        <v>46069</v>
      </c>
      <c r="L1258" s="143">
        <v>46035</v>
      </c>
      <c r="M1258">
        <v>82025</v>
      </c>
      <c r="N1258" t="s">
        <v>771</v>
      </c>
      <c r="O1258">
        <v>2001</v>
      </c>
      <c r="S1258">
        <v>515019</v>
      </c>
      <c r="T1258" t="s">
        <v>772</v>
      </c>
    </row>
    <row r="1259" spans="1:20" x14ac:dyDescent="0.25">
      <c r="A1259">
        <v>5100281015</v>
      </c>
      <c r="B1259">
        <v>327460</v>
      </c>
      <c r="C1259" t="s">
        <v>768</v>
      </c>
      <c r="D1259" s="143">
        <v>46035</v>
      </c>
      <c r="E1259" s="55">
        <v>8530.2900000000009</v>
      </c>
      <c r="F1259" t="s">
        <v>769</v>
      </c>
      <c r="G1259">
        <v>1500038788</v>
      </c>
      <c r="H1259" t="s">
        <v>755</v>
      </c>
      <c r="I1259" t="s">
        <v>770</v>
      </c>
      <c r="K1259" s="143">
        <v>46069</v>
      </c>
      <c r="L1259" s="143">
        <v>46035</v>
      </c>
      <c r="M1259">
        <v>32025</v>
      </c>
      <c r="N1259" t="s">
        <v>771</v>
      </c>
      <c r="O1259">
        <v>2001</v>
      </c>
      <c r="S1259">
        <v>525710</v>
      </c>
      <c r="T1259" t="s">
        <v>772</v>
      </c>
    </row>
    <row r="1260" spans="1:20" x14ac:dyDescent="0.25">
      <c r="A1260">
        <v>5100281098</v>
      </c>
      <c r="B1260">
        <v>337956</v>
      </c>
      <c r="C1260" t="s">
        <v>768</v>
      </c>
      <c r="D1260" s="143">
        <v>46035</v>
      </c>
      <c r="E1260" s="55">
        <v>2880.65</v>
      </c>
      <c r="F1260" t="s">
        <v>769</v>
      </c>
      <c r="G1260">
        <v>100595191</v>
      </c>
      <c r="H1260" t="s">
        <v>755</v>
      </c>
      <c r="I1260" t="s">
        <v>770</v>
      </c>
      <c r="J1260">
        <v>0</v>
      </c>
      <c r="K1260" s="143">
        <v>46146</v>
      </c>
      <c r="L1260" s="143">
        <v>46035</v>
      </c>
      <c r="M1260">
        <v>22025</v>
      </c>
      <c r="N1260" t="s">
        <v>771</v>
      </c>
      <c r="O1260">
        <v>2001</v>
      </c>
      <c r="S1260">
        <v>2.00159000126072E+17</v>
      </c>
      <c r="T1260" t="s">
        <v>772</v>
      </c>
    </row>
    <row r="1261" spans="1:20" x14ac:dyDescent="0.25">
      <c r="A1261">
        <v>5100281099</v>
      </c>
      <c r="B1261">
        <v>337956</v>
      </c>
      <c r="C1261" t="s">
        <v>768</v>
      </c>
      <c r="D1261" s="143">
        <v>46035</v>
      </c>
      <c r="E1261">
        <v>872.53</v>
      </c>
      <c r="F1261" t="s">
        <v>769</v>
      </c>
      <c r="G1261">
        <v>100595191</v>
      </c>
      <c r="H1261" t="s">
        <v>755</v>
      </c>
      <c r="I1261" t="s">
        <v>770</v>
      </c>
      <c r="J1261">
        <v>0</v>
      </c>
      <c r="K1261" s="143">
        <v>46146</v>
      </c>
      <c r="L1261" s="143">
        <v>46035</v>
      </c>
      <c r="M1261">
        <v>72025</v>
      </c>
      <c r="N1261" t="s">
        <v>771</v>
      </c>
      <c r="O1261">
        <v>2001</v>
      </c>
      <c r="S1261">
        <v>2.00159000126072E+17</v>
      </c>
      <c r="T1261" t="s">
        <v>772</v>
      </c>
    </row>
    <row r="1262" spans="1:20" x14ac:dyDescent="0.25">
      <c r="A1262">
        <v>5100422700</v>
      </c>
      <c r="B1262">
        <v>337956</v>
      </c>
      <c r="C1262" t="s">
        <v>768</v>
      </c>
      <c r="D1262" s="143">
        <v>46035</v>
      </c>
      <c r="E1262" s="55">
        <v>32235.52</v>
      </c>
      <c r="F1262" t="s">
        <v>769</v>
      </c>
      <c r="G1262">
        <v>100595191</v>
      </c>
      <c r="H1262" t="s">
        <v>755</v>
      </c>
      <c r="I1262" t="s">
        <v>770</v>
      </c>
      <c r="J1262">
        <v>0</v>
      </c>
      <c r="K1262" s="143">
        <v>46146</v>
      </c>
      <c r="L1262" s="143">
        <v>46035</v>
      </c>
      <c r="M1262">
        <v>92025</v>
      </c>
      <c r="N1262" t="s">
        <v>771</v>
      </c>
      <c r="O1262">
        <v>2001</v>
      </c>
      <c r="S1262">
        <v>2.00159000126072E+17</v>
      </c>
      <c r="T1262" t="s">
        <v>772</v>
      </c>
    </row>
    <row r="1263" spans="1:20" x14ac:dyDescent="0.25">
      <c r="A1263">
        <v>5100422701</v>
      </c>
      <c r="B1263">
        <v>337956</v>
      </c>
      <c r="C1263" t="s">
        <v>768</v>
      </c>
      <c r="D1263" s="143">
        <v>46035</v>
      </c>
      <c r="E1263">
        <v>872.53</v>
      </c>
      <c r="F1263" t="s">
        <v>769</v>
      </c>
      <c r="G1263">
        <v>100595191</v>
      </c>
      <c r="H1263" t="s">
        <v>755</v>
      </c>
      <c r="I1263" t="s">
        <v>770</v>
      </c>
      <c r="J1263">
        <v>0</v>
      </c>
      <c r="K1263" s="143">
        <v>46146</v>
      </c>
      <c r="L1263" s="143">
        <v>46035</v>
      </c>
      <c r="M1263">
        <v>92025</v>
      </c>
      <c r="N1263" t="s">
        <v>771</v>
      </c>
      <c r="O1263">
        <v>2001</v>
      </c>
      <c r="S1263">
        <v>2.00159000126072E+17</v>
      </c>
      <c r="T1263" t="s">
        <v>772</v>
      </c>
    </row>
    <row r="1264" spans="1:20" x14ac:dyDescent="0.25">
      <c r="A1264">
        <v>5100422837</v>
      </c>
      <c r="B1264">
        <v>381202</v>
      </c>
      <c r="C1264" t="s">
        <v>768</v>
      </c>
      <c r="D1264" s="143">
        <v>46035</v>
      </c>
      <c r="E1264">
        <v>547.09</v>
      </c>
      <c r="F1264" t="s">
        <v>769</v>
      </c>
      <c r="G1264">
        <v>1500038793</v>
      </c>
      <c r="H1264" t="s">
        <v>755</v>
      </c>
      <c r="I1264" t="s">
        <v>770</v>
      </c>
      <c r="K1264" s="143">
        <v>46069</v>
      </c>
      <c r="L1264" s="143">
        <v>46035</v>
      </c>
      <c r="M1264">
        <v>12025</v>
      </c>
      <c r="N1264" t="s">
        <v>771</v>
      </c>
      <c r="O1264">
        <v>2001</v>
      </c>
      <c r="S1264">
        <v>515186</v>
      </c>
      <c r="T1264" t="s">
        <v>772</v>
      </c>
    </row>
    <row r="1265" spans="1:20" x14ac:dyDescent="0.25">
      <c r="A1265">
        <v>5100422838</v>
      </c>
      <c r="B1265">
        <v>381202</v>
      </c>
      <c r="C1265" t="s">
        <v>768</v>
      </c>
      <c r="D1265" s="143">
        <v>46035</v>
      </c>
      <c r="E1265" s="55">
        <v>1530.25</v>
      </c>
      <c r="F1265" t="s">
        <v>769</v>
      </c>
      <c r="G1265">
        <v>1500038793</v>
      </c>
      <c r="H1265" t="s">
        <v>755</v>
      </c>
      <c r="I1265" t="s">
        <v>770</v>
      </c>
      <c r="K1265" s="143">
        <v>46069</v>
      </c>
      <c r="L1265" s="143">
        <v>46035</v>
      </c>
      <c r="M1265">
        <v>22025</v>
      </c>
      <c r="N1265" t="s">
        <v>771</v>
      </c>
      <c r="O1265">
        <v>2001</v>
      </c>
      <c r="S1265">
        <v>515186</v>
      </c>
      <c r="T1265" t="s">
        <v>772</v>
      </c>
    </row>
    <row r="1266" spans="1:20" x14ac:dyDescent="0.25">
      <c r="A1266">
        <v>5100422839</v>
      </c>
      <c r="B1266">
        <v>381202</v>
      </c>
      <c r="C1266" t="s">
        <v>768</v>
      </c>
      <c r="D1266" s="143">
        <v>46035</v>
      </c>
      <c r="E1266" s="55">
        <v>22933.69</v>
      </c>
      <c r="F1266" t="s">
        <v>769</v>
      </c>
      <c r="G1266">
        <v>1500038793</v>
      </c>
      <c r="H1266" t="s">
        <v>755</v>
      </c>
      <c r="I1266" t="s">
        <v>770</v>
      </c>
      <c r="K1266" s="143">
        <v>46069</v>
      </c>
      <c r="L1266" s="143">
        <v>46035</v>
      </c>
      <c r="M1266">
        <v>62025</v>
      </c>
      <c r="N1266" t="s">
        <v>771</v>
      </c>
      <c r="O1266">
        <v>2001</v>
      </c>
      <c r="S1266">
        <v>515186</v>
      </c>
      <c r="T1266" t="s">
        <v>772</v>
      </c>
    </row>
    <row r="1267" spans="1:20" x14ac:dyDescent="0.25">
      <c r="A1267">
        <v>5100422840</v>
      </c>
      <c r="B1267">
        <v>381202</v>
      </c>
      <c r="C1267" t="s">
        <v>768</v>
      </c>
      <c r="D1267" s="143">
        <v>46035</v>
      </c>
      <c r="E1267" s="55">
        <v>10205.4</v>
      </c>
      <c r="F1267" t="s">
        <v>769</v>
      </c>
      <c r="G1267">
        <v>1500038793</v>
      </c>
      <c r="H1267" t="s">
        <v>755</v>
      </c>
      <c r="I1267" t="s">
        <v>770</v>
      </c>
      <c r="K1267" s="143">
        <v>46069</v>
      </c>
      <c r="L1267" s="143">
        <v>46035</v>
      </c>
      <c r="M1267">
        <v>72025</v>
      </c>
      <c r="N1267" t="s">
        <v>771</v>
      </c>
      <c r="O1267">
        <v>2001</v>
      </c>
      <c r="S1267">
        <v>515186</v>
      </c>
      <c r="T1267" t="s">
        <v>772</v>
      </c>
    </row>
    <row r="1268" spans="1:20" x14ac:dyDescent="0.25">
      <c r="A1268">
        <v>5100422841</v>
      </c>
      <c r="B1268">
        <v>381202</v>
      </c>
      <c r="C1268" t="s">
        <v>768</v>
      </c>
      <c r="D1268" s="143">
        <v>46035</v>
      </c>
      <c r="E1268" s="55">
        <v>7464.95</v>
      </c>
      <c r="F1268" t="s">
        <v>769</v>
      </c>
      <c r="G1268">
        <v>1500038793</v>
      </c>
      <c r="H1268" t="s">
        <v>755</v>
      </c>
      <c r="I1268" t="s">
        <v>770</v>
      </c>
      <c r="K1268" s="143">
        <v>46069</v>
      </c>
      <c r="L1268" s="143">
        <v>46035</v>
      </c>
      <c r="M1268">
        <v>82025</v>
      </c>
      <c r="N1268" t="s">
        <v>771</v>
      </c>
      <c r="O1268">
        <v>2001</v>
      </c>
      <c r="S1268">
        <v>515186</v>
      </c>
      <c r="T1268" t="s">
        <v>772</v>
      </c>
    </row>
    <row r="1269" spans="1:20" x14ac:dyDescent="0.25">
      <c r="A1269">
        <v>5100422852</v>
      </c>
      <c r="B1269">
        <v>381970</v>
      </c>
      <c r="C1269" t="s">
        <v>768</v>
      </c>
      <c r="D1269" s="143">
        <v>46035</v>
      </c>
      <c r="E1269" s="55">
        <v>31292.86</v>
      </c>
      <c r="F1269" t="s">
        <v>769</v>
      </c>
      <c r="G1269">
        <v>1500032796</v>
      </c>
      <c r="H1269" t="s">
        <v>755</v>
      </c>
      <c r="I1269" t="s">
        <v>770</v>
      </c>
      <c r="K1269" s="143">
        <v>46083</v>
      </c>
      <c r="L1269" s="143">
        <v>46035</v>
      </c>
      <c r="M1269">
        <v>82025</v>
      </c>
      <c r="N1269" t="s">
        <v>774</v>
      </c>
      <c r="O1269">
        <v>2001</v>
      </c>
      <c r="S1269">
        <v>524419</v>
      </c>
      <c r="T1269" t="s">
        <v>772</v>
      </c>
    </row>
    <row r="1270" spans="1:20" x14ac:dyDescent="0.25">
      <c r="A1270">
        <v>5100423052</v>
      </c>
      <c r="B1270">
        <v>394510</v>
      </c>
      <c r="C1270" t="s">
        <v>768</v>
      </c>
      <c r="D1270" s="143">
        <v>46035</v>
      </c>
      <c r="E1270" s="55">
        <v>43726.41</v>
      </c>
      <c r="F1270" t="s">
        <v>769</v>
      </c>
      <c r="G1270">
        <v>1500038797</v>
      </c>
      <c r="H1270" t="s">
        <v>755</v>
      </c>
      <c r="I1270" t="s">
        <v>770</v>
      </c>
      <c r="K1270" s="143">
        <v>46069</v>
      </c>
      <c r="L1270" s="143">
        <v>46035</v>
      </c>
      <c r="M1270">
        <v>22025</v>
      </c>
      <c r="N1270" t="s">
        <v>771</v>
      </c>
      <c r="O1270">
        <v>2001</v>
      </c>
      <c r="S1270">
        <v>525828</v>
      </c>
      <c r="T1270" t="s">
        <v>772</v>
      </c>
    </row>
    <row r="1271" spans="1:20" x14ac:dyDescent="0.25">
      <c r="A1271">
        <v>5100423053</v>
      </c>
      <c r="B1271">
        <v>394510</v>
      </c>
      <c r="C1271" t="s">
        <v>768</v>
      </c>
      <c r="D1271" s="143">
        <v>46035</v>
      </c>
      <c r="E1271" s="55">
        <v>29999.15</v>
      </c>
      <c r="F1271" t="s">
        <v>769</v>
      </c>
      <c r="G1271">
        <v>1500038797</v>
      </c>
      <c r="H1271" t="s">
        <v>755</v>
      </c>
      <c r="I1271" t="s">
        <v>770</v>
      </c>
      <c r="K1271" s="143">
        <v>46069</v>
      </c>
      <c r="L1271" s="143">
        <v>46035</v>
      </c>
      <c r="M1271">
        <v>32025</v>
      </c>
      <c r="N1271" t="s">
        <v>771</v>
      </c>
      <c r="O1271">
        <v>2001</v>
      </c>
      <c r="S1271">
        <v>525828</v>
      </c>
      <c r="T1271" t="s">
        <v>772</v>
      </c>
    </row>
    <row r="1272" spans="1:20" x14ac:dyDescent="0.25">
      <c r="A1272">
        <v>5100423060</v>
      </c>
      <c r="B1272">
        <v>396234</v>
      </c>
      <c r="C1272" t="s">
        <v>768</v>
      </c>
      <c r="D1272" s="143">
        <v>46035</v>
      </c>
      <c r="E1272" s="55">
        <v>5402.94</v>
      </c>
      <c r="F1272" t="s">
        <v>769</v>
      </c>
      <c r="G1272">
        <v>1500061123</v>
      </c>
      <c r="H1272" t="s">
        <v>755</v>
      </c>
      <c r="I1272" t="s">
        <v>770</v>
      </c>
      <c r="K1272" s="143">
        <v>46098</v>
      </c>
      <c r="L1272" s="143">
        <v>46035</v>
      </c>
      <c r="M1272">
        <v>32025</v>
      </c>
      <c r="N1272" t="s">
        <v>771</v>
      </c>
      <c r="O1272">
        <v>2001</v>
      </c>
      <c r="S1272" t="s">
        <v>778</v>
      </c>
      <c r="T1272" t="s">
        <v>772</v>
      </c>
    </row>
    <row r="1273" spans="1:20" x14ac:dyDescent="0.25">
      <c r="A1273">
        <v>5100423061</v>
      </c>
      <c r="B1273">
        <v>396234</v>
      </c>
      <c r="C1273" t="s">
        <v>768</v>
      </c>
      <c r="D1273" s="143">
        <v>46035</v>
      </c>
      <c r="E1273" s="55">
        <v>1788.99</v>
      </c>
      <c r="F1273" t="s">
        <v>769</v>
      </c>
      <c r="G1273">
        <v>1500061123</v>
      </c>
      <c r="H1273" t="s">
        <v>755</v>
      </c>
      <c r="I1273" t="s">
        <v>770</v>
      </c>
      <c r="K1273" s="143">
        <v>46098</v>
      </c>
      <c r="L1273" s="143">
        <v>46035</v>
      </c>
      <c r="M1273">
        <v>42025</v>
      </c>
      <c r="N1273" t="s">
        <v>771</v>
      </c>
      <c r="O1273">
        <v>2001</v>
      </c>
      <c r="S1273" t="s">
        <v>778</v>
      </c>
      <c r="T1273" t="s">
        <v>772</v>
      </c>
    </row>
    <row r="1274" spans="1:20" x14ac:dyDescent="0.25">
      <c r="A1274">
        <v>5100423062</v>
      </c>
      <c r="B1274">
        <v>396234</v>
      </c>
      <c r="C1274" t="s">
        <v>768</v>
      </c>
      <c r="D1274" s="143">
        <v>46035</v>
      </c>
      <c r="E1274">
        <v>448.63</v>
      </c>
      <c r="F1274" t="s">
        <v>769</v>
      </c>
      <c r="G1274">
        <v>1500061123</v>
      </c>
      <c r="H1274" t="s">
        <v>755</v>
      </c>
      <c r="I1274" t="s">
        <v>770</v>
      </c>
      <c r="K1274" s="143">
        <v>46098</v>
      </c>
      <c r="L1274" s="143">
        <v>46035</v>
      </c>
      <c r="M1274">
        <v>52025</v>
      </c>
      <c r="N1274" t="s">
        <v>771</v>
      </c>
      <c r="O1274">
        <v>2001</v>
      </c>
      <c r="S1274" t="s">
        <v>778</v>
      </c>
      <c r="T1274" t="s">
        <v>772</v>
      </c>
    </row>
    <row r="1275" spans="1:20" x14ac:dyDescent="0.25">
      <c r="A1275">
        <v>5100423063</v>
      </c>
      <c r="B1275">
        <v>396234</v>
      </c>
      <c r="C1275" t="s">
        <v>768</v>
      </c>
      <c r="D1275" s="143">
        <v>46035</v>
      </c>
      <c r="E1275" s="55">
        <v>7263.46</v>
      </c>
      <c r="F1275" t="s">
        <v>769</v>
      </c>
      <c r="G1275">
        <v>1500061123</v>
      </c>
      <c r="H1275" t="s">
        <v>755</v>
      </c>
      <c r="I1275" t="s">
        <v>770</v>
      </c>
      <c r="K1275" s="143">
        <v>46098</v>
      </c>
      <c r="L1275" s="143">
        <v>46035</v>
      </c>
      <c r="M1275">
        <v>82025</v>
      </c>
      <c r="N1275" t="s">
        <v>771</v>
      </c>
      <c r="O1275">
        <v>2001</v>
      </c>
      <c r="S1275" t="s">
        <v>778</v>
      </c>
      <c r="T1275" t="s">
        <v>772</v>
      </c>
    </row>
    <row r="1276" spans="1:20" x14ac:dyDescent="0.25">
      <c r="A1276">
        <v>5100423064</v>
      </c>
      <c r="B1276">
        <v>396234</v>
      </c>
      <c r="C1276" t="s">
        <v>768</v>
      </c>
      <c r="D1276" s="143">
        <v>46035</v>
      </c>
      <c r="E1276" s="55">
        <v>13850.27</v>
      </c>
      <c r="F1276" t="s">
        <v>769</v>
      </c>
      <c r="G1276">
        <v>1500061123</v>
      </c>
      <c r="H1276" t="s">
        <v>755</v>
      </c>
      <c r="I1276" t="s">
        <v>770</v>
      </c>
      <c r="K1276" s="143">
        <v>46098</v>
      </c>
      <c r="L1276" s="143">
        <v>46035</v>
      </c>
      <c r="M1276">
        <v>92025</v>
      </c>
      <c r="N1276" t="s">
        <v>771</v>
      </c>
      <c r="O1276">
        <v>2001</v>
      </c>
      <c r="S1276" t="s">
        <v>778</v>
      </c>
      <c r="T1276" t="s">
        <v>772</v>
      </c>
    </row>
    <row r="1277" spans="1:20" x14ac:dyDescent="0.25">
      <c r="A1277">
        <v>5100601847</v>
      </c>
      <c r="B1277">
        <v>3160</v>
      </c>
      <c r="C1277" t="s">
        <v>768</v>
      </c>
      <c r="D1277" s="143">
        <v>46086</v>
      </c>
      <c r="E1277" s="55">
        <v>59544.93</v>
      </c>
      <c r="F1277" t="s">
        <v>769</v>
      </c>
      <c r="G1277">
        <v>1500030108</v>
      </c>
      <c r="H1277" t="s">
        <v>755</v>
      </c>
      <c r="I1277" t="s">
        <v>784</v>
      </c>
      <c r="K1277" s="143">
        <v>46090</v>
      </c>
      <c r="L1277" s="143">
        <v>46086</v>
      </c>
      <c r="M1277">
        <v>32026</v>
      </c>
      <c r="N1277" t="s">
        <v>771</v>
      </c>
      <c r="O1277">
        <v>2001</v>
      </c>
      <c r="S1277" t="s">
        <v>777</v>
      </c>
      <c r="T1277">
        <v>1500059778</v>
      </c>
    </row>
    <row r="1278" spans="1:20" x14ac:dyDescent="0.25">
      <c r="A1278">
        <v>5100453814</v>
      </c>
      <c r="B1278">
        <v>9580</v>
      </c>
      <c r="C1278" t="s">
        <v>768</v>
      </c>
      <c r="D1278" s="143">
        <v>46072</v>
      </c>
      <c r="E1278" s="55">
        <v>48124</v>
      </c>
      <c r="F1278" t="s">
        <v>769</v>
      </c>
      <c r="G1278">
        <v>1500091602</v>
      </c>
      <c r="H1278" t="s">
        <v>755</v>
      </c>
      <c r="I1278" t="s">
        <v>791</v>
      </c>
      <c r="K1278" s="143">
        <v>46076</v>
      </c>
      <c r="L1278" s="143">
        <v>46072</v>
      </c>
      <c r="M1278">
        <v>22026</v>
      </c>
      <c r="N1278" t="s">
        <v>771</v>
      </c>
      <c r="O1278">
        <v>2001</v>
      </c>
      <c r="S1278" t="s">
        <v>773</v>
      </c>
      <c r="T1278">
        <v>1500059778</v>
      </c>
    </row>
    <row r="1279" spans="1:20" x14ac:dyDescent="0.25">
      <c r="A1279">
        <v>5100453813</v>
      </c>
      <c r="B1279">
        <v>11601</v>
      </c>
      <c r="C1279" t="s">
        <v>768</v>
      </c>
      <c r="D1279" s="143">
        <v>46072</v>
      </c>
      <c r="E1279" s="55">
        <v>33189.480000000003</v>
      </c>
      <c r="F1279" t="s">
        <v>769</v>
      </c>
      <c r="G1279">
        <v>1500091604</v>
      </c>
      <c r="H1279" t="s">
        <v>755</v>
      </c>
      <c r="I1279" t="s">
        <v>791</v>
      </c>
      <c r="K1279" s="143">
        <v>46076</v>
      </c>
      <c r="L1279" s="143">
        <v>46072</v>
      </c>
      <c r="M1279">
        <v>22026</v>
      </c>
      <c r="N1279" t="s">
        <v>771</v>
      </c>
      <c r="O1279">
        <v>2001</v>
      </c>
      <c r="S1279" t="s">
        <v>773</v>
      </c>
      <c r="T1279">
        <v>1500059778</v>
      </c>
    </row>
    <row r="1280" spans="1:20" x14ac:dyDescent="0.25">
      <c r="A1280">
        <v>1900014763</v>
      </c>
      <c r="B1280">
        <v>20456</v>
      </c>
      <c r="C1280" t="s">
        <v>792</v>
      </c>
      <c r="D1280" s="143">
        <v>46079</v>
      </c>
      <c r="E1280" s="55">
        <v>-21168.84</v>
      </c>
      <c r="F1280" t="s">
        <v>769</v>
      </c>
      <c r="G1280">
        <v>102029500</v>
      </c>
      <c r="H1280" t="s">
        <v>755</v>
      </c>
      <c r="I1280" t="s">
        <v>785</v>
      </c>
      <c r="K1280" s="143">
        <v>46092</v>
      </c>
      <c r="L1280" s="143">
        <v>46079</v>
      </c>
      <c r="M1280">
        <v>22026</v>
      </c>
      <c r="N1280" t="s">
        <v>771</v>
      </c>
      <c r="O1280">
        <v>2001</v>
      </c>
      <c r="Q1280" t="s">
        <v>801</v>
      </c>
      <c r="S1280" t="s">
        <v>795</v>
      </c>
      <c r="T1280">
        <v>1500059778</v>
      </c>
    </row>
    <row r="1281" spans="1:20" x14ac:dyDescent="0.25">
      <c r="A1281">
        <v>5100132296</v>
      </c>
      <c r="B1281">
        <v>20456</v>
      </c>
      <c r="C1281" t="s">
        <v>768</v>
      </c>
      <c r="D1281" s="143">
        <v>46079</v>
      </c>
      <c r="E1281" s="55">
        <v>21168.84</v>
      </c>
      <c r="F1281" t="s">
        <v>769</v>
      </c>
      <c r="G1281">
        <v>102029500</v>
      </c>
      <c r="H1281" t="s">
        <v>755</v>
      </c>
      <c r="I1281" t="s">
        <v>785</v>
      </c>
      <c r="K1281" s="143">
        <v>46092</v>
      </c>
      <c r="L1281" s="143">
        <v>46079</v>
      </c>
      <c r="M1281">
        <v>22026</v>
      </c>
      <c r="N1281" t="s">
        <v>771</v>
      </c>
      <c r="O1281">
        <v>2001</v>
      </c>
      <c r="S1281" t="s">
        <v>795</v>
      </c>
      <c r="T1281">
        <v>1500059778</v>
      </c>
    </row>
    <row r="1282" spans="1:20" x14ac:dyDescent="0.25">
      <c r="A1282">
        <v>5100052916</v>
      </c>
      <c r="B1282">
        <v>20859</v>
      </c>
      <c r="C1282" t="s">
        <v>768</v>
      </c>
      <c r="D1282" s="143">
        <v>46066</v>
      </c>
      <c r="E1282" s="55">
        <v>40579.35</v>
      </c>
      <c r="F1282" t="s">
        <v>769</v>
      </c>
      <c r="G1282">
        <v>101310172</v>
      </c>
      <c r="H1282" t="s">
        <v>755</v>
      </c>
      <c r="I1282" t="s">
        <v>789</v>
      </c>
      <c r="J1282">
        <v>0</v>
      </c>
      <c r="K1282" s="143">
        <v>46146</v>
      </c>
      <c r="L1282" s="143">
        <v>46066</v>
      </c>
      <c r="M1282">
        <v>22026</v>
      </c>
      <c r="N1282" t="s">
        <v>771</v>
      </c>
      <c r="O1282">
        <v>2001</v>
      </c>
      <c r="S1282">
        <v>2.00159000238052E+17</v>
      </c>
      <c r="T1282">
        <v>1500059778</v>
      </c>
    </row>
    <row r="1283" spans="1:20" x14ac:dyDescent="0.25">
      <c r="A1283">
        <v>5100226337</v>
      </c>
      <c r="B1283">
        <v>20859</v>
      </c>
      <c r="C1283" t="s">
        <v>768</v>
      </c>
      <c r="D1283" s="143">
        <v>46077</v>
      </c>
      <c r="E1283" s="55">
        <v>9627</v>
      </c>
      <c r="F1283" t="s">
        <v>769</v>
      </c>
      <c r="G1283">
        <v>1500049623</v>
      </c>
      <c r="H1283" t="s">
        <v>755</v>
      </c>
      <c r="I1283" t="s">
        <v>796</v>
      </c>
      <c r="K1283" s="143">
        <v>46078</v>
      </c>
      <c r="L1283" s="143">
        <v>46077</v>
      </c>
      <c r="M1283">
        <v>22026</v>
      </c>
      <c r="N1283" t="s">
        <v>771</v>
      </c>
      <c r="O1283">
        <v>2001</v>
      </c>
      <c r="S1283" t="s">
        <v>783</v>
      </c>
      <c r="T1283">
        <v>693262785</v>
      </c>
    </row>
    <row r="1284" spans="1:20" x14ac:dyDescent="0.25">
      <c r="A1284">
        <v>5100252630</v>
      </c>
      <c r="B1284">
        <v>21778</v>
      </c>
      <c r="C1284" t="s">
        <v>768</v>
      </c>
      <c r="D1284" s="143">
        <v>46066</v>
      </c>
      <c r="E1284" s="55">
        <v>37885.03</v>
      </c>
      <c r="F1284" t="s">
        <v>769</v>
      </c>
      <c r="G1284">
        <v>101160641</v>
      </c>
      <c r="H1284" t="s">
        <v>755</v>
      </c>
      <c r="I1284" t="s">
        <v>789</v>
      </c>
      <c r="J1284">
        <v>0</v>
      </c>
      <c r="K1284" s="143">
        <v>46216</v>
      </c>
      <c r="L1284" s="143">
        <v>46066</v>
      </c>
      <c r="M1284">
        <v>22026</v>
      </c>
      <c r="N1284" t="s">
        <v>771</v>
      </c>
      <c r="O1284">
        <v>2001</v>
      </c>
      <c r="S1284">
        <v>2.00159000248012E+17</v>
      </c>
      <c r="T1284">
        <v>1500059778</v>
      </c>
    </row>
    <row r="1285" spans="1:20" x14ac:dyDescent="0.25">
      <c r="A1285">
        <v>5100745449</v>
      </c>
      <c r="B1285">
        <v>21778</v>
      </c>
      <c r="C1285" t="s">
        <v>768</v>
      </c>
      <c r="D1285" s="143">
        <v>46093</v>
      </c>
      <c r="E1285" s="55">
        <v>62628.959999999999</v>
      </c>
      <c r="F1285" t="s">
        <v>769</v>
      </c>
      <c r="G1285">
        <v>1500030309</v>
      </c>
      <c r="H1285" t="s">
        <v>755</v>
      </c>
      <c r="I1285" t="s">
        <v>788</v>
      </c>
      <c r="K1285" s="143">
        <v>46098</v>
      </c>
      <c r="L1285" s="143">
        <v>46093</v>
      </c>
      <c r="M1285">
        <v>32026</v>
      </c>
      <c r="N1285" t="s">
        <v>771</v>
      </c>
      <c r="O1285">
        <v>2001</v>
      </c>
      <c r="S1285" t="s">
        <v>778</v>
      </c>
      <c r="T1285">
        <v>1500059778</v>
      </c>
    </row>
    <row r="1286" spans="1:20" x14ac:dyDescent="0.25">
      <c r="A1286">
        <v>5101902225</v>
      </c>
      <c r="B1286">
        <v>22065</v>
      </c>
      <c r="C1286" t="s">
        <v>768</v>
      </c>
      <c r="D1286" s="143">
        <v>46100</v>
      </c>
      <c r="E1286" s="55">
        <v>47290.559999999998</v>
      </c>
      <c r="F1286" t="s">
        <v>769</v>
      </c>
      <c r="H1286" t="s">
        <v>787</v>
      </c>
      <c r="I1286" t="s">
        <v>786</v>
      </c>
      <c r="J1286">
        <v>0</v>
      </c>
      <c r="L1286" s="143">
        <v>46100</v>
      </c>
      <c r="M1286">
        <v>32026</v>
      </c>
      <c r="N1286" t="s">
        <v>771</v>
      </c>
      <c r="O1286">
        <v>2001</v>
      </c>
      <c r="T1286">
        <v>1500059778</v>
      </c>
    </row>
    <row r="1287" spans="1:20" x14ac:dyDescent="0.25">
      <c r="A1287">
        <v>5100180823</v>
      </c>
      <c r="B1287">
        <v>22065</v>
      </c>
      <c r="C1287" t="s">
        <v>768</v>
      </c>
      <c r="D1287" s="143">
        <v>46072</v>
      </c>
      <c r="E1287" s="55">
        <v>88634.76</v>
      </c>
      <c r="F1287" t="s">
        <v>769</v>
      </c>
      <c r="G1287">
        <v>101578353</v>
      </c>
      <c r="H1287" t="s">
        <v>755</v>
      </c>
      <c r="I1287" t="s">
        <v>791</v>
      </c>
      <c r="J1287">
        <v>0</v>
      </c>
      <c r="K1287" s="143">
        <v>46160</v>
      </c>
      <c r="L1287" s="143">
        <v>46072</v>
      </c>
      <c r="M1287">
        <v>22026</v>
      </c>
      <c r="N1287" t="s">
        <v>771</v>
      </c>
      <c r="O1287">
        <v>2001</v>
      </c>
      <c r="S1287">
        <v>2.0015900028700198E+17</v>
      </c>
      <c r="T1287">
        <v>1500059778</v>
      </c>
    </row>
    <row r="1288" spans="1:20" x14ac:dyDescent="0.25">
      <c r="A1288">
        <v>5100091931</v>
      </c>
      <c r="B1288">
        <v>24836</v>
      </c>
      <c r="C1288" t="s">
        <v>768</v>
      </c>
      <c r="D1288" s="143">
        <v>46072</v>
      </c>
      <c r="E1288" s="55">
        <v>58539.42</v>
      </c>
      <c r="F1288" t="s">
        <v>769</v>
      </c>
      <c r="G1288">
        <v>1500091613</v>
      </c>
      <c r="H1288" t="s">
        <v>755</v>
      </c>
      <c r="I1288" t="s">
        <v>791</v>
      </c>
      <c r="K1288" s="143">
        <v>46076</v>
      </c>
      <c r="L1288" s="143">
        <v>46072</v>
      </c>
      <c r="M1288">
        <v>22026</v>
      </c>
      <c r="N1288" t="s">
        <v>771</v>
      </c>
      <c r="O1288">
        <v>2001</v>
      </c>
      <c r="S1288" t="s">
        <v>773</v>
      </c>
      <c r="T1288">
        <v>1500059778</v>
      </c>
    </row>
    <row r="1289" spans="1:20" x14ac:dyDescent="0.25">
      <c r="A1289">
        <v>5100132292</v>
      </c>
      <c r="B1289">
        <v>24836</v>
      </c>
      <c r="C1289" t="s">
        <v>768</v>
      </c>
      <c r="D1289" s="143">
        <v>46079</v>
      </c>
      <c r="E1289" s="55">
        <v>27155.06</v>
      </c>
      <c r="F1289" t="s">
        <v>769</v>
      </c>
      <c r="G1289">
        <v>1500099203</v>
      </c>
      <c r="H1289" t="s">
        <v>755</v>
      </c>
      <c r="I1289" t="s">
        <v>785</v>
      </c>
      <c r="K1289" s="143">
        <v>46083</v>
      </c>
      <c r="L1289" s="143">
        <v>46079</v>
      </c>
      <c r="M1289">
        <v>22026</v>
      </c>
      <c r="N1289" t="s">
        <v>771</v>
      </c>
      <c r="O1289">
        <v>2001</v>
      </c>
      <c r="S1289" t="s">
        <v>783</v>
      </c>
      <c r="T1289">
        <v>1500059778</v>
      </c>
    </row>
    <row r="1290" spans="1:20" x14ac:dyDescent="0.25">
      <c r="A1290">
        <v>5100091930</v>
      </c>
      <c r="B1290">
        <v>25528</v>
      </c>
      <c r="C1290" t="s">
        <v>768</v>
      </c>
      <c r="D1290" s="143">
        <v>46072</v>
      </c>
      <c r="E1290" s="55">
        <v>77669.820000000007</v>
      </c>
      <c r="F1290" t="s">
        <v>769</v>
      </c>
      <c r="G1290">
        <v>1500091614</v>
      </c>
      <c r="H1290" t="s">
        <v>755</v>
      </c>
      <c r="I1290" t="s">
        <v>791</v>
      </c>
      <c r="K1290" s="143">
        <v>46076</v>
      </c>
      <c r="L1290" s="143">
        <v>46072</v>
      </c>
      <c r="M1290">
        <v>22026</v>
      </c>
      <c r="N1290" t="s">
        <v>771</v>
      </c>
      <c r="O1290">
        <v>2001</v>
      </c>
      <c r="S1290" t="s">
        <v>773</v>
      </c>
      <c r="T1290">
        <v>1500059778</v>
      </c>
    </row>
    <row r="1291" spans="1:20" x14ac:dyDescent="0.25">
      <c r="A1291">
        <v>5101389002</v>
      </c>
      <c r="B1291">
        <v>25528</v>
      </c>
      <c r="C1291" t="s">
        <v>768</v>
      </c>
      <c r="D1291" s="143">
        <v>46079</v>
      </c>
      <c r="E1291" s="55">
        <v>13072.79</v>
      </c>
      <c r="F1291" t="s">
        <v>769</v>
      </c>
      <c r="G1291">
        <v>1500099204</v>
      </c>
      <c r="H1291" t="s">
        <v>755</v>
      </c>
      <c r="I1291" t="s">
        <v>785</v>
      </c>
      <c r="K1291" s="143">
        <v>46083</v>
      </c>
      <c r="L1291" s="143">
        <v>46079</v>
      </c>
      <c r="M1291">
        <v>22026</v>
      </c>
      <c r="N1291" t="s">
        <v>771</v>
      </c>
      <c r="O1291">
        <v>2001</v>
      </c>
      <c r="S1291" t="s">
        <v>783</v>
      </c>
      <c r="T1291">
        <v>1500059778</v>
      </c>
    </row>
    <row r="1292" spans="1:20" x14ac:dyDescent="0.25">
      <c r="A1292">
        <v>1900014762</v>
      </c>
      <c r="B1292">
        <v>25957</v>
      </c>
      <c r="C1292" t="s">
        <v>792</v>
      </c>
      <c r="D1292" s="143">
        <v>46079</v>
      </c>
      <c r="E1292" s="55">
        <v>-74727.149999999994</v>
      </c>
      <c r="F1292" t="s">
        <v>769</v>
      </c>
      <c r="G1292">
        <v>102108200</v>
      </c>
      <c r="H1292" t="s">
        <v>755</v>
      </c>
      <c r="I1292" t="s">
        <v>785</v>
      </c>
      <c r="K1292" s="143">
        <v>46094</v>
      </c>
      <c r="L1292" s="143">
        <v>46079</v>
      </c>
      <c r="M1292">
        <v>22026</v>
      </c>
      <c r="N1292" t="s">
        <v>771</v>
      </c>
      <c r="O1292">
        <v>2001</v>
      </c>
      <c r="Q1292" t="s">
        <v>801</v>
      </c>
      <c r="S1292" t="s">
        <v>795</v>
      </c>
      <c r="T1292">
        <v>1500059778</v>
      </c>
    </row>
    <row r="1293" spans="1:20" x14ac:dyDescent="0.25">
      <c r="A1293">
        <v>5100132295</v>
      </c>
      <c r="B1293">
        <v>25957</v>
      </c>
      <c r="C1293" t="s">
        <v>768</v>
      </c>
      <c r="D1293" s="143">
        <v>46079</v>
      </c>
      <c r="E1293" s="55">
        <v>74727.149999999994</v>
      </c>
      <c r="F1293" t="s">
        <v>769</v>
      </c>
      <c r="G1293">
        <v>102108200</v>
      </c>
      <c r="H1293" t="s">
        <v>755</v>
      </c>
      <c r="I1293" t="s">
        <v>785</v>
      </c>
      <c r="K1293" s="143">
        <v>46094</v>
      </c>
      <c r="L1293" s="143">
        <v>46079</v>
      </c>
      <c r="M1293">
        <v>22026</v>
      </c>
      <c r="N1293" t="s">
        <v>771</v>
      </c>
      <c r="O1293">
        <v>2001</v>
      </c>
      <c r="S1293" t="s">
        <v>795</v>
      </c>
      <c r="T1293">
        <v>1500059778</v>
      </c>
    </row>
    <row r="1294" spans="1:20" x14ac:dyDescent="0.25">
      <c r="A1294">
        <v>5100745450</v>
      </c>
      <c r="B1294">
        <v>60681</v>
      </c>
      <c r="C1294" t="s">
        <v>768</v>
      </c>
      <c r="D1294" s="143">
        <v>46093</v>
      </c>
      <c r="E1294" s="55">
        <v>8769.8700000000008</v>
      </c>
      <c r="F1294" t="s">
        <v>769</v>
      </c>
      <c r="G1294">
        <v>1500067159</v>
      </c>
      <c r="H1294" t="s">
        <v>755</v>
      </c>
      <c r="I1294" t="s">
        <v>788</v>
      </c>
      <c r="K1294" s="143">
        <v>46098</v>
      </c>
      <c r="L1294" s="143">
        <v>46093</v>
      </c>
      <c r="M1294">
        <v>32026</v>
      </c>
      <c r="N1294" t="s">
        <v>771</v>
      </c>
      <c r="O1294">
        <v>2001</v>
      </c>
      <c r="S1294" t="s">
        <v>778</v>
      </c>
      <c r="T1294">
        <v>1500059778</v>
      </c>
    </row>
    <row r="1295" spans="1:20" x14ac:dyDescent="0.25">
      <c r="A1295">
        <v>5101902227</v>
      </c>
      <c r="B1295">
        <v>60681</v>
      </c>
      <c r="C1295" t="s">
        <v>768</v>
      </c>
      <c r="D1295" s="143">
        <v>46100</v>
      </c>
      <c r="E1295" s="55">
        <v>27640.11</v>
      </c>
      <c r="F1295" t="s">
        <v>769</v>
      </c>
      <c r="G1295">
        <v>1500070204</v>
      </c>
      <c r="H1295" t="s">
        <v>755</v>
      </c>
      <c r="I1295" t="s">
        <v>786</v>
      </c>
      <c r="K1295" s="143">
        <v>46104</v>
      </c>
      <c r="L1295" s="143">
        <v>46100</v>
      </c>
      <c r="M1295">
        <v>32026</v>
      </c>
      <c r="N1295" t="s">
        <v>771</v>
      </c>
      <c r="O1295">
        <v>2001</v>
      </c>
      <c r="S1295" t="s">
        <v>776</v>
      </c>
      <c r="T1295">
        <v>1500059778</v>
      </c>
    </row>
    <row r="1296" spans="1:20" x14ac:dyDescent="0.25">
      <c r="A1296">
        <v>5100453815</v>
      </c>
      <c r="B1296">
        <v>60681</v>
      </c>
      <c r="C1296" t="s">
        <v>768</v>
      </c>
      <c r="D1296" s="143">
        <v>46072</v>
      </c>
      <c r="E1296" s="55">
        <v>2555.5100000000002</v>
      </c>
      <c r="F1296" t="s">
        <v>769</v>
      </c>
      <c r="G1296">
        <v>1500091624</v>
      </c>
      <c r="H1296" t="s">
        <v>755</v>
      </c>
      <c r="I1296" t="s">
        <v>791</v>
      </c>
      <c r="K1296" s="143">
        <v>46076</v>
      </c>
      <c r="L1296" s="143">
        <v>46072</v>
      </c>
      <c r="M1296">
        <v>22026</v>
      </c>
      <c r="N1296" t="s">
        <v>771</v>
      </c>
      <c r="O1296">
        <v>2001</v>
      </c>
      <c r="S1296" t="s">
        <v>773</v>
      </c>
      <c r="T1296">
        <v>1500059778</v>
      </c>
    </row>
    <row r="1297" spans="1:20" x14ac:dyDescent="0.25">
      <c r="A1297">
        <v>5100132298</v>
      </c>
      <c r="B1297">
        <v>60681</v>
      </c>
      <c r="C1297" t="s">
        <v>768</v>
      </c>
      <c r="D1297" s="143">
        <v>46079</v>
      </c>
      <c r="E1297" s="55">
        <v>13424.55</v>
      </c>
      <c r="F1297" t="s">
        <v>769</v>
      </c>
      <c r="G1297">
        <v>1500099013</v>
      </c>
      <c r="H1297" t="s">
        <v>755</v>
      </c>
      <c r="I1297" t="s">
        <v>785</v>
      </c>
      <c r="K1297" s="143">
        <v>46083</v>
      </c>
      <c r="L1297" s="143">
        <v>46079</v>
      </c>
      <c r="M1297">
        <v>22026</v>
      </c>
      <c r="N1297" t="s">
        <v>771</v>
      </c>
      <c r="O1297">
        <v>2001</v>
      </c>
      <c r="S1297" t="s">
        <v>783</v>
      </c>
      <c r="T1297">
        <v>1500059778</v>
      </c>
    </row>
    <row r="1298" spans="1:20" x14ac:dyDescent="0.25">
      <c r="A1298">
        <v>5100252632</v>
      </c>
      <c r="B1298">
        <v>64881</v>
      </c>
      <c r="C1298" t="s">
        <v>768</v>
      </c>
      <c r="D1298" s="143">
        <v>46066</v>
      </c>
      <c r="E1298" s="55">
        <v>55481.51</v>
      </c>
      <c r="F1298" t="s">
        <v>769</v>
      </c>
      <c r="G1298">
        <v>101286133</v>
      </c>
      <c r="H1298" t="s">
        <v>755</v>
      </c>
      <c r="I1298" t="s">
        <v>789</v>
      </c>
      <c r="J1298">
        <v>0</v>
      </c>
      <c r="K1298" s="143">
        <v>46104</v>
      </c>
      <c r="L1298" s="143">
        <v>46066</v>
      </c>
      <c r="M1298">
        <v>22026</v>
      </c>
      <c r="N1298" t="s">
        <v>771</v>
      </c>
      <c r="O1298">
        <v>2001</v>
      </c>
      <c r="S1298">
        <v>2.00159000032032E+17</v>
      </c>
      <c r="T1298">
        <v>1500059778</v>
      </c>
    </row>
    <row r="1299" spans="1:20" x14ac:dyDescent="0.25">
      <c r="A1299">
        <v>5100424434</v>
      </c>
      <c r="B1299">
        <v>64881</v>
      </c>
      <c r="C1299" t="s">
        <v>768</v>
      </c>
      <c r="D1299" s="143">
        <v>46072</v>
      </c>
      <c r="E1299" s="55">
        <v>12883.29</v>
      </c>
      <c r="F1299" t="s">
        <v>769</v>
      </c>
      <c r="G1299">
        <v>101388706</v>
      </c>
      <c r="H1299" t="s">
        <v>755</v>
      </c>
      <c r="I1299" t="s">
        <v>791</v>
      </c>
      <c r="J1299">
        <v>0</v>
      </c>
      <c r="K1299" s="143">
        <v>46111</v>
      </c>
      <c r="L1299" s="143">
        <v>46072</v>
      </c>
      <c r="M1299">
        <v>22026</v>
      </c>
      <c r="N1299" t="s">
        <v>771</v>
      </c>
      <c r="O1299">
        <v>2001</v>
      </c>
      <c r="S1299">
        <v>2.0015900022506202E+17</v>
      </c>
      <c r="T1299">
        <v>1500059778</v>
      </c>
    </row>
    <row r="1300" spans="1:20" x14ac:dyDescent="0.25">
      <c r="A1300">
        <v>5100132294</v>
      </c>
      <c r="B1300">
        <v>64881</v>
      </c>
      <c r="C1300" t="s">
        <v>768</v>
      </c>
      <c r="D1300" s="143">
        <v>46079</v>
      </c>
      <c r="E1300" s="55">
        <v>7274.17</v>
      </c>
      <c r="F1300" t="s">
        <v>769</v>
      </c>
      <c r="G1300">
        <v>1500099207</v>
      </c>
      <c r="H1300" t="s">
        <v>755</v>
      </c>
      <c r="I1300" t="s">
        <v>785</v>
      </c>
      <c r="K1300" s="143">
        <v>46083</v>
      </c>
      <c r="L1300" s="143">
        <v>46079</v>
      </c>
      <c r="M1300">
        <v>22026</v>
      </c>
      <c r="N1300" t="s">
        <v>771</v>
      </c>
      <c r="O1300">
        <v>2001</v>
      </c>
      <c r="S1300" t="s">
        <v>783</v>
      </c>
      <c r="T1300">
        <v>1500059778</v>
      </c>
    </row>
    <row r="1301" spans="1:20" x14ac:dyDescent="0.25">
      <c r="A1301">
        <v>5101902226</v>
      </c>
      <c r="B1301">
        <v>77974</v>
      </c>
      <c r="C1301" t="s">
        <v>768</v>
      </c>
      <c r="D1301" s="143">
        <v>46100</v>
      </c>
      <c r="E1301" s="55">
        <v>102237.29</v>
      </c>
      <c r="F1301" t="s">
        <v>769</v>
      </c>
      <c r="H1301" t="s">
        <v>787</v>
      </c>
      <c r="I1301" t="s">
        <v>786</v>
      </c>
      <c r="J1301">
        <v>0</v>
      </c>
      <c r="L1301" s="143">
        <v>46100</v>
      </c>
      <c r="M1301">
        <v>32026</v>
      </c>
      <c r="N1301" t="s">
        <v>771</v>
      </c>
      <c r="O1301">
        <v>2001</v>
      </c>
      <c r="T1301">
        <v>1500059778</v>
      </c>
    </row>
    <row r="1302" spans="1:20" x14ac:dyDescent="0.25">
      <c r="A1302">
        <v>5100132293</v>
      </c>
      <c r="B1302">
        <v>79582</v>
      </c>
      <c r="C1302" t="s">
        <v>768</v>
      </c>
      <c r="D1302" s="143">
        <v>46079</v>
      </c>
      <c r="E1302" s="55">
        <v>25877.63</v>
      </c>
      <c r="F1302" t="s">
        <v>769</v>
      </c>
      <c r="G1302">
        <v>101235546</v>
      </c>
      <c r="H1302" t="s">
        <v>755</v>
      </c>
      <c r="I1302" t="s">
        <v>785</v>
      </c>
      <c r="J1302">
        <v>0</v>
      </c>
      <c r="K1302" s="143">
        <v>46174</v>
      </c>
      <c r="L1302" s="143">
        <v>46079</v>
      </c>
      <c r="M1302">
        <v>22026</v>
      </c>
      <c r="N1302" t="s">
        <v>771</v>
      </c>
      <c r="O1302">
        <v>2001</v>
      </c>
      <c r="S1302">
        <v>2.00159000292132E+17</v>
      </c>
      <c r="T1302">
        <v>1500059778</v>
      </c>
    </row>
    <row r="1303" spans="1:20" x14ac:dyDescent="0.25">
      <c r="A1303">
        <v>5100252631</v>
      </c>
      <c r="B1303">
        <v>79582</v>
      </c>
      <c r="C1303" t="s">
        <v>768</v>
      </c>
      <c r="D1303" s="143">
        <v>46066</v>
      </c>
      <c r="E1303" s="55">
        <v>14554.8</v>
      </c>
      <c r="F1303" t="s">
        <v>769</v>
      </c>
      <c r="G1303">
        <v>101317607</v>
      </c>
      <c r="H1303" t="s">
        <v>755</v>
      </c>
      <c r="I1303" t="s">
        <v>789</v>
      </c>
      <c r="J1303">
        <v>0</v>
      </c>
      <c r="K1303" s="143">
        <v>46160</v>
      </c>
      <c r="L1303" s="143">
        <v>46066</v>
      </c>
      <c r="M1303">
        <v>22026</v>
      </c>
      <c r="N1303" t="s">
        <v>771</v>
      </c>
      <c r="O1303">
        <v>2001</v>
      </c>
      <c r="S1303">
        <v>2.00159000230032E+17</v>
      </c>
      <c r="T1303">
        <v>1500059778</v>
      </c>
    </row>
    <row r="1304" spans="1:20" x14ac:dyDescent="0.25">
      <c r="A1304">
        <v>5100091932</v>
      </c>
      <c r="B1304">
        <v>79582</v>
      </c>
      <c r="C1304" t="s">
        <v>768</v>
      </c>
      <c r="D1304" s="143">
        <v>46072</v>
      </c>
      <c r="E1304" s="55">
        <v>38517.480000000003</v>
      </c>
      <c r="F1304" t="s">
        <v>769</v>
      </c>
      <c r="G1304">
        <v>1500091626</v>
      </c>
      <c r="H1304" t="s">
        <v>755</v>
      </c>
      <c r="I1304" t="s">
        <v>791</v>
      </c>
      <c r="K1304" s="143">
        <v>46076</v>
      </c>
      <c r="L1304" s="143">
        <v>46072</v>
      </c>
      <c r="M1304">
        <v>22026</v>
      </c>
      <c r="N1304" t="s">
        <v>771</v>
      </c>
      <c r="O1304">
        <v>2001</v>
      </c>
      <c r="S1304" t="s">
        <v>773</v>
      </c>
      <c r="T1304">
        <v>1500059778</v>
      </c>
    </row>
    <row r="1305" spans="1:20" x14ac:dyDescent="0.25">
      <c r="A1305">
        <v>5100601846</v>
      </c>
      <c r="B1305">
        <v>90258</v>
      </c>
      <c r="C1305" t="s">
        <v>768</v>
      </c>
      <c r="D1305" s="143">
        <v>46086</v>
      </c>
      <c r="E1305" s="55">
        <v>83880.44</v>
      </c>
      <c r="F1305" t="s">
        <v>769</v>
      </c>
      <c r="G1305">
        <v>1500015331</v>
      </c>
      <c r="H1305" t="s">
        <v>755</v>
      </c>
      <c r="I1305" t="s">
        <v>784</v>
      </c>
      <c r="K1305" s="143">
        <v>46090</v>
      </c>
      <c r="L1305" s="143">
        <v>46086</v>
      </c>
      <c r="M1305">
        <v>32026</v>
      </c>
      <c r="N1305" t="s">
        <v>771</v>
      </c>
      <c r="O1305">
        <v>2001</v>
      </c>
      <c r="T1305">
        <v>1500059778</v>
      </c>
    </row>
    <row r="1306" spans="1:20" x14ac:dyDescent="0.25">
      <c r="A1306">
        <v>5100745454</v>
      </c>
      <c r="B1306">
        <v>92767</v>
      </c>
      <c r="C1306" t="s">
        <v>768</v>
      </c>
      <c r="D1306" s="143">
        <v>46093</v>
      </c>
      <c r="E1306" s="55">
        <v>19865.39</v>
      </c>
      <c r="F1306" t="s">
        <v>769</v>
      </c>
      <c r="G1306">
        <v>1500030315</v>
      </c>
      <c r="H1306" t="s">
        <v>755</v>
      </c>
      <c r="I1306" t="s">
        <v>788</v>
      </c>
      <c r="K1306" s="143">
        <v>46098</v>
      </c>
      <c r="L1306" s="143">
        <v>46093</v>
      </c>
      <c r="M1306">
        <v>32026</v>
      </c>
      <c r="N1306" t="s">
        <v>771</v>
      </c>
      <c r="O1306">
        <v>2001</v>
      </c>
      <c r="S1306" t="s">
        <v>778</v>
      </c>
      <c r="T1306">
        <v>1500059778</v>
      </c>
    </row>
    <row r="1307" spans="1:20" x14ac:dyDescent="0.25">
      <c r="A1307">
        <v>5100180824</v>
      </c>
      <c r="B1307">
        <v>92767</v>
      </c>
      <c r="C1307" t="s">
        <v>768</v>
      </c>
      <c r="D1307" s="143">
        <v>46072</v>
      </c>
      <c r="E1307" s="55">
        <v>54766.13</v>
      </c>
      <c r="F1307" t="s">
        <v>769</v>
      </c>
      <c r="G1307">
        <v>1500091628</v>
      </c>
      <c r="H1307" t="s">
        <v>755</v>
      </c>
      <c r="I1307" t="s">
        <v>791</v>
      </c>
      <c r="K1307" s="143">
        <v>46076</v>
      </c>
      <c r="L1307" s="143">
        <v>46072</v>
      </c>
      <c r="M1307">
        <v>22026</v>
      </c>
      <c r="N1307" t="s">
        <v>771</v>
      </c>
      <c r="O1307">
        <v>2001</v>
      </c>
      <c r="S1307" t="s">
        <v>773</v>
      </c>
      <c r="T1307">
        <v>1500059778</v>
      </c>
    </row>
    <row r="1308" spans="1:20" x14ac:dyDescent="0.25">
      <c r="A1308">
        <v>5101389001</v>
      </c>
      <c r="B1308">
        <v>92767</v>
      </c>
      <c r="C1308" t="s">
        <v>768</v>
      </c>
      <c r="D1308" s="143">
        <v>46079</v>
      </c>
      <c r="E1308" s="55">
        <v>31860.34</v>
      </c>
      <c r="F1308" t="s">
        <v>769</v>
      </c>
      <c r="G1308">
        <v>1500099212</v>
      </c>
      <c r="H1308" t="s">
        <v>755</v>
      </c>
      <c r="I1308" t="s">
        <v>785</v>
      </c>
      <c r="K1308" s="143">
        <v>46083</v>
      </c>
      <c r="L1308" s="143">
        <v>46079</v>
      </c>
      <c r="M1308">
        <v>22026</v>
      </c>
      <c r="N1308" t="s">
        <v>771</v>
      </c>
      <c r="O1308">
        <v>2001</v>
      </c>
      <c r="S1308" t="s">
        <v>783</v>
      </c>
      <c r="T1308">
        <v>1500059778</v>
      </c>
    </row>
    <row r="1309" spans="1:20" x14ac:dyDescent="0.25">
      <c r="A1309">
        <v>5100091929</v>
      </c>
      <c r="B1309">
        <v>304329</v>
      </c>
      <c r="C1309" t="s">
        <v>768</v>
      </c>
      <c r="D1309" s="143">
        <v>46072</v>
      </c>
      <c r="E1309" s="55">
        <v>22254.53</v>
      </c>
      <c r="F1309" t="s">
        <v>769</v>
      </c>
      <c r="G1309">
        <v>1500091633</v>
      </c>
      <c r="H1309" t="s">
        <v>755</v>
      </c>
      <c r="I1309" t="s">
        <v>791</v>
      </c>
      <c r="K1309" s="143">
        <v>46076</v>
      </c>
      <c r="L1309" s="143">
        <v>46072</v>
      </c>
      <c r="M1309">
        <v>22026</v>
      </c>
      <c r="N1309" t="s">
        <v>771</v>
      </c>
      <c r="O1309">
        <v>2001</v>
      </c>
      <c r="S1309" t="s">
        <v>773</v>
      </c>
      <c r="T1309">
        <v>1500059778</v>
      </c>
    </row>
    <row r="1310" spans="1:20" x14ac:dyDescent="0.25">
      <c r="A1310">
        <v>5100132291</v>
      </c>
      <c r="B1310">
        <v>304329</v>
      </c>
      <c r="C1310" t="s">
        <v>768</v>
      </c>
      <c r="D1310" s="143">
        <v>46079</v>
      </c>
      <c r="E1310" s="55">
        <v>71360.12</v>
      </c>
      <c r="F1310" t="s">
        <v>769</v>
      </c>
      <c r="G1310">
        <v>1500099214</v>
      </c>
      <c r="H1310" t="s">
        <v>755</v>
      </c>
      <c r="I1310" t="s">
        <v>785</v>
      </c>
      <c r="K1310" s="143">
        <v>46083</v>
      </c>
      <c r="L1310" s="143">
        <v>46079</v>
      </c>
      <c r="M1310">
        <v>22026</v>
      </c>
      <c r="N1310" t="s">
        <v>771</v>
      </c>
      <c r="O1310">
        <v>2001</v>
      </c>
      <c r="S1310" t="s">
        <v>783</v>
      </c>
      <c r="T1310">
        <v>1500059778</v>
      </c>
    </row>
    <row r="1311" spans="1:20" x14ac:dyDescent="0.25">
      <c r="A1311">
        <v>5100601848</v>
      </c>
      <c r="B1311">
        <v>308721</v>
      </c>
      <c r="C1311" t="s">
        <v>768</v>
      </c>
      <c r="D1311" s="143">
        <v>46086</v>
      </c>
      <c r="E1311" s="55">
        <v>14880.13</v>
      </c>
      <c r="F1311" t="s">
        <v>769</v>
      </c>
      <c r="G1311">
        <v>1500030111</v>
      </c>
      <c r="H1311" t="s">
        <v>755</v>
      </c>
      <c r="I1311" t="s">
        <v>784</v>
      </c>
      <c r="K1311" s="143">
        <v>46090</v>
      </c>
      <c r="L1311" s="143">
        <v>46086</v>
      </c>
      <c r="M1311">
        <v>32026</v>
      </c>
      <c r="N1311" t="s">
        <v>771</v>
      </c>
      <c r="O1311">
        <v>2001</v>
      </c>
      <c r="S1311" t="s">
        <v>777</v>
      </c>
      <c r="T1311">
        <v>1500059778</v>
      </c>
    </row>
    <row r="1312" spans="1:20" x14ac:dyDescent="0.25">
      <c r="A1312">
        <v>5100453816</v>
      </c>
      <c r="B1312">
        <v>308721</v>
      </c>
      <c r="C1312" t="s">
        <v>768</v>
      </c>
      <c r="D1312" s="143">
        <v>46072</v>
      </c>
      <c r="E1312" s="55">
        <v>12055.22</v>
      </c>
      <c r="F1312" t="s">
        <v>769</v>
      </c>
      <c r="G1312">
        <v>1500091636</v>
      </c>
      <c r="H1312" t="s">
        <v>755</v>
      </c>
      <c r="I1312" t="s">
        <v>791</v>
      </c>
      <c r="K1312" s="143">
        <v>46076</v>
      </c>
      <c r="L1312" s="143">
        <v>46072</v>
      </c>
      <c r="M1312">
        <v>22026</v>
      </c>
      <c r="N1312" t="s">
        <v>771</v>
      </c>
      <c r="O1312">
        <v>2001</v>
      </c>
      <c r="S1312" t="s">
        <v>773</v>
      </c>
      <c r="T1312">
        <v>1500059778</v>
      </c>
    </row>
    <row r="1313" spans="1:20" x14ac:dyDescent="0.25">
      <c r="A1313">
        <v>1900053558</v>
      </c>
      <c r="B1313">
        <v>321729</v>
      </c>
      <c r="C1313" t="s">
        <v>792</v>
      </c>
      <c r="D1313" s="143">
        <v>46072</v>
      </c>
      <c r="E1313" s="55">
        <v>-119016</v>
      </c>
      <c r="F1313" t="s">
        <v>769</v>
      </c>
      <c r="G1313">
        <v>101560300</v>
      </c>
      <c r="H1313" t="s">
        <v>755</v>
      </c>
      <c r="I1313" t="s">
        <v>791</v>
      </c>
      <c r="K1313" s="143">
        <v>46077</v>
      </c>
      <c r="L1313" s="143">
        <v>46072</v>
      </c>
      <c r="M1313">
        <v>22026</v>
      </c>
      <c r="N1313" t="s">
        <v>771</v>
      </c>
      <c r="O1313">
        <v>2001</v>
      </c>
      <c r="Q1313" t="s">
        <v>794</v>
      </c>
      <c r="S1313" t="s">
        <v>795</v>
      </c>
      <c r="T1313">
        <v>1500059778</v>
      </c>
    </row>
    <row r="1314" spans="1:20" x14ac:dyDescent="0.25">
      <c r="A1314">
        <v>5100180822</v>
      </c>
      <c r="B1314">
        <v>321729</v>
      </c>
      <c r="C1314" t="s">
        <v>768</v>
      </c>
      <c r="D1314" s="143">
        <v>46072</v>
      </c>
      <c r="E1314" s="55">
        <v>119016</v>
      </c>
      <c r="F1314" t="s">
        <v>769</v>
      </c>
      <c r="G1314">
        <v>101560300</v>
      </c>
      <c r="H1314" t="s">
        <v>755</v>
      </c>
      <c r="I1314" t="s">
        <v>791</v>
      </c>
      <c r="K1314" s="143">
        <v>46077</v>
      </c>
      <c r="L1314" s="143">
        <v>46072</v>
      </c>
      <c r="M1314">
        <v>22026</v>
      </c>
      <c r="N1314" t="s">
        <v>771</v>
      </c>
      <c r="O1314">
        <v>2001</v>
      </c>
      <c r="S1314" t="s">
        <v>795</v>
      </c>
      <c r="T1314">
        <v>1500059778</v>
      </c>
    </row>
    <row r="1315" spans="1:20" x14ac:dyDescent="0.25">
      <c r="A1315">
        <v>5100601852</v>
      </c>
      <c r="B1315">
        <v>390518</v>
      </c>
      <c r="C1315" t="s">
        <v>768</v>
      </c>
      <c r="D1315" s="143">
        <v>46086</v>
      </c>
      <c r="E1315" s="55">
        <v>63199.56</v>
      </c>
      <c r="F1315" t="s">
        <v>769</v>
      </c>
      <c r="G1315">
        <v>1500030112</v>
      </c>
      <c r="H1315" t="s">
        <v>755</v>
      </c>
      <c r="I1315" t="s">
        <v>784</v>
      </c>
      <c r="K1315" s="143">
        <v>46090</v>
      </c>
      <c r="L1315" s="143">
        <v>46086</v>
      </c>
      <c r="M1315">
        <v>32026</v>
      </c>
      <c r="N1315" t="s">
        <v>771</v>
      </c>
      <c r="O1315">
        <v>2001</v>
      </c>
      <c r="S1315" t="s">
        <v>777</v>
      </c>
      <c r="T1315">
        <v>1500059778</v>
      </c>
    </row>
    <row r="1316" spans="1:20" x14ac:dyDescent="0.25">
      <c r="A1316">
        <v>5100601620</v>
      </c>
      <c r="B1316">
        <v>390518</v>
      </c>
      <c r="C1316" t="s">
        <v>768</v>
      </c>
      <c r="D1316" s="143">
        <v>46072</v>
      </c>
      <c r="E1316" s="55">
        <v>4822.67</v>
      </c>
      <c r="F1316" t="s">
        <v>769</v>
      </c>
      <c r="G1316">
        <v>1500091647</v>
      </c>
      <c r="H1316" t="s">
        <v>755</v>
      </c>
      <c r="I1316" t="s">
        <v>791</v>
      </c>
      <c r="K1316" s="143">
        <v>46076</v>
      </c>
      <c r="L1316" s="143">
        <v>46072</v>
      </c>
      <c r="M1316">
        <v>22026</v>
      </c>
      <c r="N1316" t="s">
        <v>771</v>
      </c>
      <c r="O1316">
        <v>2001</v>
      </c>
      <c r="S1316" t="s">
        <v>773</v>
      </c>
      <c r="T1316">
        <v>1500059778</v>
      </c>
    </row>
    <row r="1317" spans="1:20" x14ac:dyDescent="0.25">
      <c r="A1317">
        <v>5100052917</v>
      </c>
      <c r="B1317">
        <v>391011</v>
      </c>
      <c r="C1317" t="s">
        <v>768</v>
      </c>
      <c r="D1317" s="143">
        <v>46066</v>
      </c>
      <c r="E1317" s="55">
        <v>18651.09</v>
      </c>
      <c r="F1317" t="s">
        <v>769</v>
      </c>
      <c r="G1317">
        <v>101169143</v>
      </c>
      <c r="H1317" t="s">
        <v>755</v>
      </c>
      <c r="I1317" t="s">
        <v>789</v>
      </c>
      <c r="J1317">
        <v>0</v>
      </c>
      <c r="K1317" s="143">
        <v>46195</v>
      </c>
      <c r="L1317" s="143">
        <v>46066</v>
      </c>
      <c r="M1317">
        <v>22026</v>
      </c>
      <c r="N1317" t="s">
        <v>771</v>
      </c>
      <c r="O1317">
        <v>2001</v>
      </c>
      <c r="S1317">
        <v>2.0015900003204198E+17</v>
      </c>
      <c r="T1317">
        <v>1500059778</v>
      </c>
    </row>
    <row r="1318" spans="1:20" x14ac:dyDescent="0.25">
      <c r="A1318">
        <v>5100226338</v>
      </c>
      <c r="B1318">
        <v>391011</v>
      </c>
      <c r="C1318" t="s">
        <v>768</v>
      </c>
      <c r="D1318" s="143">
        <v>46077</v>
      </c>
      <c r="E1318" s="55">
        <v>10581</v>
      </c>
      <c r="F1318" t="s">
        <v>769</v>
      </c>
      <c r="G1318">
        <v>1500049624</v>
      </c>
      <c r="H1318" t="s">
        <v>755</v>
      </c>
      <c r="I1318" t="s">
        <v>796</v>
      </c>
      <c r="K1318" s="143">
        <v>46078</v>
      </c>
      <c r="L1318" s="143">
        <v>46077</v>
      </c>
      <c r="M1318">
        <v>22026</v>
      </c>
      <c r="N1318" t="s">
        <v>771</v>
      </c>
      <c r="O1318">
        <v>2001</v>
      </c>
      <c r="S1318" t="s">
        <v>783</v>
      </c>
      <c r="T1318">
        <v>693262785</v>
      </c>
    </row>
    <row r="1319" spans="1:20" x14ac:dyDescent="0.25">
      <c r="A1319">
        <v>5100132297</v>
      </c>
      <c r="B1319">
        <v>397521</v>
      </c>
      <c r="C1319" t="s">
        <v>768</v>
      </c>
      <c r="D1319" s="143">
        <v>46079</v>
      </c>
      <c r="E1319" s="55">
        <v>22381.51</v>
      </c>
      <c r="F1319" t="s">
        <v>769</v>
      </c>
      <c r="G1319">
        <v>101577679</v>
      </c>
      <c r="H1319" t="s">
        <v>755</v>
      </c>
      <c r="I1319" t="s">
        <v>785</v>
      </c>
      <c r="J1319">
        <v>0</v>
      </c>
      <c r="K1319" s="143">
        <v>46188</v>
      </c>
      <c r="L1319" s="143">
        <v>46079</v>
      </c>
      <c r="M1319">
        <v>22026</v>
      </c>
      <c r="N1319" t="s">
        <v>771</v>
      </c>
      <c r="O1319">
        <v>2001</v>
      </c>
      <c r="S1319">
        <v>2.0015900028106202E+17</v>
      </c>
      <c r="T1319">
        <v>1500059778</v>
      </c>
    </row>
    <row r="1320" spans="1:20" x14ac:dyDescent="0.25">
      <c r="A1320">
        <v>5100601619</v>
      </c>
      <c r="B1320">
        <v>397521</v>
      </c>
      <c r="C1320" t="s">
        <v>768</v>
      </c>
      <c r="D1320" s="143">
        <v>46072</v>
      </c>
      <c r="E1320" s="55">
        <v>47597.83</v>
      </c>
      <c r="F1320" t="s">
        <v>769</v>
      </c>
      <c r="G1320">
        <v>1500091649</v>
      </c>
      <c r="H1320" t="s">
        <v>755</v>
      </c>
      <c r="I1320" t="s">
        <v>791</v>
      </c>
      <c r="K1320" s="143">
        <v>46076</v>
      </c>
      <c r="L1320" s="143">
        <v>46072</v>
      </c>
      <c r="M1320">
        <v>22026</v>
      </c>
      <c r="N1320" t="s">
        <v>771</v>
      </c>
      <c r="O1320">
        <v>2001</v>
      </c>
      <c r="S1320" t="s">
        <v>773</v>
      </c>
      <c r="T1320">
        <v>1500059778</v>
      </c>
    </row>
    <row r="1321" spans="1:20" x14ac:dyDescent="0.25">
      <c r="A1321">
        <v>5100421671</v>
      </c>
      <c r="B1321">
        <v>167</v>
      </c>
      <c r="C1321" t="s">
        <v>768</v>
      </c>
      <c r="D1321" s="143">
        <v>46035</v>
      </c>
      <c r="E1321">
        <v>71.28</v>
      </c>
      <c r="F1321" t="s">
        <v>769</v>
      </c>
      <c r="G1321">
        <v>1500087605</v>
      </c>
      <c r="H1321" t="s">
        <v>755</v>
      </c>
      <c r="I1321" t="s">
        <v>770</v>
      </c>
      <c r="K1321" s="143">
        <v>46076</v>
      </c>
      <c r="L1321" s="143">
        <v>46035</v>
      </c>
      <c r="M1321">
        <v>22025</v>
      </c>
      <c r="N1321" t="s">
        <v>771</v>
      </c>
      <c r="O1321">
        <v>2001</v>
      </c>
      <c r="S1321">
        <v>515876</v>
      </c>
      <c r="T1321" t="s">
        <v>772</v>
      </c>
    </row>
    <row r="1322" spans="1:20" x14ac:dyDescent="0.25">
      <c r="A1322">
        <v>5100421672</v>
      </c>
      <c r="B1322">
        <v>167</v>
      </c>
      <c r="C1322" t="s">
        <v>768</v>
      </c>
      <c r="D1322" s="143">
        <v>46035</v>
      </c>
      <c r="E1322">
        <v>71.28</v>
      </c>
      <c r="F1322" t="s">
        <v>769</v>
      </c>
      <c r="G1322">
        <v>1500087605</v>
      </c>
      <c r="H1322" t="s">
        <v>755</v>
      </c>
      <c r="I1322" t="s">
        <v>770</v>
      </c>
      <c r="K1322" s="143">
        <v>46076</v>
      </c>
      <c r="L1322" s="143">
        <v>46035</v>
      </c>
      <c r="M1322">
        <v>42025</v>
      </c>
      <c r="N1322" t="s">
        <v>771</v>
      </c>
      <c r="O1322">
        <v>2001</v>
      </c>
      <c r="S1322">
        <v>515876</v>
      </c>
      <c r="T1322" t="s">
        <v>772</v>
      </c>
    </row>
    <row r="1323" spans="1:20" x14ac:dyDescent="0.25">
      <c r="A1323">
        <v>5100421673</v>
      </c>
      <c r="B1323">
        <v>167</v>
      </c>
      <c r="C1323" t="s">
        <v>768</v>
      </c>
      <c r="D1323" s="143">
        <v>46035</v>
      </c>
      <c r="E1323">
        <v>71.28</v>
      </c>
      <c r="F1323" t="s">
        <v>769</v>
      </c>
      <c r="G1323">
        <v>1500087605</v>
      </c>
      <c r="H1323" t="s">
        <v>755</v>
      </c>
      <c r="I1323" t="s">
        <v>770</v>
      </c>
      <c r="K1323" s="143">
        <v>46076</v>
      </c>
      <c r="L1323" s="143">
        <v>46035</v>
      </c>
      <c r="M1323">
        <v>52025</v>
      </c>
      <c r="N1323" t="s">
        <v>771</v>
      </c>
      <c r="O1323">
        <v>2001</v>
      </c>
      <c r="S1323">
        <v>515876</v>
      </c>
      <c r="T1323" t="s">
        <v>772</v>
      </c>
    </row>
    <row r="1324" spans="1:20" x14ac:dyDescent="0.25">
      <c r="A1324">
        <v>5100421674</v>
      </c>
      <c r="B1324">
        <v>167</v>
      </c>
      <c r="C1324" t="s">
        <v>768</v>
      </c>
      <c r="D1324" s="143">
        <v>46035</v>
      </c>
      <c r="E1324">
        <v>66.25</v>
      </c>
      <c r="F1324" t="s">
        <v>769</v>
      </c>
      <c r="G1324">
        <v>1500087605</v>
      </c>
      <c r="H1324" t="s">
        <v>755</v>
      </c>
      <c r="I1324" t="s">
        <v>770</v>
      </c>
      <c r="K1324" s="143">
        <v>46076</v>
      </c>
      <c r="L1324" s="143">
        <v>46035</v>
      </c>
      <c r="M1324">
        <v>52025</v>
      </c>
      <c r="N1324" t="s">
        <v>771</v>
      </c>
      <c r="O1324">
        <v>2001</v>
      </c>
      <c r="S1324">
        <v>515876</v>
      </c>
      <c r="T1324" t="s">
        <v>772</v>
      </c>
    </row>
    <row r="1325" spans="1:20" x14ac:dyDescent="0.25">
      <c r="A1325">
        <v>5100421675</v>
      </c>
      <c r="B1325">
        <v>167</v>
      </c>
      <c r="C1325" t="s">
        <v>768</v>
      </c>
      <c r="D1325" s="143">
        <v>46035</v>
      </c>
      <c r="E1325">
        <v>427.68</v>
      </c>
      <c r="F1325" t="s">
        <v>769</v>
      </c>
      <c r="G1325">
        <v>1500087605</v>
      </c>
      <c r="H1325" t="s">
        <v>755</v>
      </c>
      <c r="I1325" t="s">
        <v>770</v>
      </c>
      <c r="K1325" s="143">
        <v>46076</v>
      </c>
      <c r="L1325" s="143">
        <v>46035</v>
      </c>
      <c r="M1325">
        <v>62025</v>
      </c>
      <c r="N1325" t="s">
        <v>771</v>
      </c>
      <c r="O1325">
        <v>2001</v>
      </c>
      <c r="S1325">
        <v>515876</v>
      </c>
      <c r="T1325" t="s">
        <v>772</v>
      </c>
    </row>
    <row r="1326" spans="1:20" x14ac:dyDescent="0.25">
      <c r="A1326">
        <v>5100421676</v>
      </c>
      <c r="B1326">
        <v>167</v>
      </c>
      <c r="C1326" t="s">
        <v>768</v>
      </c>
      <c r="D1326" s="143">
        <v>46035</v>
      </c>
      <c r="E1326" s="55">
        <v>2748.26</v>
      </c>
      <c r="F1326" t="s">
        <v>769</v>
      </c>
      <c r="G1326">
        <v>1500087605</v>
      </c>
      <c r="H1326" t="s">
        <v>755</v>
      </c>
      <c r="I1326" t="s">
        <v>770</v>
      </c>
      <c r="K1326" s="143">
        <v>46076</v>
      </c>
      <c r="L1326" s="143">
        <v>46035</v>
      </c>
      <c r="M1326">
        <v>62025</v>
      </c>
      <c r="N1326" t="s">
        <v>771</v>
      </c>
      <c r="O1326">
        <v>2001</v>
      </c>
      <c r="S1326">
        <v>515876</v>
      </c>
      <c r="T1326" t="s">
        <v>772</v>
      </c>
    </row>
    <row r="1327" spans="1:20" x14ac:dyDescent="0.25">
      <c r="A1327">
        <v>5100421677</v>
      </c>
      <c r="B1327">
        <v>167</v>
      </c>
      <c r="C1327" t="s">
        <v>768</v>
      </c>
      <c r="D1327" s="143">
        <v>46035</v>
      </c>
      <c r="E1327">
        <v>66.25</v>
      </c>
      <c r="F1327" t="s">
        <v>769</v>
      </c>
      <c r="G1327">
        <v>1500087605</v>
      </c>
      <c r="H1327" t="s">
        <v>755</v>
      </c>
      <c r="I1327" t="s">
        <v>770</v>
      </c>
      <c r="K1327" s="143">
        <v>46076</v>
      </c>
      <c r="L1327" s="143">
        <v>46035</v>
      </c>
      <c r="M1327">
        <v>72025</v>
      </c>
      <c r="N1327" t="s">
        <v>771</v>
      </c>
      <c r="O1327">
        <v>2001</v>
      </c>
      <c r="S1327">
        <v>515876</v>
      </c>
      <c r="T1327" t="s">
        <v>772</v>
      </c>
    </row>
    <row r="1328" spans="1:20" x14ac:dyDescent="0.25">
      <c r="A1328">
        <v>5100423393</v>
      </c>
      <c r="B1328">
        <v>551</v>
      </c>
      <c r="C1328" t="s">
        <v>768</v>
      </c>
      <c r="D1328" s="143">
        <v>46035</v>
      </c>
      <c r="E1328">
        <v>80.959999999999994</v>
      </c>
      <c r="F1328" t="s">
        <v>769</v>
      </c>
      <c r="G1328">
        <v>1500087608</v>
      </c>
      <c r="H1328" t="s">
        <v>755</v>
      </c>
      <c r="I1328" t="s">
        <v>770</v>
      </c>
      <c r="K1328" s="143">
        <v>46076</v>
      </c>
      <c r="L1328" s="143">
        <v>46035</v>
      </c>
      <c r="M1328">
        <v>92025</v>
      </c>
      <c r="N1328" t="s">
        <v>771</v>
      </c>
      <c r="O1328">
        <v>2001</v>
      </c>
      <c r="S1328">
        <v>515878</v>
      </c>
      <c r="T1328" t="s">
        <v>772</v>
      </c>
    </row>
    <row r="1329" spans="1:20" x14ac:dyDescent="0.25">
      <c r="A1329">
        <v>5100423603</v>
      </c>
      <c r="B1329">
        <v>666</v>
      </c>
      <c r="C1329" t="s">
        <v>768</v>
      </c>
      <c r="D1329" s="143">
        <v>46035</v>
      </c>
      <c r="E1329" s="55">
        <v>1448.18</v>
      </c>
      <c r="F1329" t="s">
        <v>769</v>
      </c>
      <c r="G1329">
        <v>1500094201</v>
      </c>
      <c r="H1329" t="s">
        <v>755</v>
      </c>
      <c r="I1329" t="s">
        <v>770</v>
      </c>
      <c r="K1329" s="143">
        <v>46090</v>
      </c>
      <c r="L1329" s="143">
        <v>46035</v>
      </c>
      <c r="M1329">
        <v>52025</v>
      </c>
      <c r="N1329" t="s">
        <v>771</v>
      </c>
      <c r="O1329">
        <v>2001</v>
      </c>
      <c r="S1329">
        <v>515224</v>
      </c>
      <c r="T1329" t="s">
        <v>772</v>
      </c>
    </row>
    <row r="1330" spans="1:20" x14ac:dyDescent="0.25">
      <c r="A1330">
        <v>5100423604</v>
      </c>
      <c r="B1330">
        <v>666</v>
      </c>
      <c r="C1330" t="s">
        <v>768</v>
      </c>
      <c r="D1330" s="143">
        <v>46035</v>
      </c>
      <c r="E1330">
        <v>807.08</v>
      </c>
      <c r="F1330" t="s">
        <v>769</v>
      </c>
      <c r="G1330">
        <v>1500094201</v>
      </c>
      <c r="H1330" t="s">
        <v>755</v>
      </c>
      <c r="I1330" t="s">
        <v>770</v>
      </c>
      <c r="K1330" s="143">
        <v>46090</v>
      </c>
      <c r="L1330" s="143">
        <v>46035</v>
      </c>
      <c r="M1330">
        <v>62025</v>
      </c>
      <c r="N1330" t="s">
        <v>771</v>
      </c>
      <c r="O1330">
        <v>2001</v>
      </c>
      <c r="S1330">
        <v>515224</v>
      </c>
      <c r="T1330" t="s">
        <v>772</v>
      </c>
    </row>
    <row r="1331" spans="1:20" x14ac:dyDescent="0.25">
      <c r="A1331">
        <v>5100423605</v>
      </c>
      <c r="B1331">
        <v>666</v>
      </c>
      <c r="C1331" t="s">
        <v>768</v>
      </c>
      <c r="D1331" s="143">
        <v>46035</v>
      </c>
      <c r="E1331" s="55">
        <v>10803.29</v>
      </c>
      <c r="F1331" t="s">
        <v>769</v>
      </c>
      <c r="G1331">
        <v>1500094201</v>
      </c>
      <c r="H1331" t="s">
        <v>755</v>
      </c>
      <c r="I1331" t="s">
        <v>770</v>
      </c>
      <c r="K1331" s="143">
        <v>46090</v>
      </c>
      <c r="L1331" s="143">
        <v>46035</v>
      </c>
      <c r="M1331">
        <v>72025</v>
      </c>
      <c r="N1331" t="s">
        <v>771</v>
      </c>
      <c r="O1331">
        <v>2001</v>
      </c>
      <c r="S1331">
        <v>515224</v>
      </c>
      <c r="T1331" t="s">
        <v>772</v>
      </c>
    </row>
    <row r="1332" spans="1:20" x14ac:dyDescent="0.25">
      <c r="A1332">
        <v>5100423606</v>
      </c>
      <c r="B1332">
        <v>666</v>
      </c>
      <c r="C1332" t="s">
        <v>768</v>
      </c>
      <c r="D1332" s="143">
        <v>46035</v>
      </c>
      <c r="E1332" s="55">
        <v>4939.5600000000004</v>
      </c>
      <c r="F1332" t="s">
        <v>769</v>
      </c>
      <c r="G1332">
        <v>1500094201</v>
      </c>
      <c r="H1332" t="s">
        <v>755</v>
      </c>
      <c r="I1332" t="s">
        <v>770</v>
      </c>
      <c r="K1332" s="143">
        <v>46090</v>
      </c>
      <c r="L1332" s="143">
        <v>46035</v>
      </c>
      <c r="M1332">
        <v>92025</v>
      </c>
      <c r="N1332" t="s">
        <v>771</v>
      </c>
      <c r="O1332">
        <v>2001</v>
      </c>
      <c r="S1332">
        <v>515224</v>
      </c>
      <c r="T1332" t="s">
        <v>772</v>
      </c>
    </row>
    <row r="1333" spans="1:20" x14ac:dyDescent="0.25">
      <c r="A1333">
        <v>5100423616</v>
      </c>
      <c r="B1333">
        <v>682</v>
      </c>
      <c r="C1333" t="s">
        <v>768</v>
      </c>
      <c r="D1333" s="143">
        <v>46035</v>
      </c>
      <c r="E1333">
        <v>606.19000000000005</v>
      </c>
      <c r="F1333" t="s">
        <v>769</v>
      </c>
      <c r="G1333">
        <v>1500038734</v>
      </c>
      <c r="H1333" t="s">
        <v>755</v>
      </c>
      <c r="I1333" t="s">
        <v>770</v>
      </c>
      <c r="K1333" s="143">
        <v>46069</v>
      </c>
      <c r="L1333" s="143">
        <v>46035</v>
      </c>
      <c r="M1333">
        <v>22025</v>
      </c>
      <c r="N1333" t="s">
        <v>771</v>
      </c>
      <c r="O1333">
        <v>2001</v>
      </c>
      <c r="S1333">
        <v>514393</v>
      </c>
      <c r="T1333" t="s">
        <v>772</v>
      </c>
    </row>
    <row r="1334" spans="1:20" x14ac:dyDescent="0.25">
      <c r="A1334">
        <v>5100423617</v>
      </c>
      <c r="B1334">
        <v>682</v>
      </c>
      <c r="C1334" t="s">
        <v>768</v>
      </c>
      <c r="D1334" s="143">
        <v>46035</v>
      </c>
      <c r="E1334">
        <v>790.36</v>
      </c>
      <c r="F1334" t="s">
        <v>769</v>
      </c>
      <c r="G1334">
        <v>1500038734</v>
      </c>
      <c r="H1334" t="s">
        <v>755</v>
      </c>
      <c r="I1334" t="s">
        <v>770</v>
      </c>
      <c r="K1334" s="143">
        <v>46069</v>
      </c>
      <c r="L1334" s="143">
        <v>46035</v>
      </c>
      <c r="M1334">
        <v>62025</v>
      </c>
      <c r="N1334" t="s">
        <v>771</v>
      </c>
      <c r="O1334">
        <v>2001</v>
      </c>
      <c r="S1334">
        <v>514393</v>
      </c>
      <c r="T1334" t="s">
        <v>772</v>
      </c>
    </row>
    <row r="1335" spans="1:20" x14ac:dyDescent="0.25">
      <c r="A1335">
        <v>5100423618</v>
      </c>
      <c r="B1335">
        <v>682</v>
      </c>
      <c r="C1335" t="s">
        <v>768</v>
      </c>
      <c r="D1335" s="143">
        <v>46035</v>
      </c>
      <c r="E1335">
        <v>518.21</v>
      </c>
      <c r="F1335" t="s">
        <v>769</v>
      </c>
      <c r="G1335">
        <v>1500038734</v>
      </c>
      <c r="H1335" t="s">
        <v>755</v>
      </c>
      <c r="I1335" t="s">
        <v>770</v>
      </c>
      <c r="K1335" s="143">
        <v>46069</v>
      </c>
      <c r="L1335" s="143">
        <v>46035</v>
      </c>
      <c r="M1335">
        <v>72025</v>
      </c>
      <c r="N1335" t="s">
        <v>771</v>
      </c>
      <c r="O1335">
        <v>2001</v>
      </c>
      <c r="S1335">
        <v>514393</v>
      </c>
      <c r="T1335" t="s">
        <v>772</v>
      </c>
    </row>
    <row r="1336" spans="1:20" x14ac:dyDescent="0.25">
      <c r="A1336">
        <v>5100421620</v>
      </c>
      <c r="B1336">
        <v>1530</v>
      </c>
      <c r="C1336" t="s">
        <v>768</v>
      </c>
      <c r="D1336" s="143">
        <v>46035</v>
      </c>
      <c r="E1336">
        <v>277.45999999999998</v>
      </c>
      <c r="F1336" t="s">
        <v>769</v>
      </c>
      <c r="G1336">
        <v>1500087610</v>
      </c>
      <c r="H1336" t="s">
        <v>755</v>
      </c>
      <c r="I1336" t="s">
        <v>770</v>
      </c>
      <c r="K1336" s="143">
        <v>46076</v>
      </c>
      <c r="L1336" s="143">
        <v>46035</v>
      </c>
      <c r="M1336">
        <v>22025</v>
      </c>
      <c r="N1336" t="s">
        <v>771</v>
      </c>
      <c r="O1336">
        <v>2001</v>
      </c>
      <c r="S1336">
        <v>514411</v>
      </c>
      <c r="T1336" t="s">
        <v>772</v>
      </c>
    </row>
    <row r="1337" spans="1:20" x14ac:dyDescent="0.25">
      <c r="A1337">
        <v>5100421621</v>
      </c>
      <c r="B1337">
        <v>1530</v>
      </c>
      <c r="C1337" t="s">
        <v>768</v>
      </c>
      <c r="D1337" s="143">
        <v>46035</v>
      </c>
      <c r="E1337" s="55">
        <v>19739.78</v>
      </c>
      <c r="F1337" t="s">
        <v>769</v>
      </c>
      <c r="G1337">
        <v>1500087610</v>
      </c>
      <c r="H1337" t="s">
        <v>755</v>
      </c>
      <c r="I1337" t="s">
        <v>770</v>
      </c>
      <c r="K1337" s="143">
        <v>46076</v>
      </c>
      <c r="L1337" s="143">
        <v>46035</v>
      </c>
      <c r="M1337">
        <v>52025</v>
      </c>
      <c r="N1337" t="s">
        <v>771</v>
      </c>
      <c r="O1337">
        <v>2001</v>
      </c>
      <c r="S1337">
        <v>514411</v>
      </c>
      <c r="T1337" t="s">
        <v>772</v>
      </c>
    </row>
    <row r="1338" spans="1:20" x14ac:dyDescent="0.25">
      <c r="A1338">
        <v>5100422123</v>
      </c>
      <c r="B1338">
        <v>2717</v>
      </c>
      <c r="C1338" t="s">
        <v>768</v>
      </c>
      <c r="D1338" s="143">
        <v>46035</v>
      </c>
      <c r="E1338" s="55">
        <v>1173.48</v>
      </c>
      <c r="F1338" t="s">
        <v>769</v>
      </c>
      <c r="G1338">
        <v>1500038736</v>
      </c>
      <c r="H1338" t="s">
        <v>755</v>
      </c>
      <c r="I1338" t="s">
        <v>770</v>
      </c>
      <c r="K1338" s="143">
        <v>46069</v>
      </c>
      <c r="L1338" s="143">
        <v>46035</v>
      </c>
      <c r="M1338">
        <v>92025</v>
      </c>
      <c r="N1338" t="s">
        <v>771</v>
      </c>
      <c r="O1338">
        <v>2001</v>
      </c>
      <c r="S1338">
        <v>514432</v>
      </c>
      <c r="T1338" t="s">
        <v>772</v>
      </c>
    </row>
    <row r="1339" spans="1:20" x14ac:dyDescent="0.25">
      <c r="A1339">
        <v>5100422149</v>
      </c>
      <c r="B1339">
        <v>2949</v>
      </c>
      <c r="C1339" t="s">
        <v>768</v>
      </c>
      <c r="D1339" s="143">
        <v>46035</v>
      </c>
      <c r="E1339">
        <v>155.51</v>
      </c>
      <c r="F1339" t="s">
        <v>769</v>
      </c>
      <c r="G1339">
        <v>1500061111</v>
      </c>
      <c r="H1339" t="s">
        <v>755</v>
      </c>
      <c r="I1339" t="s">
        <v>770</v>
      </c>
      <c r="K1339" s="143">
        <v>46098</v>
      </c>
      <c r="L1339" s="143">
        <v>46035</v>
      </c>
      <c r="M1339">
        <v>32025</v>
      </c>
      <c r="N1339" t="s">
        <v>771</v>
      </c>
      <c r="O1339">
        <v>2001</v>
      </c>
      <c r="S1339" t="s">
        <v>778</v>
      </c>
      <c r="T1339" t="s">
        <v>772</v>
      </c>
    </row>
    <row r="1340" spans="1:20" x14ac:dyDescent="0.25">
      <c r="A1340">
        <v>5100422740</v>
      </c>
      <c r="B1340">
        <v>3566</v>
      </c>
      <c r="C1340" t="s">
        <v>768</v>
      </c>
      <c r="D1340" s="143">
        <v>46035</v>
      </c>
      <c r="E1340">
        <v>554.35</v>
      </c>
      <c r="F1340" t="s">
        <v>769</v>
      </c>
      <c r="G1340">
        <v>1500038738</v>
      </c>
      <c r="H1340" t="s">
        <v>755</v>
      </c>
      <c r="I1340" t="s">
        <v>770</v>
      </c>
      <c r="K1340" s="143">
        <v>46069</v>
      </c>
      <c r="L1340" s="143">
        <v>46035</v>
      </c>
      <c r="M1340">
        <v>22025</v>
      </c>
      <c r="N1340" t="s">
        <v>771</v>
      </c>
      <c r="O1340">
        <v>2001</v>
      </c>
      <c r="S1340">
        <v>514441</v>
      </c>
      <c r="T1340" t="s">
        <v>772</v>
      </c>
    </row>
    <row r="1341" spans="1:20" x14ac:dyDescent="0.25">
      <c r="A1341">
        <v>5100422741</v>
      </c>
      <c r="B1341">
        <v>3566</v>
      </c>
      <c r="C1341" t="s">
        <v>768</v>
      </c>
      <c r="D1341" s="143">
        <v>46035</v>
      </c>
      <c r="E1341" s="55">
        <v>2771.97</v>
      </c>
      <c r="F1341" t="s">
        <v>769</v>
      </c>
      <c r="G1341">
        <v>1500038738</v>
      </c>
      <c r="H1341" t="s">
        <v>755</v>
      </c>
      <c r="I1341" t="s">
        <v>770</v>
      </c>
      <c r="K1341" s="143">
        <v>46069</v>
      </c>
      <c r="L1341" s="143">
        <v>46035</v>
      </c>
      <c r="M1341">
        <v>32025</v>
      </c>
      <c r="N1341" t="s">
        <v>771</v>
      </c>
      <c r="O1341">
        <v>2001</v>
      </c>
      <c r="S1341">
        <v>514441</v>
      </c>
      <c r="T1341" t="s">
        <v>772</v>
      </c>
    </row>
    <row r="1342" spans="1:20" x14ac:dyDescent="0.25">
      <c r="A1342">
        <v>5100422743</v>
      </c>
      <c r="B1342">
        <v>3566</v>
      </c>
      <c r="C1342" t="s">
        <v>768</v>
      </c>
      <c r="D1342" s="143">
        <v>46035</v>
      </c>
      <c r="E1342">
        <v>338.79</v>
      </c>
      <c r="F1342" t="s">
        <v>769</v>
      </c>
      <c r="G1342">
        <v>1500038738</v>
      </c>
      <c r="H1342" t="s">
        <v>755</v>
      </c>
      <c r="I1342" t="s">
        <v>770</v>
      </c>
      <c r="K1342" s="143">
        <v>46069</v>
      </c>
      <c r="L1342" s="143">
        <v>46035</v>
      </c>
      <c r="M1342">
        <v>52025</v>
      </c>
      <c r="N1342" t="s">
        <v>771</v>
      </c>
      <c r="O1342">
        <v>2001</v>
      </c>
      <c r="S1342">
        <v>514441</v>
      </c>
      <c r="T1342" t="s">
        <v>772</v>
      </c>
    </row>
    <row r="1343" spans="1:20" x14ac:dyDescent="0.25">
      <c r="A1343">
        <v>5100422744</v>
      </c>
      <c r="B1343">
        <v>3566</v>
      </c>
      <c r="C1343" t="s">
        <v>768</v>
      </c>
      <c r="D1343" s="143">
        <v>46035</v>
      </c>
      <c r="E1343" s="55">
        <v>5785.84</v>
      </c>
      <c r="F1343" t="s">
        <v>769</v>
      </c>
      <c r="G1343">
        <v>1500038738</v>
      </c>
      <c r="H1343" t="s">
        <v>755</v>
      </c>
      <c r="I1343" t="s">
        <v>770</v>
      </c>
      <c r="K1343" s="143">
        <v>46069</v>
      </c>
      <c r="L1343" s="143">
        <v>46035</v>
      </c>
      <c r="M1343">
        <v>62025</v>
      </c>
      <c r="N1343" t="s">
        <v>771</v>
      </c>
      <c r="O1343">
        <v>2001</v>
      </c>
      <c r="S1343">
        <v>514441</v>
      </c>
      <c r="T1343" t="s">
        <v>772</v>
      </c>
    </row>
    <row r="1344" spans="1:20" x14ac:dyDescent="0.25">
      <c r="A1344">
        <v>5100422745</v>
      </c>
      <c r="B1344">
        <v>3566</v>
      </c>
      <c r="C1344" t="s">
        <v>768</v>
      </c>
      <c r="D1344" s="143">
        <v>46035</v>
      </c>
      <c r="E1344" s="55">
        <v>6871.32</v>
      </c>
      <c r="F1344" t="s">
        <v>769</v>
      </c>
      <c r="G1344">
        <v>1500038738</v>
      </c>
      <c r="H1344" t="s">
        <v>755</v>
      </c>
      <c r="I1344" t="s">
        <v>770</v>
      </c>
      <c r="K1344" s="143">
        <v>46069</v>
      </c>
      <c r="L1344" s="143">
        <v>46035</v>
      </c>
      <c r="M1344">
        <v>72025</v>
      </c>
      <c r="N1344" t="s">
        <v>771</v>
      </c>
      <c r="O1344">
        <v>2001</v>
      </c>
      <c r="S1344">
        <v>514441</v>
      </c>
      <c r="T1344" t="s">
        <v>772</v>
      </c>
    </row>
    <row r="1345" spans="1:20" x14ac:dyDescent="0.25">
      <c r="A1345">
        <v>5100422742</v>
      </c>
      <c r="B1345">
        <v>3566</v>
      </c>
      <c r="C1345" t="s">
        <v>768</v>
      </c>
      <c r="D1345" s="143">
        <v>46035</v>
      </c>
      <c r="E1345">
        <v>138.96</v>
      </c>
      <c r="F1345" t="s">
        <v>769</v>
      </c>
      <c r="G1345">
        <v>1500038738</v>
      </c>
      <c r="H1345" t="s">
        <v>755</v>
      </c>
      <c r="I1345" t="s">
        <v>770</v>
      </c>
      <c r="K1345" s="143">
        <v>46069</v>
      </c>
      <c r="L1345" s="143">
        <v>46035</v>
      </c>
      <c r="M1345">
        <v>32025</v>
      </c>
      <c r="N1345" t="s">
        <v>771</v>
      </c>
      <c r="O1345">
        <v>2001</v>
      </c>
      <c r="S1345">
        <v>525210</v>
      </c>
      <c r="T1345" t="s">
        <v>772</v>
      </c>
    </row>
    <row r="1346" spans="1:20" x14ac:dyDescent="0.25">
      <c r="A1346">
        <v>5100422746</v>
      </c>
      <c r="B1346">
        <v>3570</v>
      </c>
      <c r="C1346" t="s">
        <v>768</v>
      </c>
      <c r="D1346" s="143">
        <v>46035</v>
      </c>
      <c r="E1346">
        <v>336.74</v>
      </c>
      <c r="F1346" t="s">
        <v>769</v>
      </c>
      <c r="G1346">
        <v>101053439</v>
      </c>
      <c r="H1346" t="s">
        <v>755</v>
      </c>
      <c r="I1346" t="s">
        <v>770</v>
      </c>
      <c r="J1346">
        <v>0</v>
      </c>
      <c r="K1346" s="143">
        <v>46195</v>
      </c>
      <c r="L1346" s="143">
        <v>46035</v>
      </c>
      <c r="M1346">
        <v>62025</v>
      </c>
      <c r="N1346" t="s">
        <v>771</v>
      </c>
      <c r="O1346">
        <v>2001</v>
      </c>
      <c r="S1346">
        <v>2.00159000214312E+17</v>
      </c>
      <c r="T1346" t="s">
        <v>772</v>
      </c>
    </row>
    <row r="1347" spans="1:20" x14ac:dyDescent="0.25">
      <c r="A1347">
        <v>5100422747</v>
      </c>
      <c r="B1347">
        <v>3570</v>
      </c>
      <c r="C1347" t="s">
        <v>768</v>
      </c>
      <c r="D1347" s="143">
        <v>46035</v>
      </c>
      <c r="E1347" s="55">
        <v>2912.05</v>
      </c>
      <c r="F1347" t="s">
        <v>769</v>
      </c>
      <c r="G1347">
        <v>101053439</v>
      </c>
      <c r="H1347" t="s">
        <v>755</v>
      </c>
      <c r="I1347" t="s">
        <v>770</v>
      </c>
      <c r="J1347">
        <v>0</v>
      </c>
      <c r="K1347" s="143">
        <v>46195</v>
      </c>
      <c r="L1347" s="143">
        <v>46035</v>
      </c>
      <c r="M1347">
        <v>82025</v>
      </c>
      <c r="N1347" t="s">
        <v>771</v>
      </c>
      <c r="O1347">
        <v>2001</v>
      </c>
      <c r="S1347">
        <v>2.00159000214312E+17</v>
      </c>
      <c r="T1347" t="s">
        <v>772</v>
      </c>
    </row>
    <row r="1348" spans="1:20" x14ac:dyDescent="0.25">
      <c r="A1348">
        <v>5100422748</v>
      </c>
      <c r="B1348">
        <v>3570</v>
      </c>
      <c r="C1348" t="s">
        <v>768</v>
      </c>
      <c r="D1348" s="143">
        <v>46035</v>
      </c>
      <c r="E1348">
        <v>915.35</v>
      </c>
      <c r="F1348" t="s">
        <v>769</v>
      </c>
      <c r="G1348">
        <v>101053439</v>
      </c>
      <c r="H1348" t="s">
        <v>755</v>
      </c>
      <c r="I1348" t="s">
        <v>770</v>
      </c>
      <c r="J1348">
        <v>0</v>
      </c>
      <c r="K1348" s="143">
        <v>46195</v>
      </c>
      <c r="L1348" s="143">
        <v>46035</v>
      </c>
      <c r="M1348">
        <v>92025</v>
      </c>
      <c r="N1348" t="s">
        <v>771</v>
      </c>
      <c r="O1348">
        <v>2001</v>
      </c>
      <c r="S1348">
        <v>2.00159000214312E+17</v>
      </c>
      <c r="T1348" t="s">
        <v>772</v>
      </c>
    </row>
    <row r="1349" spans="1:20" x14ac:dyDescent="0.25">
      <c r="A1349">
        <v>5100422749</v>
      </c>
      <c r="B1349">
        <v>3604</v>
      </c>
      <c r="C1349" t="s">
        <v>768</v>
      </c>
      <c r="D1349" s="143">
        <v>46035</v>
      </c>
      <c r="E1349" s="55">
        <v>5447.8</v>
      </c>
      <c r="F1349" t="s">
        <v>769</v>
      </c>
      <c r="G1349">
        <v>101078346</v>
      </c>
      <c r="H1349" t="s">
        <v>755</v>
      </c>
      <c r="I1349" t="s">
        <v>770</v>
      </c>
      <c r="J1349">
        <v>0</v>
      </c>
      <c r="K1349" s="143">
        <v>46104</v>
      </c>
      <c r="L1349" s="143">
        <v>46035</v>
      </c>
      <c r="M1349">
        <v>62025</v>
      </c>
      <c r="N1349" t="s">
        <v>771</v>
      </c>
      <c r="O1349">
        <v>2001</v>
      </c>
      <c r="S1349">
        <v>2.00159000230012E+17</v>
      </c>
      <c r="T1349" t="s">
        <v>772</v>
      </c>
    </row>
    <row r="1350" spans="1:20" x14ac:dyDescent="0.25">
      <c r="A1350">
        <v>5100422750</v>
      </c>
      <c r="B1350">
        <v>3604</v>
      </c>
      <c r="C1350" t="s">
        <v>768</v>
      </c>
      <c r="D1350" s="143">
        <v>46035</v>
      </c>
      <c r="E1350" s="55">
        <v>1247.1600000000001</v>
      </c>
      <c r="F1350" t="s">
        <v>769</v>
      </c>
      <c r="G1350">
        <v>101078346</v>
      </c>
      <c r="H1350" t="s">
        <v>755</v>
      </c>
      <c r="I1350" t="s">
        <v>770</v>
      </c>
      <c r="J1350">
        <v>0</v>
      </c>
      <c r="K1350" s="143">
        <v>46104</v>
      </c>
      <c r="L1350" s="143">
        <v>46035</v>
      </c>
      <c r="M1350">
        <v>72025</v>
      </c>
      <c r="N1350" t="s">
        <v>771</v>
      </c>
      <c r="O1350">
        <v>2001</v>
      </c>
      <c r="S1350">
        <v>2.00159000230012E+17</v>
      </c>
      <c r="T1350" t="s">
        <v>772</v>
      </c>
    </row>
    <row r="1351" spans="1:20" x14ac:dyDescent="0.25">
      <c r="A1351">
        <v>5100422801</v>
      </c>
      <c r="B1351">
        <v>3774</v>
      </c>
      <c r="C1351" t="s">
        <v>768</v>
      </c>
      <c r="D1351" s="143">
        <v>46035</v>
      </c>
      <c r="E1351">
        <v>477.45</v>
      </c>
      <c r="F1351" t="s">
        <v>769</v>
      </c>
      <c r="G1351">
        <v>1500087611</v>
      </c>
      <c r="H1351" t="s">
        <v>755</v>
      </c>
      <c r="I1351" t="s">
        <v>770</v>
      </c>
      <c r="K1351" s="143">
        <v>46076</v>
      </c>
      <c r="L1351" s="143">
        <v>46035</v>
      </c>
      <c r="M1351">
        <v>42025</v>
      </c>
      <c r="N1351" t="s">
        <v>771</v>
      </c>
      <c r="O1351">
        <v>2001</v>
      </c>
      <c r="S1351">
        <v>514445</v>
      </c>
      <c r="T1351" t="s">
        <v>772</v>
      </c>
    </row>
    <row r="1352" spans="1:20" x14ac:dyDescent="0.25">
      <c r="A1352">
        <v>5100423163</v>
      </c>
      <c r="B1352">
        <v>4226</v>
      </c>
      <c r="C1352" t="s">
        <v>768</v>
      </c>
      <c r="D1352" s="143">
        <v>46035</v>
      </c>
      <c r="E1352" s="55">
        <v>2925.13</v>
      </c>
      <c r="F1352" t="s">
        <v>769</v>
      </c>
      <c r="G1352">
        <v>1500093218</v>
      </c>
      <c r="H1352" t="s">
        <v>755</v>
      </c>
      <c r="I1352" t="s">
        <v>770</v>
      </c>
      <c r="K1352" s="143">
        <v>46104</v>
      </c>
      <c r="L1352" s="143">
        <v>46035</v>
      </c>
      <c r="M1352">
        <v>22025</v>
      </c>
      <c r="N1352" t="s">
        <v>771</v>
      </c>
      <c r="O1352">
        <v>2001</v>
      </c>
      <c r="S1352" t="s">
        <v>776</v>
      </c>
      <c r="T1352" t="s">
        <v>772</v>
      </c>
    </row>
    <row r="1353" spans="1:20" x14ac:dyDescent="0.25">
      <c r="A1353">
        <v>5100423246</v>
      </c>
      <c r="B1353">
        <v>4830</v>
      </c>
      <c r="C1353" t="s">
        <v>768</v>
      </c>
      <c r="D1353" s="143">
        <v>46035</v>
      </c>
      <c r="E1353" s="55">
        <v>16609.669999999998</v>
      </c>
      <c r="F1353" t="s">
        <v>769</v>
      </c>
      <c r="G1353">
        <v>1500038741</v>
      </c>
      <c r="H1353" t="s">
        <v>755</v>
      </c>
      <c r="I1353" t="s">
        <v>770</v>
      </c>
      <c r="K1353" s="143">
        <v>46069</v>
      </c>
      <c r="L1353" s="143">
        <v>46035</v>
      </c>
      <c r="M1353">
        <v>42025</v>
      </c>
      <c r="N1353" t="s">
        <v>771</v>
      </c>
      <c r="O1353">
        <v>2001</v>
      </c>
      <c r="S1353">
        <v>525222</v>
      </c>
      <c r="T1353" t="s">
        <v>772</v>
      </c>
    </row>
    <row r="1354" spans="1:20" x14ac:dyDescent="0.25">
      <c r="A1354">
        <v>5100423247</v>
      </c>
      <c r="B1354">
        <v>4830</v>
      </c>
      <c r="C1354" t="s">
        <v>768</v>
      </c>
      <c r="D1354" s="143">
        <v>46035</v>
      </c>
      <c r="E1354">
        <v>317.58</v>
      </c>
      <c r="F1354" t="s">
        <v>769</v>
      </c>
      <c r="G1354">
        <v>1500038741</v>
      </c>
      <c r="H1354" t="s">
        <v>755</v>
      </c>
      <c r="I1354" t="s">
        <v>770</v>
      </c>
      <c r="K1354" s="143">
        <v>46069</v>
      </c>
      <c r="L1354" s="143">
        <v>46035</v>
      </c>
      <c r="M1354">
        <v>72025</v>
      </c>
      <c r="N1354" t="s">
        <v>771</v>
      </c>
      <c r="O1354">
        <v>2001</v>
      </c>
      <c r="S1354">
        <v>525222</v>
      </c>
      <c r="T1354" t="s">
        <v>772</v>
      </c>
    </row>
    <row r="1355" spans="1:20" x14ac:dyDescent="0.25">
      <c r="A1355">
        <v>5100423248</v>
      </c>
      <c r="B1355">
        <v>4830</v>
      </c>
      <c r="C1355" t="s">
        <v>768</v>
      </c>
      <c r="D1355" s="143">
        <v>46035</v>
      </c>
      <c r="E1355" s="55">
        <v>2201.17</v>
      </c>
      <c r="F1355" t="s">
        <v>769</v>
      </c>
      <c r="G1355">
        <v>1500038741</v>
      </c>
      <c r="H1355" t="s">
        <v>755</v>
      </c>
      <c r="I1355" t="s">
        <v>770</v>
      </c>
      <c r="K1355" s="143">
        <v>46069</v>
      </c>
      <c r="L1355" s="143">
        <v>46035</v>
      </c>
      <c r="M1355">
        <v>82025</v>
      </c>
      <c r="N1355" t="s">
        <v>771</v>
      </c>
      <c r="O1355">
        <v>2001</v>
      </c>
      <c r="S1355">
        <v>525222</v>
      </c>
      <c r="T1355" t="s">
        <v>772</v>
      </c>
    </row>
    <row r="1356" spans="1:20" x14ac:dyDescent="0.25">
      <c r="A1356">
        <v>5100423553</v>
      </c>
      <c r="B1356">
        <v>6348</v>
      </c>
      <c r="C1356" t="s">
        <v>768</v>
      </c>
      <c r="D1356" s="143">
        <v>46035</v>
      </c>
      <c r="E1356" s="55">
        <v>9198.64</v>
      </c>
      <c r="F1356" t="s">
        <v>769</v>
      </c>
      <c r="G1356">
        <v>1500061113</v>
      </c>
      <c r="H1356" t="s">
        <v>755</v>
      </c>
      <c r="I1356" t="s">
        <v>770</v>
      </c>
      <c r="K1356" s="143">
        <v>46098</v>
      </c>
      <c r="L1356" s="143">
        <v>46035</v>
      </c>
      <c r="M1356">
        <v>72025</v>
      </c>
      <c r="N1356" t="s">
        <v>771</v>
      </c>
      <c r="O1356">
        <v>2001</v>
      </c>
      <c r="S1356" t="s">
        <v>778</v>
      </c>
      <c r="T1356" t="s">
        <v>772</v>
      </c>
    </row>
    <row r="1357" spans="1:20" x14ac:dyDescent="0.25">
      <c r="A1357">
        <v>5100424045</v>
      </c>
      <c r="B1357">
        <v>9348</v>
      </c>
      <c r="C1357" t="s">
        <v>768</v>
      </c>
      <c r="D1357" s="143">
        <v>46035</v>
      </c>
      <c r="E1357">
        <v>510.09</v>
      </c>
      <c r="F1357" t="s">
        <v>769</v>
      </c>
      <c r="G1357">
        <v>1500087613</v>
      </c>
      <c r="H1357" t="s">
        <v>755</v>
      </c>
      <c r="I1357" t="s">
        <v>770</v>
      </c>
      <c r="K1357" s="143">
        <v>46076</v>
      </c>
      <c r="L1357" s="143">
        <v>46035</v>
      </c>
      <c r="M1357">
        <v>62025</v>
      </c>
      <c r="N1357" t="s">
        <v>771</v>
      </c>
      <c r="O1357">
        <v>2001</v>
      </c>
      <c r="S1357">
        <v>515426</v>
      </c>
      <c r="T1357" t="s">
        <v>772</v>
      </c>
    </row>
    <row r="1358" spans="1:20" x14ac:dyDescent="0.25">
      <c r="A1358">
        <v>5100424046</v>
      </c>
      <c r="B1358">
        <v>9348</v>
      </c>
      <c r="C1358" t="s">
        <v>768</v>
      </c>
      <c r="D1358" s="143">
        <v>46035</v>
      </c>
      <c r="E1358" s="55">
        <v>2249.88</v>
      </c>
      <c r="F1358" t="s">
        <v>769</v>
      </c>
      <c r="G1358">
        <v>1500087613</v>
      </c>
      <c r="H1358" t="s">
        <v>755</v>
      </c>
      <c r="I1358" t="s">
        <v>770</v>
      </c>
      <c r="K1358" s="143">
        <v>46076</v>
      </c>
      <c r="L1358" s="143">
        <v>46035</v>
      </c>
      <c r="M1358">
        <v>72025</v>
      </c>
      <c r="N1358" t="s">
        <v>771</v>
      </c>
      <c r="O1358">
        <v>2001</v>
      </c>
      <c r="S1358">
        <v>515426</v>
      </c>
      <c r="T1358" t="s">
        <v>772</v>
      </c>
    </row>
    <row r="1359" spans="1:20" x14ac:dyDescent="0.25">
      <c r="A1359">
        <v>5100424047</v>
      </c>
      <c r="B1359">
        <v>9348</v>
      </c>
      <c r="C1359" t="s">
        <v>768</v>
      </c>
      <c r="D1359" s="143">
        <v>46035</v>
      </c>
      <c r="E1359">
        <v>664.94</v>
      </c>
      <c r="F1359" t="s">
        <v>769</v>
      </c>
      <c r="G1359">
        <v>1500087613</v>
      </c>
      <c r="H1359" t="s">
        <v>755</v>
      </c>
      <c r="I1359" t="s">
        <v>770</v>
      </c>
      <c r="K1359" s="143">
        <v>46076</v>
      </c>
      <c r="L1359" s="143">
        <v>46035</v>
      </c>
      <c r="M1359">
        <v>82025</v>
      </c>
      <c r="N1359" t="s">
        <v>771</v>
      </c>
      <c r="O1359">
        <v>2001</v>
      </c>
      <c r="S1359">
        <v>515426</v>
      </c>
      <c r="T1359" t="s">
        <v>772</v>
      </c>
    </row>
    <row r="1360" spans="1:20" x14ac:dyDescent="0.25">
      <c r="A1360">
        <v>5100424048</v>
      </c>
      <c r="B1360">
        <v>9348</v>
      </c>
      <c r="C1360" t="s">
        <v>768</v>
      </c>
      <c r="D1360" s="143">
        <v>46035</v>
      </c>
      <c r="E1360" s="55">
        <v>6110.44</v>
      </c>
      <c r="F1360" t="s">
        <v>769</v>
      </c>
      <c r="G1360">
        <v>1500087613</v>
      </c>
      <c r="H1360" t="s">
        <v>755</v>
      </c>
      <c r="I1360" t="s">
        <v>770</v>
      </c>
      <c r="K1360" s="143">
        <v>46076</v>
      </c>
      <c r="L1360" s="143">
        <v>46035</v>
      </c>
      <c r="M1360">
        <v>92025</v>
      </c>
      <c r="N1360" t="s">
        <v>771</v>
      </c>
      <c r="O1360">
        <v>2001</v>
      </c>
      <c r="S1360">
        <v>515426</v>
      </c>
      <c r="T1360" t="s">
        <v>772</v>
      </c>
    </row>
    <row r="1361" spans="1:20" x14ac:dyDescent="0.25">
      <c r="A1361">
        <v>5100424145</v>
      </c>
      <c r="B1361">
        <v>9888</v>
      </c>
      <c r="C1361" t="s">
        <v>768</v>
      </c>
      <c r="D1361" s="143">
        <v>46035</v>
      </c>
      <c r="E1361" s="55">
        <v>7853</v>
      </c>
      <c r="F1361" t="s">
        <v>769</v>
      </c>
      <c r="G1361">
        <v>1500087614</v>
      </c>
      <c r="H1361" t="s">
        <v>755</v>
      </c>
      <c r="I1361" t="s">
        <v>770</v>
      </c>
      <c r="K1361" s="143">
        <v>46076</v>
      </c>
      <c r="L1361" s="143">
        <v>46035</v>
      </c>
      <c r="M1361">
        <v>62025</v>
      </c>
      <c r="N1361" t="s">
        <v>771</v>
      </c>
      <c r="O1361">
        <v>2001</v>
      </c>
      <c r="S1361">
        <v>515554</v>
      </c>
      <c r="T1361" t="s">
        <v>772</v>
      </c>
    </row>
    <row r="1362" spans="1:20" x14ac:dyDescent="0.25">
      <c r="A1362">
        <v>5100424146</v>
      </c>
      <c r="B1362">
        <v>9888</v>
      </c>
      <c r="C1362" t="s">
        <v>768</v>
      </c>
      <c r="D1362" s="143">
        <v>46035</v>
      </c>
      <c r="E1362">
        <v>125.7</v>
      </c>
      <c r="F1362" t="s">
        <v>769</v>
      </c>
      <c r="G1362">
        <v>1500087614</v>
      </c>
      <c r="H1362" t="s">
        <v>755</v>
      </c>
      <c r="I1362" t="s">
        <v>770</v>
      </c>
      <c r="K1362" s="143">
        <v>46076</v>
      </c>
      <c r="L1362" s="143">
        <v>46035</v>
      </c>
      <c r="M1362">
        <v>62025</v>
      </c>
      <c r="N1362" t="s">
        <v>771</v>
      </c>
      <c r="O1362">
        <v>2001</v>
      </c>
      <c r="S1362">
        <v>515554</v>
      </c>
      <c r="T1362" t="s">
        <v>772</v>
      </c>
    </row>
    <row r="1363" spans="1:20" x14ac:dyDescent="0.25">
      <c r="A1363">
        <v>5100424147</v>
      </c>
      <c r="B1363">
        <v>9888</v>
      </c>
      <c r="C1363" t="s">
        <v>768</v>
      </c>
      <c r="D1363" s="143">
        <v>46035</v>
      </c>
      <c r="E1363">
        <v>125.7</v>
      </c>
      <c r="F1363" t="s">
        <v>769</v>
      </c>
      <c r="G1363">
        <v>1500087614</v>
      </c>
      <c r="H1363" t="s">
        <v>755</v>
      </c>
      <c r="I1363" t="s">
        <v>770</v>
      </c>
      <c r="K1363" s="143">
        <v>46076</v>
      </c>
      <c r="L1363" s="143">
        <v>46035</v>
      </c>
      <c r="M1363">
        <v>82025</v>
      </c>
      <c r="N1363" t="s">
        <v>771</v>
      </c>
      <c r="O1363">
        <v>2001</v>
      </c>
      <c r="S1363">
        <v>515554</v>
      </c>
      <c r="T1363" t="s">
        <v>772</v>
      </c>
    </row>
    <row r="1364" spans="1:20" x14ac:dyDescent="0.25">
      <c r="A1364">
        <v>5100424148</v>
      </c>
      <c r="B1364">
        <v>9888</v>
      </c>
      <c r="C1364" t="s">
        <v>768</v>
      </c>
      <c r="D1364" s="143">
        <v>46035</v>
      </c>
      <c r="E1364">
        <v>125.7</v>
      </c>
      <c r="F1364" t="s">
        <v>769</v>
      </c>
      <c r="G1364">
        <v>1500087614</v>
      </c>
      <c r="H1364" t="s">
        <v>755</v>
      </c>
      <c r="I1364" t="s">
        <v>770</v>
      </c>
      <c r="K1364" s="143">
        <v>46076</v>
      </c>
      <c r="L1364" s="143">
        <v>46035</v>
      </c>
      <c r="M1364">
        <v>92025</v>
      </c>
      <c r="N1364" t="s">
        <v>771</v>
      </c>
      <c r="O1364">
        <v>2001</v>
      </c>
      <c r="S1364">
        <v>515554</v>
      </c>
      <c r="T1364" t="s">
        <v>772</v>
      </c>
    </row>
    <row r="1365" spans="1:20" x14ac:dyDescent="0.25">
      <c r="A1365">
        <v>5100227616</v>
      </c>
      <c r="B1365">
        <v>10426</v>
      </c>
      <c r="C1365" t="s">
        <v>768</v>
      </c>
      <c r="D1365" s="143">
        <v>46035</v>
      </c>
      <c r="E1365" s="55">
        <v>1542.85</v>
      </c>
      <c r="F1365" t="s">
        <v>769</v>
      </c>
      <c r="G1365">
        <v>1500087616</v>
      </c>
      <c r="H1365" t="s">
        <v>755</v>
      </c>
      <c r="I1365" t="s">
        <v>770</v>
      </c>
      <c r="K1365" s="143">
        <v>46076</v>
      </c>
      <c r="L1365" s="143">
        <v>46035</v>
      </c>
      <c r="M1365">
        <v>22025</v>
      </c>
      <c r="N1365" t="s">
        <v>771</v>
      </c>
      <c r="O1365">
        <v>2001</v>
      </c>
      <c r="S1365">
        <v>515524</v>
      </c>
      <c r="T1365" t="s">
        <v>772</v>
      </c>
    </row>
    <row r="1366" spans="1:20" x14ac:dyDescent="0.25">
      <c r="A1366">
        <v>5100227617</v>
      </c>
      <c r="B1366">
        <v>10678</v>
      </c>
      <c r="C1366" t="s">
        <v>768</v>
      </c>
      <c r="D1366" s="143">
        <v>46035</v>
      </c>
      <c r="E1366">
        <v>307.27</v>
      </c>
      <c r="F1366" t="s">
        <v>769</v>
      </c>
      <c r="G1366">
        <v>1500096548</v>
      </c>
      <c r="H1366" t="s">
        <v>755</v>
      </c>
      <c r="I1366" t="s">
        <v>770</v>
      </c>
      <c r="K1366" s="143">
        <v>46083</v>
      </c>
      <c r="L1366" s="143">
        <v>46035</v>
      </c>
      <c r="M1366">
        <v>52025</v>
      </c>
      <c r="N1366" t="s">
        <v>771</v>
      </c>
      <c r="O1366">
        <v>2001</v>
      </c>
      <c r="S1366">
        <v>514491</v>
      </c>
      <c r="T1366" t="s">
        <v>772</v>
      </c>
    </row>
    <row r="1367" spans="1:20" x14ac:dyDescent="0.25">
      <c r="A1367">
        <v>5100227618</v>
      </c>
      <c r="B1367">
        <v>10822</v>
      </c>
      <c r="C1367" t="s">
        <v>768</v>
      </c>
      <c r="D1367" s="143">
        <v>46035</v>
      </c>
      <c r="E1367">
        <v>77.41</v>
      </c>
      <c r="F1367" t="s">
        <v>769</v>
      </c>
      <c r="G1367">
        <v>1500087617</v>
      </c>
      <c r="H1367" t="s">
        <v>755</v>
      </c>
      <c r="I1367" t="s">
        <v>770</v>
      </c>
      <c r="K1367" s="143">
        <v>46076</v>
      </c>
      <c r="L1367" s="143">
        <v>46035</v>
      </c>
      <c r="M1367">
        <v>22025</v>
      </c>
      <c r="N1367" t="s">
        <v>771</v>
      </c>
      <c r="O1367">
        <v>2001</v>
      </c>
      <c r="S1367">
        <v>515429</v>
      </c>
      <c r="T1367" t="s">
        <v>772</v>
      </c>
    </row>
    <row r="1368" spans="1:20" x14ac:dyDescent="0.25">
      <c r="A1368">
        <v>5100227619</v>
      </c>
      <c r="B1368">
        <v>10822</v>
      </c>
      <c r="C1368" t="s">
        <v>768</v>
      </c>
      <c r="D1368" s="143">
        <v>46035</v>
      </c>
      <c r="E1368" s="55">
        <v>3423.96</v>
      </c>
      <c r="F1368" t="s">
        <v>769</v>
      </c>
      <c r="G1368">
        <v>1500087617</v>
      </c>
      <c r="H1368" t="s">
        <v>755</v>
      </c>
      <c r="I1368" t="s">
        <v>770</v>
      </c>
      <c r="K1368" s="143">
        <v>46076</v>
      </c>
      <c r="L1368" s="143">
        <v>46035</v>
      </c>
      <c r="M1368">
        <v>72025</v>
      </c>
      <c r="N1368" t="s">
        <v>771</v>
      </c>
      <c r="O1368">
        <v>2001</v>
      </c>
      <c r="S1368">
        <v>515429</v>
      </c>
      <c r="T1368" t="s">
        <v>772</v>
      </c>
    </row>
    <row r="1369" spans="1:20" x14ac:dyDescent="0.25">
      <c r="A1369">
        <v>5100227641</v>
      </c>
      <c r="B1369">
        <v>11160</v>
      </c>
      <c r="C1369" t="s">
        <v>768</v>
      </c>
      <c r="D1369" s="143">
        <v>46035</v>
      </c>
      <c r="E1369">
        <v>217.49</v>
      </c>
      <c r="F1369" t="s">
        <v>769</v>
      </c>
      <c r="G1369">
        <v>1500038746</v>
      </c>
      <c r="H1369" t="s">
        <v>755</v>
      </c>
      <c r="I1369" t="s">
        <v>770</v>
      </c>
      <c r="K1369" s="143">
        <v>46069</v>
      </c>
      <c r="L1369" s="143">
        <v>46035</v>
      </c>
      <c r="M1369">
        <v>32025</v>
      </c>
      <c r="N1369" t="s">
        <v>771</v>
      </c>
      <c r="O1369">
        <v>2001</v>
      </c>
      <c r="S1369">
        <v>515498</v>
      </c>
      <c r="T1369" t="s">
        <v>772</v>
      </c>
    </row>
    <row r="1370" spans="1:20" x14ac:dyDescent="0.25">
      <c r="A1370">
        <v>5100227642</v>
      </c>
      <c r="B1370">
        <v>11160</v>
      </c>
      <c r="C1370" t="s">
        <v>768</v>
      </c>
      <c r="D1370" s="143">
        <v>46035</v>
      </c>
      <c r="E1370">
        <v>32.880000000000003</v>
      </c>
      <c r="F1370" t="s">
        <v>769</v>
      </c>
      <c r="G1370">
        <v>1500038746</v>
      </c>
      <c r="H1370" t="s">
        <v>755</v>
      </c>
      <c r="I1370" t="s">
        <v>770</v>
      </c>
      <c r="K1370" s="143">
        <v>46069</v>
      </c>
      <c r="L1370" s="143">
        <v>46035</v>
      </c>
      <c r="M1370">
        <v>52025</v>
      </c>
      <c r="N1370" t="s">
        <v>771</v>
      </c>
      <c r="O1370">
        <v>2001</v>
      </c>
      <c r="S1370">
        <v>515498</v>
      </c>
      <c r="T1370" t="s">
        <v>772</v>
      </c>
    </row>
    <row r="1371" spans="1:20" x14ac:dyDescent="0.25">
      <c r="A1371">
        <v>5100227651</v>
      </c>
      <c r="B1371">
        <v>11423</v>
      </c>
      <c r="C1371" t="s">
        <v>768</v>
      </c>
      <c r="D1371" s="143">
        <v>46035</v>
      </c>
      <c r="E1371" s="55">
        <v>3922.94</v>
      </c>
      <c r="F1371" t="s">
        <v>769</v>
      </c>
      <c r="G1371">
        <v>1500087619</v>
      </c>
      <c r="H1371" t="s">
        <v>755</v>
      </c>
      <c r="I1371" t="s">
        <v>770</v>
      </c>
      <c r="K1371" s="143">
        <v>46076</v>
      </c>
      <c r="L1371" s="143">
        <v>46035</v>
      </c>
      <c r="M1371">
        <v>32025</v>
      </c>
      <c r="N1371" t="s">
        <v>771</v>
      </c>
      <c r="O1371">
        <v>2001</v>
      </c>
      <c r="S1371">
        <v>515527</v>
      </c>
      <c r="T1371" t="s">
        <v>772</v>
      </c>
    </row>
    <row r="1372" spans="1:20" x14ac:dyDescent="0.25">
      <c r="A1372">
        <v>5100227652</v>
      </c>
      <c r="B1372">
        <v>11423</v>
      </c>
      <c r="C1372" t="s">
        <v>768</v>
      </c>
      <c r="D1372" s="143">
        <v>46035</v>
      </c>
      <c r="E1372" s="55">
        <v>2318.1999999999998</v>
      </c>
      <c r="F1372" t="s">
        <v>769</v>
      </c>
      <c r="G1372">
        <v>1500087619</v>
      </c>
      <c r="H1372" t="s">
        <v>755</v>
      </c>
      <c r="I1372" t="s">
        <v>770</v>
      </c>
      <c r="K1372" s="143">
        <v>46076</v>
      </c>
      <c r="L1372" s="143">
        <v>46035</v>
      </c>
      <c r="M1372">
        <v>42025</v>
      </c>
      <c r="N1372" t="s">
        <v>771</v>
      </c>
      <c r="O1372">
        <v>2001</v>
      </c>
      <c r="S1372">
        <v>515527</v>
      </c>
      <c r="T1372" t="s">
        <v>772</v>
      </c>
    </row>
    <row r="1373" spans="1:20" x14ac:dyDescent="0.25">
      <c r="A1373">
        <v>5100227653</v>
      </c>
      <c r="B1373">
        <v>11423</v>
      </c>
      <c r="C1373" t="s">
        <v>768</v>
      </c>
      <c r="D1373" s="143">
        <v>46035</v>
      </c>
      <c r="E1373">
        <v>828.85</v>
      </c>
      <c r="F1373" t="s">
        <v>769</v>
      </c>
      <c r="G1373">
        <v>1500087619</v>
      </c>
      <c r="H1373" t="s">
        <v>755</v>
      </c>
      <c r="I1373" t="s">
        <v>770</v>
      </c>
      <c r="K1373" s="143">
        <v>46076</v>
      </c>
      <c r="L1373" s="143">
        <v>46035</v>
      </c>
      <c r="M1373">
        <v>62025</v>
      </c>
      <c r="N1373" t="s">
        <v>771</v>
      </c>
      <c r="O1373">
        <v>2001</v>
      </c>
      <c r="S1373">
        <v>515527</v>
      </c>
      <c r="T1373" t="s">
        <v>772</v>
      </c>
    </row>
    <row r="1374" spans="1:20" x14ac:dyDescent="0.25">
      <c r="A1374">
        <v>5100227685</v>
      </c>
      <c r="B1374">
        <v>11657</v>
      </c>
      <c r="C1374" t="s">
        <v>768</v>
      </c>
      <c r="D1374" s="143">
        <v>46035</v>
      </c>
      <c r="E1374" s="55">
        <v>2105.36</v>
      </c>
      <c r="F1374" t="s">
        <v>769</v>
      </c>
      <c r="G1374">
        <v>1500087620</v>
      </c>
      <c r="H1374" t="s">
        <v>755</v>
      </c>
      <c r="I1374" t="s">
        <v>770</v>
      </c>
      <c r="K1374" s="143">
        <v>46076</v>
      </c>
      <c r="L1374" s="143">
        <v>46035</v>
      </c>
      <c r="M1374">
        <v>52025</v>
      </c>
      <c r="N1374" t="s">
        <v>771</v>
      </c>
      <c r="O1374">
        <v>2001</v>
      </c>
      <c r="S1374">
        <v>515441</v>
      </c>
      <c r="T1374" t="s">
        <v>772</v>
      </c>
    </row>
    <row r="1375" spans="1:20" x14ac:dyDescent="0.25">
      <c r="A1375">
        <v>5100227686</v>
      </c>
      <c r="B1375">
        <v>11657</v>
      </c>
      <c r="C1375" t="s">
        <v>768</v>
      </c>
      <c r="D1375" s="143">
        <v>46035</v>
      </c>
      <c r="E1375">
        <v>651.49</v>
      </c>
      <c r="F1375" t="s">
        <v>769</v>
      </c>
      <c r="G1375">
        <v>1500087620</v>
      </c>
      <c r="H1375" t="s">
        <v>755</v>
      </c>
      <c r="I1375" t="s">
        <v>770</v>
      </c>
      <c r="K1375" s="143">
        <v>46076</v>
      </c>
      <c r="L1375" s="143">
        <v>46035</v>
      </c>
      <c r="M1375">
        <v>62025</v>
      </c>
      <c r="N1375" t="s">
        <v>771</v>
      </c>
      <c r="O1375">
        <v>2001</v>
      </c>
      <c r="S1375">
        <v>515441</v>
      </c>
      <c r="T1375" t="s">
        <v>772</v>
      </c>
    </row>
    <row r="1376" spans="1:20" x14ac:dyDescent="0.25">
      <c r="A1376">
        <v>5100227687</v>
      </c>
      <c r="B1376">
        <v>11657</v>
      </c>
      <c r="C1376" t="s">
        <v>768</v>
      </c>
      <c r="D1376" s="143">
        <v>46035</v>
      </c>
      <c r="E1376">
        <v>409.05</v>
      </c>
      <c r="F1376" t="s">
        <v>769</v>
      </c>
      <c r="G1376">
        <v>1500087620</v>
      </c>
      <c r="H1376" t="s">
        <v>755</v>
      </c>
      <c r="I1376" t="s">
        <v>770</v>
      </c>
      <c r="K1376" s="143">
        <v>46076</v>
      </c>
      <c r="L1376" s="143">
        <v>46035</v>
      </c>
      <c r="M1376">
        <v>72025</v>
      </c>
      <c r="N1376" t="s">
        <v>771</v>
      </c>
      <c r="O1376">
        <v>2001</v>
      </c>
      <c r="S1376">
        <v>515441</v>
      </c>
      <c r="T1376" t="s">
        <v>772</v>
      </c>
    </row>
    <row r="1377" spans="1:20" x14ac:dyDescent="0.25">
      <c r="A1377">
        <v>5100421543</v>
      </c>
      <c r="B1377">
        <v>13611</v>
      </c>
      <c r="C1377" t="s">
        <v>768</v>
      </c>
      <c r="D1377" s="143">
        <v>46035</v>
      </c>
      <c r="E1377">
        <v>148.08000000000001</v>
      </c>
      <c r="F1377" t="s">
        <v>769</v>
      </c>
      <c r="G1377">
        <v>1500013614</v>
      </c>
      <c r="H1377" t="s">
        <v>755</v>
      </c>
      <c r="I1377" t="s">
        <v>770</v>
      </c>
      <c r="K1377" s="143">
        <v>46104</v>
      </c>
      <c r="L1377" s="143">
        <v>46035</v>
      </c>
      <c r="M1377">
        <v>52025</v>
      </c>
      <c r="N1377" t="s">
        <v>771</v>
      </c>
      <c r="O1377">
        <v>2001</v>
      </c>
      <c r="S1377" t="s">
        <v>776</v>
      </c>
      <c r="T1377" t="s">
        <v>772</v>
      </c>
    </row>
    <row r="1378" spans="1:20" x14ac:dyDescent="0.25">
      <c r="A1378">
        <v>5100421598</v>
      </c>
      <c r="B1378">
        <v>14535</v>
      </c>
      <c r="C1378" t="s">
        <v>768</v>
      </c>
      <c r="D1378" s="143">
        <v>46035</v>
      </c>
      <c r="E1378" s="55">
        <v>1600.91</v>
      </c>
      <c r="F1378" t="s">
        <v>769</v>
      </c>
      <c r="G1378">
        <v>1500038748</v>
      </c>
      <c r="H1378" t="s">
        <v>755</v>
      </c>
      <c r="I1378" t="s">
        <v>770</v>
      </c>
      <c r="K1378" s="143">
        <v>46069</v>
      </c>
      <c r="L1378" s="143">
        <v>46035</v>
      </c>
      <c r="M1378">
        <v>62025</v>
      </c>
      <c r="N1378" t="s">
        <v>771</v>
      </c>
      <c r="O1378">
        <v>2001</v>
      </c>
      <c r="S1378">
        <v>0</v>
      </c>
      <c r="T1378" t="s">
        <v>772</v>
      </c>
    </row>
    <row r="1379" spans="1:20" x14ac:dyDescent="0.25">
      <c r="A1379">
        <v>5100421596</v>
      </c>
      <c r="B1379">
        <v>14535</v>
      </c>
      <c r="C1379" t="s">
        <v>768</v>
      </c>
      <c r="D1379" s="143">
        <v>46035</v>
      </c>
      <c r="E1379">
        <v>826.57</v>
      </c>
      <c r="F1379" t="s">
        <v>769</v>
      </c>
      <c r="G1379">
        <v>1500038748</v>
      </c>
      <c r="H1379" t="s">
        <v>755</v>
      </c>
      <c r="I1379" t="s">
        <v>770</v>
      </c>
      <c r="K1379" s="143">
        <v>46069</v>
      </c>
      <c r="L1379" s="143">
        <v>46035</v>
      </c>
      <c r="M1379">
        <v>42025</v>
      </c>
      <c r="N1379" t="s">
        <v>771</v>
      </c>
      <c r="O1379">
        <v>2001</v>
      </c>
      <c r="S1379">
        <v>516001</v>
      </c>
      <c r="T1379" t="s">
        <v>772</v>
      </c>
    </row>
    <row r="1380" spans="1:20" x14ac:dyDescent="0.25">
      <c r="A1380">
        <v>5100421597</v>
      </c>
      <c r="B1380">
        <v>14535</v>
      </c>
      <c r="C1380" t="s">
        <v>768</v>
      </c>
      <c r="D1380" s="143">
        <v>46035</v>
      </c>
      <c r="E1380" s="55">
        <v>1000.81</v>
      </c>
      <c r="F1380" t="s">
        <v>769</v>
      </c>
      <c r="G1380">
        <v>1500038748</v>
      </c>
      <c r="H1380" t="s">
        <v>755</v>
      </c>
      <c r="I1380" t="s">
        <v>770</v>
      </c>
      <c r="K1380" s="143">
        <v>46069</v>
      </c>
      <c r="L1380" s="143">
        <v>46035</v>
      </c>
      <c r="M1380">
        <v>52025</v>
      </c>
      <c r="N1380" t="s">
        <v>771</v>
      </c>
      <c r="O1380">
        <v>2001</v>
      </c>
      <c r="S1380">
        <v>516001</v>
      </c>
      <c r="T1380" t="s">
        <v>772</v>
      </c>
    </row>
    <row r="1381" spans="1:20" x14ac:dyDescent="0.25">
      <c r="A1381">
        <v>5100421599</v>
      </c>
      <c r="B1381">
        <v>14535</v>
      </c>
      <c r="C1381" t="s">
        <v>768</v>
      </c>
      <c r="D1381" s="143">
        <v>46035</v>
      </c>
      <c r="E1381">
        <v>549.71</v>
      </c>
      <c r="F1381" t="s">
        <v>769</v>
      </c>
      <c r="G1381">
        <v>1500038748</v>
      </c>
      <c r="H1381" t="s">
        <v>755</v>
      </c>
      <c r="I1381" t="s">
        <v>770</v>
      </c>
      <c r="K1381" s="143">
        <v>46069</v>
      </c>
      <c r="L1381" s="143">
        <v>46035</v>
      </c>
      <c r="M1381">
        <v>62025</v>
      </c>
      <c r="N1381" t="s">
        <v>771</v>
      </c>
      <c r="O1381">
        <v>2001</v>
      </c>
      <c r="S1381">
        <v>516001</v>
      </c>
      <c r="T1381" t="s">
        <v>772</v>
      </c>
    </row>
    <row r="1382" spans="1:20" x14ac:dyDescent="0.25">
      <c r="A1382">
        <v>5100421600</v>
      </c>
      <c r="B1382">
        <v>14535</v>
      </c>
      <c r="C1382" t="s">
        <v>768</v>
      </c>
      <c r="D1382" s="143">
        <v>46035</v>
      </c>
      <c r="E1382">
        <v>190.75</v>
      </c>
      <c r="F1382" t="s">
        <v>769</v>
      </c>
      <c r="G1382">
        <v>1500038748</v>
      </c>
      <c r="H1382" t="s">
        <v>755</v>
      </c>
      <c r="I1382" t="s">
        <v>770</v>
      </c>
      <c r="K1382" s="143">
        <v>46069</v>
      </c>
      <c r="L1382" s="143">
        <v>46035</v>
      </c>
      <c r="M1382">
        <v>72025</v>
      </c>
      <c r="N1382" t="s">
        <v>771</v>
      </c>
      <c r="O1382">
        <v>2001</v>
      </c>
      <c r="S1382">
        <v>516001</v>
      </c>
      <c r="T1382" t="s">
        <v>772</v>
      </c>
    </row>
    <row r="1383" spans="1:20" x14ac:dyDescent="0.25">
      <c r="A1383">
        <v>5100395304</v>
      </c>
      <c r="B1383">
        <v>14535</v>
      </c>
      <c r="C1383" t="s">
        <v>768</v>
      </c>
      <c r="D1383" s="143">
        <v>46035</v>
      </c>
      <c r="E1383" s="55">
        <v>1600.91</v>
      </c>
      <c r="F1383" t="s">
        <v>769</v>
      </c>
      <c r="G1383">
        <v>5100420502</v>
      </c>
      <c r="H1383" t="s">
        <v>755</v>
      </c>
      <c r="I1383" t="s">
        <v>770</v>
      </c>
      <c r="J1383">
        <v>8</v>
      </c>
      <c r="K1383" s="143">
        <v>46035</v>
      </c>
      <c r="L1383" s="143">
        <v>46035</v>
      </c>
      <c r="M1383">
        <v>62025</v>
      </c>
      <c r="N1383">
        <v>0</v>
      </c>
      <c r="O1383">
        <v>2001</v>
      </c>
      <c r="S1383">
        <v>0</v>
      </c>
      <c r="T1383" t="s">
        <v>772</v>
      </c>
    </row>
    <row r="1384" spans="1:20" x14ac:dyDescent="0.25">
      <c r="A1384">
        <v>5100420502</v>
      </c>
      <c r="B1384">
        <v>14535</v>
      </c>
      <c r="C1384" t="s">
        <v>768</v>
      </c>
      <c r="D1384" s="143">
        <v>46035</v>
      </c>
      <c r="E1384" s="55">
        <v>-1600.91</v>
      </c>
      <c r="F1384" t="s">
        <v>769</v>
      </c>
      <c r="G1384">
        <v>5100420502</v>
      </c>
      <c r="H1384" t="s">
        <v>755</v>
      </c>
      <c r="I1384" t="s">
        <v>770</v>
      </c>
      <c r="J1384">
        <v>8</v>
      </c>
      <c r="K1384" s="143">
        <v>46035</v>
      </c>
      <c r="L1384" s="143">
        <v>46035</v>
      </c>
      <c r="M1384">
        <v>62025</v>
      </c>
      <c r="N1384">
        <v>0</v>
      </c>
      <c r="O1384">
        <v>2001</v>
      </c>
      <c r="S1384">
        <v>0</v>
      </c>
      <c r="T1384">
        <v>900505604</v>
      </c>
    </row>
    <row r="1385" spans="1:20" x14ac:dyDescent="0.25">
      <c r="A1385">
        <v>5100421622</v>
      </c>
      <c r="B1385">
        <v>15331</v>
      </c>
      <c r="C1385" t="s">
        <v>768</v>
      </c>
      <c r="D1385" s="143">
        <v>46035</v>
      </c>
      <c r="E1385" s="55">
        <v>1297.3699999999999</v>
      </c>
      <c r="F1385" t="s">
        <v>769</v>
      </c>
      <c r="G1385">
        <v>101046545</v>
      </c>
      <c r="H1385" t="s">
        <v>755</v>
      </c>
      <c r="I1385" t="s">
        <v>770</v>
      </c>
      <c r="J1385">
        <v>0</v>
      </c>
      <c r="K1385" s="143">
        <v>46118</v>
      </c>
      <c r="L1385" s="143">
        <v>46035</v>
      </c>
      <c r="M1385">
        <v>42025</v>
      </c>
      <c r="N1385" t="s">
        <v>771</v>
      </c>
      <c r="O1385">
        <v>2001</v>
      </c>
      <c r="S1385">
        <v>2.00159000220032E+17</v>
      </c>
      <c r="T1385" t="s">
        <v>772</v>
      </c>
    </row>
    <row r="1386" spans="1:20" x14ac:dyDescent="0.25">
      <c r="A1386">
        <v>5100421623</v>
      </c>
      <c r="B1386">
        <v>15331</v>
      </c>
      <c r="C1386" t="s">
        <v>768</v>
      </c>
      <c r="D1386" s="143">
        <v>46035</v>
      </c>
      <c r="E1386" s="55">
        <v>5124.75</v>
      </c>
      <c r="F1386" t="s">
        <v>769</v>
      </c>
      <c r="G1386">
        <v>101046545</v>
      </c>
      <c r="H1386" t="s">
        <v>755</v>
      </c>
      <c r="I1386" t="s">
        <v>770</v>
      </c>
      <c r="J1386">
        <v>0</v>
      </c>
      <c r="K1386" s="143">
        <v>46118</v>
      </c>
      <c r="L1386" s="143">
        <v>46035</v>
      </c>
      <c r="M1386">
        <v>42025</v>
      </c>
      <c r="N1386" t="s">
        <v>771</v>
      </c>
      <c r="O1386">
        <v>2001</v>
      </c>
      <c r="S1386">
        <v>2.00159000220032E+17</v>
      </c>
      <c r="T1386" t="s">
        <v>772</v>
      </c>
    </row>
    <row r="1387" spans="1:20" x14ac:dyDescent="0.25">
      <c r="A1387">
        <v>5100421624</v>
      </c>
      <c r="B1387">
        <v>15331</v>
      </c>
      <c r="C1387" t="s">
        <v>768</v>
      </c>
      <c r="D1387" s="143">
        <v>46035</v>
      </c>
      <c r="E1387" s="55">
        <v>3344.49</v>
      </c>
      <c r="F1387" t="s">
        <v>769</v>
      </c>
      <c r="G1387">
        <v>101046545</v>
      </c>
      <c r="H1387" t="s">
        <v>755</v>
      </c>
      <c r="I1387" t="s">
        <v>770</v>
      </c>
      <c r="J1387">
        <v>0</v>
      </c>
      <c r="K1387" s="143">
        <v>46118</v>
      </c>
      <c r="L1387" s="143">
        <v>46035</v>
      </c>
      <c r="M1387">
        <v>62025</v>
      </c>
      <c r="N1387" t="s">
        <v>771</v>
      </c>
      <c r="O1387">
        <v>2001</v>
      </c>
      <c r="S1387">
        <v>2.00159000220032E+17</v>
      </c>
      <c r="T1387" t="s">
        <v>772</v>
      </c>
    </row>
    <row r="1388" spans="1:20" x14ac:dyDescent="0.25">
      <c r="A1388">
        <v>5100421625</v>
      </c>
      <c r="B1388">
        <v>15331</v>
      </c>
      <c r="C1388" t="s">
        <v>768</v>
      </c>
      <c r="D1388" s="143">
        <v>46035</v>
      </c>
      <c r="E1388" s="55">
        <v>8296.74</v>
      </c>
      <c r="F1388" t="s">
        <v>769</v>
      </c>
      <c r="G1388">
        <v>101046545</v>
      </c>
      <c r="H1388" t="s">
        <v>755</v>
      </c>
      <c r="I1388" t="s">
        <v>770</v>
      </c>
      <c r="J1388">
        <v>0</v>
      </c>
      <c r="K1388" s="143">
        <v>46118</v>
      </c>
      <c r="L1388" s="143">
        <v>46035</v>
      </c>
      <c r="M1388">
        <v>62025</v>
      </c>
      <c r="N1388" t="s">
        <v>771</v>
      </c>
      <c r="O1388">
        <v>2001</v>
      </c>
      <c r="S1388">
        <v>2.00159000220032E+17</v>
      </c>
      <c r="T1388" t="s">
        <v>772</v>
      </c>
    </row>
    <row r="1389" spans="1:20" x14ac:dyDescent="0.25">
      <c r="A1389">
        <v>5100421626</v>
      </c>
      <c r="B1389">
        <v>15331</v>
      </c>
      <c r="C1389" t="s">
        <v>768</v>
      </c>
      <c r="D1389" s="143">
        <v>46035</v>
      </c>
      <c r="E1389">
        <v>222.84</v>
      </c>
      <c r="F1389" t="s">
        <v>769</v>
      </c>
      <c r="G1389">
        <v>101046545</v>
      </c>
      <c r="H1389" t="s">
        <v>755</v>
      </c>
      <c r="I1389" t="s">
        <v>770</v>
      </c>
      <c r="J1389">
        <v>0</v>
      </c>
      <c r="K1389" s="143">
        <v>46118</v>
      </c>
      <c r="L1389" s="143">
        <v>46035</v>
      </c>
      <c r="M1389">
        <v>82025</v>
      </c>
      <c r="N1389" t="s">
        <v>771</v>
      </c>
      <c r="O1389">
        <v>2001</v>
      </c>
      <c r="S1389">
        <v>2.00159000220032E+17</v>
      </c>
      <c r="T1389" t="s">
        <v>772</v>
      </c>
    </row>
    <row r="1390" spans="1:20" x14ac:dyDescent="0.25">
      <c r="A1390">
        <v>5100421635</v>
      </c>
      <c r="B1390">
        <v>16006</v>
      </c>
      <c r="C1390" t="s">
        <v>768</v>
      </c>
      <c r="D1390" s="143">
        <v>46035</v>
      </c>
      <c r="E1390">
        <v>170.86</v>
      </c>
      <c r="F1390" t="s">
        <v>769</v>
      </c>
      <c r="G1390">
        <v>101729304</v>
      </c>
      <c r="H1390" t="s">
        <v>755</v>
      </c>
      <c r="I1390" t="s">
        <v>770</v>
      </c>
      <c r="J1390">
        <v>0</v>
      </c>
      <c r="K1390" s="143">
        <v>46258</v>
      </c>
      <c r="L1390" s="143">
        <v>46035</v>
      </c>
      <c r="M1390">
        <v>52025</v>
      </c>
      <c r="N1390" t="s">
        <v>771</v>
      </c>
      <c r="O1390">
        <v>2001</v>
      </c>
      <c r="S1390">
        <v>2.0015900023608198E+17</v>
      </c>
      <c r="T1390" t="s">
        <v>772</v>
      </c>
    </row>
    <row r="1391" spans="1:20" x14ac:dyDescent="0.25">
      <c r="A1391">
        <v>5100421636</v>
      </c>
      <c r="B1391">
        <v>16006</v>
      </c>
      <c r="C1391" t="s">
        <v>768</v>
      </c>
      <c r="D1391" s="143">
        <v>46035</v>
      </c>
      <c r="E1391">
        <v>5.86</v>
      </c>
      <c r="F1391" t="s">
        <v>769</v>
      </c>
      <c r="G1391">
        <v>101729304</v>
      </c>
      <c r="H1391" t="s">
        <v>755</v>
      </c>
      <c r="I1391" t="s">
        <v>770</v>
      </c>
      <c r="J1391">
        <v>0</v>
      </c>
      <c r="K1391" s="143">
        <v>46258</v>
      </c>
      <c r="L1391" s="143">
        <v>46035</v>
      </c>
      <c r="M1391">
        <v>52025</v>
      </c>
      <c r="N1391" t="s">
        <v>771</v>
      </c>
      <c r="O1391">
        <v>2001</v>
      </c>
      <c r="S1391">
        <v>2.0015900023608198E+17</v>
      </c>
      <c r="T1391" t="s">
        <v>772</v>
      </c>
    </row>
    <row r="1392" spans="1:20" x14ac:dyDescent="0.25">
      <c r="A1392">
        <v>5100421637</v>
      </c>
      <c r="B1392">
        <v>16006</v>
      </c>
      <c r="C1392" t="s">
        <v>768</v>
      </c>
      <c r="D1392" s="143">
        <v>46035</v>
      </c>
      <c r="E1392">
        <v>166.02</v>
      </c>
      <c r="F1392" t="s">
        <v>769</v>
      </c>
      <c r="G1392">
        <v>101729304</v>
      </c>
      <c r="H1392" t="s">
        <v>755</v>
      </c>
      <c r="I1392" t="s">
        <v>770</v>
      </c>
      <c r="J1392">
        <v>0</v>
      </c>
      <c r="K1392" s="143">
        <v>46258</v>
      </c>
      <c r="L1392" s="143">
        <v>46035</v>
      </c>
      <c r="M1392">
        <v>72025</v>
      </c>
      <c r="N1392" t="s">
        <v>771</v>
      </c>
      <c r="O1392">
        <v>2001</v>
      </c>
      <c r="S1392">
        <v>2.0015900023608198E+17</v>
      </c>
      <c r="T1392" t="s">
        <v>772</v>
      </c>
    </row>
    <row r="1393" spans="1:20" x14ac:dyDescent="0.25">
      <c r="A1393">
        <v>5100421638</v>
      </c>
      <c r="B1393">
        <v>16006</v>
      </c>
      <c r="C1393" t="s">
        <v>768</v>
      </c>
      <c r="D1393" s="143">
        <v>46035</v>
      </c>
      <c r="E1393">
        <v>271.82</v>
      </c>
      <c r="F1393" t="s">
        <v>769</v>
      </c>
      <c r="G1393">
        <v>101729304</v>
      </c>
      <c r="H1393" t="s">
        <v>755</v>
      </c>
      <c r="I1393" t="s">
        <v>770</v>
      </c>
      <c r="J1393">
        <v>0</v>
      </c>
      <c r="K1393" s="143">
        <v>46258</v>
      </c>
      <c r="L1393" s="143">
        <v>46035</v>
      </c>
      <c r="M1393">
        <v>72025</v>
      </c>
      <c r="N1393" t="s">
        <v>771</v>
      </c>
      <c r="O1393">
        <v>2001</v>
      </c>
      <c r="S1393">
        <v>2.0015900023608198E+17</v>
      </c>
      <c r="T1393" t="s">
        <v>772</v>
      </c>
    </row>
    <row r="1394" spans="1:20" x14ac:dyDescent="0.25">
      <c r="A1394">
        <v>5100421639</v>
      </c>
      <c r="B1394">
        <v>16006</v>
      </c>
      <c r="C1394" t="s">
        <v>768</v>
      </c>
      <c r="D1394" s="143">
        <v>46035</v>
      </c>
      <c r="E1394">
        <v>69.67</v>
      </c>
      <c r="F1394" t="s">
        <v>769</v>
      </c>
      <c r="G1394">
        <v>101729304</v>
      </c>
      <c r="H1394" t="s">
        <v>755</v>
      </c>
      <c r="I1394" t="s">
        <v>770</v>
      </c>
      <c r="J1394">
        <v>0</v>
      </c>
      <c r="K1394" s="143">
        <v>46258</v>
      </c>
      <c r="L1394" s="143">
        <v>46035</v>
      </c>
      <c r="M1394">
        <v>82025</v>
      </c>
      <c r="N1394" t="s">
        <v>771</v>
      </c>
      <c r="O1394">
        <v>2001</v>
      </c>
      <c r="S1394">
        <v>2.0015900023608198E+17</v>
      </c>
      <c r="T1394" t="s">
        <v>772</v>
      </c>
    </row>
    <row r="1395" spans="1:20" x14ac:dyDescent="0.25">
      <c r="A1395">
        <v>5100421640</v>
      </c>
      <c r="B1395">
        <v>16006</v>
      </c>
      <c r="C1395" t="s">
        <v>768</v>
      </c>
      <c r="D1395" s="143">
        <v>46035</v>
      </c>
      <c r="E1395">
        <v>52.16</v>
      </c>
      <c r="F1395" t="s">
        <v>769</v>
      </c>
      <c r="G1395">
        <v>101729304</v>
      </c>
      <c r="H1395" t="s">
        <v>755</v>
      </c>
      <c r="I1395" t="s">
        <v>770</v>
      </c>
      <c r="J1395">
        <v>0</v>
      </c>
      <c r="K1395" s="143">
        <v>46258</v>
      </c>
      <c r="L1395" s="143">
        <v>46035</v>
      </c>
      <c r="M1395">
        <v>82025</v>
      </c>
      <c r="N1395" t="s">
        <v>771</v>
      </c>
      <c r="O1395">
        <v>2001</v>
      </c>
      <c r="S1395">
        <v>2.0015900023608198E+17</v>
      </c>
      <c r="T1395" t="s">
        <v>772</v>
      </c>
    </row>
    <row r="1396" spans="1:20" x14ac:dyDescent="0.25">
      <c r="A1396">
        <v>5100421648</v>
      </c>
      <c r="B1396">
        <v>16200</v>
      </c>
      <c r="C1396" t="s">
        <v>768</v>
      </c>
      <c r="D1396" s="143">
        <v>46035</v>
      </c>
      <c r="E1396" s="55">
        <v>2053.85</v>
      </c>
      <c r="F1396" t="s">
        <v>769</v>
      </c>
      <c r="G1396">
        <v>1500038749</v>
      </c>
      <c r="H1396" t="s">
        <v>755</v>
      </c>
      <c r="I1396" t="s">
        <v>770</v>
      </c>
      <c r="K1396" s="143">
        <v>46069</v>
      </c>
      <c r="L1396" s="143">
        <v>46035</v>
      </c>
      <c r="M1396">
        <v>22025</v>
      </c>
      <c r="N1396" t="s">
        <v>771</v>
      </c>
      <c r="O1396">
        <v>2001</v>
      </c>
      <c r="S1396">
        <v>516416</v>
      </c>
      <c r="T1396" t="s">
        <v>772</v>
      </c>
    </row>
    <row r="1397" spans="1:20" x14ac:dyDescent="0.25">
      <c r="A1397">
        <v>5100421649</v>
      </c>
      <c r="B1397">
        <v>16200</v>
      </c>
      <c r="C1397" t="s">
        <v>768</v>
      </c>
      <c r="D1397" s="143">
        <v>46035</v>
      </c>
      <c r="E1397" s="55">
        <v>13935.19</v>
      </c>
      <c r="F1397" t="s">
        <v>769</v>
      </c>
      <c r="G1397">
        <v>1500038749</v>
      </c>
      <c r="H1397" t="s">
        <v>755</v>
      </c>
      <c r="I1397" t="s">
        <v>770</v>
      </c>
      <c r="K1397" s="143">
        <v>46069</v>
      </c>
      <c r="L1397" s="143">
        <v>46035</v>
      </c>
      <c r="M1397">
        <v>32025</v>
      </c>
      <c r="N1397" t="s">
        <v>771</v>
      </c>
      <c r="O1397">
        <v>2001</v>
      </c>
      <c r="S1397">
        <v>516416</v>
      </c>
      <c r="T1397" t="s">
        <v>772</v>
      </c>
    </row>
    <row r="1398" spans="1:20" x14ac:dyDescent="0.25">
      <c r="A1398">
        <v>5100421650</v>
      </c>
      <c r="B1398">
        <v>16200</v>
      </c>
      <c r="C1398" t="s">
        <v>768</v>
      </c>
      <c r="D1398" s="143">
        <v>46035</v>
      </c>
      <c r="E1398" s="55">
        <v>7154.33</v>
      </c>
      <c r="F1398" t="s">
        <v>769</v>
      </c>
      <c r="G1398">
        <v>1500038749</v>
      </c>
      <c r="H1398" t="s">
        <v>755</v>
      </c>
      <c r="I1398" t="s">
        <v>770</v>
      </c>
      <c r="K1398" s="143">
        <v>46069</v>
      </c>
      <c r="L1398" s="143">
        <v>46035</v>
      </c>
      <c r="M1398">
        <v>62025</v>
      </c>
      <c r="N1398" t="s">
        <v>771</v>
      </c>
      <c r="O1398">
        <v>2001</v>
      </c>
      <c r="S1398">
        <v>516416</v>
      </c>
      <c r="T1398" t="s">
        <v>772</v>
      </c>
    </row>
    <row r="1399" spans="1:20" x14ac:dyDescent="0.25">
      <c r="A1399">
        <v>5100421688</v>
      </c>
      <c r="B1399">
        <v>16807</v>
      </c>
      <c r="C1399" t="s">
        <v>768</v>
      </c>
      <c r="D1399" s="143">
        <v>46035</v>
      </c>
      <c r="E1399" s="55">
        <v>3398.99</v>
      </c>
      <c r="F1399" t="s">
        <v>769</v>
      </c>
      <c r="G1399">
        <v>100874252</v>
      </c>
      <c r="H1399" t="s">
        <v>755</v>
      </c>
      <c r="I1399" t="s">
        <v>770</v>
      </c>
      <c r="J1399">
        <v>0</v>
      </c>
      <c r="K1399" s="143">
        <v>46160</v>
      </c>
      <c r="L1399" s="143">
        <v>46035</v>
      </c>
      <c r="M1399">
        <v>52025</v>
      </c>
      <c r="N1399" t="s">
        <v>771</v>
      </c>
      <c r="O1399">
        <v>2001</v>
      </c>
      <c r="S1399">
        <v>2.0015900021808198E+17</v>
      </c>
      <c r="T1399" t="s">
        <v>772</v>
      </c>
    </row>
    <row r="1400" spans="1:20" x14ac:dyDescent="0.25">
      <c r="A1400">
        <v>5100421689</v>
      </c>
      <c r="B1400">
        <v>16807</v>
      </c>
      <c r="C1400" t="s">
        <v>768</v>
      </c>
      <c r="D1400" s="143">
        <v>46035</v>
      </c>
      <c r="E1400">
        <v>169.15</v>
      </c>
      <c r="F1400" t="s">
        <v>769</v>
      </c>
      <c r="G1400">
        <v>100874252</v>
      </c>
      <c r="H1400" t="s">
        <v>755</v>
      </c>
      <c r="I1400" t="s">
        <v>770</v>
      </c>
      <c r="J1400">
        <v>0</v>
      </c>
      <c r="K1400" s="143">
        <v>46160</v>
      </c>
      <c r="L1400" s="143">
        <v>46035</v>
      </c>
      <c r="M1400">
        <v>62025</v>
      </c>
      <c r="N1400" t="s">
        <v>771</v>
      </c>
      <c r="O1400">
        <v>2001</v>
      </c>
      <c r="S1400">
        <v>2.0015900021808198E+17</v>
      </c>
      <c r="T1400" t="s">
        <v>772</v>
      </c>
    </row>
    <row r="1401" spans="1:20" x14ac:dyDescent="0.25">
      <c r="A1401">
        <v>5100421690</v>
      </c>
      <c r="B1401">
        <v>16985</v>
      </c>
      <c r="C1401" t="s">
        <v>768</v>
      </c>
      <c r="D1401" s="143">
        <v>46035</v>
      </c>
      <c r="E1401" s="55">
        <v>1187.81</v>
      </c>
      <c r="F1401" t="s">
        <v>769</v>
      </c>
      <c r="G1401">
        <v>101381949</v>
      </c>
      <c r="H1401" t="s">
        <v>755</v>
      </c>
      <c r="I1401" t="s">
        <v>770</v>
      </c>
      <c r="J1401">
        <v>0</v>
      </c>
      <c r="K1401" s="143">
        <v>46160</v>
      </c>
      <c r="L1401" s="143">
        <v>46035</v>
      </c>
      <c r="M1401">
        <v>52025</v>
      </c>
      <c r="N1401" t="s">
        <v>771</v>
      </c>
      <c r="O1401">
        <v>2001</v>
      </c>
      <c r="S1401">
        <v>2.0015900027702202E+17</v>
      </c>
      <c r="T1401" t="s">
        <v>772</v>
      </c>
    </row>
    <row r="1402" spans="1:20" x14ac:dyDescent="0.25">
      <c r="A1402">
        <v>5100421691</v>
      </c>
      <c r="B1402">
        <v>16985</v>
      </c>
      <c r="C1402" t="s">
        <v>768</v>
      </c>
      <c r="D1402" s="143">
        <v>46035</v>
      </c>
      <c r="E1402" s="55">
        <v>4645.6899999999996</v>
      </c>
      <c r="F1402" t="s">
        <v>769</v>
      </c>
      <c r="G1402">
        <v>101381949</v>
      </c>
      <c r="H1402" t="s">
        <v>755</v>
      </c>
      <c r="I1402" t="s">
        <v>770</v>
      </c>
      <c r="J1402">
        <v>0</v>
      </c>
      <c r="K1402" s="143">
        <v>46160</v>
      </c>
      <c r="L1402" s="143">
        <v>46035</v>
      </c>
      <c r="M1402">
        <v>92025</v>
      </c>
      <c r="N1402" t="s">
        <v>771</v>
      </c>
      <c r="O1402">
        <v>2001</v>
      </c>
      <c r="S1402">
        <v>2.0015900027702202E+17</v>
      </c>
      <c r="T1402" t="s">
        <v>772</v>
      </c>
    </row>
    <row r="1403" spans="1:20" x14ac:dyDescent="0.25">
      <c r="A1403">
        <v>5100361613</v>
      </c>
      <c r="B1403">
        <v>18087</v>
      </c>
      <c r="C1403" t="s">
        <v>768</v>
      </c>
      <c r="D1403" s="143">
        <v>46035</v>
      </c>
      <c r="E1403">
        <v>209.66</v>
      </c>
      <c r="F1403" t="s">
        <v>769</v>
      </c>
      <c r="G1403">
        <v>1500087624</v>
      </c>
      <c r="H1403" t="s">
        <v>755</v>
      </c>
      <c r="I1403" t="s">
        <v>770</v>
      </c>
      <c r="K1403" s="143">
        <v>46076</v>
      </c>
      <c r="L1403" s="143">
        <v>46035</v>
      </c>
      <c r="M1403">
        <v>32025</v>
      </c>
      <c r="N1403" t="s">
        <v>771</v>
      </c>
      <c r="O1403">
        <v>2001</v>
      </c>
      <c r="S1403">
        <v>516171</v>
      </c>
      <c r="T1403" t="s">
        <v>772</v>
      </c>
    </row>
    <row r="1404" spans="1:20" x14ac:dyDescent="0.25">
      <c r="A1404">
        <v>5100361621</v>
      </c>
      <c r="B1404">
        <v>19196</v>
      </c>
      <c r="C1404" t="s">
        <v>768</v>
      </c>
      <c r="D1404" s="143">
        <v>46035</v>
      </c>
      <c r="E1404">
        <v>378.55</v>
      </c>
      <c r="F1404" t="s">
        <v>769</v>
      </c>
      <c r="G1404">
        <v>1500087625</v>
      </c>
      <c r="H1404" t="s">
        <v>755</v>
      </c>
      <c r="I1404" t="s">
        <v>770</v>
      </c>
      <c r="K1404" s="143">
        <v>46076</v>
      </c>
      <c r="L1404" s="143">
        <v>46035</v>
      </c>
      <c r="M1404">
        <v>22025</v>
      </c>
      <c r="N1404" t="s">
        <v>771</v>
      </c>
      <c r="O1404">
        <v>2001</v>
      </c>
      <c r="S1404">
        <v>516474</v>
      </c>
      <c r="T1404" t="s">
        <v>772</v>
      </c>
    </row>
    <row r="1405" spans="1:20" x14ac:dyDescent="0.25">
      <c r="A1405">
        <v>5100361622</v>
      </c>
      <c r="B1405">
        <v>19196</v>
      </c>
      <c r="C1405" t="s">
        <v>768</v>
      </c>
      <c r="D1405" s="143">
        <v>46035</v>
      </c>
      <c r="E1405">
        <v>144.29</v>
      </c>
      <c r="F1405" t="s">
        <v>769</v>
      </c>
      <c r="G1405">
        <v>1500087625</v>
      </c>
      <c r="H1405" t="s">
        <v>755</v>
      </c>
      <c r="I1405" t="s">
        <v>770</v>
      </c>
      <c r="K1405" s="143">
        <v>46076</v>
      </c>
      <c r="L1405" s="143">
        <v>46035</v>
      </c>
      <c r="M1405">
        <v>42025</v>
      </c>
      <c r="N1405" t="s">
        <v>771</v>
      </c>
      <c r="O1405">
        <v>2001</v>
      </c>
      <c r="S1405">
        <v>516474</v>
      </c>
      <c r="T1405" t="s">
        <v>772</v>
      </c>
    </row>
    <row r="1406" spans="1:20" x14ac:dyDescent="0.25">
      <c r="A1406">
        <v>5100361623</v>
      </c>
      <c r="B1406">
        <v>19196</v>
      </c>
      <c r="C1406" t="s">
        <v>768</v>
      </c>
      <c r="D1406" s="143">
        <v>46035</v>
      </c>
      <c r="E1406">
        <v>854.43</v>
      </c>
      <c r="F1406" t="s">
        <v>769</v>
      </c>
      <c r="G1406">
        <v>1500087625</v>
      </c>
      <c r="H1406" t="s">
        <v>755</v>
      </c>
      <c r="I1406" t="s">
        <v>770</v>
      </c>
      <c r="K1406" s="143">
        <v>46076</v>
      </c>
      <c r="L1406" s="143">
        <v>46035</v>
      </c>
      <c r="M1406">
        <v>92025</v>
      </c>
      <c r="N1406" t="s">
        <v>771</v>
      </c>
      <c r="O1406">
        <v>2001</v>
      </c>
      <c r="S1406">
        <v>516474</v>
      </c>
      <c r="T1406" t="s">
        <v>772</v>
      </c>
    </row>
    <row r="1407" spans="1:20" x14ac:dyDescent="0.25">
      <c r="A1407">
        <v>5100361644</v>
      </c>
      <c r="B1407">
        <v>20168</v>
      </c>
      <c r="C1407" t="s">
        <v>768</v>
      </c>
      <c r="D1407" s="143">
        <v>46035</v>
      </c>
      <c r="E1407">
        <v>267.27</v>
      </c>
      <c r="F1407" t="s">
        <v>769</v>
      </c>
      <c r="G1407">
        <v>1500087626</v>
      </c>
      <c r="H1407" t="s">
        <v>755</v>
      </c>
      <c r="I1407" t="s">
        <v>770</v>
      </c>
      <c r="K1407" s="143">
        <v>46076</v>
      </c>
      <c r="L1407" s="143">
        <v>46035</v>
      </c>
      <c r="M1407">
        <v>62025</v>
      </c>
      <c r="N1407" t="s">
        <v>771</v>
      </c>
      <c r="O1407">
        <v>2001</v>
      </c>
      <c r="S1407">
        <v>0</v>
      </c>
      <c r="T1407" t="s">
        <v>772</v>
      </c>
    </row>
    <row r="1408" spans="1:20" x14ac:dyDescent="0.25">
      <c r="A1408">
        <v>5100361645</v>
      </c>
      <c r="B1408">
        <v>20192</v>
      </c>
      <c r="C1408" t="s">
        <v>768</v>
      </c>
      <c r="D1408" s="143">
        <v>46035</v>
      </c>
      <c r="E1408" s="55">
        <v>3010.11</v>
      </c>
      <c r="F1408" t="s">
        <v>769</v>
      </c>
      <c r="G1408">
        <v>1500087627</v>
      </c>
      <c r="H1408" t="s">
        <v>755</v>
      </c>
      <c r="I1408" t="s">
        <v>770</v>
      </c>
      <c r="K1408" s="143">
        <v>46076</v>
      </c>
      <c r="L1408" s="143">
        <v>46035</v>
      </c>
      <c r="M1408">
        <v>22025</v>
      </c>
      <c r="N1408" t="s">
        <v>771</v>
      </c>
      <c r="O1408">
        <v>2001</v>
      </c>
      <c r="S1408">
        <v>516201</v>
      </c>
      <c r="T1408" t="s">
        <v>772</v>
      </c>
    </row>
    <row r="1409" spans="1:20" x14ac:dyDescent="0.25">
      <c r="A1409">
        <v>5100361646</v>
      </c>
      <c r="B1409">
        <v>20192</v>
      </c>
      <c r="C1409" t="s">
        <v>768</v>
      </c>
      <c r="D1409" s="143">
        <v>46035</v>
      </c>
      <c r="E1409" s="55">
        <v>2332.89</v>
      </c>
      <c r="F1409" t="s">
        <v>769</v>
      </c>
      <c r="G1409">
        <v>1500087627</v>
      </c>
      <c r="H1409" t="s">
        <v>755</v>
      </c>
      <c r="I1409" t="s">
        <v>770</v>
      </c>
      <c r="K1409" s="143">
        <v>46076</v>
      </c>
      <c r="L1409" s="143">
        <v>46035</v>
      </c>
      <c r="M1409">
        <v>32025</v>
      </c>
      <c r="N1409" t="s">
        <v>771</v>
      </c>
      <c r="O1409">
        <v>2001</v>
      </c>
      <c r="S1409">
        <v>516201</v>
      </c>
      <c r="T1409" t="s">
        <v>772</v>
      </c>
    </row>
    <row r="1410" spans="1:20" x14ac:dyDescent="0.25">
      <c r="A1410">
        <v>5100361647</v>
      </c>
      <c r="B1410">
        <v>20257</v>
      </c>
      <c r="C1410" t="s">
        <v>768</v>
      </c>
      <c r="D1410" s="143">
        <v>46035</v>
      </c>
      <c r="E1410">
        <v>566.38</v>
      </c>
      <c r="F1410" t="s">
        <v>769</v>
      </c>
      <c r="G1410">
        <v>1500038751</v>
      </c>
      <c r="H1410" t="s">
        <v>755</v>
      </c>
      <c r="I1410" t="s">
        <v>770</v>
      </c>
      <c r="K1410" s="143">
        <v>46069</v>
      </c>
      <c r="L1410" s="143">
        <v>46035</v>
      </c>
      <c r="M1410">
        <v>72025</v>
      </c>
      <c r="N1410" t="s">
        <v>771</v>
      </c>
      <c r="O1410">
        <v>2001</v>
      </c>
      <c r="S1410">
        <v>516213</v>
      </c>
      <c r="T1410" t="s">
        <v>772</v>
      </c>
    </row>
    <row r="1411" spans="1:20" x14ac:dyDescent="0.25">
      <c r="A1411">
        <v>5100361648</v>
      </c>
      <c r="B1411">
        <v>20257</v>
      </c>
      <c r="C1411" t="s">
        <v>768</v>
      </c>
      <c r="D1411" s="143">
        <v>46035</v>
      </c>
      <c r="E1411">
        <v>470.18</v>
      </c>
      <c r="F1411" t="s">
        <v>769</v>
      </c>
      <c r="G1411">
        <v>1500038751</v>
      </c>
      <c r="H1411" t="s">
        <v>755</v>
      </c>
      <c r="I1411" t="s">
        <v>770</v>
      </c>
      <c r="K1411" s="143">
        <v>46069</v>
      </c>
      <c r="L1411" s="143">
        <v>46035</v>
      </c>
      <c r="M1411">
        <v>82025</v>
      </c>
      <c r="N1411" t="s">
        <v>771</v>
      </c>
      <c r="O1411">
        <v>2001</v>
      </c>
      <c r="S1411">
        <v>516213</v>
      </c>
      <c r="T1411" t="s">
        <v>772</v>
      </c>
    </row>
    <row r="1412" spans="1:20" x14ac:dyDescent="0.25">
      <c r="A1412">
        <v>5100421831</v>
      </c>
      <c r="B1412">
        <v>20870</v>
      </c>
      <c r="C1412" t="s">
        <v>768</v>
      </c>
      <c r="D1412" s="143">
        <v>46035</v>
      </c>
      <c r="E1412" s="55">
        <v>17542.43</v>
      </c>
      <c r="F1412" t="s">
        <v>769</v>
      </c>
      <c r="G1412">
        <v>1500038753</v>
      </c>
      <c r="H1412" t="s">
        <v>755</v>
      </c>
      <c r="I1412" t="s">
        <v>770</v>
      </c>
      <c r="K1412" s="143">
        <v>46069</v>
      </c>
      <c r="L1412" s="143">
        <v>46035</v>
      </c>
      <c r="M1412">
        <v>22025</v>
      </c>
      <c r="N1412" t="s">
        <v>771</v>
      </c>
      <c r="O1412">
        <v>2001</v>
      </c>
      <c r="S1412">
        <v>516303</v>
      </c>
      <c r="T1412" t="s">
        <v>772</v>
      </c>
    </row>
    <row r="1413" spans="1:20" x14ac:dyDescent="0.25">
      <c r="A1413">
        <v>5100421837</v>
      </c>
      <c r="B1413">
        <v>20949</v>
      </c>
      <c r="C1413" t="s">
        <v>768</v>
      </c>
      <c r="D1413" s="143">
        <v>46035</v>
      </c>
      <c r="E1413" s="55">
        <v>1960.83</v>
      </c>
      <c r="F1413" t="s">
        <v>769</v>
      </c>
      <c r="G1413">
        <v>1500032787</v>
      </c>
      <c r="H1413" t="s">
        <v>755</v>
      </c>
      <c r="I1413" t="s">
        <v>770</v>
      </c>
      <c r="K1413" s="143">
        <v>46083</v>
      </c>
      <c r="L1413" s="143">
        <v>46035</v>
      </c>
      <c r="M1413">
        <v>42025</v>
      </c>
      <c r="N1413" t="s">
        <v>771</v>
      </c>
      <c r="O1413">
        <v>2001</v>
      </c>
      <c r="S1413">
        <v>0</v>
      </c>
      <c r="T1413" t="s">
        <v>772</v>
      </c>
    </row>
    <row r="1414" spans="1:20" x14ac:dyDescent="0.25">
      <c r="A1414">
        <v>5100421844</v>
      </c>
      <c r="B1414">
        <v>21090</v>
      </c>
      <c r="C1414" t="s">
        <v>768</v>
      </c>
      <c r="D1414" s="143">
        <v>46035</v>
      </c>
      <c r="E1414">
        <v>170.98</v>
      </c>
      <c r="F1414" t="s">
        <v>769</v>
      </c>
      <c r="G1414">
        <v>1500038754</v>
      </c>
      <c r="H1414" t="s">
        <v>755</v>
      </c>
      <c r="I1414" t="s">
        <v>770</v>
      </c>
      <c r="K1414" s="143">
        <v>46069</v>
      </c>
      <c r="L1414" s="143">
        <v>46035</v>
      </c>
      <c r="M1414">
        <v>32025</v>
      </c>
      <c r="N1414" t="s">
        <v>771</v>
      </c>
      <c r="O1414">
        <v>2001</v>
      </c>
      <c r="S1414">
        <v>516352</v>
      </c>
      <c r="T1414" t="s">
        <v>772</v>
      </c>
    </row>
    <row r="1415" spans="1:20" x14ac:dyDescent="0.25">
      <c r="A1415">
        <v>5100421845</v>
      </c>
      <c r="B1415">
        <v>21109</v>
      </c>
      <c r="C1415" t="s">
        <v>768</v>
      </c>
      <c r="D1415" s="143">
        <v>46035</v>
      </c>
      <c r="E1415" s="55">
        <v>1237.56</v>
      </c>
      <c r="F1415" t="s">
        <v>769</v>
      </c>
      <c r="G1415">
        <v>1500087629</v>
      </c>
      <c r="H1415" t="s">
        <v>755</v>
      </c>
      <c r="I1415" t="s">
        <v>770</v>
      </c>
      <c r="K1415" s="143">
        <v>46076</v>
      </c>
      <c r="L1415" s="143">
        <v>46035</v>
      </c>
      <c r="M1415">
        <v>12025</v>
      </c>
      <c r="N1415" t="s">
        <v>771</v>
      </c>
      <c r="O1415">
        <v>2001</v>
      </c>
      <c r="S1415">
        <v>516328</v>
      </c>
      <c r="T1415" t="s">
        <v>772</v>
      </c>
    </row>
    <row r="1416" spans="1:20" x14ac:dyDescent="0.25">
      <c r="A1416">
        <v>5100421846</v>
      </c>
      <c r="B1416">
        <v>21109</v>
      </c>
      <c r="C1416" t="s">
        <v>768</v>
      </c>
      <c r="D1416" s="143">
        <v>46035</v>
      </c>
      <c r="E1416">
        <v>371.27</v>
      </c>
      <c r="F1416" t="s">
        <v>769</v>
      </c>
      <c r="G1416">
        <v>1500087629</v>
      </c>
      <c r="H1416" t="s">
        <v>755</v>
      </c>
      <c r="I1416" t="s">
        <v>770</v>
      </c>
      <c r="K1416" s="143">
        <v>46076</v>
      </c>
      <c r="L1416" s="143">
        <v>46035</v>
      </c>
      <c r="M1416">
        <v>62025</v>
      </c>
      <c r="N1416" t="s">
        <v>771</v>
      </c>
      <c r="O1416">
        <v>2001</v>
      </c>
      <c r="S1416">
        <v>516328</v>
      </c>
      <c r="T1416" t="s">
        <v>772</v>
      </c>
    </row>
    <row r="1417" spans="1:20" x14ac:dyDescent="0.25">
      <c r="A1417">
        <v>5100421847</v>
      </c>
      <c r="B1417">
        <v>21109</v>
      </c>
      <c r="C1417" t="s">
        <v>768</v>
      </c>
      <c r="D1417" s="143">
        <v>46035</v>
      </c>
      <c r="E1417">
        <v>371.27</v>
      </c>
      <c r="F1417" t="s">
        <v>769</v>
      </c>
      <c r="G1417">
        <v>1500087629</v>
      </c>
      <c r="H1417" t="s">
        <v>755</v>
      </c>
      <c r="I1417" t="s">
        <v>770</v>
      </c>
      <c r="K1417" s="143">
        <v>46076</v>
      </c>
      <c r="L1417" s="143">
        <v>46035</v>
      </c>
      <c r="M1417">
        <v>82025</v>
      </c>
      <c r="N1417" t="s">
        <v>771</v>
      </c>
      <c r="O1417">
        <v>2001</v>
      </c>
      <c r="S1417">
        <v>516328</v>
      </c>
      <c r="T1417" t="s">
        <v>772</v>
      </c>
    </row>
    <row r="1418" spans="1:20" x14ac:dyDescent="0.25">
      <c r="A1418">
        <v>5100421873</v>
      </c>
      <c r="B1418">
        <v>21597</v>
      </c>
      <c r="C1418" t="s">
        <v>768</v>
      </c>
      <c r="D1418" s="143">
        <v>46035</v>
      </c>
      <c r="E1418">
        <v>922.15</v>
      </c>
      <c r="F1418" t="s">
        <v>769</v>
      </c>
      <c r="G1418">
        <v>1500038755</v>
      </c>
      <c r="H1418" t="s">
        <v>755</v>
      </c>
      <c r="I1418" t="s">
        <v>770</v>
      </c>
      <c r="K1418" s="143">
        <v>46069</v>
      </c>
      <c r="L1418" s="143">
        <v>46035</v>
      </c>
      <c r="M1418">
        <v>12025</v>
      </c>
      <c r="N1418" t="s">
        <v>771</v>
      </c>
      <c r="O1418">
        <v>2001</v>
      </c>
      <c r="S1418">
        <v>516390</v>
      </c>
      <c r="T1418" t="s">
        <v>772</v>
      </c>
    </row>
    <row r="1419" spans="1:20" x14ac:dyDescent="0.25">
      <c r="A1419">
        <v>5100421874</v>
      </c>
      <c r="B1419">
        <v>21597</v>
      </c>
      <c r="C1419" t="s">
        <v>768</v>
      </c>
      <c r="D1419" s="143">
        <v>46035</v>
      </c>
      <c r="E1419">
        <v>579.35</v>
      </c>
      <c r="F1419" t="s">
        <v>769</v>
      </c>
      <c r="G1419">
        <v>1500038755</v>
      </c>
      <c r="H1419" t="s">
        <v>755</v>
      </c>
      <c r="I1419" t="s">
        <v>770</v>
      </c>
      <c r="K1419" s="143">
        <v>46069</v>
      </c>
      <c r="L1419" s="143">
        <v>46035</v>
      </c>
      <c r="M1419">
        <v>22025</v>
      </c>
      <c r="N1419" t="s">
        <v>771</v>
      </c>
      <c r="O1419">
        <v>2001</v>
      </c>
      <c r="S1419">
        <v>516390</v>
      </c>
      <c r="T1419" t="s">
        <v>772</v>
      </c>
    </row>
    <row r="1420" spans="1:20" x14ac:dyDescent="0.25">
      <c r="A1420">
        <v>5100421875</v>
      </c>
      <c r="B1420">
        <v>21597</v>
      </c>
      <c r="C1420" t="s">
        <v>768</v>
      </c>
      <c r="D1420" s="143">
        <v>46035</v>
      </c>
      <c r="E1420">
        <v>296.70999999999998</v>
      </c>
      <c r="F1420" t="s">
        <v>769</v>
      </c>
      <c r="G1420">
        <v>1500038755</v>
      </c>
      <c r="H1420" t="s">
        <v>755</v>
      </c>
      <c r="I1420" t="s">
        <v>770</v>
      </c>
      <c r="K1420" s="143">
        <v>46069</v>
      </c>
      <c r="L1420" s="143">
        <v>46035</v>
      </c>
      <c r="M1420">
        <v>32025</v>
      </c>
      <c r="N1420" t="s">
        <v>771</v>
      </c>
      <c r="O1420">
        <v>2001</v>
      </c>
      <c r="S1420">
        <v>516390</v>
      </c>
      <c r="T1420" t="s">
        <v>772</v>
      </c>
    </row>
    <row r="1421" spans="1:20" x14ac:dyDescent="0.25">
      <c r="A1421">
        <v>5100421876</v>
      </c>
      <c r="B1421">
        <v>21597</v>
      </c>
      <c r="C1421" t="s">
        <v>768</v>
      </c>
      <c r="D1421" s="143">
        <v>46035</v>
      </c>
      <c r="E1421">
        <v>228.23</v>
      </c>
      <c r="F1421" t="s">
        <v>769</v>
      </c>
      <c r="G1421">
        <v>1500038755</v>
      </c>
      <c r="H1421" t="s">
        <v>755</v>
      </c>
      <c r="I1421" t="s">
        <v>770</v>
      </c>
      <c r="K1421" s="143">
        <v>46069</v>
      </c>
      <c r="L1421" s="143">
        <v>46035</v>
      </c>
      <c r="M1421">
        <v>42025</v>
      </c>
      <c r="N1421" t="s">
        <v>771</v>
      </c>
      <c r="O1421">
        <v>2001</v>
      </c>
      <c r="S1421">
        <v>516390</v>
      </c>
      <c r="T1421" t="s">
        <v>772</v>
      </c>
    </row>
    <row r="1422" spans="1:20" x14ac:dyDescent="0.25">
      <c r="A1422">
        <v>5100421877</v>
      </c>
      <c r="B1422">
        <v>21597</v>
      </c>
      <c r="C1422" t="s">
        <v>768</v>
      </c>
      <c r="D1422" s="143">
        <v>46035</v>
      </c>
      <c r="E1422">
        <v>704.68</v>
      </c>
      <c r="F1422" t="s">
        <v>769</v>
      </c>
      <c r="G1422">
        <v>1500038755</v>
      </c>
      <c r="H1422" t="s">
        <v>755</v>
      </c>
      <c r="I1422" t="s">
        <v>770</v>
      </c>
      <c r="K1422" s="143">
        <v>46069</v>
      </c>
      <c r="L1422" s="143">
        <v>46035</v>
      </c>
      <c r="M1422">
        <v>52025</v>
      </c>
      <c r="N1422" t="s">
        <v>771</v>
      </c>
      <c r="O1422">
        <v>2001</v>
      </c>
      <c r="S1422">
        <v>516390</v>
      </c>
      <c r="T1422" t="s">
        <v>772</v>
      </c>
    </row>
    <row r="1423" spans="1:20" x14ac:dyDescent="0.25">
      <c r="A1423">
        <v>5100421878</v>
      </c>
      <c r="B1423">
        <v>21597</v>
      </c>
      <c r="C1423" t="s">
        <v>768</v>
      </c>
      <c r="D1423" s="143">
        <v>46035</v>
      </c>
      <c r="E1423" s="55">
        <v>1033.25</v>
      </c>
      <c r="F1423" t="s">
        <v>769</v>
      </c>
      <c r="G1423">
        <v>1500038755</v>
      </c>
      <c r="H1423" t="s">
        <v>755</v>
      </c>
      <c r="I1423" t="s">
        <v>770</v>
      </c>
      <c r="K1423" s="143">
        <v>46069</v>
      </c>
      <c r="L1423" s="143">
        <v>46035</v>
      </c>
      <c r="M1423">
        <v>62025</v>
      </c>
      <c r="N1423" t="s">
        <v>771</v>
      </c>
      <c r="O1423">
        <v>2001</v>
      </c>
      <c r="S1423">
        <v>516390</v>
      </c>
      <c r="T1423" t="s">
        <v>772</v>
      </c>
    </row>
    <row r="1424" spans="1:20" x14ac:dyDescent="0.25">
      <c r="A1424">
        <v>5100421879</v>
      </c>
      <c r="B1424">
        <v>21597</v>
      </c>
      <c r="C1424" t="s">
        <v>768</v>
      </c>
      <c r="D1424" s="143">
        <v>46035</v>
      </c>
      <c r="E1424">
        <v>525.62</v>
      </c>
      <c r="F1424" t="s">
        <v>769</v>
      </c>
      <c r="G1424">
        <v>1500038755</v>
      </c>
      <c r="H1424" t="s">
        <v>755</v>
      </c>
      <c r="I1424" t="s">
        <v>770</v>
      </c>
      <c r="K1424" s="143">
        <v>46069</v>
      </c>
      <c r="L1424" s="143">
        <v>46035</v>
      </c>
      <c r="M1424">
        <v>72025</v>
      </c>
      <c r="N1424" t="s">
        <v>771</v>
      </c>
      <c r="O1424">
        <v>2001</v>
      </c>
      <c r="S1424">
        <v>516390</v>
      </c>
      <c r="T1424" t="s">
        <v>772</v>
      </c>
    </row>
    <row r="1425" spans="1:20" x14ac:dyDescent="0.25">
      <c r="A1425">
        <v>5100421880</v>
      </c>
      <c r="B1425">
        <v>21597</v>
      </c>
      <c r="C1425" t="s">
        <v>768</v>
      </c>
      <c r="D1425" s="143">
        <v>46035</v>
      </c>
      <c r="E1425" s="55">
        <v>1440.71</v>
      </c>
      <c r="F1425" t="s">
        <v>769</v>
      </c>
      <c r="G1425">
        <v>1500038755</v>
      </c>
      <c r="H1425" t="s">
        <v>755</v>
      </c>
      <c r="I1425" t="s">
        <v>770</v>
      </c>
      <c r="K1425" s="143">
        <v>46069</v>
      </c>
      <c r="L1425" s="143">
        <v>46035</v>
      </c>
      <c r="M1425">
        <v>92025</v>
      </c>
      <c r="N1425" t="s">
        <v>771</v>
      </c>
      <c r="O1425">
        <v>2001</v>
      </c>
      <c r="S1425">
        <v>516390</v>
      </c>
      <c r="T1425" t="s">
        <v>772</v>
      </c>
    </row>
    <row r="1426" spans="1:20" x14ac:dyDescent="0.25">
      <c r="A1426">
        <v>5100421925</v>
      </c>
      <c r="B1426">
        <v>21914</v>
      </c>
      <c r="C1426" t="s">
        <v>768</v>
      </c>
      <c r="D1426" s="143">
        <v>46035</v>
      </c>
      <c r="E1426">
        <v>2.15</v>
      </c>
      <c r="F1426" t="s">
        <v>769</v>
      </c>
      <c r="G1426">
        <v>1500038756</v>
      </c>
      <c r="H1426" t="s">
        <v>755</v>
      </c>
      <c r="I1426" t="s">
        <v>770</v>
      </c>
      <c r="K1426" s="143">
        <v>46069</v>
      </c>
      <c r="L1426" s="143">
        <v>46035</v>
      </c>
      <c r="M1426">
        <v>22025</v>
      </c>
      <c r="N1426" t="s">
        <v>771</v>
      </c>
      <c r="O1426">
        <v>2001</v>
      </c>
      <c r="S1426">
        <v>525361</v>
      </c>
      <c r="T1426" t="s">
        <v>772</v>
      </c>
    </row>
    <row r="1427" spans="1:20" x14ac:dyDescent="0.25">
      <c r="A1427">
        <v>5100421926</v>
      </c>
      <c r="B1427">
        <v>21914</v>
      </c>
      <c r="C1427" t="s">
        <v>768</v>
      </c>
      <c r="D1427" s="143">
        <v>46035</v>
      </c>
      <c r="E1427" s="55">
        <v>2377.4299999999998</v>
      </c>
      <c r="F1427" t="s">
        <v>769</v>
      </c>
      <c r="G1427">
        <v>1500038756</v>
      </c>
      <c r="H1427" t="s">
        <v>755</v>
      </c>
      <c r="I1427" t="s">
        <v>770</v>
      </c>
      <c r="K1427" s="143">
        <v>46069</v>
      </c>
      <c r="L1427" s="143">
        <v>46035</v>
      </c>
      <c r="M1427">
        <v>82025</v>
      </c>
      <c r="N1427" t="s">
        <v>771</v>
      </c>
      <c r="O1427">
        <v>2001</v>
      </c>
      <c r="S1427">
        <v>525361</v>
      </c>
      <c r="T1427" t="s">
        <v>772</v>
      </c>
    </row>
    <row r="1428" spans="1:20" x14ac:dyDescent="0.25">
      <c r="A1428">
        <v>5100421937</v>
      </c>
      <c r="B1428">
        <v>22007</v>
      </c>
      <c r="C1428" t="s">
        <v>768</v>
      </c>
      <c r="D1428" s="143">
        <v>46035</v>
      </c>
      <c r="E1428" s="55">
        <v>1421</v>
      </c>
      <c r="F1428" t="s">
        <v>769</v>
      </c>
      <c r="G1428">
        <v>1500030422</v>
      </c>
      <c r="H1428" t="s">
        <v>755</v>
      </c>
      <c r="I1428" t="s">
        <v>770</v>
      </c>
      <c r="K1428" s="143">
        <v>46090</v>
      </c>
      <c r="L1428" s="143">
        <v>46035</v>
      </c>
      <c r="M1428">
        <v>82025</v>
      </c>
      <c r="N1428" t="s">
        <v>771</v>
      </c>
      <c r="O1428">
        <v>2001</v>
      </c>
      <c r="S1428">
        <v>516431</v>
      </c>
      <c r="T1428" t="s">
        <v>772</v>
      </c>
    </row>
    <row r="1429" spans="1:20" x14ac:dyDescent="0.25">
      <c r="A1429">
        <v>5100421938</v>
      </c>
      <c r="B1429">
        <v>22007</v>
      </c>
      <c r="C1429" t="s">
        <v>768</v>
      </c>
      <c r="D1429" s="143">
        <v>46035</v>
      </c>
      <c r="E1429" s="55">
        <v>1421</v>
      </c>
      <c r="F1429" t="s">
        <v>769</v>
      </c>
      <c r="G1429">
        <v>1500030422</v>
      </c>
      <c r="H1429" t="s">
        <v>755</v>
      </c>
      <c r="I1429" t="s">
        <v>770</v>
      </c>
      <c r="K1429" s="143">
        <v>46090</v>
      </c>
      <c r="L1429" s="143">
        <v>46035</v>
      </c>
      <c r="M1429">
        <v>82025</v>
      </c>
      <c r="N1429" t="s">
        <v>771</v>
      </c>
      <c r="O1429">
        <v>2001</v>
      </c>
      <c r="S1429">
        <v>522702</v>
      </c>
      <c r="T1429" t="s">
        <v>772</v>
      </c>
    </row>
    <row r="1430" spans="1:20" x14ac:dyDescent="0.25">
      <c r="A1430">
        <v>5100421999</v>
      </c>
      <c r="B1430">
        <v>22795</v>
      </c>
      <c r="C1430" t="s">
        <v>768</v>
      </c>
      <c r="D1430" s="143">
        <v>46035</v>
      </c>
      <c r="E1430">
        <v>386.21</v>
      </c>
      <c r="F1430" t="s">
        <v>769</v>
      </c>
      <c r="G1430">
        <v>101323696</v>
      </c>
      <c r="H1430" t="s">
        <v>755</v>
      </c>
      <c r="I1430" t="s">
        <v>770</v>
      </c>
      <c r="J1430">
        <v>0</v>
      </c>
      <c r="K1430" s="143">
        <v>46132</v>
      </c>
      <c r="L1430" s="143">
        <v>46035</v>
      </c>
      <c r="M1430">
        <v>52025</v>
      </c>
      <c r="N1430" t="s">
        <v>771</v>
      </c>
      <c r="O1430">
        <v>2001</v>
      </c>
      <c r="S1430">
        <v>2.00159000200092E+17</v>
      </c>
      <c r="T1430" t="s">
        <v>772</v>
      </c>
    </row>
    <row r="1431" spans="1:20" x14ac:dyDescent="0.25">
      <c r="A1431">
        <v>5100422032</v>
      </c>
      <c r="B1431">
        <v>24125</v>
      </c>
      <c r="C1431" t="s">
        <v>768</v>
      </c>
      <c r="D1431" s="143">
        <v>46035</v>
      </c>
      <c r="E1431">
        <v>495.34</v>
      </c>
      <c r="F1431" t="s">
        <v>769</v>
      </c>
      <c r="G1431">
        <v>101056446</v>
      </c>
      <c r="H1431" t="s">
        <v>755</v>
      </c>
      <c r="I1431" t="s">
        <v>770</v>
      </c>
      <c r="J1431">
        <v>0</v>
      </c>
      <c r="K1431" s="143">
        <v>46188</v>
      </c>
      <c r="L1431" s="143">
        <v>46035</v>
      </c>
      <c r="M1431">
        <v>82025</v>
      </c>
      <c r="N1431" t="s">
        <v>771</v>
      </c>
      <c r="O1431">
        <v>2001</v>
      </c>
      <c r="S1431">
        <v>2.0015900021432198E+17</v>
      </c>
      <c r="T1431" t="s">
        <v>772</v>
      </c>
    </row>
    <row r="1432" spans="1:20" x14ac:dyDescent="0.25">
      <c r="A1432">
        <v>5100422086</v>
      </c>
      <c r="B1432">
        <v>25874</v>
      </c>
      <c r="C1432" t="s">
        <v>768</v>
      </c>
      <c r="D1432" s="143">
        <v>46035</v>
      </c>
      <c r="E1432">
        <v>87.64</v>
      </c>
      <c r="F1432" t="s">
        <v>769</v>
      </c>
      <c r="G1432">
        <v>1500098201</v>
      </c>
      <c r="H1432" t="s">
        <v>755</v>
      </c>
      <c r="I1432" t="s">
        <v>770</v>
      </c>
      <c r="K1432" s="143">
        <v>46083</v>
      </c>
      <c r="L1432" s="143">
        <v>46035</v>
      </c>
      <c r="M1432">
        <v>32025</v>
      </c>
      <c r="N1432" t="s">
        <v>771</v>
      </c>
      <c r="O1432">
        <v>2001</v>
      </c>
      <c r="S1432">
        <v>514524</v>
      </c>
      <c r="T1432" t="s">
        <v>772</v>
      </c>
    </row>
    <row r="1433" spans="1:20" x14ac:dyDescent="0.25">
      <c r="A1433">
        <v>5100422087</v>
      </c>
      <c r="B1433">
        <v>25874</v>
      </c>
      <c r="C1433" t="s">
        <v>768</v>
      </c>
      <c r="D1433" s="143">
        <v>46035</v>
      </c>
      <c r="E1433">
        <v>289.22000000000003</v>
      </c>
      <c r="F1433" t="s">
        <v>769</v>
      </c>
      <c r="G1433">
        <v>1500098201</v>
      </c>
      <c r="H1433" t="s">
        <v>755</v>
      </c>
      <c r="I1433" t="s">
        <v>770</v>
      </c>
      <c r="K1433" s="143">
        <v>46083</v>
      </c>
      <c r="L1433" s="143">
        <v>46035</v>
      </c>
      <c r="M1433">
        <v>92025</v>
      </c>
      <c r="N1433" t="s">
        <v>771</v>
      </c>
      <c r="O1433">
        <v>2001</v>
      </c>
      <c r="S1433">
        <v>514524</v>
      </c>
      <c r="T1433" t="s">
        <v>772</v>
      </c>
    </row>
    <row r="1434" spans="1:20" x14ac:dyDescent="0.25">
      <c r="A1434">
        <v>5100422124</v>
      </c>
      <c r="B1434">
        <v>28209</v>
      </c>
      <c r="C1434" t="s">
        <v>768</v>
      </c>
      <c r="D1434" s="143">
        <v>46035</v>
      </c>
      <c r="E1434">
        <v>223.94</v>
      </c>
      <c r="F1434" t="s">
        <v>769</v>
      </c>
      <c r="G1434">
        <v>101045792</v>
      </c>
      <c r="H1434" t="s">
        <v>755</v>
      </c>
      <c r="I1434" t="s">
        <v>770</v>
      </c>
      <c r="J1434">
        <v>0</v>
      </c>
      <c r="K1434" s="143">
        <v>46153</v>
      </c>
      <c r="L1434" s="143">
        <v>46035</v>
      </c>
      <c r="M1434">
        <v>42025</v>
      </c>
      <c r="N1434" t="s">
        <v>771</v>
      </c>
      <c r="O1434">
        <v>2001</v>
      </c>
      <c r="S1434">
        <v>2.00159000126032E+17</v>
      </c>
      <c r="T1434" t="s">
        <v>772</v>
      </c>
    </row>
    <row r="1435" spans="1:20" x14ac:dyDescent="0.25">
      <c r="A1435">
        <v>5100422125</v>
      </c>
      <c r="B1435">
        <v>28209</v>
      </c>
      <c r="C1435" t="s">
        <v>768</v>
      </c>
      <c r="D1435" s="143">
        <v>46035</v>
      </c>
      <c r="E1435">
        <v>28.57</v>
      </c>
      <c r="F1435" t="s">
        <v>769</v>
      </c>
      <c r="G1435">
        <v>101045792</v>
      </c>
      <c r="H1435" t="s">
        <v>755</v>
      </c>
      <c r="I1435" t="s">
        <v>770</v>
      </c>
      <c r="J1435">
        <v>0</v>
      </c>
      <c r="K1435" s="143">
        <v>46153</v>
      </c>
      <c r="L1435" s="143">
        <v>46035</v>
      </c>
      <c r="M1435">
        <v>72025</v>
      </c>
      <c r="N1435" t="s">
        <v>771</v>
      </c>
      <c r="O1435">
        <v>2001</v>
      </c>
      <c r="S1435">
        <v>2.00159000126032E+17</v>
      </c>
      <c r="T1435" t="s">
        <v>772</v>
      </c>
    </row>
    <row r="1436" spans="1:20" x14ac:dyDescent="0.25">
      <c r="A1436">
        <v>5100422137</v>
      </c>
      <c r="B1436">
        <v>28399</v>
      </c>
      <c r="C1436" t="s">
        <v>768</v>
      </c>
      <c r="D1436" s="143">
        <v>46035</v>
      </c>
      <c r="E1436">
        <v>453.99</v>
      </c>
      <c r="F1436" t="s">
        <v>769</v>
      </c>
      <c r="G1436">
        <v>1500038760</v>
      </c>
      <c r="H1436" t="s">
        <v>755</v>
      </c>
      <c r="I1436" t="s">
        <v>770</v>
      </c>
      <c r="K1436" s="143">
        <v>46069</v>
      </c>
      <c r="L1436" s="143">
        <v>46035</v>
      </c>
      <c r="M1436">
        <v>52025</v>
      </c>
      <c r="N1436" t="s">
        <v>771</v>
      </c>
      <c r="O1436">
        <v>2001</v>
      </c>
      <c r="S1436">
        <v>514533</v>
      </c>
      <c r="T1436" t="s">
        <v>772</v>
      </c>
    </row>
    <row r="1437" spans="1:20" x14ac:dyDescent="0.25">
      <c r="A1437">
        <v>5100422138</v>
      </c>
      <c r="B1437">
        <v>28399</v>
      </c>
      <c r="C1437" t="s">
        <v>768</v>
      </c>
      <c r="D1437" s="143">
        <v>46035</v>
      </c>
      <c r="E1437">
        <v>480.05</v>
      </c>
      <c r="F1437" t="s">
        <v>769</v>
      </c>
      <c r="G1437">
        <v>1500038760</v>
      </c>
      <c r="H1437" t="s">
        <v>755</v>
      </c>
      <c r="I1437" t="s">
        <v>770</v>
      </c>
      <c r="K1437" s="143">
        <v>46069</v>
      </c>
      <c r="L1437" s="143">
        <v>46035</v>
      </c>
      <c r="M1437">
        <v>92025</v>
      </c>
      <c r="N1437" t="s">
        <v>771</v>
      </c>
      <c r="O1437">
        <v>2001</v>
      </c>
      <c r="S1437">
        <v>514533</v>
      </c>
      <c r="T1437" t="s">
        <v>772</v>
      </c>
    </row>
    <row r="1438" spans="1:20" x14ac:dyDescent="0.25">
      <c r="A1438">
        <v>5100422139</v>
      </c>
      <c r="B1438">
        <v>28407</v>
      </c>
      <c r="C1438" t="s">
        <v>768</v>
      </c>
      <c r="D1438" s="143">
        <v>46035</v>
      </c>
      <c r="E1438">
        <v>238.47</v>
      </c>
      <c r="F1438" t="s">
        <v>769</v>
      </c>
      <c r="G1438">
        <v>1500013615</v>
      </c>
      <c r="H1438" t="s">
        <v>755</v>
      </c>
      <c r="I1438" t="s">
        <v>770</v>
      </c>
      <c r="K1438" s="143">
        <v>46104</v>
      </c>
      <c r="L1438" s="143">
        <v>46035</v>
      </c>
      <c r="M1438">
        <v>92025</v>
      </c>
      <c r="N1438" t="s">
        <v>771</v>
      </c>
      <c r="O1438">
        <v>2001</v>
      </c>
      <c r="S1438" t="s">
        <v>776</v>
      </c>
      <c r="T1438" t="s">
        <v>772</v>
      </c>
    </row>
    <row r="1439" spans="1:20" x14ac:dyDescent="0.25">
      <c r="A1439">
        <v>5100281026</v>
      </c>
      <c r="B1439">
        <v>32821</v>
      </c>
      <c r="C1439" t="s">
        <v>768</v>
      </c>
      <c r="D1439" s="143">
        <v>46035</v>
      </c>
      <c r="E1439" s="55">
        <v>1442.01</v>
      </c>
      <c r="F1439" t="s">
        <v>769</v>
      </c>
      <c r="G1439">
        <v>1500004173</v>
      </c>
      <c r="H1439" t="s">
        <v>755</v>
      </c>
      <c r="I1439" t="s">
        <v>770</v>
      </c>
      <c r="K1439" s="143">
        <v>46069</v>
      </c>
      <c r="L1439" s="143">
        <v>46035</v>
      </c>
      <c r="M1439">
        <v>22025</v>
      </c>
      <c r="N1439" t="s">
        <v>771</v>
      </c>
      <c r="O1439">
        <v>2001</v>
      </c>
      <c r="S1439" t="s">
        <v>783</v>
      </c>
      <c r="T1439" t="s">
        <v>772</v>
      </c>
    </row>
    <row r="1440" spans="1:20" x14ac:dyDescent="0.25">
      <c r="A1440">
        <v>5100281027</v>
      </c>
      <c r="B1440">
        <v>32821</v>
      </c>
      <c r="C1440" t="s">
        <v>768</v>
      </c>
      <c r="D1440" s="143">
        <v>46035</v>
      </c>
      <c r="E1440" s="55">
        <v>1062.53</v>
      </c>
      <c r="F1440" t="s">
        <v>769</v>
      </c>
      <c r="G1440">
        <v>1500004173</v>
      </c>
      <c r="H1440" t="s">
        <v>755</v>
      </c>
      <c r="I1440" t="s">
        <v>770</v>
      </c>
      <c r="K1440" s="143">
        <v>46069</v>
      </c>
      <c r="L1440" s="143">
        <v>46035</v>
      </c>
      <c r="M1440">
        <v>62025</v>
      </c>
      <c r="N1440" t="s">
        <v>771</v>
      </c>
      <c r="O1440">
        <v>2001</v>
      </c>
      <c r="S1440" t="s">
        <v>783</v>
      </c>
      <c r="T1440" t="s">
        <v>772</v>
      </c>
    </row>
    <row r="1441" spans="1:20" x14ac:dyDescent="0.25">
      <c r="A1441">
        <v>5100281028</v>
      </c>
      <c r="B1441">
        <v>32821</v>
      </c>
      <c r="C1441" t="s">
        <v>768</v>
      </c>
      <c r="D1441" s="143">
        <v>46035</v>
      </c>
      <c r="E1441" s="55">
        <v>1288.3699999999999</v>
      </c>
      <c r="F1441" t="s">
        <v>769</v>
      </c>
      <c r="G1441">
        <v>1500004173</v>
      </c>
      <c r="H1441" t="s">
        <v>755</v>
      </c>
      <c r="I1441" t="s">
        <v>770</v>
      </c>
      <c r="K1441" s="143">
        <v>46069</v>
      </c>
      <c r="L1441" s="143">
        <v>46035</v>
      </c>
      <c r="M1441">
        <v>92025</v>
      </c>
      <c r="N1441" t="s">
        <v>771</v>
      </c>
      <c r="O1441">
        <v>2001</v>
      </c>
      <c r="S1441" t="s">
        <v>783</v>
      </c>
      <c r="T1441" t="s">
        <v>772</v>
      </c>
    </row>
    <row r="1442" spans="1:20" x14ac:dyDescent="0.25">
      <c r="A1442">
        <v>5100281058</v>
      </c>
      <c r="B1442">
        <v>32961</v>
      </c>
      <c r="C1442" t="s">
        <v>768</v>
      </c>
      <c r="D1442" s="143">
        <v>46035</v>
      </c>
      <c r="E1442">
        <v>783.42</v>
      </c>
      <c r="F1442" t="s">
        <v>769</v>
      </c>
      <c r="G1442">
        <v>1500038761</v>
      </c>
      <c r="H1442" t="s">
        <v>755</v>
      </c>
      <c r="I1442" t="s">
        <v>770</v>
      </c>
      <c r="K1442" s="143">
        <v>46069</v>
      </c>
      <c r="L1442" s="143">
        <v>46035</v>
      </c>
      <c r="M1442">
        <v>82025</v>
      </c>
      <c r="N1442" t="s">
        <v>771</v>
      </c>
      <c r="O1442">
        <v>2001</v>
      </c>
      <c r="S1442">
        <v>514546</v>
      </c>
      <c r="T1442" t="s">
        <v>772</v>
      </c>
    </row>
    <row r="1443" spans="1:20" x14ac:dyDescent="0.25">
      <c r="A1443">
        <v>5100422738</v>
      </c>
      <c r="B1443">
        <v>35576</v>
      </c>
      <c r="C1443" t="s">
        <v>768</v>
      </c>
      <c r="D1443" s="143">
        <v>46035</v>
      </c>
      <c r="E1443" s="55">
        <v>2198.27</v>
      </c>
      <c r="F1443" t="s">
        <v>769</v>
      </c>
      <c r="G1443">
        <v>101086259</v>
      </c>
      <c r="H1443" t="s">
        <v>755</v>
      </c>
      <c r="I1443" t="s">
        <v>770</v>
      </c>
      <c r="J1443">
        <v>0</v>
      </c>
      <c r="K1443" s="143">
        <v>46153</v>
      </c>
      <c r="L1443" s="143">
        <v>46035</v>
      </c>
      <c r="M1443">
        <v>62025</v>
      </c>
      <c r="N1443" t="s">
        <v>771</v>
      </c>
      <c r="O1443">
        <v>2001</v>
      </c>
      <c r="S1443">
        <v>2.00159000274012E+17</v>
      </c>
      <c r="T1443" t="s">
        <v>772</v>
      </c>
    </row>
    <row r="1444" spans="1:20" x14ac:dyDescent="0.25">
      <c r="A1444">
        <v>5100422739</v>
      </c>
      <c r="B1444">
        <v>35576</v>
      </c>
      <c r="C1444" t="s">
        <v>768</v>
      </c>
      <c r="D1444" s="143">
        <v>46035</v>
      </c>
      <c r="E1444" s="55">
        <v>3193.73</v>
      </c>
      <c r="F1444" t="s">
        <v>769</v>
      </c>
      <c r="G1444">
        <v>101086259</v>
      </c>
      <c r="H1444" t="s">
        <v>755</v>
      </c>
      <c r="I1444" t="s">
        <v>770</v>
      </c>
      <c r="J1444">
        <v>0</v>
      </c>
      <c r="K1444" s="143">
        <v>46153</v>
      </c>
      <c r="L1444" s="143">
        <v>46035</v>
      </c>
      <c r="M1444">
        <v>82025</v>
      </c>
      <c r="N1444" t="s">
        <v>771</v>
      </c>
      <c r="O1444">
        <v>2001</v>
      </c>
      <c r="S1444">
        <v>2.00159000274012E+17</v>
      </c>
      <c r="T1444" t="s">
        <v>772</v>
      </c>
    </row>
    <row r="1445" spans="1:20" x14ac:dyDescent="0.25">
      <c r="A1445">
        <v>5100422853</v>
      </c>
      <c r="B1445">
        <v>38232</v>
      </c>
      <c r="C1445" t="s">
        <v>768</v>
      </c>
      <c r="D1445" s="143">
        <v>46035</v>
      </c>
      <c r="E1445" s="55">
        <v>9129.52</v>
      </c>
      <c r="F1445" t="s">
        <v>769</v>
      </c>
      <c r="G1445">
        <v>100746328</v>
      </c>
      <c r="H1445" t="s">
        <v>755</v>
      </c>
      <c r="I1445" t="s">
        <v>770</v>
      </c>
      <c r="J1445">
        <v>0</v>
      </c>
      <c r="K1445" s="143">
        <v>46132</v>
      </c>
      <c r="L1445" s="143">
        <v>46035</v>
      </c>
      <c r="M1445">
        <v>12025</v>
      </c>
      <c r="N1445" t="s">
        <v>771</v>
      </c>
      <c r="O1445">
        <v>2001</v>
      </c>
      <c r="S1445">
        <v>2.0015900012604198E+17</v>
      </c>
      <c r="T1445" t="s">
        <v>772</v>
      </c>
    </row>
    <row r="1446" spans="1:20" x14ac:dyDescent="0.25">
      <c r="A1446">
        <v>5100422854</v>
      </c>
      <c r="B1446">
        <v>38232</v>
      </c>
      <c r="C1446" t="s">
        <v>768</v>
      </c>
      <c r="D1446" s="143">
        <v>46035</v>
      </c>
      <c r="E1446">
        <v>917.71</v>
      </c>
      <c r="F1446" t="s">
        <v>769</v>
      </c>
      <c r="G1446">
        <v>100746328</v>
      </c>
      <c r="H1446" t="s">
        <v>755</v>
      </c>
      <c r="I1446" t="s">
        <v>770</v>
      </c>
      <c r="J1446">
        <v>0</v>
      </c>
      <c r="K1446" s="143">
        <v>46132</v>
      </c>
      <c r="L1446" s="143">
        <v>46035</v>
      </c>
      <c r="M1446">
        <v>22025</v>
      </c>
      <c r="N1446" t="s">
        <v>771</v>
      </c>
      <c r="O1446">
        <v>2001</v>
      </c>
      <c r="S1446">
        <v>2.0015900012604198E+17</v>
      </c>
      <c r="T1446" t="s">
        <v>772</v>
      </c>
    </row>
    <row r="1447" spans="1:20" x14ac:dyDescent="0.25">
      <c r="A1447">
        <v>5100422855</v>
      </c>
      <c r="B1447">
        <v>38232</v>
      </c>
      <c r="C1447" t="s">
        <v>768</v>
      </c>
      <c r="D1447" s="143">
        <v>46035</v>
      </c>
      <c r="E1447">
        <v>726.18</v>
      </c>
      <c r="F1447" t="s">
        <v>769</v>
      </c>
      <c r="G1447">
        <v>100746328</v>
      </c>
      <c r="H1447" t="s">
        <v>755</v>
      </c>
      <c r="I1447" t="s">
        <v>770</v>
      </c>
      <c r="J1447">
        <v>0</v>
      </c>
      <c r="K1447" s="143">
        <v>46132</v>
      </c>
      <c r="L1447" s="143">
        <v>46035</v>
      </c>
      <c r="M1447">
        <v>82025</v>
      </c>
      <c r="N1447" t="s">
        <v>771</v>
      </c>
      <c r="O1447">
        <v>2001</v>
      </c>
      <c r="S1447">
        <v>2.0015900012604198E+17</v>
      </c>
      <c r="T1447" t="s">
        <v>772</v>
      </c>
    </row>
    <row r="1448" spans="1:20" x14ac:dyDescent="0.25">
      <c r="A1448">
        <v>5100423136</v>
      </c>
      <c r="B1448">
        <v>40477</v>
      </c>
      <c r="C1448" t="s">
        <v>768</v>
      </c>
      <c r="D1448" s="143">
        <v>46035</v>
      </c>
      <c r="E1448">
        <v>177.95</v>
      </c>
      <c r="F1448" t="s">
        <v>769</v>
      </c>
      <c r="G1448">
        <v>1500038762</v>
      </c>
      <c r="H1448" t="s">
        <v>755</v>
      </c>
      <c r="I1448" t="s">
        <v>770</v>
      </c>
      <c r="K1448" s="143">
        <v>46069</v>
      </c>
      <c r="L1448" s="143">
        <v>46035</v>
      </c>
      <c r="M1448">
        <v>22025</v>
      </c>
      <c r="N1448" t="s">
        <v>771</v>
      </c>
      <c r="O1448">
        <v>2001</v>
      </c>
      <c r="S1448">
        <v>514942</v>
      </c>
      <c r="T1448" t="s">
        <v>772</v>
      </c>
    </row>
    <row r="1449" spans="1:20" x14ac:dyDescent="0.25">
      <c r="A1449">
        <v>5100423138</v>
      </c>
      <c r="B1449">
        <v>40477</v>
      </c>
      <c r="C1449" t="s">
        <v>768</v>
      </c>
      <c r="D1449" s="143">
        <v>46035</v>
      </c>
      <c r="E1449">
        <v>563.03</v>
      </c>
      <c r="F1449" t="s">
        <v>769</v>
      </c>
      <c r="G1449">
        <v>1500038762</v>
      </c>
      <c r="H1449" t="s">
        <v>755</v>
      </c>
      <c r="I1449" t="s">
        <v>770</v>
      </c>
      <c r="K1449" s="143">
        <v>46069</v>
      </c>
      <c r="L1449" s="143">
        <v>46035</v>
      </c>
      <c r="M1449">
        <v>32025</v>
      </c>
      <c r="N1449" t="s">
        <v>771</v>
      </c>
      <c r="O1449">
        <v>2001</v>
      </c>
      <c r="S1449">
        <v>514942</v>
      </c>
      <c r="T1449" t="s">
        <v>772</v>
      </c>
    </row>
    <row r="1450" spans="1:20" x14ac:dyDescent="0.25">
      <c r="A1450">
        <v>5100423139</v>
      </c>
      <c r="B1450">
        <v>40477</v>
      </c>
      <c r="C1450" t="s">
        <v>768</v>
      </c>
      <c r="D1450" s="143">
        <v>46035</v>
      </c>
      <c r="E1450">
        <v>71.36</v>
      </c>
      <c r="F1450" t="s">
        <v>769</v>
      </c>
      <c r="G1450">
        <v>1500038762</v>
      </c>
      <c r="H1450" t="s">
        <v>755</v>
      </c>
      <c r="I1450" t="s">
        <v>770</v>
      </c>
      <c r="K1450" s="143">
        <v>46069</v>
      </c>
      <c r="L1450" s="143">
        <v>46035</v>
      </c>
      <c r="M1450">
        <v>42025</v>
      </c>
      <c r="N1450" t="s">
        <v>771</v>
      </c>
      <c r="O1450">
        <v>2001</v>
      </c>
      <c r="S1450">
        <v>514942</v>
      </c>
      <c r="T1450" t="s">
        <v>772</v>
      </c>
    </row>
    <row r="1451" spans="1:20" x14ac:dyDescent="0.25">
      <c r="A1451">
        <v>5100423140</v>
      </c>
      <c r="B1451">
        <v>40477</v>
      </c>
      <c r="C1451" t="s">
        <v>768</v>
      </c>
      <c r="D1451" s="143">
        <v>46035</v>
      </c>
      <c r="E1451">
        <v>439.18</v>
      </c>
      <c r="F1451" t="s">
        <v>769</v>
      </c>
      <c r="G1451">
        <v>1500038762</v>
      </c>
      <c r="H1451" t="s">
        <v>755</v>
      </c>
      <c r="I1451" t="s">
        <v>770</v>
      </c>
      <c r="K1451" s="143">
        <v>46069</v>
      </c>
      <c r="L1451" s="143">
        <v>46035</v>
      </c>
      <c r="M1451">
        <v>52025</v>
      </c>
      <c r="N1451" t="s">
        <v>771</v>
      </c>
      <c r="O1451">
        <v>2001</v>
      </c>
      <c r="S1451">
        <v>514942</v>
      </c>
      <c r="T1451" t="s">
        <v>772</v>
      </c>
    </row>
    <row r="1452" spans="1:20" x14ac:dyDescent="0.25">
      <c r="A1452">
        <v>5100423143</v>
      </c>
      <c r="B1452">
        <v>40477</v>
      </c>
      <c r="C1452" t="s">
        <v>768</v>
      </c>
      <c r="D1452" s="143">
        <v>46035</v>
      </c>
      <c r="E1452">
        <v>94.29</v>
      </c>
      <c r="F1452" t="s">
        <v>769</v>
      </c>
      <c r="G1452">
        <v>1500038762</v>
      </c>
      <c r="H1452" t="s">
        <v>755</v>
      </c>
      <c r="I1452" t="s">
        <v>770</v>
      </c>
      <c r="K1452" s="143">
        <v>46069</v>
      </c>
      <c r="L1452" s="143">
        <v>46035</v>
      </c>
      <c r="M1452">
        <v>72025</v>
      </c>
      <c r="N1452" t="s">
        <v>771</v>
      </c>
      <c r="O1452">
        <v>2001</v>
      </c>
      <c r="S1452">
        <v>514942</v>
      </c>
      <c r="T1452" t="s">
        <v>772</v>
      </c>
    </row>
    <row r="1453" spans="1:20" x14ac:dyDescent="0.25">
      <c r="A1453">
        <v>5100423144</v>
      </c>
      <c r="B1453">
        <v>40477</v>
      </c>
      <c r="C1453" t="s">
        <v>768</v>
      </c>
      <c r="D1453" s="143">
        <v>46035</v>
      </c>
      <c r="E1453">
        <v>354.89</v>
      </c>
      <c r="F1453" t="s">
        <v>769</v>
      </c>
      <c r="G1453">
        <v>1500038762</v>
      </c>
      <c r="H1453" t="s">
        <v>755</v>
      </c>
      <c r="I1453" t="s">
        <v>770</v>
      </c>
      <c r="K1453" s="143">
        <v>46069</v>
      </c>
      <c r="L1453" s="143">
        <v>46035</v>
      </c>
      <c r="M1453">
        <v>82025</v>
      </c>
      <c r="N1453" t="s">
        <v>771</v>
      </c>
      <c r="O1453">
        <v>2001</v>
      </c>
      <c r="S1453">
        <v>514942</v>
      </c>
      <c r="T1453" t="s">
        <v>772</v>
      </c>
    </row>
    <row r="1454" spans="1:20" x14ac:dyDescent="0.25">
      <c r="A1454">
        <v>5100423137</v>
      </c>
      <c r="B1454">
        <v>40477</v>
      </c>
      <c r="C1454" t="s">
        <v>768</v>
      </c>
      <c r="D1454" s="143">
        <v>46035</v>
      </c>
      <c r="E1454" s="55">
        <v>1634.03</v>
      </c>
      <c r="F1454" t="s">
        <v>769</v>
      </c>
      <c r="G1454">
        <v>1500038762</v>
      </c>
      <c r="H1454" t="s">
        <v>755</v>
      </c>
      <c r="I1454" t="s">
        <v>770</v>
      </c>
      <c r="K1454" s="143">
        <v>46069</v>
      </c>
      <c r="L1454" s="143">
        <v>46035</v>
      </c>
      <c r="M1454">
        <v>22025</v>
      </c>
      <c r="N1454" t="s">
        <v>771</v>
      </c>
      <c r="O1454">
        <v>2001</v>
      </c>
      <c r="S1454">
        <v>525431</v>
      </c>
      <c r="T1454" t="s">
        <v>772</v>
      </c>
    </row>
    <row r="1455" spans="1:20" x14ac:dyDescent="0.25">
      <c r="A1455">
        <v>5100423141</v>
      </c>
      <c r="B1455">
        <v>40477</v>
      </c>
      <c r="C1455" t="s">
        <v>768</v>
      </c>
      <c r="D1455" s="143">
        <v>46035</v>
      </c>
      <c r="E1455" s="55">
        <v>1170.3599999999999</v>
      </c>
      <c r="F1455" t="s">
        <v>769</v>
      </c>
      <c r="G1455">
        <v>1500038762</v>
      </c>
      <c r="H1455" t="s">
        <v>755</v>
      </c>
      <c r="I1455" t="s">
        <v>770</v>
      </c>
      <c r="K1455" s="143">
        <v>46069</v>
      </c>
      <c r="L1455" s="143">
        <v>46035</v>
      </c>
      <c r="M1455">
        <v>52025</v>
      </c>
      <c r="N1455" t="s">
        <v>771</v>
      </c>
      <c r="O1455">
        <v>2001</v>
      </c>
      <c r="S1455">
        <v>525431</v>
      </c>
      <c r="T1455" t="s">
        <v>772</v>
      </c>
    </row>
    <row r="1456" spans="1:20" x14ac:dyDescent="0.25">
      <c r="A1456">
        <v>5100423142</v>
      </c>
      <c r="B1456">
        <v>40477</v>
      </c>
      <c r="C1456" t="s">
        <v>768</v>
      </c>
      <c r="D1456" s="143">
        <v>46035</v>
      </c>
      <c r="E1456">
        <v>191.86</v>
      </c>
      <c r="F1456" t="s">
        <v>769</v>
      </c>
      <c r="G1456">
        <v>1500038762</v>
      </c>
      <c r="H1456" t="s">
        <v>755</v>
      </c>
      <c r="I1456" t="s">
        <v>770</v>
      </c>
      <c r="K1456" s="143">
        <v>46069</v>
      </c>
      <c r="L1456" s="143">
        <v>46035</v>
      </c>
      <c r="M1456">
        <v>62025</v>
      </c>
      <c r="N1456" t="s">
        <v>771</v>
      </c>
      <c r="O1456">
        <v>2001</v>
      </c>
      <c r="S1456">
        <v>525431</v>
      </c>
      <c r="T1456" t="s">
        <v>772</v>
      </c>
    </row>
    <row r="1457" spans="1:20" x14ac:dyDescent="0.25">
      <c r="A1457">
        <v>5100423145</v>
      </c>
      <c r="B1457">
        <v>40477</v>
      </c>
      <c r="C1457" t="s">
        <v>768</v>
      </c>
      <c r="D1457" s="143">
        <v>46035</v>
      </c>
      <c r="E1457" s="55">
        <v>1388.63</v>
      </c>
      <c r="F1457" t="s">
        <v>769</v>
      </c>
      <c r="G1457">
        <v>1500038762</v>
      </c>
      <c r="H1457" t="s">
        <v>755</v>
      </c>
      <c r="I1457" t="s">
        <v>770</v>
      </c>
      <c r="K1457" s="143">
        <v>46069</v>
      </c>
      <c r="L1457" s="143">
        <v>46035</v>
      </c>
      <c r="M1457">
        <v>82025</v>
      </c>
      <c r="N1457" t="s">
        <v>771</v>
      </c>
      <c r="O1457">
        <v>2001</v>
      </c>
      <c r="S1457">
        <v>525431</v>
      </c>
      <c r="T1457" t="s">
        <v>772</v>
      </c>
    </row>
    <row r="1458" spans="1:20" x14ac:dyDescent="0.25">
      <c r="A1458">
        <v>5100423146</v>
      </c>
      <c r="B1458">
        <v>40477</v>
      </c>
      <c r="C1458" t="s">
        <v>768</v>
      </c>
      <c r="D1458" s="143">
        <v>46035</v>
      </c>
      <c r="E1458">
        <v>489.25</v>
      </c>
      <c r="F1458" t="s">
        <v>769</v>
      </c>
      <c r="G1458">
        <v>1500038762</v>
      </c>
      <c r="H1458" t="s">
        <v>755</v>
      </c>
      <c r="I1458" t="s">
        <v>770</v>
      </c>
      <c r="K1458" s="143">
        <v>46069</v>
      </c>
      <c r="L1458" s="143">
        <v>46035</v>
      </c>
      <c r="M1458">
        <v>92025</v>
      </c>
      <c r="N1458" t="s">
        <v>771</v>
      </c>
      <c r="O1458">
        <v>2001</v>
      </c>
      <c r="S1458">
        <v>525431</v>
      </c>
      <c r="T1458" t="s">
        <v>772</v>
      </c>
    </row>
    <row r="1459" spans="1:20" x14ac:dyDescent="0.25">
      <c r="A1459">
        <v>5100423161</v>
      </c>
      <c r="B1459">
        <v>40972</v>
      </c>
      <c r="C1459" t="s">
        <v>768</v>
      </c>
      <c r="D1459" s="143">
        <v>46035</v>
      </c>
      <c r="E1459" s="55">
        <v>7483.18</v>
      </c>
      <c r="F1459" t="s">
        <v>769</v>
      </c>
      <c r="G1459">
        <v>1500094202</v>
      </c>
      <c r="H1459" t="s">
        <v>755</v>
      </c>
      <c r="I1459" t="s">
        <v>770</v>
      </c>
      <c r="K1459" s="143">
        <v>46090</v>
      </c>
      <c r="L1459" s="143">
        <v>46035</v>
      </c>
      <c r="M1459">
        <v>32025</v>
      </c>
      <c r="N1459" t="s">
        <v>771</v>
      </c>
      <c r="O1459">
        <v>2001</v>
      </c>
      <c r="S1459">
        <v>0</v>
      </c>
      <c r="T1459" t="s">
        <v>772</v>
      </c>
    </row>
    <row r="1460" spans="1:20" x14ac:dyDescent="0.25">
      <c r="A1460">
        <v>5100423162</v>
      </c>
      <c r="B1460">
        <v>40972</v>
      </c>
      <c r="C1460" t="s">
        <v>768</v>
      </c>
      <c r="D1460" s="143">
        <v>46035</v>
      </c>
      <c r="E1460" s="55">
        <v>2286.5300000000002</v>
      </c>
      <c r="F1460" t="s">
        <v>769</v>
      </c>
      <c r="G1460">
        <v>1500094202</v>
      </c>
      <c r="H1460" t="s">
        <v>755</v>
      </c>
      <c r="I1460" t="s">
        <v>770</v>
      </c>
      <c r="K1460" s="143">
        <v>46090</v>
      </c>
      <c r="L1460" s="143">
        <v>46035</v>
      </c>
      <c r="M1460">
        <v>42025</v>
      </c>
      <c r="N1460" t="s">
        <v>771</v>
      </c>
      <c r="O1460">
        <v>2001</v>
      </c>
      <c r="S1460">
        <v>0</v>
      </c>
      <c r="T1460" t="s">
        <v>772</v>
      </c>
    </row>
    <row r="1461" spans="1:20" x14ac:dyDescent="0.25">
      <c r="A1461">
        <v>5100423207</v>
      </c>
      <c r="B1461">
        <v>44206</v>
      </c>
      <c r="C1461" t="s">
        <v>768</v>
      </c>
      <c r="D1461" s="143">
        <v>46035</v>
      </c>
      <c r="E1461">
        <v>220.21</v>
      </c>
      <c r="F1461" t="s">
        <v>769</v>
      </c>
      <c r="G1461">
        <v>1500075056</v>
      </c>
      <c r="H1461" t="s">
        <v>755</v>
      </c>
      <c r="I1461" t="s">
        <v>770</v>
      </c>
      <c r="K1461" s="143">
        <v>46090</v>
      </c>
      <c r="L1461" s="143">
        <v>46035</v>
      </c>
      <c r="M1461">
        <v>52025</v>
      </c>
      <c r="N1461" t="s">
        <v>771</v>
      </c>
      <c r="O1461">
        <v>2001</v>
      </c>
      <c r="S1461">
        <v>514314</v>
      </c>
      <c r="T1461" t="s">
        <v>772</v>
      </c>
    </row>
    <row r="1462" spans="1:20" x14ac:dyDescent="0.25">
      <c r="A1462">
        <v>5100423208</v>
      </c>
      <c r="B1462">
        <v>44206</v>
      </c>
      <c r="C1462" t="s">
        <v>768</v>
      </c>
      <c r="D1462" s="143">
        <v>46035</v>
      </c>
      <c r="E1462" s="55">
        <v>3326.06</v>
      </c>
      <c r="F1462" t="s">
        <v>769</v>
      </c>
      <c r="G1462">
        <v>1500075056</v>
      </c>
      <c r="H1462" t="s">
        <v>755</v>
      </c>
      <c r="I1462" t="s">
        <v>770</v>
      </c>
      <c r="K1462" s="143">
        <v>46090</v>
      </c>
      <c r="L1462" s="143">
        <v>46035</v>
      </c>
      <c r="M1462">
        <v>92025</v>
      </c>
      <c r="N1462" t="s">
        <v>771</v>
      </c>
      <c r="O1462">
        <v>2001</v>
      </c>
      <c r="S1462">
        <v>514314</v>
      </c>
      <c r="T1462" t="s">
        <v>772</v>
      </c>
    </row>
    <row r="1463" spans="1:20" x14ac:dyDescent="0.25">
      <c r="A1463">
        <v>5100423209</v>
      </c>
      <c r="B1463">
        <v>44586</v>
      </c>
      <c r="C1463" t="s">
        <v>768</v>
      </c>
      <c r="D1463" s="143">
        <v>46035</v>
      </c>
      <c r="E1463" s="55">
        <v>1021.9</v>
      </c>
      <c r="F1463" t="s">
        <v>769</v>
      </c>
      <c r="G1463">
        <v>1500092112</v>
      </c>
      <c r="H1463" t="s">
        <v>755</v>
      </c>
      <c r="I1463" t="s">
        <v>770</v>
      </c>
      <c r="K1463" s="143">
        <v>46098</v>
      </c>
      <c r="L1463" s="143">
        <v>46035</v>
      </c>
      <c r="M1463">
        <v>22025</v>
      </c>
      <c r="N1463" t="s">
        <v>771</v>
      </c>
      <c r="O1463">
        <v>2001</v>
      </c>
      <c r="S1463" t="s">
        <v>778</v>
      </c>
      <c r="T1463" t="s">
        <v>772</v>
      </c>
    </row>
    <row r="1464" spans="1:20" x14ac:dyDescent="0.25">
      <c r="A1464">
        <v>5100423210</v>
      </c>
      <c r="B1464">
        <v>44586</v>
      </c>
      <c r="C1464" t="s">
        <v>768</v>
      </c>
      <c r="D1464" s="143">
        <v>46035</v>
      </c>
      <c r="E1464">
        <v>70.53</v>
      </c>
      <c r="F1464" t="s">
        <v>769</v>
      </c>
      <c r="G1464">
        <v>1500092112</v>
      </c>
      <c r="H1464" t="s">
        <v>755</v>
      </c>
      <c r="I1464" t="s">
        <v>770</v>
      </c>
      <c r="K1464" s="143">
        <v>46098</v>
      </c>
      <c r="L1464" s="143">
        <v>46035</v>
      </c>
      <c r="M1464">
        <v>32025</v>
      </c>
      <c r="N1464" t="s">
        <v>771</v>
      </c>
      <c r="O1464">
        <v>2001</v>
      </c>
      <c r="S1464" t="s">
        <v>778</v>
      </c>
      <c r="T1464" t="s">
        <v>772</v>
      </c>
    </row>
    <row r="1465" spans="1:20" x14ac:dyDescent="0.25">
      <c r="A1465">
        <v>5100423211</v>
      </c>
      <c r="B1465">
        <v>44586</v>
      </c>
      <c r="C1465" t="s">
        <v>768</v>
      </c>
      <c r="D1465" s="143">
        <v>46035</v>
      </c>
      <c r="E1465">
        <v>28.22</v>
      </c>
      <c r="F1465" t="s">
        <v>769</v>
      </c>
      <c r="G1465">
        <v>1500092112</v>
      </c>
      <c r="H1465" t="s">
        <v>755</v>
      </c>
      <c r="I1465" t="s">
        <v>770</v>
      </c>
      <c r="K1465" s="143">
        <v>46098</v>
      </c>
      <c r="L1465" s="143">
        <v>46035</v>
      </c>
      <c r="M1465">
        <v>42025</v>
      </c>
      <c r="N1465" t="s">
        <v>771</v>
      </c>
      <c r="O1465">
        <v>2001</v>
      </c>
      <c r="S1465" t="s">
        <v>778</v>
      </c>
      <c r="T1465" t="s">
        <v>772</v>
      </c>
    </row>
    <row r="1466" spans="1:20" x14ac:dyDescent="0.25">
      <c r="A1466">
        <v>5100423212</v>
      </c>
      <c r="B1466">
        <v>44586</v>
      </c>
      <c r="C1466" t="s">
        <v>768</v>
      </c>
      <c r="D1466" s="143">
        <v>46035</v>
      </c>
      <c r="E1466">
        <v>14.11</v>
      </c>
      <c r="F1466" t="s">
        <v>769</v>
      </c>
      <c r="G1466">
        <v>1500092112</v>
      </c>
      <c r="H1466" t="s">
        <v>755</v>
      </c>
      <c r="I1466" t="s">
        <v>770</v>
      </c>
      <c r="K1466" s="143">
        <v>46098</v>
      </c>
      <c r="L1466" s="143">
        <v>46035</v>
      </c>
      <c r="M1466">
        <v>82025</v>
      </c>
      <c r="N1466" t="s">
        <v>771</v>
      </c>
      <c r="O1466">
        <v>2001</v>
      </c>
      <c r="S1466" t="s">
        <v>778</v>
      </c>
      <c r="T1466" t="s">
        <v>772</v>
      </c>
    </row>
    <row r="1467" spans="1:20" x14ac:dyDescent="0.25">
      <c r="A1467">
        <v>5100423213</v>
      </c>
      <c r="B1467">
        <v>44586</v>
      </c>
      <c r="C1467" t="s">
        <v>768</v>
      </c>
      <c r="D1467" s="143">
        <v>46035</v>
      </c>
      <c r="E1467" s="55">
        <v>1626.74</v>
      </c>
      <c r="F1467" t="s">
        <v>769</v>
      </c>
      <c r="G1467">
        <v>1500092112</v>
      </c>
      <c r="H1467" t="s">
        <v>755</v>
      </c>
      <c r="I1467" t="s">
        <v>770</v>
      </c>
      <c r="K1467" s="143">
        <v>46098</v>
      </c>
      <c r="L1467" s="143">
        <v>46035</v>
      </c>
      <c r="M1467">
        <v>92025</v>
      </c>
      <c r="N1467" t="s">
        <v>771</v>
      </c>
      <c r="O1467">
        <v>2001</v>
      </c>
      <c r="S1467" t="s">
        <v>778</v>
      </c>
      <c r="T1467" t="s">
        <v>772</v>
      </c>
    </row>
    <row r="1468" spans="1:20" x14ac:dyDescent="0.25">
      <c r="A1468">
        <v>5100423303</v>
      </c>
      <c r="B1468">
        <v>51011</v>
      </c>
      <c r="C1468" t="s">
        <v>768</v>
      </c>
      <c r="D1468" s="143">
        <v>46035</v>
      </c>
      <c r="E1468">
        <v>83.47</v>
      </c>
      <c r="F1468" t="s">
        <v>769</v>
      </c>
      <c r="G1468">
        <v>1500038763</v>
      </c>
      <c r="H1468" t="s">
        <v>755</v>
      </c>
      <c r="I1468" t="s">
        <v>770</v>
      </c>
      <c r="K1468" s="143">
        <v>46069</v>
      </c>
      <c r="L1468" s="143">
        <v>46035</v>
      </c>
      <c r="M1468">
        <v>92025</v>
      </c>
      <c r="N1468" t="s">
        <v>774</v>
      </c>
      <c r="O1468">
        <v>2001</v>
      </c>
      <c r="S1468">
        <v>524217</v>
      </c>
      <c r="T1468" t="s">
        <v>772</v>
      </c>
    </row>
    <row r="1469" spans="1:20" x14ac:dyDescent="0.25">
      <c r="A1469">
        <v>5100423329</v>
      </c>
      <c r="B1469">
        <v>52449</v>
      </c>
      <c r="C1469" t="s">
        <v>768</v>
      </c>
      <c r="D1469" s="143">
        <v>46035</v>
      </c>
      <c r="E1469" s="55">
        <v>3886.55</v>
      </c>
      <c r="F1469" t="s">
        <v>769</v>
      </c>
      <c r="G1469">
        <v>1500045030</v>
      </c>
      <c r="H1469" t="s">
        <v>755</v>
      </c>
      <c r="I1469" t="s">
        <v>770</v>
      </c>
      <c r="K1469" s="143">
        <v>46083</v>
      </c>
      <c r="L1469" s="143">
        <v>46035</v>
      </c>
      <c r="M1469">
        <v>22025</v>
      </c>
      <c r="N1469" t="s">
        <v>771</v>
      </c>
      <c r="O1469">
        <v>2001</v>
      </c>
      <c r="S1469">
        <v>514594</v>
      </c>
      <c r="T1469" t="s">
        <v>772</v>
      </c>
    </row>
    <row r="1470" spans="1:20" x14ac:dyDescent="0.25">
      <c r="A1470">
        <v>5100423330</v>
      </c>
      <c r="B1470">
        <v>52449</v>
      </c>
      <c r="C1470" t="s">
        <v>768</v>
      </c>
      <c r="D1470" s="143">
        <v>46035</v>
      </c>
      <c r="E1470">
        <v>5.94</v>
      </c>
      <c r="F1470" t="s">
        <v>769</v>
      </c>
      <c r="G1470">
        <v>1500045030</v>
      </c>
      <c r="H1470" t="s">
        <v>755</v>
      </c>
      <c r="I1470" t="s">
        <v>770</v>
      </c>
      <c r="K1470" s="143">
        <v>46083</v>
      </c>
      <c r="L1470" s="143">
        <v>46035</v>
      </c>
      <c r="M1470">
        <v>32025</v>
      </c>
      <c r="N1470" t="s">
        <v>771</v>
      </c>
      <c r="O1470">
        <v>2001</v>
      </c>
      <c r="S1470">
        <v>514594</v>
      </c>
      <c r="T1470" t="s">
        <v>772</v>
      </c>
    </row>
    <row r="1471" spans="1:20" x14ac:dyDescent="0.25">
      <c r="A1471">
        <v>5100423331</v>
      </c>
      <c r="B1471">
        <v>52449</v>
      </c>
      <c r="C1471" t="s">
        <v>768</v>
      </c>
      <c r="D1471" s="143">
        <v>46035</v>
      </c>
      <c r="E1471">
        <v>50.1</v>
      </c>
      <c r="F1471" t="s">
        <v>769</v>
      </c>
      <c r="G1471">
        <v>1500045030</v>
      </c>
      <c r="H1471" t="s">
        <v>755</v>
      </c>
      <c r="I1471" t="s">
        <v>770</v>
      </c>
      <c r="K1471" s="143">
        <v>46083</v>
      </c>
      <c r="L1471" s="143">
        <v>46035</v>
      </c>
      <c r="M1471">
        <v>62025</v>
      </c>
      <c r="N1471" t="s">
        <v>771</v>
      </c>
      <c r="O1471">
        <v>2001</v>
      </c>
      <c r="S1471">
        <v>514594</v>
      </c>
      <c r="T1471" t="s">
        <v>772</v>
      </c>
    </row>
    <row r="1472" spans="1:20" x14ac:dyDescent="0.25">
      <c r="A1472">
        <v>5100423332</v>
      </c>
      <c r="B1472">
        <v>52449</v>
      </c>
      <c r="C1472" t="s">
        <v>768</v>
      </c>
      <c r="D1472" s="143">
        <v>46035</v>
      </c>
      <c r="E1472">
        <v>275.02999999999997</v>
      </c>
      <c r="F1472" t="s">
        <v>769</v>
      </c>
      <c r="G1472">
        <v>1500045030</v>
      </c>
      <c r="H1472" t="s">
        <v>755</v>
      </c>
      <c r="I1472" t="s">
        <v>770</v>
      </c>
      <c r="K1472" s="143">
        <v>46083</v>
      </c>
      <c r="L1472" s="143">
        <v>46035</v>
      </c>
      <c r="M1472">
        <v>82025</v>
      </c>
      <c r="N1472" t="s">
        <v>771</v>
      </c>
      <c r="O1472">
        <v>2001</v>
      </c>
      <c r="S1472">
        <v>514594</v>
      </c>
      <c r="T1472" t="s">
        <v>772</v>
      </c>
    </row>
    <row r="1473" spans="1:20" x14ac:dyDescent="0.25">
      <c r="A1473">
        <v>5100423506</v>
      </c>
      <c r="B1473">
        <v>61325</v>
      </c>
      <c r="C1473" t="s">
        <v>768</v>
      </c>
      <c r="D1473" s="143">
        <v>46035</v>
      </c>
      <c r="E1473" s="55">
        <v>2497.2199999999998</v>
      </c>
      <c r="F1473" t="s">
        <v>769</v>
      </c>
      <c r="G1473">
        <v>1500038767</v>
      </c>
      <c r="H1473" t="s">
        <v>755</v>
      </c>
      <c r="I1473" t="s">
        <v>770</v>
      </c>
      <c r="K1473" s="143">
        <v>46069</v>
      </c>
      <c r="L1473" s="143">
        <v>46035</v>
      </c>
      <c r="M1473">
        <v>32025</v>
      </c>
      <c r="N1473" t="s">
        <v>771</v>
      </c>
      <c r="O1473">
        <v>2001</v>
      </c>
      <c r="S1473">
        <v>515443</v>
      </c>
      <c r="T1473" t="s">
        <v>772</v>
      </c>
    </row>
    <row r="1474" spans="1:20" x14ac:dyDescent="0.25">
      <c r="A1474">
        <v>5100423507</v>
      </c>
      <c r="B1474">
        <v>61325</v>
      </c>
      <c r="C1474" t="s">
        <v>768</v>
      </c>
      <c r="D1474" s="143">
        <v>46035</v>
      </c>
      <c r="E1474" s="55">
        <v>1005.1</v>
      </c>
      <c r="F1474" t="s">
        <v>769</v>
      </c>
      <c r="G1474">
        <v>1500038767</v>
      </c>
      <c r="H1474" t="s">
        <v>755</v>
      </c>
      <c r="I1474" t="s">
        <v>770</v>
      </c>
      <c r="K1474" s="143">
        <v>46069</v>
      </c>
      <c r="L1474" s="143">
        <v>46035</v>
      </c>
      <c r="M1474">
        <v>42025</v>
      </c>
      <c r="N1474" t="s">
        <v>771</v>
      </c>
      <c r="O1474">
        <v>2001</v>
      </c>
      <c r="S1474">
        <v>515443</v>
      </c>
      <c r="T1474" t="s">
        <v>772</v>
      </c>
    </row>
    <row r="1475" spans="1:20" x14ac:dyDescent="0.25">
      <c r="A1475">
        <v>5100423508</v>
      </c>
      <c r="B1475">
        <v>61325</v>
      </c>
      <c r="C1475" t="s">
        <v>768</v>
      </c>
      <c r="D1475" s="143">
        <v>46035</v>
      </c>
      <c r="E1475" s="55">
        <v>1745.77</v>
      </c>
      <c r="F1475" t="s">
        <v>769</v>
      </c>
      <c r="G1475">
        <v>1500038767</v>
      </c>
      <c r="H1475" t="s">
        <v>755</v>
      </c>
      <c r="I1475" t="s">
        <v>770</v>
      </c>
      <c r="K1475" s="143">
        <v>46069</v>
      </c>
      <c r="L1475" s="143">
        <v>46035</v>
      </c>
      <c r="M1475">
        <v>52025</v>
      </c>
      <c r="N1475" t="s">
        <v>771</v>
      </c>
      <c r="O1475">
        <v>2001</v>
      </c>
      <c r="S1475">
        <v>515443</v>
      </c>
      <c r="T1475" t="s">
        <v>772</v>
      </c>
    </row>
    <row r="1476" spans="1:20" x14ac:dyDescent="0.25">
      <c r="A1476">
        <v>5100423509</v>
      </c>
      <c r="B1476">
        <v>61325</v>
      </c>
      <c r="C1476" t="s">
        <v>768</v>
      </c>
      <c r="D1476" s="143">
        <v>46035</v>
      </c>
      <c r="E1476" s="55">
        <v>5416.22</v>
      </c>
      <c r="F1476" t="s">
        <v>769</v>
      </c>
      <c r="G1476">
        <v>1500038767</v>
      </c>
      <c r="H1476" t="s">
        <v>755</v>
      </c>
      <c r="I1476" t="s">
        <v>770</v>
      </c>
      <c r="K1476" s="143">
        <v>46069</v>
      </c>
      <c r="L1476" s="143">
        <v>46035</v>
      </c>
      <c r="M1476">
        <v>62025</v>
      </c>
      <c r="N1476" t="s">
        <v>771</v>
      </c>
      <c r="O1476">
        <v>2001</v>
      </c>
      <c r="S1476">
        <v>515443</v>
      </c>
      <c r="T1476" t="s">
        <v>772</v>
      </c>
    </row>
    <row r="1477" spans="1:20" x14ac:dyDescent="0.25">
      <c r="A1477">
        <v>5100423510</v>
      </c>
      <c r="B1477">
        <v>61325</v>
      </c>
      <c r="C1477" t="s">
        <v>768</v>
      </c>
      <c r="D1477" s="143">
        <v>46035</v>
      </c>
      <c r="E1477" s="55">
        <v>2994.59</v>
      </c>
      <c r="F1477" t="s">
        <v>769</v>
      </c>
      <c r="G1477">
        <v>1500038767</v>
      </c>
      <c r="H1477" t="s">
        <v>755</v>
      </c>
      <c r="I1477" t="s">
        <v>770</v>
      </c>
      <c r="K1477" s="143">
        <v>46069</v>
      </c>
      <c r="L1477" s="143">
        <v>46035</v>
      </c>
      <c r="M1477">
        <v>92025</v>
      </c>
      <c r="N1477" t="s">
        <v>771</v>
      </c>
      <c r="O1477">
        <v>2001</v>
      </c>
      <c r="S1477">
        <v>515443</v>
      </c>
      <c r="T1477" t="s">
        <v>772</v>
      </c>
    </row>
    <row r="1478" spans="1:20" x14ac:dyDescent="0.25">
      <c r="A1478">
        <v>5100423533</v>
      </c>
      <c r="B1478">
        <v>62166</v>
      </c>
      <c r="C1478" t="s">
        <v>768</v>
      </c>
      <c r="D1478" s="143">
        <v>46035</v>
      </c>
      <c r="E1478" s="55">
        <v>1102.08</v>
      </c>
      <c r="F1478" t="s">
        <v>769</v>
      </c>
      <c r="G1478">
        <v>100856080</v>
      </c>
      <c r="H1478" t="s">
        <v>755</v>
      </c>
      <c r="I1478" t="s">
        <v>770</v>
      </c>
      <c r="J1478">
        <v>0</v>
      </c>
      <c r="K1478" s="143">
        <v>46181</v>
      </c>
      <c r="L1478" s="143">
        <v>46035</v>
      </c>
      <c r="M1478">
        <v>22025</v>
      </c>
      <c r="N1478" t="s">
        <v>771</v>
      </c>
      <c r="O1478">
        <v>2001</v>
      </c>
      <c r="S1478">
        <v>2.0015900026202202E+17</v>
      </c>
      <c r="T1478" t="s">
        <v>772</v>
      </c>
    </row>
    <row r="1479" spans="1:20" x14ac:dyDescent="0.25">
      <c r="A1479">
        <v>5100423534</v>
      </c>
      <c r="B1479">
        <v>62166</v>
      </c>
      <c r="C1479" t="s">
        <v>768</v>
      </c>
      <c r="D1479" s="143">
        <v>46035</v>
      </c>
      <c r="E1479" s="55">
        <v>4594.8999999999996</v>
      </c>
      <c r="F1479" t="s">
        <v>769</v>
      </c>
      <c r="G1479">
        <v>100856080</v>
      </c>
      <c r="H1479" t="s">
        <v>755</v>
      </c>
      <c r="I1479" t="s">
        <v>770</v>
      </c>
      <c r="J1479">
        <v>0</v>
      </c>
      <c r="K1479" s="143">
        <v>46181</v>
      </c>
      <c r="L1479" s="143">
        <v>46035</v>
      </c>
      <c r="M1479">
        <v>92025</v>
      </c>
      <c r="N1479" t="s">
        <v>771</v>
      </c>
      <c r="O1479">
        <v>2001</v>
      </c>
      <c r="S1479">
        <v>2.0015900026202202E+17</v>
      </c>
      <c r="T1479" t="s">
        <v>772</v>
      </c>
    </row>
    <row r="1480" spans="1:20" x14ac:dyDescent="0.25">
      <c r="A1480">
        <v>5100423541</v>
      </c>
      <c r="B1480">
        <v>63255</v>
      </c>
      <c r="C1480" t="s">
        <v>768</v>
      </c>
      <c r="D1480" s="143">
        <v>46035</v>
      </c>
      <c r="E1480" s="55">
        <v>1958.4</v>
      </c>
      <c r="F1480" t="s">
        <v>769</v>
      </c>
      <c r="G1480">
        <v>101270056</v>
      </c>
      <c r="H1480" t="s">
        <v>755</v>
      </c>
      <c r="I1480" t="s">
        <v>770</v>
      </c>
      <c r="J1480">
        <v>0</v>
      </c>
      <c r="K1480" s="143">
        <v>46125</v>
      </c>
      <c r="L1480" s="143">
        <v>46035</v>
      </c>
      <c r="M1480">
        <v>22025</v>
      </c>
      <c r="N1480" t="s">
        <v>771</v>
      </c>
      <c r="O1480">
        <v>2001</v>
      </c>
      <c r="S1480">
        <v>2.0015900027700198E+17</v>
      </c>
      <c r="T1480" t="s">
        <v>772</v>
      </c>
    </row>
    <row r="1481" spans="1:20" x14ac:dyDescent="0.25">
      <c r="A1481">
        <v>5100423542</v>
      </c>
      <c r="B1481">
        <v>63255</v>
      </c>
      <c r="C1481" t="s">
        <v>768</v>
      </c>
      <c r="D1481" s="143">
        <v>46035</v>
      </c>
      <c r="E1481" s="55">
        <v>2251.35</v>
      </c>
      <c r="F1481" t="s">
        <v>769</v>
      </c>
      <c r="G1481">
        <v>101270056</v>
      </c>
      <c r="H1481" t="s">
        <v>755</v>
      </c>
      <c r="I1481" t="s">
        <v>770</v>
      </c>
      <c r="J1481">
        <v>0</v>
      </c>
      <c r="K1481" s="143">
        <v>46125</v>
      </c>
      <c r="L1481" s="143">
        <v>46035</v>
      </c>
      <c r="M1481">
        <v>52025</v>
      </c>
      <c r="N1481" t="s">
        <v>771</v>
      </c>
      <c r="O1481">
        <v>2001</v>
      </c>
      <c r="S1481">
        <v>2.0015900027700198E+17</v>
      </c>
      <c r="T1481" t="s">
        <v>772</v>
      </c>
    </row>
    <row r="1482" spans="1:20" x14ac:dyDescent="0.25">
      <c r="A1482">
        <v>5100423543</v>
      </c>
      <c r="B1482">
        <v>63255</v>
      </c>
      <c r="C1482" t="s">
        <v>768</v>
      </c>
      <c r="D1482" s="143">
        <v>46035</v>
      </c>
      <c r="E1482">
        <v>82.62</v>
      </c>
      <c r="F1482" t="s">
        <v>769</v>
      </c>
      <c r="G1482">
        <v>101270056</v>
      </c>
      <c r="H1482" t="s">
        <v>755</v>
      </c>
      <c r="I1482" t="s">
        <v>770</v>
      </c>
      <c r="J1482">
        <v>0</v>
      </c>
      <c r="K1482" s="143">
        <v>46125</v>
      </c>
      <c r="L1482" s="143">
        <v>46035</v>
      </c>
      <c r="M1482">
        <v>72025</v>
      </c>
      <c r="N1482" t="s">
        <v>771</v>
      </c>
      <c r="O1482">
        <v>2001</v>
      </c>
      <c r="S1482">
        <v>2.0015900027700198E+17</v>
      </c>
      <c r="T1482" t="s">
        <v>772</v>
      </c>
    </row>
    <row r="1483" spans="1:20" x14ac:dyDescent="0.25">
      <c r="A1483">
        <v>5100423585</v>
      </c>
      <c r="B1483">
        <v>64311</v>
      </c>
      <c r="C1483" t="s">
        <v>768</v>
      </c>
      <c r="D1483" s="143">
        <v>46035</v>
      </c>
      <c r="E1483" s="55">
        <v>4022.88</v>
      </c>
      <c r="F1483" t="s">
        <v>769</v>
      </c>
      <c r="G1483">
        <v>1500087637</v>
      </c>
      <c r="H1483" t="s">
        <v>755</v>
      </c>
      <c r="I1483" t="s">
        <v>770</v>
      </c>
      <c r="K1483" s="143">
        <v>46076</v>
      </c>
      <c r="L1483" s="143">
        <v>46035</v>
      </c>
      <c r="M1483">
        <v>32025</v>
      </c>
      <c r="N1483" t="s">
        <v>771</v>
      </c>
      <c r="O1483">
        <v>2001</v>
      </c>
      <c r="S1483">
        <v>515269</v>
      </c>
      <c r="T1483" t="s">
        <v>772</v>
      </c>
    </row>
    <row r="1484" spans="1:20" x14ac:dyDescent="0.25">
      <c r="A1484">
        <v>5100423586</v>
      </c>
      <c r="B1484">
        <v>64311</v>
      </c>
      <c r="C1484" t="s">
        <v>768</v>
      </c>
      <c r="D1484" s="143">
        <v>46035</v>
      </c>
      <c r="E1484">
        <v>116.6</v>
      </c>
      <c r="F1484" t="s">
        <v>769</v>
      </c>
      <c r="G1484">
        <v>1500087637</v>
      </c>
      <c r="H1484" t="s">
        <v>755</v>
      </c>
      <c r="I1484" t="s">
        <v>770</v>
      </c>
      <c r="K1484" s="143">
        <v>46076</v>
      </c>
      <c r="L1484" s="143">
        <v>46035</v>
      </c>
      <c r="M1484">
        <v>72025</v>
      </c>
      <c r="N1484" t="s">
        <v>771</v>
      </c>
      <c r="O1484">
        <v>2001</v>
      </c>
      <c r="S1484">
        <v>515269</v>
      </c>
      <c r="T1484" t="s">
        <v>772</v>
      </c>
    </row>
    <row r="1485" spans="1:20" x14ac:dyDescent="0.25">
      <c r="A1485">
        <v>5100423660</v>
      </c>
      <c r="B1485">
        <v>72231</v>
      </c>
      <c r="C1485" t="s">
        <v>768</v>
      </c>
      <c r="D1485" s="143">
        <v>46035</v>
      </c>
      <c r="E1485" s="55">
        <v>2474.8000000000002</v>
      </c>
      <c r="F1485" t="s">
        <v>769</v>
      </c>
      <c r="G1485">
        <v>101273007</v>
      </c>
      <c r="H1485" t="s">
        <v>755</v>
      </c>
      <c r="I1485" t="s">
        <v>770</v>
      </c>
      <c r="J1485">
        <v>0</v>
      </c>
      <c r="K1485" s="143">
        <v>46188</v>
      </c>
      <c r="L1485" s="143">
        <v>46035</v>
      </c>
      <c r="M1485">
        <v>32025</v>
      </c>
      <c r="N1485" t="s">
        <v>771</v>
      </c>
      <c r="O1485">
        <v>2001</v>
      </c>
      <c r="S1485">
        <v>2.0015900011820198E+17</v>
      </c>
      <c r="T1485" t="s">
        <v>772</v>
      </c>
    </row>
    <row r="1486" spans="1:20" x14ac:dyDescent="0.25">
      <c r="A1486">
        <v>5100423687</v>
      </c>
      <c r="B1486">
        <v>74310</v>
      </c>
      <c r="C1486" t="s">
        <v>768</v>
      </c>
      <c r="D1486" s="143">
        <v>46035</v>
      </c>
      <c r="E1486" s="55">
        <v>1674</v>
      </c>
      <c r="F1486" t="s">
        <v>769</v>
      </c>
      <c r="G1486">
        <v>1500087639</v>
      </c>
      <c r="H1486" t="s">
        <v>755</v>
      </c>
      <c r="I1486" t="s">
        <v>770</v>
      </c>
      <c r="K1486" s="143">
        <v>46076</v>
      </c>
      <c r="L1486" s="143">
        <v>46035</v>
      </c>
      <c r="M1486">
        <v>52025</v>
      </c>
      <c r="N1486" t="s">
        <v>771</v>
      </c>
      <c r="O1486">
        <v>2001</v>
      </c>
      <c r="S1486">
        <v>525507</v>
      </c>
      <c r="T1486" t="s">
        <v>772</v>
      </c>
    </row>
    <row r="1487" spans="1:20" x14ac:dyDescent="0.25">
      <c r="A1487">
        <v>5100423688</v>
      </c>
      <c r="B1487">
        <v>74310</v>
      </c>
      <c r="C1487" t="s">
        <v>768</v>
      </c>
      <c r="D1487" s="143">
        <v>46035</v>
      </c>
      <c r="E1487" s="55">
        <v>5442.38</v>
      </c>
      <c r="F1487" t="s">
        <v>769</v>
      </c>
      <c r="G1487">
        <v>1500087639</v>
      </c>
      <c r="H1487" t="s">
        <v>755</v>
      </c>
      <c r="I1487" t="s">
        <v>770</v>
      </c>
      <c r="K1487" s="143">
        <v>46076</v>
      </c>
      <c r="L1487" s="143">
        <v>46035</v>
      </c>
      <c r="M1487">
        <v>92025</v>
      </c>
      <c r="N1487" t="s">
        <v>771</v>
      </c>
      <c r="O1487">
        <v>2001</v>
      </c>
      <c r="S1487">
        <v>525507</v>
      </c>
      <c r="T1487" t="s">
        <v>772</v>
      </c>
    </row>
    <row r="1488" spans="1:20" x14ac:dyDescent="0.25">
      <c r="A1488">
        <v>5100423735</v>
      </c>
      <c r="B1488">
        <v>77289</v>
      </c>
      <c r="C1488" t="s">
        <v>768</v>
      </c>
      <c r="D1488" s="143">
        <v>46035</v>
      </c>
      <c r="E1488" s="55">
        <v>17211.939999999999</v>
      </c>
      <c r="F1488" t="s">
        <v>769</v>
      </c>
      <c r="G1488">
        <v>1500038772</v>
      </c>
      <c r="H1488" t="s">
        <v>755</v>
      </c>
      <c r="I1488" t="s">
        <v>770</v>
      </c>
      <c r="K1488" s="143">
        <v>46069</v>
      </c>
      <c r="L1488" s="143">
        <v>46035</v>
      </c>
      <c r="M1488">
        <v>82025</v>
      </c>
      <c r="N1488" t="s">
        <v>771</v>
      </c>
      <c r="O1488">
        <v>2001</v>
      </c>
      <c r="S1488">
        <v>525515</v>
      </c>
      <c r="T1488" t="s">
        <v>772</v>
      </c>
    </row>
    <row r="1489" spans="1:20" x14ac:dyDescent="0.25">
      <c r="A1489">
        <v>5100423736</v>
      </c>
      <c r="B1489">
        <v>77289</v>
      </c>
      <c r="C1489" t="s">
        <v>768</v>
      </c>
      <c r="D1489" s="143">
        <v>46035</v>
      </c>
      <c r="E1489" s="55">
        <v>1919.83</v>
      </c>
      <c r="F1489" t="s">
        <v>769</v>
      </c>
      <c r="G1489">
        <v>1500038772</v>
      </c>
      <c r="H1489" t="s">
        <v>755</v>
      </c>
      <c r="I1489" t="s">
        <v>770</v>
      </c>
      <c r="K1489" s="143">
        <v>46069</v>
      </c>
      <c r="L1489" s="143">
        <v>46035</v>
      </c>
      <c r="M1489">
        <v>92025</v>
      </c>
      <c r="N1489" t="s">
        <v>771</v>
      </c>
      <c r="O1489">
        <v>2001</v>
      </c>
      <c r="S1489">
        <v>525515</v>
      </c>
      <c r="T1489" t="s">
        <v>772</v>
      </c>
    </row>
    <row r="1490" spans="1:20" x14ac:dyDescent="0.25">
      <c r="A1490">
        <v>5100423737</v>
      </c>
      <c r="B1490">
        <v>77750</v>
      </c>
      <c r="C1490" t="s">
        <v>768</v>
      </c>
      <c r="D1490" s="143">
        <v>46035</v>
      </c>
      <c r="E1490">
        <v>67.36</v>
      </c>
      <c r="F1490" t="s">
        <v>769</v>
      </c>
      <c r="G1490">
        <v>1500046126</v>
      </c>
      <c r="H1490" t="s">
        <v>755</v>
      </c>
      <c r="I1490" t="s">
        <v>770</v>
      </c>
      <c r="K1490" s="143">
        <v>46069</v>
      </c>
      <c r="L1490" s="143">
        <v>46035</v>
      </c>
      <c r="M1490">
        <v>32025</v>
      </c>
      <c r="N1490" t="s">
        <v>771</v>
      </c>
      <c r="O1490">
        <v>2001</v>
      </c>
      <c r="S1490" t="s">
        <v>783</v>
      </c>
      <c r="T1490" t="s">
        <v>772</v>
      </c>
    </row>
    <row r="1491" spans="1:20" x14ac:dyDescent="0.25">
      <c r="A1491">
        <v>5100423875</v>
      </c>
      <c r="B1491">
        <v>85449</v>
      </c>
      <c r="C1491" t="s">
        <v>768</v>
      </c>
      <c r="D1491" s="143">
        <v>46035</v>
      </c>
      <c r="E1491" s="55">
        <v>6469.66</v>
      </c>
      <c r="F1491" t="s">
        <v>769</v>
      </c>
      <c r="G1491">
        <v>1500025825</v>
      </c>
      <c r="H1491" t="s">
        <v>755</v>
      </c>
      <c r="I1491" t="s">
        <v>770</v>
      </c>
      <c r="K1491" s="143">
        <v>46076</v>
      </c>
      <c r="L1491" s="143">
        <v>46035</v>
      </c>
      <c r="M1491">
        <v>42025</v>
      </c>
      <c r="N1491" t="s">
        <v>771</v>
      </c>
      <c r="O1491">
        <v>2001</v>
      </c>
      <c r="S1491">
        <v>514976</v>
      </c>
      <c r="T1491" t="s">
        <v>772</v>
      </c>
    </row>
    <row r="1492" spans="1:20" x14ac:dyDescent="0.25">
      <c r="A1492">
        <v>5100423876</v>
      </c>
      <c r="B1492">
        <v>85449</v>
      </c>
      <c r="C1492" t="s">
        <v>768</v>
      </c>
      <c r="D1492" s="143">
        <v>46035</v>
      </c>
      <c r="E1492" s="55">
        <v>1524.31</v>
      </c>
      <c r="F1492" t="s">
        <v>769</v>
      </c>
      <c r="G1492">
        <v>1500025825</v>
      </c>
      <c r="H1492" t="s">
        <v>755</v>
      </c>
      <c r="I1492" t="s">
        <v>770</v>
      </c>
      <c r="K1492" s="143">
        <v>46076</v>
      </c>
      <c r="L1492" s="143">
        <v>46035</v>
      </c>
      <c r="M1492">
        <v>52025</v>
      </c>
      <c r="N1492" t="s">
        <v>771</v>
      </c>
      <c r="O1492">
        <v>2001</v>
      </c>
      <c r="S1492">
        <v>514976</v>
      </c>
      <c r="T1492" t="s">
        <v>772</v>
      </c>
    </row>
    <row r="1493" spans="1:20" x14ac:dyDescent="0.25">
      <c r="A1493">
        <v>5100423877</v>
      </c>
      <c r="B1493">
        <v>85449</v>
      </c>
      <c r="C1493" t="s">
        <v>768</v>
      </c>
      <c r="D1493" s="143">
        <v>46035</v>
      </c>
      <c r="E1493" s="55">
        <v>1799.7</v>
      </c>
      <c r="F1493" t="s">
        <v>769</v>
      </c>
      <c r="G1493">
        <v>1500025825</v>
      </c>
      <c r="H1493" t="s">
        <v>755</v>
      </c>
      <c r="I1493" t="s">
        <v>770</v>
      </c>
      <c r="K1493" s="143">
        <v>46076</v>
      </c>
      <c r="L1493" s="143">
        <v>46035</v>
      </c>
      <c r="M1493">
        <v>62025</v>
      </c>
      <c r="N1493" t="s">
        <v>771</v>
      </c>
      <c r="O1493">
        <v>2001</v>
      </c>
      <c r="S1493">
        <v>514976</v>
      </c>
      <c r="T1493" t="s">
        <v>772</v>
      </c>
    </row>
    <row r="1494" spans="1:20" x14ac:dyDescent="0.25">
      <c r="A1494">
        <v>5100423878</v>
      </c>
      <c r="B1494">
        <v>85449</v>
      </c>
      <c r="C1494" t="s">
        <v>768</v>
      </c>
      <c r="D1494" s="143">
        <v>46035</v>
      </c>
      <c r="E1494">
        <v>211.08</v>
      </c>
      <c r="F1494" t="s">
        <v>769</v>
      </c>
      <c r="G1494">
        <v>1500025825</v>
      </c>
      <c r="H1494" t="s">
        <v>755</v>
      </c>
      <c r="I1494" t="s">
        <v>770</v>
      </c>
      <c r="K1494" s="143">
        <v>46076</v>
      </c>
      <c r="L1494" s="143">
        <v>46035</v>
      </c>
      <c r="M1494">
        <v>82025</v>
      </c>
      <c r="N1494" t="s">
        <v>771</v>
      </c>
      <c r="O1494">
        <v>2001</v>
      </c>
      <c r="S1494">
        <v>514976</v>
      </c>
      <c r="T1494" t="s">
        <v>772</v>
      </c>
    </row>
    <row r="1495" spans="1:20" x14ac:dyDescent="0.25">
      <c r="A1495">
        <v>5100423910</v>
      </c>
      <c r="B1495">
        <v>86421</v>
      </c>
      <c r="C1495" t="s">
        <v>768</v>
      </c>
      <c r="D1495" s="143">
        <v>46035</v>
      </c>
      <c r="E1495">
        <v>758.41</v>
      </c>
      <c r="F1495" t="s">
        <v>769</v>
      </c>
      <c r="G1495">
        <v>1500025826</v>
      </c>
      <c r="H1495" t="s">
        <v>755</v>
      </c>
      <c r="I1495" t="s">
        <v>770</v>
      </c>
      <c r="K1495" s="143">
        <v>46076</v>
      </c>
      <c r="L1495" s="143">
        <v>46035</v>
      </c>
      <c r="M1495">
        <v>22025</v>
      </c>
      <c r="N1495" t="s">
        <v>771</v>
      </c>
      <c r="O1495">
        <v>2001</v>
      </c>
      <c r="S1495">
        <v>514978</v>
      </c>
      <c r="T1495" t="s">
        <v>772</v>
      </c>
    </row>
    <row r="1496" spans="1:20" x14ac:dyDescent="0.25">
      <c r="A1496">
        <v>5100423911</v>
      </c>
      <c r="B1496">
        <v>86421</v>
      </c>
      <c r="C1496" t="s">
        <v>768</v>
      </c>
      <c r="D1496" s="143">
        <v>46035</v>
      </c>
      <c r="E1496">
        <v>470.74</v>
      </c>
      <c r="F1496" t="s">
        <v>769</v>
      </c>
      <c r="G1496">
        <v>1500025826</v>
      </c>
      <c r="H1496" t="s">
        <v>755</v>
      </c>
      <c r="I1496" t="s">
        <v>770</v>
      </c>
      <c r="K1496" s="143">
        <v>46076</v>
      </c>
      <c r="L1496" s="143">
        <v>46035</v>
      </c>
      <c r="M1496">
        <v>32025</v>
      </c>
      <c r="N1496" t="s">
        <v>771</v>
      </c>
      <c r="O1496">
        <v>2001</v>
      </c>
      <c r="S1496">
        <v>514978</v>
      </c>
      <c r="T1496" t="s">
        <v>772</v>
      </c>
    </row>
    <row r="1497" spans="1:20" x14ac:dyDescent="0.25">
      <c r="A1497">
        <v>5100423912</v>
      </c>
      <c r="B1497">
        <v>86421</v>
      </c>
      <c r="C1497" t="s">
        <v>768</v>
      </c>
      <c r="D1497" s="143">
        <v>46035</v>
      </c>
      <c r="E1497">
        <v>549.19000000000005</v>
      </c>
      <c r="F1497" t="s">
        <v>769</v>
      </c>
      <c r="G1497">
        <v>1500025826</v>
      </c>
      <c r="H1497" t="s">
        <v>755</v>
      </c>
      <c r="I1497" t="s">
        <v>770</v>
      </c>
      <c r="K1497" s="143">
        <v>46076</v>
      </c>
      <c r="L1497" s="143">
        <v>46035</v>
      </c>
      <c r="M1497">
        <v>42025</v>
      </c>
      <c r="N1497" t="s">
        <v>771</v>
      </c>
      <c r="O1497">
        <v>2001</v>
      </c>
      <c r="S1497">
        <v>514978</v>
      </c>
      <c r="T1497" t="s">
        <v>772</v>
      </c>
    </row>
    <row r="1498" spans="1:20" x14ac:dyDescent="0.25">
      <c r="A1498">
        <v>5100423913</v>
      </c>
      <c r="B1498">
        <v>86421</v>
      </c>
      <c r="C1498" t="s">
        <v>768</v>
      </c>
      <c r="D1498" s="143">
        <v>46035</v>
      </c>
      <c r="E1498">
        <v>562.26</v>
      </c>
      <c r="F1498" t="s">
        <v>769</v>
      </c>
      <c r="G1498">
        <v>1500025826</v>
      </c>
      <c r="H1498" t="s">
        <v>755</v>
      </c>
      <c r="I1498" t="s">
        <v>770</v>
      </c>
      <c r="K1498" s="143">
        <v>46076</v>
      </c>
      <c r="L1498" s="143">
        <v>46035</v>
      </c>
      <c r="M1498">
        <v>52025</v>
      </c>
      <c r="N1498" t="s">
        <v>771</v>
      </c>
      <c r="O1498">
        <v>2001</v>
      </c>
      <c r="S1498">
        <v>514978</v>
      </c>
      <c r="T1498" t="s">
        <v>772</v>
      </c>
    </row>
    <row r="1499" spans="1:20" x14ac:dyDescent="0.25">
      <c r="A1499">
        <v>5100423952</v>
      </c>
      <c r="B1499">
        <v>89383</v>
      </c>
      <c r="C1499" t="s">
        <v>768</v>
      </c>
      <c r="D1499" s="143">
        <v>46035</v>
      </c>
      <c r="E1499">
        <v>189.81</v>
      </c>
      <c r="F1499" t="s">
        <v>769</v>
      </c>
      <c r="G1499">
        <v>101317416</v>
      </c>
      <c r="H1499" t="s">
        <v>755</v>
      </c>
      <c r="I1499" t="s">
        <v>770</v>
      </c>
      <c r="J1499">
        <v>0</v>
      </c>
      <c r="K1499" s="143">
        <v>46195</v>
      </c>
      <c r="L1499" s="143">
        <v>46035</v>
      </c>
      <c r="M1499">
        <v>42025</v>
      </c>
      <c r="N1499" t="s">
        <v>771</v>
      </c>
      <c r="O1499">
        <v>2001</v>
      </c>
      <c r="S1499">
        <v>2.00159000277012E+17</v>
      </c>
      <c r="T1499" t="s">
        <v>772</v>
      </c>
    </row>
    <row r="1500" spans="1:20" x14ac:dyDescent="0.25">
      <c r="A1500">
        <v>5100423953</v>
      </c>
      <c r="B1500">
        <v>89383</v>
      </c>
      <c r="C1500" t="s">
        <v>768</v>
      </c>
      <c r="D1500" s="143">
        <v>46035</v>
      </c>
      <c r="E1500" s="55">
        <v>3940.01</v>
      </c>
      <c r="F1500" t="s">
        <v>769</v>
      </c>
      <c r="G1500">
        <v>101317416</v>
      </c>
      <c r="H1500" t="s">
        <v>755</v>
      </c>
      <c r="I1500" t="s">
        <v>770</v>
      </c>
      <c r="J1500">
        <v>0</v>
      </c>
      <c r="K1500" s="143">
        <v>46195</v>
      </c>
      <c r="L1500" s="143">
        <v>46035</v>
      </c>
      <c r="M1500">
        <v>52025</v>
      </c>
      <c r="N1500" t="s">
        <v>771</v>
      </c>
      <c r="O1500">
        <v>2001</v>
      </c>
      <c r="S1500">
        <v>2.00159000277012E+17</v>
      </c>
      <c r="T1500" t="s">
        <v>772</v>
      </c>
    </row>
    <row r="1501" spans="1:20" x14ac:dyDescent="0.25">
      <c r="A1501">
        <v>5100423954</v>
      </c>
      <c r="B1501">
        <v>89383</v>
      </c>
      <c r="C1501" t="s">
        <v>768</v>
      </c>
      <c r="D1501" s="143">
        <v>46035</v>
      </c>
      <c r="E1501">
        <v>598.30999999999995</v>
      </c>
      <c r="F1501" t="s">
        <v>769</v>
      </c>
      <c r="G1501">
        <v>101317416</v>
      </c>
      <c r="H1501" t="s">
        <v>755</v>
      </c>
      <c r="I1501" t="s">
        <v>770</v>
      </c>
      <c r="J1501">
        <v>0</v>
      </c>
      <c r="K1501" s="143">
        <v>46195</v>
      </c>
      <c r="L1501" s="143">
        <v>46035</v>
      </c>
      <c r="M1501">
        <v>62025</v>
      </c>
      <c r="N1501" t="s">
        <v>771</v>
      </c>
      <c r="O1501">
        <v>2001</v>
      </c>
      <c r="S1501">
        <v>2.00159000277012E+17</v>
      </c>
      <c r="T1501" t="s">
        <v>772</v>
      </c>
    </row>
    <row r="1502" spans="1:20" x14ac:dyDescent="0.25">
      <c r="A1502">
        <v>5100423955</v>
      </c>
      <c r="B1502">
        <v>89383</v>
      </c>
      <c r="C1502" t="s">
        <v>768</v>
      </c>
      <c r="D1502" s="143">
        <v>46035</v>
      </c>
      <c r="E1502" s="55">
        <v>1955.51</v>
      </c>
      <c r="F1502" t="s">
        <v>769</v>
      </c>
      <c r="G1502">
        <v>101317416</v>
      </c>
      <c r="H1502" t="s">
        <v>755</v>
      </c>
      <c r="I1502" t="s">
        <v>770</v>
      </c>
      <c r="J1502">
        <v>0</v>
      </c>
      <c r="K1502" s="143">
        <v>46195</v>
      </c>
      <c r="L1502" s="143">
        <v>46035</v>
      </c>
      <c r="M1502">
        <v>92025</v>
      </c>
      <c r="N1502" t="s">
        <v>771</v>
      </c>
      <c r="O1502">
        <v>2001</v>
      </c>
      <c r="S1502">
        <v>2.00159000277012E+17</v>
      </c>
      <c r="T1502" t="s">
        <v>772</v>
      </c>
    </row>
    <row r="1503" spans="1:20" x14ac:dyDescent="0.25">
      <c r="A1503">
        <v>5100424024</v>
      </c>
      <c r="B1503">
        <v>92692</v>
      </c>
      <c r="C1503" t="s">
        <v>768</v>
      </c>
      <c r="D1503" s="143">
        <v>46035</v>
      </c>
      <c r="E1503" s="55">
        <v>5652.03</v>
      </c>
      <c r="F1503" t="s">
        <v>769</v>
      </c>
      <c r="G1503">
        <v>1500087643</v>
      </c>
      <c r="H1503" t="s">
        <v>755</v>
      </c>
      <c r="I1503" t="s">
        <v>770</v>
      </c>
      <c r="K1503" s="143">
        <v>46076</v>
      </c>
      <c r="L1503" s="143">
        <v>46035</v>
      </c>
      <c r="M1503">
        <v>32025</v>
      </c>
      <c r="N1503" t="s">
        <v>771</v>
      </c>
      <c r="O1503">
        <v>2001</v>
      </c>
      <c r="S1503">
        <v>515388</v>
      </c>
      <c r="T1503" t="s">
        <v>772</v>
      </c>
    </row>
    <row r="1504" spans="1:20" x14ac:dyDescent="0.25">
      <c r="A1504">
        <v>5100424060</v>
      </c>
      <c r="B1504">
        <v>93872</v>
      </c>
      <c r="C1504" t="s">
        <v>768</v>
      </c>
      <c r="D1504" s="143">
        <v>46035</v>
      </c>
      <c r="E1504" s="55">
        <v>7152.98</v>
      </c>
      <c r="F1504" t="s">
        <v>769</v>
      </c>
      <c r="G1504">
        <v>1500038777</v>
      </c>
      <c r="H1504" t="s">
        <v>755</v>
      </c>
      <c r="I1504" t="s">
        <v>770</v>
      </c>
      <c r="K1504" s="143">
        <v>46069</v>
      </c>
      <c r="L1504" s="143">
        <v>46035</v>
      </c>
      <c r="M1504">
        <v>22025</v>
      </c>
      <c r="N1504" t="s">
        <v>771</v>
      </c>
      <c r="O1504">
        <v>2001</v>
      </c>
      <c r="S1504">
        <v>514984</v>
      </c>
      <c r="T1504" t="s">
        <v>772</v>
      </c>
    </row>
    <row r="1505" spans="1:20" x14ac:dyDescent="0.25">
      <c r="A1505">
        <v>5100424061</v>
      </c>
      <c r="B1505">
        <v>93872</v>
      </c>
      <c r="C1505" t="s">
        <v>768</v>
      </c>
      <c r="D1505" s="143">
        <v>46035</v>
      </c>
      <c r="E1505">
        <v>449.18</v>
      </c>
      <c r="F1505" t="s">
        <v>769</v>
      </c>
      <c r="G1505">
        <v>1500038777</v>
      </c>
      <c r="H1505" t="s">
        <v>755</v>
      </c>
      <c r="I1505" t="s">
        <v>770</v>
      </c>
      <c r="K1505" s="143">
        <v>46069</v>
      </c>
      <c r="L1505" s="143">
        <v>46035</v>
      </c>
      <c r="M1505">
        <v>62025</v>
      </c>
      <c r="N1505" t="s">
        <v>771</v>
      </c>
      <c r="O1505">
        <v>2001</v>
      </c>
      <c r="S1505">
        <v>514984</v>
      </c>
      <c r="T1505" t="s">
        <v>772</v>
      </c>
    </row>
    <row r="1506" spans="1:20" x14ac:dyDescent="0.25">
      <c r="A1506">
        <v>5100424062</v>
      </c>
      <c r="B1506">
        <v>93872</v>
      </c>
      <c r="C1506" t="s">
        <v>768</v>
      </c>
      <c r="D1506" s="143">
        <v>46035</v>
      </c>
      <c r="E1506">
        <v>228.6</v>
      </c>
      <c r="F1506" t="s">
        <v>769</v>
      </c>
      <c r="G1506">
        <v>1500038777</v>
      </c>
      <c r="H1506" t="s">
        <v>755</v>
      </c>
      <c r="I1506" t="s">
        <v>770</v>
      </c>
      <c r="K1506" s="143">
        <v>46069</v>
      </c>
      <c r="L1506" s="143">
        <v>46035</v>
      </c>
      <c r="M1506">
        <v>62025</v>
      </c>
      <c r="N1506" t="s">
        <v>771</v>
      </c>
      <c r="O1506">
        <v>2001</v>
      </c>
      <c r="S1506">
        <v>514984</v>
      </c>
      <c r="T1506" t="s">
        <v>772</v>
      </c>
    </row>
    <row r="1507" spans="1:20" x14ac:dyDescent="0.25">
      <c r="A1507">
        <v>5100424128</v>
      </c>
      <c r="B1507">
        <v>97378</v>
      </c>
      <c r="C1507" t="s">
        <v>768</v>
      </c>
      <c r="D1507" s="143">
        <v>46035</v>
      </c>
      <c r="E1507" s="55">
        <v>3308.61</v>
      </c>
      <c r="F1507" t="s">
        <v>769</v>
      </c>
      <c r="G1507">
        <v>1500038778</v>
      </c>
      <c r="H1507" t="s">
        <v>755</v>
      </c>
      <c r="I1507" t="s">
        <v>770</v>
      </c>
      <c r="K1507" s="143">
        <v>46069</v>
      </c>
      <c r="L1507" s="143">
        <v>46035</v>
      </c>
      <c r="M1507">
        <v>12025</v>
      </c>
      <c r="N1507" t="s">
        <v>771</v>
      </c>
      <c r="O1507">
        <v>2001</v>
      </c>
      <c r="S1507">
        <v>525554</v>
      </c>
      <c r="T1507" t="s">
        <v>772</v>
      </c>
    </row>
    <row r="1508" spans="1:20" x14ac:dyDescent="0.25">
      <c r="A1508">
        <v>5100424129</v>
      </c>
      <c r="B1508">
        <v>97378</v>
      </c>
      <c r="C1508" t="s">
        <v>768</v>
      </c>
      <c r="D1508" s="143">
        <v>46035</v>
      </c>
      <c r="E1508" s="55">
        <v>1699.15</v>
      </c>
      <c r="F1508" t="s">
        <v>769</v>
      </c>
      <c r="G1508">
        <v>1500038778</v>
      </c>
      <c r="H1508" t="s">
        <v>755</v>
      </c>
      <c r="I1508" t="s">
        <v>770</v>
      </c>
      <c r="K1508" s="143">
        <v>46069</v>
      </c>
      <c r="L1508" s="143">
        <v>46035</v>
      </c>
      <c r="M1508">
        <v>22025</v>
      </c>
      <c r="N1508" t="s">
        <v>771</v>
      </c>
      <c r="O1508">
        <v>2001</v>
      </c>
      <c r="S1508">
        <v>525554</v>
      </c>
      <c r="T1508" t="s">
        <v>772</v>
      </c>
    </row>
    <row r="1509" spans="1:20" x14ac:dyDescent="0.25">
      <c r="A1509">
        <v>5100424142</v>
      </c>
      <c r="B1509">
        <v>98137</v>
      </c>
      <c r="C1509" t="s">
        <v>768</v>
      </c>
      <c r="D1509" s="143">
        <v>46035</v>
      </c>
      <c r="E1509">
        <v>180.21</v>
      </c>
      <c r="F1509" t="s">
        <v>769</v>
      </c>
      <c r="G1509">
        <v>1500107416</v>
      </c>
      <c r="H1509" t="s">
        <v>755</v>
      </c>
      <c r="I1509" t="s">
        <v>770</v>
      </c>
      <c r="K1509" s="143">
        <v>46090</v>
      </c>
      <c r="L1509" s="143">
        <v>46035</v>
      </c>
      <c r="M1509">
        <v>32025</v>
      </c>
      <c r="N1509" t="s">
        <v>771</v>
      </c>
      <c r="O1509">
        <v>2001</v>
      </c>
      <c r="S1509" t="s">
        <v>777</v>
      </c>
      <c r="T1509" t="s">
        <v>772</v>
      </c>
    </row>
    <row r="1510" spans="1:20" x14ac:dyDescent="0.25">
      <c r="A1510">
        <v>5100424143</v>
      </c>
      <c r="B1510">
        <v>98137</v>
      </c>
      <c r="C1510" t="s">
        <v>768</v>
      </c>
      <c r="D1510" s="143">
        <v>46035</v>
      </c>
      <c r="E1510">
        <v>215.69</v>
      </c>
      <c r="F1510" t="s">
        <v>769</v>
      </c>
      <c r="G1510">
        <v>1500107416</v>
      </c>
      <c r="H1510" t="s">
        <v>755</v>
      </c>
      <c r="I1510" t="s">
        <v>770</v>
      </c>
      <c r="K1510" s="143">
        <v>46090</v>
      </c>
      <c r="L1510" s="143">
        <v>46035</v>
      </c>
      <c r="M1510">
        <v>62025</v>
      </c>
      <c r="N1510" t="s">
        <v>771</v>
      </c>
      <c r="O1510">
        <v>2001</v>
      </c>
      <c r="S1510" t="s">
        <v>777</v>
      </c>
      <c r="T1510" t="s">
        <v>772</v>
      </c>
    </row>
    <row r="1511" spans="1:20" x14ac:dyDescent="0.25">
      <c r="A1511">
        <v>5100227605</v>
      </c>
      <c r="B1511">
        <v>101113</v>
      </c>
      <c r="C1511" t="s">
        <v>768</v>
      </c>
      <c r="D1511" s="143">
        <v>46035</v>
      </c>
      <c r="E1511" s="55">
        <v>1088.74</v>
      </c>
      <c r="F1511" t="s">
        <v>769</v>
      </c>
      <c r="G1511">
        <v>100874253</v>
      </c>
      <c r="H1511" t="s">
        <v>755</v>
      </c>
      <c r="I1511" t="s">
        <v>770</v>
      </c>
      <c r="J1511">
        <v>0</v>
      </c>
      <c r="K1511" s="143">
        <v>46146</v>
      </c>
      <c r="L1511" s="143">
        <v>46035</v>
      </c>
      <c r="M1511">
        <v>22025</v>
      </c>
      <c r="N1511" t="s">
        <v>771</v>
      </c>
      <c r="O1511">
        <v>2001</v>
      </c>
      <c r="S1511">
        <v>2.00159000118212E+17</v>
      </c>
      <c r="T1511" t="s">
        <v>772</v>
      </c>
    </row>
    <row r="1512" spans="1:20" x14ac:dyDescent="0.25">
      <c r="A1512">
        <v>5100227606</v>
      </c>
      <c r="B1512">
        <v>101113</v>
      </c>
      <c r="C1512" t="s">
        <v>768</v>
      </c>
      <c r="D1512" s="143">
        <v>46035</v>
      </c>
      <c r="E1512">
        <v>197.8</v>
      </c>
      <c r="F1512" t="s">
        <v>769</v>
      </c>
      <c r="G1512">
        <v>100874253</v>
      </c>
      <c r="H1512" t="s">
        <v>755</v>
      </c>
      <c r="I1512" t="s">
        <v>770</v>
      </c>
      <c r="J1512">
        <v>0</v>
      </c>
      <c r="K1512" s="143">
        <v>46146</v>
      </c>
      <c r="L1512" s="143">
        <v>46035</v>
      </c>
      <c r="M1512">
        <v>32025</v>
      </c>
      <c r="N1512" t="s">
        <v>771</v>
      </c>
      <c r="O1512">
        <v>2001</v>
      </c>
      <c r="S1512">
        <v>2.00159000118212E+17</v>
      </c>
      <c r="T1512" t="s">
        <v>772</v>
      </c>
    </row>
    <row r="1513" spans="1:20" x14ac:dyDescent="0.25">
      <c r="A1513">
        <v>5100227607</v>
      </c>
      <c r="B1513">
        <v>101113</v>
      </c>
      <c r="C1513" t="s">
        <v>768</v>
      </c>
      <c r="D1513" s="143">
        <v>46035</v>
      </c>
      <c r="E1513">
        <v>395.6</v>
      </c>
      <c r="F1513" t="s">
        <v>769</v>
      </c>
      <c r="G1513">
        <v>100874253</v>
      </c>
      <c r="H1513" t="s">
        <v>755</v>
      </c>
      <c r="I1513" t="s">
        <v>770</v>
      </c>
      <c r="J1513">
        <v>0</v>
      </c>
      <c r="K1513" s="143">
        <v>46146</v>
      </c>
      <c r="L1513" s="143">
        <v>46035</v>
      </c>
      <c r="M1513">
        <v>42025</v>
      </c>
      <c r="N1513" t="s">
        <v>771</v>
      </c>
      <c r="O1513">
        <v>2001</v>
      </c>
      <c r="S1513">
        <v>2.00159000118212E+17</v>
      </c>
      <c r="T1513" t="s">
        <v>772</v>
      </c>
    </row>
    <row r="1514" spans="1:20" x14ac:dyDescent="0.25">
      <c r="A1514">
        <v>5100227608</v>
      </c>
      <c r="B1514">
        <v>101113</v>
      </c>
      <c r="C1514" t="s">
        <v>768</v>
      </c>
      <c r="D1514" s="143">
        <v>46035</v>
      </c>
      <c r="E1514" s="55">
        <v>1960.88</v>
      </c>
      <c r="F1514" t="s">
        <v>769</v>
      </c>
      <c r="G1514">
        <v>100874253</v>
      </c>
      <c r="H1514" t="s">
        <v>755</v>
      </c>
      <c r="I1514" t="s">
        <v>770</v>
      </c>
      <c r="J1514">
        <v>0</v>
      </c>
      <c r="K1514" s="143">
        <v>46146</v>
      </c>
      <c r="L1514" s="143">
        <v>46035</v>
      </c>
      <c r="M1514">
        <v>52025</v>
      </c>
      <c r="N1514" t="s">
        <v>771</v>
      </c>
      <c r="O1514">
        <v>2001</v>
      </c>
      <c r="S1514">
        <v>2.00159000118212E+17</v>
      </c>
      <c r="T1514" t="s">
        <v>772</v>
      </c>
    </row>
    <row r="1515" spans="1:20" x14ac:dyDescent="0.25">
      <c r="A1515">
        <v>5100227609</v>
      </c>
      <c r="B1515">
        <v>101113</v>
      </c>
      <c r="C1515" t="s">
        <v>768</v>
      </c>
      <c r="D1515" s="143">
        <v>46035</v>
      </c>
      <c r="E1515" s="55">
        <v>1433.77</v>
      </c>
      <c r="F1515" t="s">
        <v>769</v>
      </c>
      <c r="G1515">
        <v>100874253</v>
      </c>
      <c r="H1515" t="s">
        <v>755</v>
      </c>
      <c r="I1515" t="s">
        <v>770</v>
      </c>
      <c r="J1515">
        <v>0</v>
      </c>
      <c r="K1515" s="143">
        <v>46146</v>
      </c>
      <c r="L1515" s="143">
        <v>46035</v>
      </c>
      <c r="M1515">
        <v>62025</v>
      </c>
      <c r="N1515" t="s">
        <v>771</v>
      </c>
      <c r="O1515">
        <v>2001</v>
      </c>
      <c r="S1515">
        <v>2.00159000118212E+17</v>
      </c>
      <c r="T1515" t="s">
        <v>772</v>
      </c>
    </row>
    <row r="1516" spans="1:20" x14ac:dyDescent="0.25">
      <c r="A1516">
        <v>5100227610</v>
      </c>
      <c r="B1516">
        <v>101113</v>
      </c>
      <c r="C1516" t="s">
        <v>768</v>
      </c>
      <c r="D1516" s="143">
        <v>46035</v>
      </c>
      <c r="E1516" s="55">
        <v>9568.07</v>
      </c>
      <c r="F1516" t="s">
        <v>769</v>
      </c>
      <c r="G1516">
        <v>100874253</v>
      </c>
      <c r="H1516" t="s">
        <v>755</v>
      </c>
      <c r="I1516" t="s">
        <v>770</v>
      </c>
      <c r="J1516">
        <v>0</v>
      </c>
      <c r="K1516" s="143">
        <v>46146</v>
      </c>
      <c r="L1516" s="143">
        <v>46035</v>
      </c>
      <c r="M1516">
        <v>82025</v>
      </c>
      <c r="N1516" t="s">
        <v>771</v>
      </c>
      <c r="O1516">
        <v>2001</v>
      </c>
      <c r="S1516">
        <v>2.00159000118212E+17</v>
      </c>
      <c r="T1516" t="s">
        <v>772</v>
      </c>
    </row>
    <row r="1517" spans="1:20" x14ac:dyDescent="0.25">
      <c r="A1517">
        <v>5100227611</v>
      </c>
      <c r="B1517">
        <v>101113</v>
      </c>
      <c r="C1517" t="s">
        <v>768</v>
      </c>
      <c r="D1517" s="143">
        <v>46035</v>
      </c>
      <c r="E1517" s="55">
        <v>6434.12</v>
      </c>
      <c r="F1517" t="s">
        <v>769</v>
      </c>
      <c r="G1517">
        <v>100874253</v>
      </c>
      <c r="H1517" t="s">
        <v>755</v>
      </c>
      <c r="I1517" t="s">
        <v>770</v>
      </c>
      <c r="J1517">
        <v>0</v>
      </c>
      <c r="K1517" s="143">
        <v>46146</v>
      </c>
      <c r="L1517" s="143">
        <v>46035</v>
      </c>
      <c r="M1517">
        <v>82025</v>
      </c>
      <c r="N1517" t="s">
        <v>771</v>
      </c>
      <c r="O1517">
        <v>2001</v>
      </c>
      <c r="S1517">
        <v>2.00159000118212E+17</v>
      </c>
      <c r="T1517" t="s">
        <v>772</v>
      </c>
    </row>
    <row r="1518" spans="1:20" x14ac:dyDescent="0.25">
      <c r="A1518">
        <v>5100227612</v>
      </c>
      <c r="B1518">
        <v>101113</v>
      </c>
      <c r="C1518" t="s">
        <v>768</v>
      </c>
      <c r="D1518" s="143">
        <v>46035</v>
      </c>
      <c r="E1518">
        <v>416.61</v>
      </c>
      <c r="F1518" t="s">
        <v>769</v>
      </c>
      <c r="G1518">
        <v>100874253</v>
      </c>
      <c r="H1518" t="s">
        <v>755</v>
      </c>
      <c r="I1518" t="s">
        <v>770</v>
      </c>
      <c r="J1518">
        <v>0</v>
      </c>
      <c r="K1518" s="143">
        <v>46146</v>
      </c>
      <c r="L1518" s="143">
        <v>46035</v>
      </c>
      <c r="M1518">
        <v>92025</v>
      </c>
      <c r="N1518" t="s">
        <v>771</v>
      </c>
      <c r="O1518">
        <v>2001</v>
      </c>
      <c r="S1518">
        <v>2.00159000118212E+17</v>
      </c>
      <c r="T1518" t="s">
        <v>772</v>
      </c>
    </row>
    <row r="1519" spans="1:20" x14ac:dyDescent="0.25">
      <c r="A1519">
        <v>5100421803</v>
      </c>
      <c r="B1519">
        <v>206706</v>
      </c>
      <c r="C1519" t="s">
        <v>768</v>
      </c>
      <c r="D1519" s="143">
        <v>46035</v>
      </c>
      <c r="E1519">
        <v>877.71</v>
      </c>
      <c r="F1519" t="s">
        <v>769</v>
      </c>
      <c r="G1519">
        <v>1500038782</v>
      </c>
      <c r="H1519" t="s">
        <v>755</v>
      </c>
      <c r="I1519" t="s">
        <v>770</v>
      </c>
      <c r="K1519" s="143">
        <v>46069</v>
      </c>
      <c r="L1519" s="143">
        <v>46035</v>
      </c>
      <c r="M1519">
        <v>62025</v>
      </c>
      <c r="N1519" t="s">
        <v>771</v>
      </c>
      <c r="O1519">
        <v>2001</v>
      </c>
      <c r="S1519">
        <v>515893</v>
      </c>
      <c r="T1519" t="s">
        <v>772</v>
      </c>
    </row>
    <row r="1520" spans="1:20" x14ac:dyDescent="0.25">
      <c r="A1520">
        <v>5100421829</v>
      </c>
      <c r="B1520">
        <v>208678</v>
      </c>
      <c r="C1520" t="s">
        <v>768</v>
      </c>
      <c r="D1520" s="143">
        <v>46035</v>
      </c>
      <c r="E1520">
        <v>434.61</v>
      </c>
      <c r="F1520" t="s">
        <v>769</v>
      </c>
      <c r="G1520">
        <v>1500087646</v>
      </c>
      <c r="H1520" t="s">
        <v>755</v>
      </c>
      <c r="I1520" t="s">
        <v>770</v>
      </c>
      <c r="K1520" s="143">
        <v>46076</v>
      </c>
      <c r="L1520" s="143">
        <v>46035</v>
      </c>
      <c r="M1520">
        <v>52025</v>
      </c>
      <c r="N1520" t="s">
        <v>771</v>
      </c>
      <c r="O1520">
        <v>2001</v>
      </c>
      <c r="S1520">
        <v>525583</v>
      </c>
      <c r="T1520" t="s">
        <v>772</v>
      </c>
    </row>
    <row r="1521" spans="1:20" x14ac:dyDescent="0.25">
      <c r="A1521">
        <v>5100421830</v>
      </c>
      <c r="B1521">
        <v>208678</v>
      </c>
      <c r="C1521" t="s">
        <v>768</v>
      </c>
      <c r="D1521" s="143">
        <v>46035</v>
      </c>
      <c r="E1521">
        <v>247.38</v>
      </c>
      <c r="F1521" t="s">
        <v>769</v>
      </c>
      <c r="G1521">
        <v>1500087646</v>
      </c>
      <c r="H1521" t="s">
        <v>755</v>
      </c>
      <c r="I1521" t="s">
        <v>770</v>
      </c>
      <c r="K1521" s="143">
        <v>46076</v>
      </c>
      <c r="L1521" s="143">
        <v>46035</v>
      </c>
      <c r="M1521">
        <v>92025</v>
      </c>
      <c r="N1521" t="s">
        <v>771</v>
      </c>
      <c r="O1521">
        <v>2001</v>
      </c>
      <c r="S1521">
        <v>525583</v>
      </c>
      <c r="T1521" t="s">
        <v>772</v>
      </c>
    </row>
    <row r="1522" spans="1:20" x14ac:dyDescent="0.25">
      <c r="A1522">
        <v>5100421998</v>
      </c>
      <c r="B1522">
        <v>227439</v>
      </c>
      <c r="C1522" t="s">
        <v>768</v>
      </c>
      <c r="D1522" s="143">
        <v>46035</v>
      </c>
      <c r="E1522" s="55">
        <v>20884.68</v>
      </c>
      <c r="F1522" t="s">
        <v>769</v>
      </c>
      <c r="G1522">
        <v>1500087647</v>
      </c>
      <c r="H1522" t="s">
        <v>755</v>
      </c>
      <c r="I1522" t="s">
        <v>770</v>
      </c>
      <c r="K1522" s="143">
        <v>46076</v>
      </c>
      <c r="L1522" s="143">
        <v>46035</v>
      </c>
      <c r="M1522">
        <v>82025</v>
      </c>
      <c r="N1522" t="s">
        <v>771</v>
      </c>
      <c r="O1522">
        <v>2001</v>
      </c>
      <c r="S1522">
        <v>514706</v>
      </c>
      <c r="T1522" t="s">
        <v>772</v>
      </c>
    </row>
    <row r="1523" spans="1:20" x14ac:dyDescent="0.25">
      <c r="A1523">
        <v>5100422000</v>
      </c>
      <c r="B1523">
        <v>228163</v>
      </c>
      <c r="C1523" t="s">
        <v>768</v>
      </c>
      <c r="D1523" s="143">
        <v>46035</v>
      </c>
      <c r="E1523">
        <v>28.04</v>
      </c>
      <c r="F1523" t="s">
        <v>769</v>
      </c>
      <c r="G1523">
        <v>1500025827</v>
      </c>
      <c r="H1523" t="s">
        <v>755</v>
      </c>
      <c r="I1523" t="s">
        <v>770</v>
      </c>
      <c r="K1523" s="143">
        <v>46076</v>
      </c>
      <c r="L1523" s="143">
        <v>46035</v>
      </c>
      <c r="M1523">
        <v>22025</v>
      </c>
      <c r="N1523" t="s">
        <v>771</v>
      </c>
      <c r="O1523">
        <v>2001</v>
      </c>
      <c r="S1523">
        <v>515783</v>
      </c>
      <c r="T1523" t="s">
        <v>772</v>
      </c>
    </row>
    <row r="1524" spans="1:20" x14ac:dyDescent="0.25">
      <c r="A1524">
        <v>5100422001</v>
      </c>
      <c r="B1524">
        <v>228163</v>
      </c>
      <c r="C1524" t="s">
        <v>768</v>
      </c>
      <c r="D1524" s="143">
        <v>46035</v>
      </c>
      <c r="E1524">
        <v>28.04</v>
      </c>
      <c r="F1524" t="s">
        <v>769</v>
      </c>
      <c r="G1524">
        <v>1500025827</v>
      </c>
      <c r="H1524" t="s">
        <v>755</v>
      </c>
      <c r="I1524" t="s">
        <v>770</v>
      </c>
      <c r="K1524" s="143">
        <v>46076</v>
      </c>
      <c r="L1524" s="143">
        <v>46035</v>
      </c>
      <c r="M1524">
        <v>32025</v>
      </c>
      <c r="N1524" t="s">
        <v>771</v>
      </c>
      <c r="O1524">
        <v>2001</v>
      </c>
      <c r="S1524">
        <v>515783</v>
      </c>
      <c r="T1524" t="s">
        <v>772</v>
      </c>
    </row>
    <row r="1525" spans="1:20" x14ac:dyDescent="0.25">
      <c r="A1525">
        <v>5100422002</v>
      </c>
      <c r="B1525">
        <v>228163</v>
      </c>
      <c r="C1525" t="s">
        <v>768</v>
      </c>
      <c r="D1525" s="143">
        <v>46035</v>
      </c>
      <c r="E1525">
        <v>56.08</v>
      </c>
      <c r="F1525" t="s">
        <v>769</v>
      </c>
      <c r="G1525">
        <v>1500025827</v>
      </c>
      <c r="H1525" t="s">
        <v>755</v>
      </c>
      <c r="I1525" t="s">
        <v>770</v>
      </c>
      <c r="K1525" s="143">
        <v>46076</v>
      </c>
      <c r="L1525" s="143">
        <v>46035</v>
      </c>
      <c r="M1525">
        <v>42025</v>
      </c>
      <c r="N1525" t="s">
        <v>771</v>
      </c>
      <c r="O1525">
        <v>2001</v>
      </c>
      <c r="S1525">
        <v>515783</v>
      </c>
      <c r="T1525" t="s">
        <v>772</v>
      </c>
    </row>
    <row r="1526" spans="1:20" x14ac:dyDescent="0.25">
      <c r="A1526">
        <v>5100422003</v>
      </c>
      <c r="B1526">
        <v>228163</v>
      </c>
      <c r="C1526" t="s">
        <v>768</v>
      </c>
      <c r="D1526" s="143">
        <v>46035</v>
      </c>
      <c r="E1526">
        <v>30.2</v>
      </c>
      <c r="F1526" t="s">
        <v>769</v>
      </c>
      <c r="G1526">
        <v>1500025827</v>
      </c>
      <c r="H1526" t="s">
        <v>755</v>
      </c>
      <c r="I1526" t="s">
        <v>770</v>
      </c>
      <c r="K1526" s="143">
        <v>46076</v>
      </c>
      <c r="L1526" s="143">
        <v>46035</v>
      </c>
      <c r="M1526">
        <v>52025</v>
      </c>
      <c r="N1526" t="s">
        <v>771</v>
      </c>
      <c r="O1526">
        <v>2001</v>
      </c>
      <c r="S1526">
        <v>515783</v>
      </c>
      <c r="T1526" t="s">
        <v>772</v>
      </c>
    </row>
    <row r="1527" spans="1:20" x14ac:dyDescent="0.25">
      <c r="A1527">
        <v>5100422004</v>
      </c>
      <c r="B1527">
        <v>228163</v>
      </c>
      <c r="C1527" t="s">
        <v>768</v>
      </c>
      <c r="D1527" s="143">
        <v>46035</v>
      </c>
      <c r="E1527">
        <v>30.2</v>
      </c>
      <c r="F1527" t="s">
        <v>769</v>
      </c>
      <c r="G1527">
        <v>1500025827</v>
      </c>
      <c r="H1527" t="s">
        <v>755</v>
      </c>
      <c r="I1527" t="s">
        <v>770</v>
      </c>
      <c r="K1527" s="143">
        <v>46076</v>
      </c>
      <c r="L1527" s="143">
        <v>46035</v>
      </c>
      <c r="M1527">
        <v>62025</v>
      </c>
      <c r="N1527" t="s">
        <v>771</v>
      </c>
      <c r="O1527">
        <v>2001</v>
      </c>
      <c r="S1527">
        <v>515783</v>
      </c>
      <c r="T1527" t="s">
        <v>772</v>
      </c>
    </row>
    <row r="1528" spans="1:20" x14ac:dyDescent="0.25">
      <c r="A1528">
        <v>5100422005</v>
      </c>
      <c r="B1528">
        <v>228163</v>
      </c>
      <c r="C1528" t="s">
        <v>768</v>
      </c>
      <c r="D1528" s="143">
        <v>46035</v>
      </c>
      <c r="E1528">
        <v>30.2</v>
      </c>
      <c r="F1528" t="s">
        <v>769</v>
      </c>
      <c r="G1528">
        <v>1500025827</v>
      </c>
      <c r="H1528" t="s">
        <v>755</v>
      </c>
      <c r="I1528" t="s">
        <v>770</v>
      </c>
      <c r="K1528" s="143">
        <v>46076</v>
      </c>
      <c r="L1528" s="143">
        <v>46035</v>
      </c>
      <c r="M1528">
        <v>82025</v>
      </c>
      <c r="N1528" t="s">
        <v>771</v>
      </c>
      <c r="O1528">
        <v>2001</v>
      </c>
      <c r="S1528">
        <v>515783</v>
      </c>
      <c r="T1528" t="s">
        <v>772</v>
      </c>
    </row>
    <row r="1529" spans="1:20" x14ac:dyDescent="0.25">
      <c r="A1529">
        <v>5100422275</v>
      </c>
      <c r="B1529">
        <v>306431</v>
      </c>
      <c r="C1529" t="s">
        <v>768</v>
      </c>
      <c r="D1529" s="143">
        <v>46035</v>
      </c>
      <c r="E1529" s="55">
        <v>2428.41</v>
      </c>
      <c r="F1529" t="s">
        <v>769</v>
      </c>
      <c r="G1529">
        <v>101162376</v>
      </c>
      <c r="H1529" t="s">
        <v>755</v>
      </c>
      <c r="I1529" t="s">
        <v>770</v>
      </c>
      <c r="J1529">
        <v>0</v>
      </c>
      <c r="K1529" s="143">
        <v>46132</v>
      </c>
      <c r="L1529" s="143">
        <v>46035</v>
      </c>
      <c r="M1529">
        <v>42025</v>
      </c>
      <c r="N1529" t="s">
        <v>771</v>
      </c>
      <c r="O1529">
        <v>2001</v>
      </c>
      <c r="S1529">
        <v>2.00159000214332E+17</v>
      </c>
      <c r="T1529" t="s">
        <v>772</v>
      </c>
    </row>
    <row r="1530" spans="1:20" x14ac:dyDescent="0.25">
      <c r="A1530">
        <v>5100422343</v>
      </c>
      <c r="B1530">
        <v>309401</v>
      </c>
      <c r="C1530" t="s">
        <v>768</v>
      </c>
      <c r="D1530" s="143">
        <v>46035</v>
      </c>
      <c r="E1530" s="55">
        <v>19787.12</v>
      </c>
      <c r="F1530" t="s">
        <v>769</v>
      </c>
      <c r="G1530">
        <v>1500084314</v>
      </c>
      <c r="H1530" t="s">
        <v>755</v>
      </c>
      <c r="I1530" t="s">
        <v>770</v>
      </c>
      <c r="K1530" s="143">
        <v>46078</v>
      </c>
      <c r="L1530" s="143">
        <v>46035</v>
      </c>
      <c r="M1530">
        <v>42025</v>
      </c>
      <c r="N1530" t="s">
        <v>771</v>
      </c>
      <c r="O1530">
        <v>2001</v>
      </c>
      <c r="S1530" t="s">
        <v>782</v>
      </c>
      <c r="T1530" t="s">
        <v>772</v>
      </c>
    </row>
    <row r="1531" spans="1:20" x14ac:dyDescent="0.25">
      <c r="A1531">
        <v>5100422344</v>
      </c>
      <c r="B1531">
        <v>309401</v>
      </c>
      <c r="C1531" t="s">
        <v>768</v>
      </c>
      <c r="D1531" s="143">
        <v>46035</v>
      </c>
      <c r="E1531">
        <v>105.45</v>
      </c>
      <c r="F1531" t="s">
        <v>769</v>
      </c>
      <c r="G1531">
        <v>1500084314</v>
      </c>
      <c r="H1531" t="s">
        <v>755</v>
      </c>
      <c r="I1531" t="s">
        <v>770</v>
      </c>
      <c r="K1531" s="143">
        <v>46078</v>
      </c>
      <c r="L1531" s="143">
        <v>46035</v>
      </c>
      <c r="M1531">
        <v>72025</v>
      </c>
      <c r="N1531" t="s">
        <v>771</v>
      </c>
      <c r="O1531">
        <v>2001</v>
      </c>
      <c r="S1531" t="s">
        <v>782</v>
      </c>
      <c r="T1531" t="s">
        <v>772</v>
      </c>
    </row>
    <row r="1532" spans="1:20" x14ac:dyDescent="0.25">
      <c r="A1532">
        <v>5100422354</v>
      </c>
      <c r="B1532">
        <v>309807</v>
      </c>
      <c r="C1532" t="s">
        <v>768</v>
      </c>
      <c r="D1532" s="143">
        <v>46035</v>
      </c>
      <c r="E1532" s="55">
        <v>15063.25</v>
      </c>
      <c r="F1532" t="s">
        <v>769</v>
      </c>
      <c r="G1532">
        <v>1500030423</v>
      </c>
      <c r="H1532" t="s">
        <v>755</v>
      </c>
      <c r="I1532" t="s">
        <v>770</v>
      </c>
      <c r="K1532" s="143">
        <v>46090</v>
      </c>
      <c r="L1532" s="143">
        <v>46035</v>
      </c>
      <c r="M1532">
        <v>62025</v>
      </c>
      <c r="N1532" t="s">
        <v>771</v>
      </c>
      <c r="O1532">
        <v>2001</v>
      </c>
      <c r="S1532">
        <v>515302</v>
      </c>
      <c r="T1532" t="s">
        <v>772</v>
      </c>
    </row>
    <row r="1533" spans="1:20" x14ac:dyDescent="0.25">
      <c r="A1533">
        <v>5100422420</v>
      </c>
      <c r="B1533">
        <v>313908</v>
      </c>
      <c r="C1533" t="s">
        <v>768</v>
      </c>
      <c r="D1533" s="143">
        <v>46035</v>
      </c>
      <c r="E1533" s="55">
        <v>14119.53</v>
      </c>
      <c r="F1533" t="s">
        <v>769</v>
      </c>
      <c r="G1533">
        <v>1500025828</v>
      </c>
      <c r="H1533" t="s">
        <v>755</v>
      </c>
      <c r="I1533" t="s">
        <v>770</v>
      </c>
      <c r="K1533" s="143">
        <v>46076</v>
      </c>
      <c r="L1533" s="143">
        <v>46035</v>
      </c>
      <c r="M1533">
        <v>52025</v>
      </c>
      <c r="N1533" t="s">
        <v>771</v>
      </c>
      <c r="O1533">
        <v>2001</v>
      </c>
      <c r="S1533">
        <v>514744</v>
      </c>
      <c r="T1533" t="s">
        <v>772</v>
      </c>
    </row>
    <row r="1534" spans="1:20" x14ac:dyDescent="0.25">
      <c r="A1534">
        <v>5100422510</v>
      </c>
      <c r="B1534">
        <v>319731</v>
      </c>
      <c r="C1534" t="s">
        <v>768</v>
      </c>
      <c r="D1534" s="143">
        <v>46035</v>
      </c>
      <c r="E1534">
        <v>194.08</v>
      </c>
      <c r="F1534" t="s">
        <v>769</v>
      </c>
      <c r="G1534">
        <v>1500074632</v>
      </c>
      <c r="H1534" t="s">
        <v>755</v>
      </c>
      <c r="I1534" t="s">
        <v>770</v>
      </c>
      <c r="K1534" s="143">
        <v>46069</v>
      </c>
      <c r="L1534" s="143">
        <v>46035</v>
      </c>
      <c r="M1534">
        <v>22025</v>
      </c>
      <c r="N1534" t="s">
        <v>771</v>
      </c>
      <c r="O1534">
        <v>2001</v>
      </c>
      <c r="S1534" t="s">
        <v>783</v>
      </c>
      <c r="T1534" t="s">
        <v>772</v>
      </c>
    </row>
    <row r="1535" spans="1:20" x14ac:dyDescent="0.25">
      <c r="A1535">
        <v>5100422511</v>
      </c>
      <c r="B1535">
        <v>319731</v>
      </c>
      <c r="C1535" t="s">
        <v>768</v>
      </c>
      <c r="D1535" s="143">
        <v>46035</v>
      </c>
      <c r="E1535" s="55">
        <v>1895.12</v>
      </c>
      <c r="F1535" t="s">
        <v>769</v>
      </c>
      <c r="G1535">
        <v>1500074632</v>
      </c>
      <c r="H1535" t="s">
        <v>755</v>
      </c>
      <c r="I1535" t="s">
        <v>770</v>
      </c>
      <c r="K1535" s="143">
        <v>46069</v>
      </c>
      <c r="L1535" s="143">
        <v>46035</v>
      </c>
      <c r="M1535">
        <v>32025</v>
      </c>
      <c r="N1535" t="s">
        <v>771</v>
      </c>
      <c r="O1535">
        <v>2001</v>
      </c>
      <c r="S1535" t="s">
        <v>783</v>
      </c>
      <c r="T1535" t="s">
        <v>772</v>
      </c>
    </row>
    <row r="1536" spans="1:20" x14ac:dyDescent="0.25">
      <c r="A1536">
        <v>5100422512</v>
      </c>
      <c r="B1536">
        <v>319731</v>
      </c>
      <c r="C1536" t="s">
        <v>768</v>
      </c>
      <c r="D1536" s="143">
        <v>46035</v>
      </c>
      <c r="E1536">
        <v>194.08</v>
      </c>
      <c r="F1536" t="s">
        <v>769</v>
      </c>
      <c r="G1536">
        <v>1500074632</v>
      </c>
      <c r="H1536" t="s">
        <v>755</v>
      </c>
      <c r="I1536" t="s">
        <v>770</v>
      </c>
      <c r="K1536" s="143">
        <v>46069</v>
      </c>
      <c r="L1536" s="143">
        <v>46035</v>
      </c>
      <c r="M1536">
        <v>42025</v>
      </c>
      <c r="N1536" t="s">
        <v>771</v>
      </c>
      <c r="O1536">
        <v>2001</v>
      </c>
      <c r="S1536" t="s">
        <v>783</v>
      </c>
      <c r="T1536" t="s">
        <v>772</v>
      </c>
    </row>
    <row r="1537" spans="1:20" x14ac:dyDescent="0.25">
      <c r="A1537">
        <v>5100422513</v>
      </c>
      <c r="B1537">
        <v>319731</v>
      </c>
      <c r="C1537" t="s">
        <v>768</v>
      </c>
      <c r="D1537" s="143">
        <v>46035</v>
      </c>
      <c r="E1537">
        <v>388.16</v>
      </c>
      <c r="F1537" t="s">
        <v>769</v>
      </c>
      <c r="G1537">
        <v>1500074632</v>
      </c>
      <c r="H1537" t="s">
        <v>755</v>
      </c>
      <c r="I1537" t="s">
        <v>770</v>
      </c>
      <c r="K1537" s="143">
        <v>46069</v>
      </c>
      <c r="L1537" s="143">
        <v>46035</v>
      </c>
      <c r="M1537">
        <v>52025</v>
      </c>
      <c r="N1537" t="s">
        <v>771</v>
      </c>
      <c r="O1537">
        <v>2001</v>
      </c>
      <c r="S1537" t="s">
        <v>783</v>
      </c>
      <c r="T1537" t="s">
        <v>772</v>
      </c>
    </row>
    <row r="1538" spans="1:20" x14ac:dyDescent="0.25">
      <c r="A1538">
        <v>5100422514</v>
      </c>
      <c r="B1538">
        <v>319731</v>
      </c>
      <c r="C1538" t="s">
        <v>768</v>
      </c>
      <c r="D1538" s="143">
        <v>46035</v>
      </c>
      <c r="E1538">
        <v>194.08</v>
      </c>
      <c r="F1538" t="s">
        <v>769</v>
      </c>
      <c r="G1538">
        <v>1500074632</v>
      </c>
      <c r="H1538" t="s">
        <v>755</v>
      </c>
      <c r="I1538" t="s">
        <v>770</v>
      </c>
      <c r="K1538" s="143">
        <v>46069</v>
      </c>
      <c r="L1538" s="143">
        <v>46035</v>
      </c>
      <c r="M1538">
        <v>62025</v>
      </c>
      <c r="N1538" t="s">
        <v>771</v>
      </c>
      <c r="O1538">
        <v>2001</v>
      </c>
      <c r="S1538" t="s">
        <v>783</v>
      </c>
      <c r="T1538" t="s">
        <v>772</v>
      </c>
    </row>
    <row r="1539" spans="1:20" x14ac:dyDescent="0.25">
      <c r="A1539">
        <v>5100422515</v>
      </c>
      <c r="B1539">
        <v>319731</v>
      </c>
      <c r="C1539" t="s">
        <v>768</v>
      </c>
      <c r="D1539" s="143">
        <v>46035</v>
      </c>
      <c r="E1539">
        <v>388.16</v>
      </c>
      <c r="F1539" t="s">
        <v>769</v>
      </c>
      <c r="G1539">
        <v>1500074632</v>
      </c>
      <c r="H1539" t="s">
        <v>755</v>
      </c>
      <c r="I1539" t="s">
        <v>770</v>
      </c>
      <c r="K1539" s="143">
        <v>46069</v>
      </c>
      <c r="L1539" s="143">
        <v>46035</v>
      </c>
      <c r="M1539">
        <v>72025</v>
      </c>
      <c r="N1539" t="s">
        <v>771</v>
      </c>
      <c r="O1539">
        <v>2001</v>
      </c>
      <c r="S1539" t="s">
        <v>783</v>
      </c>
      <c r="T1539" t="s">
        <v>772</v>
      </c>
    </row>
    <row r="1540" spans="1:20" x14ac:dyDescent="0.25">
      <c r="A1540">
        <v>5100422516</v>
      </c>
      <c r="B1540">
        <v>319731</v>
      </c>
      <c r="C1540" t="s">
        <v>768</v>
      </c>
      <c r="D1540" s="143">
        <v>46035</v>
      </c>
      <c r="E1540">
        <v>194.08</v>
      </c>
      <c r="F1540" t="s">
        <v>769</v>
      </c>
      <c r="G1540">
        <v>1500074632</v>
      </c>
      <c r="H1540" t="s">
        <v>755</v>
      </c>
      <c r="I1540" t="s">
        <v>770</v>
      </c>
      <c r="K1540" s="143">
        <v>46069</v>
      </c>
      <c r="L1540" s="143">
        <v>46035</v>
      </c>
      <c r="M1540">
        <v>82025</v>
      </c>
      <c r="N1540" t="s">
        <v>771</v>
      </c>
      <c r="O1540">
        <v>2001</v>
      </c>
      <c r="S1540" t="s">
        <v>783</v>
      </c>
      <c r="T1540" t="s">
        <v>772</v>
      </c>
    </row>
    <row r="1541" spans="1:20" x14ac:dyDescent="0.25">
      <c r="A1541">
        <v>5100422528</v>
      </c>
      <c r="B1541">
        <v>322172</v>
      </c>
      <c r="C1541" t="s">
        <v>768</v>
      </c>
      <c r="D1541" s="143">
        <v>46035</v>
      </c>
      <c r="E1541">
        <v>109.12</v>
      </c>
      <c r="F1541" t="s">
        <v>769</v>
      </c>
      <c r="G1541">
        <v>1500032794</v>
      </c>
      <c r="H1541" t="s">
        <v>755</v>
      </c>
      <c r="I1541" t="s">
        <v>770</v>
      </c>
      <c r="K1541" s="143">
        <v>46083</v>
      </c>
      <c r="L1541" s="143">
        <v>46035</v>
      </c>
      <c r="M1541">
        <v>72025</v>
      </c>
      <c r="N1541" t="s">
        <v>771</v>
      </c>
      <c r="O1541">
        <v>2001</v>
      </c>
      <c r="S1541">
        <v>515315</v>
      </c>
      <c r="T1541" t="s">
        <v>772</v>
      </c>
    </row>
    <row r="1542" spans="1:20" x14ac:dyDescent="0.25">
      <c r="A1542">
        <v>5100422529</v>
      </c>
      <c r="B1542">
        <v>322206</v>
      </c>
      <c r="C1542" t="s">
        <v>768</v>
      </c>
      <c r="D1542" s="143">
        <v>46035</v>
      </c>
      <c r="E1542" s="55">
        <v>6786.04</v>
      </c>
      <c r="F1542" t="s">
        <v>769</v>
      </c>
      <c r="G1542">
        <v>1500098205</v>
      </c>
      <c r="H1542" t="s">
        <v>755</v>
      </c>
      <c r="I1542" t="s">
        <v>770</v>
      </c>
      <c r="K1542" s="143">
        <v>46083</v>
      </c>
      <c r="L1542" s="143">
        <v>46035</v>
      </c>
      <c r="M1542">
        <v>22025</v>
      </c>
      <c r="N1542" t="s">
        <v>771</v>
      </c>
      <c r="O1542">
        <v>2001</v>
      </c>
      <c r="S1542">
        <v>514774</v>
      </c>
      <c r="T1542" t="s">
        <v>772</v>
      </c>
    </row>
    <row r="1543" spans="1:20" x14ac:dyDescent="0.25">
      <c r="A1543">
        <v>5100422530</v>
      </c>
      <c r="B1543">
        <v>322206</v>
      </c>
      <c r="C1543" t="s">
        <v>768</v>
      </c>
      <c r="D1543" s="143">
        <v>46035</v>
      </c>
      <c r="E1543">
        <v>804.59</v>
      </c>
      <c r="F1543" t="s">
        <v>769</v>
      </c>
      <c r="G1543">
        <v>1500098205</v>
      </c>
      <c r="H1543" t="s">
        <v>755</v>
      </c>
      <c r="I1543" t="s">
        <v>770</v>
      </c>
      <c r="K1543" s="143">
        <v>46083</v>
      </c>
      <c r="L1543" s="143">
        <v>46035</v>
      </c>
      <c r="M1543">
        <v>32025</v>
      </c>
      <c r="N1543" t="s">
        <v>771</v>
      </c>
      <c r="O1543">
        <v>2001</v>
      </c>
      <c r="S1543">
        <v>514774</v>
      </c>
      <c r="T1543" t="s">
        <v>772</v>
      </c>
    </row>
    <row r="1544" spans="1:20" x14ac:dyDescent="0.25">
      <c r="A1544">
        <v>5100422531</v>
      </c>
      <c r="B1544">
        <v>322206</v>
      </c>
      <c r="C1544" t="s">
        <v>768</v>
      </c>
      <c r="D1544" s="143">
        <v>46035</v>
      </c>
      <c r="E1544" s="55">
        <v>4967.8599999999997</v>
      </c>
      <c r="F1544" t="s">
        <v>769</v>
      </c>
      <c r="G1544">
        <v>1500098205</v>
      </c>
      <c r="H1544" t="s">
        <v>755</v>
      </c>
      <c r="I1544" t="s">
        <v>770</v>
      </c>
      <c r="K1544" s="143">
        <v>46083</v>
      </c>
      <c r="L1544" s="143">
        <v>46035</v>
      </c>
      <c r="M1544">
        <v>42025</v>
      </c>
      <c r="N1544" t="s">
        <v>771</v>
      </c>
      <c r="O1544">
        <v>2001</v>
      </c>
      <c r="S1544">
        <v>514774</v>
      </c>
      <c r="T1544" t="s">
        <v>772</v>
      </c>
    </row>
    <row r="1545" spans="1:20" x14ac:dyDescent="0.25">
      <c r="A1545">
        <v>5100422532</v>
      </c>
      <c r="B1545">
        <v>322206</v>
      </c>
      <c r="C1545" t="s">
        <v>768</v>
      </c>
      <c r="D1545" s="143">
        <v>46035</v>
      </c>
      <c r="E1545">
        <v>28.13</v>
      </c>
      <c r="F1545" t="s">
        <v>769</v>
      </c>
      <c r="G1545">
        <v>1500098205</v>
      </c>
      <c r="H1545" t="s">
        <v>755</v>
      </c>
      <c r="I1545" t="s">
        <v>770</v>
      </c>
      <c r="K1545" s="143">
        <v>46083</v>
      </c>
      <c r="L1545" s="143">
        <v>46035</v>
      </c>
      <c r="M1545">
        <v>52025</v>
      </c>
      <c r="N1545" t="s">
        <v>771</v>
      </c>
      <c r="O1545">
        <v>2001</v>
      </c>
      <c r="S1545">
        <v>514774</v>
      </c>
      <c r="T1545" t="s">
        <v>772</v>
      </c>
    </row>
    <row r="1546" spans="1:20" x14ac:dyDescent="0.25">
      <c r="A1546">
        <v>5100422533</v>
      </c>
      <c r="B1546">
        <v>322206</v>
      </c>
      <c r="C1546" t="s">
        <v>768</v>
      </c>
      <c r="D1546" s="143">
        <v>46035</v>
      </c>
      <c r="E1546" s="55">
        <v>5872.34</v>
      </c>
      <c r="F1546" t="s">
        <v>769</v>
      </c>
      <c r="G1546">
        <v>1500098205</v>
      </c>
      <c r="H1546" t="s">
        <v>755</v>
      </c>
      <c r="I1546" t="s">
        <v>770</v>
      </c>
      <c r="K1546" s="143">
        <v>46083</v>
      </c>
      <c r="L1546" s="143">
        <v>46035</v>
      </c>
      <c r="M1546">
        <v>62025</v>
      </c>
      <c r="N1546" t="s">
        <v>771</v>
      </c>
      <c r="O1546">
        <v>2001</v>
      </c>
      <c r="S1546">
        <v>514774</v>
      </c>
      <c r="T1546" t="s">
        <v>772</v>
      </c>
    </row>
    <row r="1547" spans="1:20" x14ac:dyDescent="0.25">
      <c r="A1547">
        <v>5100422534</v>
      </c>
      <c r="B1547">
        <v>322206</v>
      </c>
      <c r="C1547" t="s">
        <v>768</v>
      </c>
      <c r="D1547" s="143">
        <v>46035</v>
      </c>
      <c r="E1547" s="55">
        <v>2017.05</v>
      </c>
      <c r="F1547" t="s">
        <v>769</v>
      </c>
      <c r="G1547">
        <v>1500098205</v>
      </c>
      <c r="H1547" t="s">
        <v>755</v>
      </c>
      <c r="I1547" t="s">
        <v>770</v>
      </c>
      <c r="K1547" s="143">
        <v>46083</v>
      </c>
      <c r="L1547" s="143">
        <v>46035</v>
      </c>
      <c r="M1547">
        <v>72025</v>
      </c>
      <c r="N1547" t="s">
        <v>771</v>
      </c>
      <c r="O1547">
        <v>2001</v>
      </c>
      <c r="S1547">
        <v>514774</v>
      </c>
      <c r="T1547" t="s">
        <v>772</v>
      </c>
    </row>
    <row r="1548" spans="1:20" x14ac:dyDescent="0.25">
      <c r="A1548">
        <v>5100422535</v>
      </c>
      <c r="B1548">
        <v>322206</v>
      </c>
      <c r="C1548" t="s">
        <v>768</v>
      </c>
      <c r="D1548" s="143">
        <v>46035</v>
      </c>
      <c r="E1548" s="55">
        <v>1206.8900000000001</v>
      </c>
      <c r="F1548" t="s">
        <v>769</v>
      </c>
      <c r="G1548">
        <v>1500098205</v>
      </c>
      <c r="H1548" t="s">
        <v>755</v>
      </c>
      <c r="I1548" t="s">
        <v>770</v>
      </c>
      <c r="K1548" s="143">
        <v>46083</v>
      </c>
      <c r="L1548" s="143">
        <v>46035</v>
      </c>
      <c r="M1548">
        <v>82025</v>
      </c>
      <c r="N1548" t="s">
        <v>771</v>
      </c>
      <c r="O1548">
        <v>2001</v>
      </c>
      <c r="S1548">
        <v>514774</v>
      </c>
      <c r="T1548" t="s">
        <v>772</v>
      </c>
    </row>
    <row r="1549" spans="1:20" x14ac:dyDescent="0.25">
      <c r="A1549">
        <v>5100422587</v>
      </c>
      <c r="B1549">
        <v>327049</v>
      </c>
      <c r="C1549" t="s">
        <v>768</v>
      </c>
      <c r="D1549" s="143">
        <v>46035</v>
      </c>
      <c r="E1549">
        <v>108.13</v>
      </c>
      <c r="F1549" t="s">
        <v>769</v>
      </c>
      <c r="G1549">
        <v>100746329</v>
      </c>
      <c r="H1549" t="s">
        <v>755</v>
      </c>
      <c r="I1549" t="s">
        <v>770</v>
      </c>
      <c r="J1549">
        <v>0</v>
      </c>
      <c r="K1549" s="143">
        <v>46118</v>
      </c>
      <c r="L1549" s="143">
        <v>46035</v>
      </c>
      <c r="M1549">
        <v>42025</v>
      </c>
      <c r="N1549" t="s">
        <v>771</v>
      </c>
      <c r="O1549">
        <v>2001</v>
      </c>
      <c r="S1549">
        <v>2.0015900012606202E+17</v>
      </c>
      <c r="T1549" t="s">
        <v>772</v>
      </c>
    </row>
    <row r="1550" spans="1:20" x14ac:dyDescent="0.25">
      <c r="A1550">
        <v>5100422588</v>
      </c>
      <c r="B1550">
        <v>327049</v>
      </c>
      <c r="C1550" t="s">
        <v>768</v>
      </c>
      <c r="D1550" s="143">
        <v>46035</v>
      </c>
      <c r="E1550">
        <v>244.13</v>
      </c>
      <c r="F1550" t="s">
        <v>769</v>
      </c>
      <c r="G1550">
        <v>100746329</v>
      </c>
      <c r="H1550" t="s">
        <v>755</v>
      </c>
      <c r="I1550" t="s">
        <v>770</v>
      </c>
      <c r="J1550">
        <v>0</v>
      </c>
      <c r="K1550" s="143">
        <v>46118</v>
      </c>
      <c r="L1550" s="143">
        <v>46035</v>
      </c>
      <c r="M1550">
        <v>72025</v>
      </c>
      <c r="N1550" t="s">
        <v>771</v>
      </c>
      <c r="O1550">
        <v>2001</v>
      </c>
      <c r="S1550">
        <v>2.0015900012606202E+17</v>
      </c>
      <c r="T1550" t="s">
        <v>772</v>
      </c>
    </row>
    <row r="1551" spans="1:20" x14ac:dyDescent="0.25">
      <c r="A1551">
        <v>5100422589</v>
      </c>
      <c r="B1551">
        <v>327080</v>
      </c>
      <c r="C1551" t="s">
        <v>768</v>
      </c>
      <c r="D1551" s="143">
        <v>46035</v>
      </c>
      <c r="E1551" s="55">
        <v>4341.28</v>
      </c>
      <c r="F1551" t="s">
        <v>769</v>
      </c>
      <c r="G1551">
        <v>1500038787</v>
      </c>
      <c r="H1551" t="s">
        <v>755</v>
      </c>
      <c r="I1551" t="s">
        <v>770</v>
      </c>
      <c r="K1551" s="143">
        <v>46069</v>
      </c>
      <c r="L1551" s="143">
        <v>46035</v>
      </c>
      <c r="M1551">
        <v>12025</v>
      </c>
      <c r="N1551" t="s">
        <v>771</v>
      </c>
      <c r="O1551">
        <v>2001</v>
      </c>
      <c r="S1551">
        <v>515018</v>
      </c>
      <c r="T1551" t="s">
        <v>772</v>
      </c>
    </row>
    <row r="1552" spans="1:20" x14ac:dyDescent="0.25">
      <c r="A1552">
        <v>5100422590</v>
      </c>
      <c r="B1552">
        <v>327080</v>
      </c>
      <c r="C1552" t="s">
        <v>768</v>
      </c>
      <c r="D1552" s="143">
        <v>46035</v>
      </c>
      <c r="E1552" s="55">
        <v>1860.09</v>
      </c>
      <c r="F1552" t="s">
        <v>769</v>
      </c>
      <c r="G1552">
        <v>1500038787</v>
      </c>
      <c r="H1552" t="s">
        <v>755</v>
      </c>
      <c r="I1552" t="s">
        <v>770</v>
      </c>
      <c r="K1552" s="143">
        <v>46069</v>
      </c>
      <c r="L1552" s="143">
        <v>46035</v>
      </c>
      <c r="M1552">
        <v>42025</v>
      </c>
      <c r="N1552" t="s">
        <v>771</v>
      </c>
      <c r="O1552">
        <v>2001</v>
      </c>
      <c r="S1552">
        <v>525707</v>
      </c>
      <c r="T1552" t="s">
        <v>772</v>
      </c>
    </row>
    <row r="1553" spans="1:20" x14ac:dyDescent="0.25">
      <c r="A1553">
        <v>5100422591</v>
      </c>
      <c r="B1553">
        <v>327080</v>
      </c>
      <c r="C1553" t="s">
        <v>768</v>
      </c>
      <c r="D1553" s="143">
        <v>46035</v>
      </c>
      <c r="E1553" s="55">
        <v>2265.65</v>
      </c>
      <c r="F1553" t="s">
        <v>769</v>
      </c>
      <c r="G1553">
        <v>1500038787</v>
      </c>
      <c r="H1553" t="s">
        <v>755</v>
      </c>
      <c r="I1553" t="s">
        <v>770</v>
      </c>
      <c r="K1553" s="143">
        <v>46069</v>
      </c>
      <c r="L1553" s="143">
        <v>46035</v>
      </c>
      <c r="M1553">
        <v>52025</v>
      </c>
      <c r="N1553" t="s">
        <v>771</v>
      </c>
      <c r="O1553">
        <v>2001</v>
      </c>
      <c r="S1553">
        <v>525707</v>
      </c>
      <c r="T1553" t="s">
        <v>772</v>
      </c>
    </row>
    <row r="1554" spans="1:20" x14ac:dyDescent="0.25">
      <c r="A1554">
        <v>5100281025</v>
      </c>
      <c r="B1554">
        <v>327478</v>
      </c>
      <c r="C1554" t="s">
        <v>768</v>
      </c>
      <c r="D1554" s="143">
        <v>46035</v>
      </c>
      <c r="E1554">
        <v>674.02</v>
      </c>
      <c r="F1554" t="s">
        <v>769</v>
      </c>
      <c r="G1554">
        <v>1500038789</v>
      </c>
      <c r="H1554" t="s">
        <v>755</v>
      </c>
      <c r="I1554" t="s">
        <v>770</v>
      </c>
      <c r="K1554" s="143">
        <v>46069</v>
      </c>
      <c r="L1554" s="143">
        <v>46035</v>
      </c>
      <c r="M1554">
        <v>52025</v>
      </c>
      <c r="N1554" t="s">
        <v>771</v>
      </c>
      <c r="O1554">
        <v>2001</v>
      </c>
      <c r="S1554">
        <v>515319</v>
      </c>
      <c r="T1554" t="s">
        <v>772</v>
      </c>
    </row>
    <row r="1555" spans="1:20" x14ac:dyDescent="0.25">
      <c r="A1555">
        <v>5100281047</v>
      </c>
      <c r="B1555">
        <v>329516</v>
      </c>
      <c r="C1555" t="s">
        <v>768</v>
      </c>
      <c r="D1555" s="143">
        <v>46035</v>
      </c>
      <c r="E1555">
        <v>876.16</v>
      </c>
      <c r="F1555" t="s">
        <v>769</v>
      </c>
      <c r="G1555">
        <v>1500061121</v>
      </c>
      <c r="H1555" t="s">
        <v>755</v>
      </c>
      <c r="I1555" t="s">
        <v>770</v>
      </c>
      <c r="K1555" s="143">
        <v>46098</v>
      </c>
      <c r="L1555" s="143">
        <v>46035</v>
      </c>
      <c r="M1555">
        <v>22025</v>
      </c>
      <c r="N1555" t="s">
        <v>771</v>
      </c>
      <c r="O1555">
        <v>2001</v>
      </c>
      <c r="S1555" t="s">
        <v>778</v>
      </c>
      <c r="T1555" t="s">
        <v>772</v>
      </c>
    </row>
    <row r="1556" spans="1:20" x14ac:dyDescent="0.25">
      <c r="A1556">
        <v>5100281048</v>
      </c>
      <c r="B1556">
        <v>329516</v>
      </c>
      <c r="C1556" t="s">
        <v>768</v>
      </c>
      <c r="D1556" s="143">
        <v>46035</v>
      </c>
      <c r="E1556">
        <v>81.11</v>
      </c>
      <c r="F1556" t="s">
        <v>769</v>
      </c>
      <c r="G1556">
        <v>1500061121</v>
      </c>
      <c r="H1556" t="s">
        <v>755</v>
      </c>
      <c r="I1556" t="s">
        <v>770</v>
      </c>
      <c r="K1556" s="143">
        <v>46098</v>
      </c>
      <c r="L1556" s="143">
        <v>46035</v>
      </c>
      <c r="M1556">
        <v>72025</v>
      </c>
      <c r="N1556" t="s">
        <v>771</v>
      </c>
      <c r="O1556">
        <v>2001</v>
      </c>
      <c r="S1556" t="s">
        <v>778</v>
      </c>
      <c r="T1556" t="s">
        <v>772</v>
      </c>
    </row>
    <row r="1557" spans="1:20" x14ac:dyDescent="0.25">
      <c r="A1557">
        <v>5100281059</v>
      </c>
      <c r="B1557">
        <v>329680</v>
      </c>
      <c r="C1557" t="s">
        <v>768</v>
      </c>
      <c r="D1557" s="143">
        <v>46035</v>
      </c>
      <c r="E1557" s="55">
        <v>5912.7</v>
      </c>
      <c r="F1557" t="s">
        <v>769</v>
      </c>
      <c r="G1557">
        <v>101479652</v>
      </c>
      <c r="H1557" t="s">
        <v>755</v>
      </c>
      <c r="I1557" t="s">
        <v>770</v>
      </c>
      <c r="J1557">
        <v>0</v>
      </c>
      <c r="K1557" s="143">
        <v>46167</v>
      </c>
      <c r="L1557" s="143">
        <v>46035</v>
      </c>
      <c r="M1557">
        <v>52025</v>
      </c>
      <c r="N1557" t="s">
        <v>771</v>
      </c>
      <c r="O1557">
        <v>2001</v>
      </c>
      <c r="S1557">
        <v>2.0015900027108198E+17</v>
      </c>
      <c r="T1557" t="s">
        <v>772</v>
      </c>
    </row>
    <row r="1558" spans="1:20" x14ac:dyDescent="0.25">
      <c r="A1558">
        <v>5100281082</v>
      </c>
      <c r="B1558">
        <v>335240</v>
      </c>
      <c r="C1558" t="s">
        <v>768</v>
      </c>
      <c r="D1558" s="143">
        <v>46035</v>
      </c>
      <c r="E1558">
        <v>539.92999999999995</v>
      </c>
      <c r="F1558" t="s">
        <v>769</v>
      </c>
      <c r="G1558">
        <v>1500087648</v>
      </c>
      <c r="H1558" t="s">
        <v>755</v>
      </c>
      <c r="I1558" t="s">
        <v>770</v>
      </c>
      <c r="K1558" s="143">
        <v>46076</v>
      </c>
      <c r="L1558" s="143">
        <v>46035</v>
      </c>
      <c r="M1558">
        <v>62025</v>
      </c>
      <c r="N1558" t="s">
        <v>771</v>
      </c>
      <c r="O1558">
        <v>2001</v>
      </c>
      <c r="S1558">
        <v>515325</v>
      </c>
      <c r="T1558" t="s">
        <v>772</v>
      </c>
    </row>
    <row r="1559" spans="1:20" x14ac:dyDescent="0.25">
      <c r="A1559">
        <v>5100422702</v>
      </c>
      <c r="B1559">
        <v>339069</v>
      </c>
      <c r="C1559" t="s">
        <v>768</v>
      </c>
      <c r="D1559" s="143">
        <v>46035</v>
      </c>
      <c r="E1559">
        <v>232.34</v>
      </c>
      <c r="F1559" t="s">
        <v>769</v>
      </c>
      <c r="G1559">
        <v>1500087649</v>
      </c>
      <c r="H1559" t="s">
        <v>755</v>
      </c>
      <c r="I1559" t="s">
        <v>770</v>
      </c>
      <c r="K1559" s="143">
        <v>46076</v>
      </c>
      <c r="L1559" s="143">
        <v>46035</v>
      </c>
      <c r="M1559">
        <v>62025</v>
      </c>
      <c r="N1559" t="s">
        <v>771</v>
      </c>
      <c r="O1559">
        <v>2001</v>
      </c>
      <c r="S1559">
        <v>515025</v>
      </c>
      <c r="T1559" t="s">
        <v>772</v>
      </c>
    </row>
    <row r="1560" spans="1:20" x14ac:dyDescent="0.25">
      <c r="A1560">
        <v>5100422703</v>
      </c>
      <c r="B1560">
        <v>339457</v>
      </c>
      <c r="C1560" t="s">
        <v>768</v>
      </c>
      <c r="D1560" s="143">
        <v>46035</v>
      </c>
      <c r="E1560" s="55">
        <v>17477.759999999998</v>
      </c>
      <c r="F1560" t="s">
        <v>769</v>
      </c>
      <c r="G1560">
        <v>1500032795</v>
      </c>
      <c r="H1560" t="s">
        <v>755</v>
      </c>
      <c r="I1560" t="s">
        <v>770</v>
      </c>
      <c r="K1560" s="143">
        <v>46083</v>
      </c>
      <c r="L1560" s="143">
        <v>46035</v>
      </c>
      <c r="M1560">
        <v>72025</v>
      </c>
      <c r="N1560" t="s">
        <v>771</v>
      </c>
      <c r="O1560">
        <v>2001</v>
      </c>
      <c r="S1560">
        <v>525740</v>
      </c>
      <c r="T1560" t="s">
        <v>772</v>
      </c>
    </row>
    <row r="1561" spans="1:20" x14ac:dyDescent="0.25">
      <c r="A1561">
        <v>5100422707</v>
      </c>
      <c r="B1561">
        <v>342493</v>
      </c>
      <c r="C1561" t="s">
        <v>768</v>
      </c>
      <c r="D1561" s="143">
        <v>46035</v>
      </c>
      <c r="E1561" s="55">
        <v>11835.52</v>
      </c>
      <c r="F1561" t="s">
        <v>769</v>
      </c>
      <c r="G1561">
        <v>1500087650</v>
      </c>
      <c r="H1561" t="s">
        <v>755</v>
      </c>
      <c r="I1561" t="s">
        <v>770</v>
      </c>
      <c r="K1561" s="143">
        <v>46076</v>
      </c>
      <c r="L1561" s="143">
        <v>46035</v>
      </c>
      <c r="M1561">
        <v>22025</v>
      </c>
      <c r="N1561" t="s">
        <v>771</v>
      </c>
      <c r="O1561">
        <v>2001</v>
      </c>
      <c r="S1561">
        <v>515330</v>
      </c>
      <c r="T1561" t="s">
        <v>772</v>
      </c>
    </row>
    <row r="1562" spans="1:20" x14ac:dyDescent="0.25">
      <c r="A1562">
        <v>5100422708</v>
      </c>
      <c r="B1562">
        <v>342493</v>
      </c>
      <c r="C1562" t="s">
        <v>768</v>
      </c>
      <c r="D1562" s="143">
        <v>46035</v>
      </c>
      <c r="E1562" s="55">
        <v>6099.4</v>
      </c>
      <c r="F1562" t="s">
        <v>769</v>
      </c>
      <c r="G1562">
        <v>1500087650</v>
      </c>
      <c r="H1562" t="s">
        <v>755</v>
      </c>
      <c r="I1562" t="s">
        <v>770</v>
      </c>
      <c r="K1562" s="143">
        <v>46076</v>
      </c>
      <c r="L1562" s="143">
        <v>46035</v>
      </c>
      <c r="M1562">
        <v>32025</v>
      </c>
      <c r="N1562" t="s">
        <v>771</v>
      </c>
      <c r="O1562">
        <v>2001</v>
      </c>
      <c r="S1562">
        <v>515330</v>
      </c>
      <c r="T1562" t="s">
        <v>772</v>
      </c>
    </row>
    <row r="1563" spans="1:20" x14ac:dyDescent="0.25">
      <c r="A1563">
        <v>5100422709</v>
      </c>
      <c r="B1563">
        <v>342584</v>
      </c>
      <c r="C1563" t="s">
        <v>768</v>
      </c>
      <c r="D1563" s="143">
        <v>46035</v>
      </c>
      <c r="E1563" s="55">
        <v>11829.5</v>
      </c>
      <c r="F1563" t="s">
        <v>769</v>
      </c>
      <c r="G1563">
        <v>1500087651</v>
      </c>
      <c r="H1563" t="s">
        <v>755</v>
      </c>
      <c r="I1563" t="s">
        <v>770</v>
      </c>
      <c r="K1563" s="143">
        <v>46076</v>
      </c>
      <c r="L1563" s="143">
        <v>46035</v>
      </c>
      <c r="M1563">
        <v>52025</v>
      </c>
      <c r="N1563" t="s">
        <v>771</v>
      </c>
      <c r="O1563">
        <v>2001</v>
      </c>
      <c r="S1563">
        <v>515331</v>
      </c>
      <c r="T1563" t="s">
        <v>772</v>
      </c>
    </row>
    <row r="1564" spans="1:20" x14ac:dyDescent="0.25">
      <c r="A1564">
        <v>5100422713</v>
      </c>
      <c r="B1564">
        <v>345926</v>
      </c>
      <c r="C1564" t="s">
        <v>768</v>
      </c>
      <c r="D1564" s="143">
        <v>46035</v>
      </c>
      <c r="E1564" s="55">
        <v>2775.6</v>
      </c>
      <c r="F1564" t="s">
        <v>769</v>
      </c>
      <c r="G1564">
        <v>1500094203</v>
      </c>
      <c r="H1564" t="s">
        <v>755</v>
      </c>
      <c r="I1564" t="s">
        <v>770</v>
      </c>
      <c r="K1564" s="143">
        <v>46090</v>
      </c>
      <c r="L1564" s="143">
        <v>46035</v>
      </c>
      <c r="M1564">
        <v>42025</v>
      </c>
      <c r="N1564" t="s">
        <v>771</v>
      </c>
      <c r="O1564">
        <v>2001</v>
      </c>
      <c r="S1564">
        <v>515332</v>
      </c>
      <c r="T1564" t="s">
        <v>772</v>
      </c>
    </row>
    <row r="1565" spans="1:20" x14ac:dyDescent="0.25">
      <c r="A1565">
        <v>5100422714</v>
      </c>
      <c r="B1565">
        <v>345983</v>
      </c>
      <c r="C1565" t="s">
        <v>768</v>
      </c>
      <c r="D1565" s="143">
        <v>46035</v>
      </c>
      <c r="E1565" s="55">
        <v>3956.75</v>
      </c>
      <c r="F1565" t="s">
        <v>769</v>
      </c>
      <c r="G1565">
        <v>1500038790</v>
      </c>
      <c r="H1565" t="s">
        <v>755</v>
      </c>
      <c r="I1565" t="s">
        <v>770</v>
      </c>
      <c r="K1565" s="143">
        <v>46069</v>
      </c>
      <c r="L1565" s="143">
        <v>46035</v>
      </c>
      <c r="M1565">
        <v>32025</v>
      </c>
      <c r="N1565" t="s">
        <v>771</v>
      </c>
      <c r="O1565">
        <v>2001</v>
      </c>
      <c r="S1565">
        <v>525748</v>
      </c>
      <c r="T1565" t="s">
        <v>772</v>
      </c>
    </row>
    <row r="1566" spans="1:20" x14ac:dyDescent="0.25">
      <c r="A1566">
        <v>5100422715</v>
      </c>
      <c r="B1566">
        <v>345983</v>
      </c>
      <c r="C1566" t="s">
        <v>768</v>
      </c>
      <c r="D1566" s="143">
        <v>46035</v>
      </c>
      <c r="E1566" s="55">
        <v>20408.5</v>
      </c>
      <c r="F1566" t="s">
        <v>769</v>
      </c>
      <c r="G1566">
        <v>1500038790</v>
      </c>
      <c r="H1566" t="s">
        <v>755</v>
      </c>
      <c r="I1566" t="s">
        <v>770</v>
      </c>
      <c r="K1566" s="143">
        <v>46069</v>
      </c>
      <c r="L1566" s="143">
        <v>46035</v>
      </c>
      <c r="M1566">
        <v>42025</v>
      </c>
      <c r="N1566" t="s">
        <v>771</v>
      </c>
      <c r="O1566">
        <v>2001</v>
      </c>
      <c r="S1566">
        <v>525748</v>
      </c>
      <c r="T1566" t="s">
        <v>772</v>
      </c>
    </row>
    <row r="1567" spans="1:20" x14ac:dyDescent="0.25">
      <c r="A1567">
        <v>5100422726</v>
      </c>
      <c r="B1567">
        <v>349019</v>
      </c>
      <c r="C1567" t="s">
        <v>768</v>
      </c>
      <c r="D1567" s="143">
        <v>46035</v>
      </c>
      <c r="E1567">
        <v>152.35</v>
      </c>
      <c r="F1567" t="s">
        <v>769</v>
      </c>
      <c r="G1567">
        <v>1500038791</v>
      </c>
      <c r="H1567" t="s">
        <v>755</v>
      </c>
      <c r="I1567" t="s">
        <v>770</v>
      </c>
      <c r="K1567" s="143">
        <v>46069</v>
      </c>
      <c r="L1567" s="143">
        <v>46035</v>
      </c>
      <c r="M1567">
        <v>22025</v>
      </c>
      <c r="N1567" t="s">
        <v>771</v>
      </c>
      <c r="O1567">
        <v>2001</v>
      </c>
      <c r="S1567">
        <v>514824</v>
      </c>
      <c r="T1567" t="s">
        <v>772</v>
      </c>
    </row>
    <row r="1568" spans="1:20" x14ac:dyDescent="0.25">
      <c r="A1568">
        <v>5100422727</v>
      </c>
      <c r="B1568">
        <v>349019</v>
      </c>
      <c r="C1568" t="s">
        <v>768</v>
      </c>
      <c r="D1568" s="143">
        <v>46035</v>
      </c>
      <c r="E1568">
        <v>223.73</v>
      </c>
      <c r="F1568" t="s">
        <v>769</v>
      </c>
      <c r="G1568">
        <v>1500038791</v>
      </c>
      <c r="H1568" t="s">
        <v>755</v>
      </c>
      <c r="I1568" t="s">
        <v>770</v>
      </c>
      <c r="K1568" s="143">
        <v>46069</v>
      </c>
      <c r="L1568" s="143">
        <v>46035</v>
      </c>
      <c r="M1568">
        <v>32025</v>
      </c>
      <c r="N1568" t="s">
        <v>771</v>
      </c>
      <c r="O1568">
        <v>2001</v>
      </c>
      <c r="S1568">
        <v>514824</v>
      </c>
      <c r="T1568" t="s">
        <v>772</v>
      </c>
    </row>
    <row r="1569" spans="1:20" x14ac:dyDescent="0.25">
      <c r="A1569">
        <v>5100422728</v>
      </c>
      <c r="B1569">
        <v>349019</v>
      </c>
      <c r="C1569" t="s">
        <v>768</v>
      </c>
      <c r="D1569" s="143">
        <v>46035</v>
      </c>
      <c r="E1569">
        <v>223.73</v>
      </c>
      <c r="F1569" t="s">
        <v>769</v>
      </c>
      <c r="G1569">
        <v>1500038791</v>
      </c>
      <c r="H1569" t="s">
        <v>755</v>
      </c>
      <c r="I1569" t="s">
        <v>770</v>
      </c>
      <c r="K1569" s="143">
        <v>46069</v>
      </c>
      <c r="L1569" s="143">
        <v>46035</v>
      </c>
      <c r="M1569">
        <v>42025</v>
      </c>
      <c r="N1569" t="s">
        <v>771</v>
      </c>
      <c r="O1569">
        <v>2001</v>
      </c>
      <c r="S1569">
        <v>514824</v>
      </c>
      <c r="T1569" t="s">
        <v>772</v>
      </c>
    </row>
    <row r="1570" spans="1:20" x14ac:dyDescent="0.25">
      <c r="A1570">
        <v>5100422729</v>
      </c>
      <c r="B1570">
        <v>349019</v>
      </c>
      <c r="C1570" t="s">
        <v>768</v>
      </c>
      <c r="D1570" s="143">
        <v>46035</v>
      </c>
      <c r="E1570">
        <v>959.68</v>
      </c>
      <c r="F1570" t="s">
        <v>769</v>
      </c>
      <c r="G1570">
        <v>1500038791</v>
      </c>
      <c r="H1570" t="s">
        <v>755</v>
      </c>
      <c r="I1570" t="s">
        <v>770</v>
      </c>
      <c r="K1570" s="143">
        <v>46069</v>
      </c>
      <c r="L1570" s="143">
        <v>46035</v>
      </c>
      <c r="M1570">
        <v>62025</v>
      </c>
      <c r="N1570" t="s">
        <v>771</v>
      </c>
      <c r="O1570">
        <v>2001</v>
      </c>
      <c r="S1570">
        <v>514824</v>
      </c>
      <c r="T1570" t="s">
        <v>772</v>
      </c>
    </row>
    <row r="1571" spans="1:20" x14ac:dyDescent="0.25">
      <c r="A1571">
        <v>5100422730</v>
      </c>
      <c r="B1571">
        <v>349019</v>
      </c>
      <c r="C1571" t="s">
        <v>768</v>
      </c>
      <c r="D1571" s="143">
        <v>46035</v>
      </c>
      <c r="E1571">
        <v>295.26</v>
      </c>
      <c r="F1571" t="s">
        <v>769</v>
      </c>
      <c r="G1571">
        <v>1500038791</v>
      </c>
      <c r="H1571" t="s">
        <v>755</v>
      </c>
      <c r="I1571" t="s">
        <v>770</v>
      </c>
      <c r="K1571" s="143">
        <v>46069</v>
      </c>
      <c r="L1571" s="143">
        <v>46035</v>
      </c>
      <c r="M1571">
        <v>72025</v>
      </c>
      <c r="N1571" t="s">
        <v>771</v>
      </c>
      <c r="O1571">
        <v>2001</v>
      </c>
      <c r="S1571">
        <v>514824</v>
      </c>
      <c r="T1571" t="s">
        <v>772</v>
      </c>
    </row>
    <row r="1572" spans="1:20" x14ac:dyDescent="0.25">
      <c r="A1572">
        <v>5100422731</v>
      </c>
      <c r="B1572">
        <v>349019</v>
      </c>
      <c r="C1572" t="s">
        <v>768</v>
      </c>
      <c r="D1572" s="143">
        <v>46035</v>
      </c>
      <c r="E1572">
        <v>223.73</v>
      </c>
      <c r="F1572" t="s">
        <v>769</v>
      </c>
      <c r="G1572">
        <v>1500038791</v>
      </c>
      <c r="H1572" t="s">
        <v>755</v>
      </c>
      <c r="I1572" t="s">
        <v>770</v>
      </c>
      <c r="K1572" s="143">
        <v>46069</v>
      </c>
      <c r="L1572" s="143">
        <v>46035</v>
      </c>
      <c r="M1572">
        <v>82025</v>
      </c>
      <c r="N1572" t="s">
        <v>771</v>
      </c>
      <c r="O1572">
        <v>2001</v>
      </c>
      <c r="S1572">
        <v>514824</v>
      </c>
      <c r="T1572" t="s">
        <v>772</v>
      </c>
    </row>
    <row r="1573" spans="1:20" x14ac:dyDescent="0.25">
      <c r="A1573">
        <v>5100422829</v>
      </c>
      <c r="B1573">
        <v>380402</v>
      </c>
      <c r="C1573" t="s">
        <v>768</v>
      </c>
      <c r="D1573" s="143">
        <v>46035</v>
      </c>
      <c r="E1573" s="55">
        <v>1945.59</v>
      </c>
      <c r="F1573" t="s">
        <v>769</v>
      </c>
      <c r="G1573">
        <v>1500038792</v>
      </c>
      <c r="H1573" t="s">
        <v>755</v>
      </c>
      <c r="I1573" t="s">
        <v>770</v>
      </c>
      <c r="K1573" s="143">
        <v>46069</v>
      </c>
      <c r="L1573" s="143">
        <v>46035</v>
      </c>
      <c r="M1573">
        <v>42025</v>
      </c>
      <c r="N1573" t="s">
        <v>771</v>
      </c>
      <c r="O1573">
        <v>2001</v>
      </c>
      <c r="S1573">
        <v>514837</v>
      </c>
      <c r="T1573" t="s">
        <v>772</v>
      </c>
    </row>
    <row r="1574" spans="1:20" x14ac:dyDescent="0.25">
      <c r="A1574">
        <v>5100422830</v>
      </c>
      <c r="B1574">
        <v>380402</v>
      </c>
      <c r="C1574" t="s">
        <v>768</v>
      </c>
      <c r="D1574" s="143">
        <v>46035</v>
      </c>
      <c r="E1574" s="55">
        <v>2223.5300000000002</v>
      </c>
      <c r="F1574" t="s">
        <v>769</v>
      </c>
      <c r="G1574">
        <v>1500038792</v>
      </c>
      <c r="H1574" t="s">
        <v>755</v>
      </c>
      <c r="I1574" t="s">
        <v>770</v>
      </c>
      <c r="K1574" s="143">
        <v>46069</v>
      </c>
      <c r="L1574" s="143">
        <v>46035</v>
      </c>
      <c r="M1574">
        <v>52025</v>
      </c>
      <c r="N1574" t="s">
        <v>771</v>
      </c>
      <c r="O1574">
        <v>2001</v>
      </c>
      <c r="S1574">
        <v>514837</v>
      </c>
      <c r="T1574" t="s">
        <v>772</v>
      </c>
    </row>
    <row r="1575" spans="1:20" x14ac:dyDescent="0.25">
      <c r="A1575">
        <v>5100422831</v>
      </c>
      <c r="B1575">
        <v>380402</v>
      </c>
      <c r="C1575" t="s">
        <v>768</v>
      </c>
      <c r="D1575" s="143">
        <v>46035</v>
      </c>
      <c r="E1575" s="55">
        <v>8616.18</v>
      </c>
      <c r="F1575" t="s">
        <v>769</v>
      </c>
      <c r="G1575">
        <v>1500038792</v>
      </c>
      <c r="H1575" t="s">
        <v>755</v>
      </c>
      <c r="I1575" t="s">
        <v>770</v>
      </c>
      <c r="K1575" s="143">
        <v>46069</v>
      </c>
      <c r="L1575" s="143">
        <v>46035</v>
      </c>
      <c r="M1575">
        <v>62025</v>
      </c>
      <c r="N1575" t="s">
        <v>771</v>
      </c>
      <c r="O1575">
        <v>2001</v>
      </c>
      <c r="S1575">
        <v>514837</v>
      </c>
      <c r="T1575" t="s">
        <v>772</v>
      </c>
    </row>
    <row r="1576" spans="1:20" x14ac:dyDescent="0.25">
      <c r="A1576">
        <v>5100422856</v>
      </c>
      <c r="B1576">
        <v>382523</v>
      </c>
      <c r="C1576" t="s">
        <v>768</v>
      </c>
      <c r="D1576" s="143">
        <v>46035</v>
      </c>
      <c r="E1576">
        <v>698.35</v>
      </c>
      <c r="F1576" t="s">
        <v>769</v>
      </c>
      <c r="G1576">
        <v>1500032797</v>
      </c>
      <c r="H1576" t="s">
        <v>755</v>
      </c>
      <c r="I1576" t="s">
        <v>770</v>
      </c>
      <c r="K1576" s="143">
        <v>46083</v>
      </c>
      <c r="L1576" s="143">
        <v>46035</v>
      </c>
      <c r="M1576">
        <v>32025</v>
      </c>
      <c r="N1576" t="s">
        <v>771</v>
      </c>
      <c r="O1576">
        <v>2001</v>
      </c>
      <c r="S1576">
        <v>0</v>
      </c>
      <c r="T1576" t="s">
        <v>772</v>
      </c>
    </row>
    <row r="1577" spans="1:20" x14ac:dyDescent="0.25">
      <c r="A1577">
        <v>5100422869</v>
      </c>
      <c r="B1577">
        <v>383711</v>
      </c>
      <c r="C1577" t="s">
        <v>768</v>
      </c>
      <c r="D1577" s="143">
        <v>46035</v>
      </c>
      <c r="E1577" s="55">
        <v>5640.48</v>
      </c>
      <c r="F1577" t="s">
        <v>769</v>
      </c>
      <c r="G1577">
        <v>1500034428</v>
      </c>
      <c r="H1577" t="s">
        <v>755</v>
      </c>
      <c r="I1577" t="s">
        <v>770</v>
      </c>
      <c r="K1577" s="143">
        <v>46084</v>
      </c>
      <c r="L1577" s="143">
        <v>46035</v>
      </c>
      <c r="M1577">
        <v>52025</v>
      </c>
      <c r="N1577" t="s">
        <v>771</v>
      </c>
      <c r="O1577">
        <v>2001</v>
      </c>
      <c r="R1577" t="s">
        <v>780</v>
      </c>
      <c r="S1577" t="s">
        <v>775</v>
      </c>
      <c r="T1577" t="s">
        <v>772</v>
      </c>
    </row>
    <row r="1578" spans="1:20" x14ac:dyDescent="0.25">
      <c r="A1578">
        <v>5100422870</v>
      </c>
      <c r="B1578">
        <v>383711</v>
      </c>
      <c r="C1578" t="s">
        <v>768</v>
      </c>
      <c r="D1578" s="143">
        <v>46035</v>
      </c>
      <c r="E1578" s="55">
        <v>5134.59</v>
      </c>
      <c r="F1578" t="s">
        <v>769</v>
      </c>
      <c r="G1578">
        <v>1500034428</v>
      </c>
      <c r="H1578" t="s">
        <v>755</v>
      </c>
      <c r="I1578" t="s">
        <v>770</v>
      </c>
      <c r="K1578" s="143">
        <v>46084</v>
      </c>
      <c r="L1578" s="143">
        <v>46035</v>
      </c>
      <c r="M1578">
        <v>52025</v>
      </c>
      <c r="N1578" t="s">
        <v>771</v>
      </c>
      <c r="O1578">
        <v>2001</v>
      </c>
      <c r="R1578" t="s">
        <v>780</v>
      </c>
      <c r="S1578" t="s">
        <v>775</v>
      </c>
      <c r="T1578" t="s">
        <v>772</v>
      </c>
    </row>
    <row r="1579" spans="1:20" x14ac:dyDescent="0.25">
      <c r="A1579">
        <v>5100422905</v>
      </c>
      <c r="B1579">
        <v>384958</v>
      </c>
      <c r="C1579" t="s">
        <v>768</v>
      </c>
      <c r="D1579" s="143">
        <v>46035</v>
      </c>
      <c r="E1579" s="55">
        <v>14845.15</v>
      </c>
      <c r="F1579" t="s">
        <v>769</v>
      </c>
      <c r="G1579">
        <v>1500038794</v>
      </c>
      <c r="H1579" t="s">
        <v>755</v>
      </c>
      <c r="I1579" t="s">
        <v>770</v>
      </c>
      <c r="K1579" s="143">
        <v>46069</v>
      </c>
      <c r="L1579" s="143">
        <v>46035</v>
      </c>
      <c r="M1579">
        <v>22025</v>
      </c>
      <c r="N1579" t="s">
        <v>771</v>
      </c>
      <c r="O1579">
        <v>2001</v>
      </c>
      <c r="S1579">
        <v>515031</v>
      </c>
      <c r="T1579" t="s">
        <v>772</v>
      </c>
    </row>
    <row r="1580" spans="1:20" x14ac:dyDescent="0.25">
      <c r="A1580">
        <v>5100422906</v>
      </c>
      <c r="B1580">
        <v>384958</v>
      </c>
      <c r="C1580" t="s">
        <v>768</v>
      </c>
      <c r="D1580" s="143">
        <v>46035</v>
      </c>
      <c r="E1580">
        <v>352</v>
      </c>
      <c r="F1580" t="s">
        <v>769</v>
      </c>
      <c r="G1580">
        <v>1500038794</v>
      </c>
      <c r="H1580" t="s">
        <v>755</v>
      </c>
      <c r="I1580" t="s">
        <v>770</v>
      </c>
      <c r="K1580" s="143">
        <v>46069</v>
      </c>
      <c r="L1580" s="143">
        <v>46035</v>
      </c>
      <c r="M1580">
        <v>32025</v>
      </c>
      <c r="N1580" t="s">
        <v>771</v>
      </c>
      <c r="O1580">
        <v>2001</v>
      </c>
      <c r="S1580">
        <v>515031</v>
      </c>
      <c r="T1580" t="s">
        <v>772</v>
      </c>
    </row>
    <row r="1581" spans="1:20" x14ac:dyDescent="0.25">
      <c r="A1581">
        <v>5100422907</v>
      </c>
      <c r="B1581">
        <v>384958</v>
      </c>
      <c r="C1581" t="s">
        <v>768</v>
      </c>
      <c r="D1581" s="143">
        <v>46035</v>
      </c>
      <c r="E1581">
        <v>85.26</v>
      </c>
      <c r="F1581" t="s">
        <v>769</v>
      </c>
      <c r="G1581">
        <v>1500038794</v>
      </c>
      <c r="H1581" t="s">
        <v>755</v>
      </c>
      <c r="I1581" t="s">
        <v>770</v>
      </c>
      <c r="K1581" s="143">
        <v>46069</v>
      </c>
      <c r="L1581" s="143">
        <v>46035</v>
      </c>
      <c r="M1581">
        <v>42025</v>
      </c>
      <c r="N1581" t="s">
        <v>771</v>
      </c>
      <c r="O1581">
        <v>2001</v>
      </c>
      <c r="S1581">
        <v>515031</v>
      </c>
      <c r="T1581" t="s">
        <v>772</v>
      </c>
    </row>
    <row r="1582" spans="1:20" x14ac:dyDescent="0.25">
      <c r="A1582">
        <v>5100422908</v>
      </c>
      <c r="B1582">
        <v>384958</v>
      </c>
      <c r="C1582" t="s">
        <v>768</v>
      </c>
      <c r="D1582" s="143">
        <v>46035</v>
      </c>
      <c r="E1582">
        <v>530.41999999999996</v>
      </c>
      <c r="F1582" t="s">
        <v>769</v>
      </c>
      <c r="G1582">
        <v>1500038794</v>
      </c>
      <c r="H1582" t="s">
        <v>755</v>
      </c>
      <c r="I1582" t="s">
        <v>770</v>
      </c>
      <c r="K1582" s="143">
        <v>46069</v>
      </c>
      <c r="L1582" s="143">
        <v>46035</v>
      </c>
      <c r="M1582">
        <v>62025</v>
      </c>
      <c r="N1582" t="s">
        <v>771</v>
      </c>
      <c r="O1582">
        <v>2001</v>
      </c>
      <c r="S1582">
        <v>515031</v>
      </c>
      <c r="T1582" t="s">
        <v>772</v>
      </c>
    </row>
    <row r="1583" spans="1:20" x14ac:dyDescent="0.25">
      <c r="A1583">
        <v>5100422909</v>
      </c>
      <c r="B1583">
        <v>384958</v>
      </c>
      <c r="C1583" t="s">
        <v>768</v>
      </c>
      <c r="D1583" s="143">
        <v>46035</v>
      </c>
      <c r="E1583">
        <v>654.52</v>
      </c>
      <c r="F1583" t="s">
        <v>769</v>
      </c>
      <c r="G1583">
        <v>1500038794</v>
      </c>
      <c r="H1583" t="s">
        <v>755</v>
      </c>
      <c r="I1583" t="s">
        <v>770</v>
      </c>
      <c r="K1583" s="143">
        <v>46069</v>
      </c>
      <c r="L1583" s="143">
        <v>46035</v>
      </c>
      <c r="M1583">
        <v>72025</v>
      </c>
      <c r="N1583" t="s">
        <v>771</v>
      </c>
      <c r="O1583">
        <v>2001</v>
      </c>
      <c r="S1583">
        <v>515031</v>
      </c>
      <c r="T1583" t="s">
        <v>772</v>
      </c>
    </row>
    <row r="1584" spans="1:20" x14ac:dyDescent="0.25">
      <c r="A1584">
        <v>5100422910</v>
      </c>
      <c r="B1584">
        <v>384958</v>
      </c>
      <c r="C1584" t="s">
        <v>768</v>
      </c>
      <c r="D1584" s="143">
        <v>46035</v>
      </c>
      <c r="E1584">
        <v>85.26</v>
      </c>
      <c r="F1584" t="s">
        <v>769</v>
      </c>
      <c r="G1584">
        <v>1500038794</v>
      </c>
      <c r="H1584" t="s">
        <v>755</v>
      </c>
      <c r="I1584" t="s">
        <v>770</v>
      </c>
      <c r="K1584" s="143">
        <v>46069</v>
      </c>
      <c r="L1584" s="143">
        <v>46035</v>
      </c>
      <c r="M1584">
        <v>82025</v>
      </c>
      <c r="N1584" t="s">
        <v>771</v>
      </c>
      <c r="O1584">
        <v>2001</v>
      </c>
      <c r="S1584">
        <v>515031</v>
      </c>
      <c r="T1584" t="s">
        <v>772</v>
      </c>
    </row>
    <row r="1585" spans="1:20" x14ac:dyDescent="0.25">
      <c r="A1585">
        <v>5100422911</v>
      </c>
      <c r="B1585">
        <v>384958</v>
      </c>
      <c r="C1585" t="s">
        <v>768</v>
      </c>
      <c r="D1585" s="143">
        <v>46035</v>
      </c>
      <c r="E1585">
        <v>350.47</v>
      </c>
      <c r="F1585" t="s">
        <v>769</v>
      </c>
      <c r="G1585">
        <v>1500038794</v>
      </c>
      <c r="H1585" t="s">
        <v>755</v>
      </c>
      <c r="I1585" t="s">
        <v>770</v>
      </c>
      <c r="K1585" s="143">
        <v>46069</v>
      </c>
      <c r="L1585" s="143">
        <v>46035</v>
      </c>
      <c r="M1585">
        <v>92025</v>
      </c>
      <c r="N1585" t="s">
        <v>771</v>
      </c>
      <c r="O1585">
        <v>2001</v>
      </c>
      <c r="S1585">
        <v>515031</v>
      </c>
      <c r="T1585" t="s">
        <v>772</v>
      </c>
    </row>
    <row r="1586" spans="1:20" x14ac:dyDescent="0.25">
      <c r="A1586">
        <v>5100422912</v>
      </c>
      <c r="B1586">
        <v>385534</v>
      </c>
      <c r="C1586" t="s">
        <v>768</v>
      </c>
      <c r="D1586" s="143">
        <v>46035</v>
      </c>
      <c r="E1586" s="55">
        <v>1107.74</v>
      </c>
      <c r="F1586" t="s">
        <v>769</v>
      </c>
      <c r="G1586">
        <v>1500032798</v>
      </c>
      <c r="H1586" t="s">
        <v>755</v>
      </c>
      <c r="I1586" t="s">
        <v>770</v>
      </c>
      <c r="K1586" s="143">
        <v>46083</v>
      </c>
      <c r="L1586" s="143">
        <v>46035</v>
      </c>
      <c r="M1586">
        <v>12025</v>
      </c>
      <c r="N1586" t="s">
        <v>771</v>
      </c>
      <c r="O1586">
        <v>2001</v>
      </c>
      <c r="S1586">
        <v>515343</v>
      </c>
      <c r="T1586" t="s">
        <v>772</v>
      </c>
    </row>
    <row r="1587" spans="1:20" x14ac:dyDescent="0.25">
      <c r="A1587">
        <v>5100422913</v>
      </c>
      <c r="B1587">
        <v>385534</v>
      </c>
      <c r="C1587" t="s">
        <v>768</v>
      </c>
      <c r="D1587" s="143">
        <v>46035</v>
      </c>
      <c r="E1587" s="55">
        <v>10767.74</v>
      </c>
      <c r="F1587" t="s">
        <v>769</v>
      </c>
      <c r="G1587">
        <v>1500032798</v>
      </c>
      <c r="H1587" t="s">
        <v>755</v>
      </c>
      <c r="I1587" t="s">
        <v>770</v>
      </c>
      <c r="K1587" s="143">
        <v>46083</v>
      </c>
      <c r="L1587" s="143">
        <v>46035</v>
      </c>
      <c r="M1587">
        <v>22025</v>
      </c>
      <c r="N1587" t="s">
        <v>771</v>
      </c>
      <c r="O1587">
        <v>2001</v>
      </c>
      <c r="S1587">
        <v>515343</v>
      </c>
      <c r="T1587" t="s">
        <v>772</v>
      </c>
    </row>
    <row r="1588" spans="1:20" x14ac:dyDescent="0.25">
      <c r="A1588">
        <v>5100422914</v>
      </c>
      <c r="B1588">
        <v>385534</v>
      </c>
      <c r="C1588" t="s">
        <v>768</v>
      </c>
      <c r="D1588" s="143">
        <v>46035</v>
      </c>
      <c r="E1588" s="55">
        <v>7034.07</v>
      </c>
      <c r="F1588" t="s">
        <v>769</v>
      </c>
      <c r="G1588">
        <v>1500032798</v>
      </c>
      <c r="H1588" t="s">
        <v>755</v>
      </c>
      <c r="I1588" t="s">
        <v>770</v>
      </c>
      <c r="K1588" s="143">
        <v>46083</v>
      </c>
      <c r="L1588" s="143">
        <v>46035</v>
      </c>
      <c r="M1588">
        <v>42025</v>
      </c>
      <c r="N1588" t="s">
        <v>771</v>
      </c>
      <c r="O1588">
        <v>2001</v>
      </c>
      <c r="S1588">
        <v>515343</v>
      </c>
      <c r="T1588" t="s">
        <v>772</v>
      </c>
    </row>
    <row r="1589" spans="1:20" x14ac:dyDescent="0.25">
      <c r="A1589">
        <v>5100422915</v>
      </c>
      <c r="B1589">
        <v>385534</v>
      </c>
      <c r="C1589" t="s">
        <v>768</v>
      </c>
      <c r="D1589" s="143">
        <v>46035</v>
      </c>
      <c r="E1589" s="55">
        <v>2454.5100000000002</v>
      </c>
      <c r="F1589" t="s">
        <v>769</v>
      </c>
      <c r="G1589">
        <v>1500032798</v>
      </c>
      <c r="H1589" t="s">
        <v>755</v>
      </c>
      <c r="I1589" t="s">
        <v>770</v>
      </c>
      <c r="K1589" s="143">
        <v>46083</v>
      </c>
      <c r="L1589" s="143">
        <v>46035</v>
      </c>
      <c r="M1589">
        <v>52025</v>
      </c>
      <c r="N1589" t="s">
        <v>771</v>
      </c>
      <c r="O1589">
        <v>2001</v>
      </c>
      <c r="S1589">
        <v>515343</v>
      </c>
      <c r="T1589" t="s">
        <v>772</v>
      </c>
    </row>
    <row r="1590" spans="1:20" x14ac:dyDescent="0.25">
      <c r="A1590">
        <v>5100422916</v>
      </c>
      <c r="B1590">
        <v>385534</v>
      </c>
      <c r="C1590" t="s">
        <v>768</v>
      </c>
      <c r="D1590" s="143">
        <v>46035</v>
      </c>
      <c r="E1590">
        <v>731.56</v>
      </c>
      <c r="F1590" t="s">
        <v>769</v>
      </c>
      <c r="G1590">
        <v>1500032798</v>
      </c>
      <c r="H1590" t="s">
        <v>755</v>
      </c>
      <c r="I1590" t="s">
        <v>770</v>
      </c>
      <c r="K1590" s="143">
        <v>46083</v>
      </c>
      <c r="L1590" s="143">
        <v>46035</v>
      </c>
      <c r="M1590">
        <v>62025</v>
      </c>
      <c r="N1590" t="s">
        <v>771</v>
      </c>
      <c r="O1590">
        <v>2001</v>
      </c>
      <c r="S1590">
        <v>515343</v>
      </c>
      <c r="T1590" t="s">
        <v>772</v>
      </c>
    </row>
    <row r="1591" spans="1:20" x14ac:dyDescent="0.25">
      <c r="A1591">
        <v>5100422917</v>
      </c>
      <c r="B1591">
        <v>385534</v>
      </c>
      <c r="C1591" t="s">
        <v>768</v>
      </c>
      <c r="D1591" s="143">
        <v>46035</v>
      </c>
      <c r="E1591">
        <v>89.64</v>
      </c>
      <c r="F1591" t="s">
        <v>769</v>
      </c>
      <c r="G1591">
        <v>1500032798</v>
      </c>
      <c r="H1591" t="s">
        <v>755</v>
      </c>
      <c r="I1591" t="s">
        <v>770</v>
      </c>
      <c r="K1591" s="143">
        <v>46083</v>
      </c>
      <c r="L1591" s="143">
        <v>46035</v>
      </c>
      <c r="M1591">
        <v>72025</v>
      </c>
      <c r="N1591" t="s">
        <v>771</v>
      </c>
      <c r="O1591">
        <v>2001</v>
      </c>
      <c r="S1591">
        <v>515343</v>
      </c>
      <c r="T1591" t="s">
        <v>772</v>
      </c>
    </row>
    <row r="1592" spans="1:20" x14ac:dyDescent="0.25">
      <c r="A1592">
        <v>5100422918</v>
      </c>
      <c r="B1592">
        <v>385534</v>
      </c>
      <c r="C1592" t="s">
        <v>768</v>
      </c>
      <c r="D1592" s="143">
        <v>46035</v>
      </c>
      <c r="E1592">
        <v>33.15</v>
      </c>
      <c r="F1592" t="s">
        <v>769</v>
      </c>
      <c r="G1592">
        <v>1500032798</v>
      </c>
      <c r="H1592" t="s">
        <v>755</v>
      </c>
      <c r="I1592" t="s">
        <v>770</v>
      </c>
      <c r="K1592" s="143">
        <v>46083</v>
      </c>
      <c r="L1592" s="143">
        <v>46035</v>
      </c>
      <c r="M1592">
        <v>92025</v>
      </c>
      <c r="N1592" t="s">
        <v>771</v>
      </c>
      <c r="O1592">
        <v>2001</v>
      </c>
      <c r="S1592">
        <v>515343</v>
      </c>
      <c r="T1592" t="s">
        <v>772</v>
      </c>
    </row>
    <row r="1593" spans="1:20" x14ac:dyDescent="0.25">
      <c r="A1593">
        <v>5100422919</v>
      </c>
      <c r="B1593">
        <v>385559</v>
      </c>
      <c r="C1593" t="s">
        <v>768</v>
      </c>
      <c r="D1593" s="143">
        <v>46035</v>
      </c>
      <c r="E1593" s="55">
        <v>17549.689999999999</v>
      </c>
      <c r="F1593" t="s">
        <v>769</v>
      </c>
      <c r="G1593">
        <v>1500048381</v>
      </c>
      <c r="H1593" t="s">
        <v>755</v>
      </c>
      <c r="I1593" t="s">
        <v>770</v>
      </c>
      <c r="K1593" s="143">
        <v>46090</v>
      </c>
      <c r="L1593" s="143">
        <v>46035</v>
      </c>
      <c r="M1593">
        <v>32025</v>
      </c>
      <c r="N1593" t="s">
        <v>771</v>
      </c>
      <c r="O1593">
        <v>2001</v>
      </c>
      <c r="S1593">
        <v>516168</v>
      </c>
      <c r="T1593" t="s">
        <v>772</v>
      </c>
    </row>
    <row r="1594" spans="1:20" x14ac:dyDescent="0.25">
      <c r="A1594">
        <v>5100422933</v>
      </c>
      <c r="B1594">
        <v>387779</v>
      </c>
      <c r="C1594" t="s">
        <v>768</v>
      </c>
      <c r="D1594" s="143">
        <v>46035</v>
      </c>
      <c r="E1594" s="55">
        <v>24959.09</v>
      </c>
      <c r="F1594" t="s">
        <v>769</v>
      </c>
      <c r="G1594">
        <v>1500032799</v>
      </c>
      <c r="H1594" t="s">
        <v>755</v>
      </c>
      <c r="I1594" t="s">
        <v>770</v>
      </c>
      <c r="K1594" s="143">
        <v>46083</v>
      </c>
      <c r="L1594" s="143">
        <v>46035</v>
      </c>
      <c r="M1594">
        <v>82025</v>
      </c>
      <c r="N1594" t="s">
        <v>771</v>
      </c>
      <c r="O1594">
        <v>2001</v>
      </c>
      <c r="S1594">
        <v>525798</v>
      </c>
      <c r="T1594" t="s">
        <v>772</v>
      </c>
    </row>
    <row r="1595" spans="1:20" x14ac:dyDescent="0.25">
      <c r="A1595">
        <v>5100422978</v>
      </c>
      <c r="B1595">
        <v>390278</v>
      </c>
      <c r="C1595" t="s">
        <v>768</v>
      </c>
      <c r="D1595" s="143">
        <v>46035</v>
      </c>
      <c r="E1595" s="55">
        <v>1225.6600000000001</v>
      </c>
      <c r="F1595" t="s">
        <v>769</v>
      </c>
      <c r="G1595">
        <v>101080759</v>
      </c>
      <c r="H1595" t="s">
        <v>755</v>
      </c>
      <c r="I1595" t="s">
        <v>770</v>
      </c>
      <c r="J1595">
        <v>0</v>
      </c>
      <c r="K1595" s="143">
        <v>46195</v>
      </c>
      <c r="L1595" s="143">
        <v>46035</v>
      </c>
      <c r="M1595">
        <v>42025</v>
      </c>
      <c r="N1595" t="s">
        <v>771</v>
      </c>
      <c r="O1595">
        <v>2001</v>
      </c>
      <c r="S1595">
        <v>2.0015900012608198E+17</v>
      </c>
      <c r="T1595" t="s">
        <v>772</v>
      </c>
    </row>
    <row r="1596" spans="1:20" x14ac:dyDescent="0.25">
      <c r="A1596">
        <v>5100422979</v>
      </c>
      <c r="B1596">
        <v>390278</v>
      </c>
      <c r="C1596" t="s">
        <v>768</v>
      </c>
      <c r="D1596" s="143">
        <v>46035</v>
      </c>
      <c r="E1596" s="55">
        <v>7649.67</v>
      </c>
      <c r="F1596" t="s">
        <v>769</v>
      </c>
      <c r="G1596">
        <v>101080759</v>
      </c>
      <c r="H1596" t="s">
        <v>755</v>
      </c>
      <c r="I1596" t="s">
        <v>770</v>
      </c>
      <c r="J1596">
        <v>0</v>
      </c>
      <c r="K1596" s="143">
        <v>46195</v>
      </c>
      <c r="L1596" s="143">
        <v>46035</v>
      </c>
      <c r="M1596">
        <v>52025</v>
      </c>
      <c r="N1596" t="s">
        <v>771</v>
      </c>
      <c r="O1596">
        <v>2001</v>
      </c>
      <c r="S1596">
        <v>2.0015900012608198E+17</v>
      </c>
      <c r="T1596" t="s">
        <v>772</v>
      </c>
    </row>
    <row r="1597" spans="1:20" x14ac:dyDescent="0.25">
      <c r="A1597">
        <v>5100422980</v>
      </c>
      <c r="B1597">
        <v>390278</v>
      </c>
      <c r="C1597" t="s">
        <v>768</v>
      </c>
      <c r="D1597" s="143">
        <v>46035</v>
      </c>
      <c r="E1597" s="55">
        <v>1001.69</v>
      </c>
      <c r="F1597" t="s">
        <v>769</v>
      </c>
      <c r="G1597">
        <v>101080759</v>
      </c>
      <c r="H1597" t="s">
        <v>755</v>
      </c>
      <c r="I1597" t="s">
        <v>770</v>
      </c>
      <c r="J1597">
        <v>0</v>
      </c>
      <c r="K1597" s="143">
        <v>46195</v>
      </c>
      <c r="L1597" s="143">
        <v>46035</v>
      </c>
      <c r="M1597">
        <v>52025</v>
      </c>
      <c r="N1597" t="s">
        <v>771</v>
      </c>
      <c r="O1597">
        <v>2001</v>
      </c>
      <c r="S1597">
        <v>2.0015900012608198E+17</v>
      </c>
      <c r="T1597" t="s">
        <v>772</v>
      </c>
    </row>
    <row r="1598" spans="1:20" x14ac:dyDescent="0.25">
      <c r="A1598">
        <v>5100423000</v>
      </c>
      <c r="B1598">
        <v>390716</v>
      </c>
      <c r="C1598" t="s">
        <v>768</v>
      </c>
      <c r="D1598" s="143">
        <v>46035</v>
      </c>
      <c r="E1598">
        <v>132.66999999999999</v>
      </c>
      <c r="F1598" t="s">
        <v>769</v>
      </c>
      <c r="G1598">
        <v>101273006</v>
      </c>
      <c r="H1598" t="s">
        <v>755</v>
      </c>
      <c r="I1598" t="s">
        <v>770</v>
      </c>
      <c r="J1598">
        <v>0</v>
      </c>
      <c r="K1598" s="143">
        <v>46111</v>
      </c>
      <c r="L1598" s="143">
        <v>46035</v>
      </c>
      <c r="M1598">
        <v>42025</v>
      </c>
      <c r="N1598" t="s">
        <v>771</v>
      </c>
      <c r="O1598">
        <v>2001</v>
      </c>
      <c r="S1598">
        <v>2.00159000126092E+17</v>
      </c>
      <c r="T1598" t="s">
        <v>772</v>
      </c>
    </row>
    <row r="1599" spans="1:20" x14ac:dyDescent="0.25">
      <c r="A1599">
        <v>5100423001</v>
      </c>
      <c r="B1599">
        <v>390716</v>
      </c>
      <c r="C1599" t="s">
        <v>768</v>
      </c>
      <c r="D1599" s="143">
        <v>46035</v>
      </c>
      <c r="E1599" s="55">
        <v>2742.16</v>
      </c>
      <c r="F1599" t="s">
        <v>769</v>
      </c>
      <c r="G1599">
        <v>101273006</v>
      </c>
      <c r="H1599" t="s">
        <v>755</v>
      </c>
      <c r="I1599" t="s">
        <v>770</v>
      </c>
      <c r="J1599">
        <v>0</v>
      </c>
      <c r="K1599" s="143">
        <v>46111</v>
      </c>
      <c r="L1599" s="143">
        <v>46035</v>
      </c>
      <c r="M1599">
        <v>52025</v>
      </c>
      <c r="N1599" t="s">
        <v>771</v>
      </c>
      <c r="O1599">
        <v>2001</v>
      </c>
      <c r="S1599">
        <v>2.00159000126092E+17</v>
      </c>
      <c r="T1599" t="s">
        <v>772</v>
      </c>
    </row>
    <row r="1600" spans="1:20" x14ac:dyDescent="0.25">
      <c r="A1600">
        <v>5100423002</v>
      </c>
      <c r="B1600">
        <v>390716</v>
      </c>
      <c r="C1600" t="s">
        <v>768</v>
      </c>
      <c r="D1600" s="143">
        <v>46035</v>
      </c>
      <c r="E1600">
        <v>331.73</v>
      </c>
      <c r="F1600" t="s">
        <v>769</v>
      </c>
      <c r="G1600">
        <v>101273006</v>
      </c>
      <c r="H1600" t="s">
        <v>755</v>
      </c>
      <c r="I1600" t="s">
        <v>770</v>
      </c>
      <c r="J1600">
        <v>0</v>
      </c>
      <c r="K1600" s="143">
        <v>46111</v>
      </c>
      <c r="L1600" s="143">
        <v>46035</v>
      </c>
      <c r="M1600">
        <v>62025</v>
      </c>
      <c r="N1600" t="s">
        <v>771</v>
      </c>
      <c r="O1600">
        <v>2001</v>
      </c>
      <c r="S1600">
        <v>2.00159000126092E+17</v>
      </c>
      <c r="T1600" t="s">
        <v>772</v>
      </c>
    </row>
    <row r="1601" spans="1:20" x14ac:dyDescent="0.25">
      <c r="A1601">
        <v>5100423003</v>
      </c>
      <c r="B1601">
        <v>390716</v>
      </c>
      <c r="C1601" t="s">
        <v>768</v>
      </c>
      <c r="D1601" s="143">
        <v>46035</v>
      </c>
      <c r="E1601" s="55">
        <v>4535.54</v>
      </c>
      <c r="F1601" t="s">
        <v>769</v>
      </c>
      <c r="G1601">
        <v>101273006</v>
      </c>
      <c r="H1601" t="s">
        <v>755</v>
      </c>
      <c r="I1601" t="s">
        <v>770</v>
      </c>
      <c r="J1601">
        <v>0</v>
      </c>
      <c r="K1601" s="143">
        <v>46111</v>
      </c>
      <c r="L1601" s="143">
        <v>46035</v>
      </c>
      <c r="M1601">
        <v>62025</v>
      </c>
      <c r="N1601" t="s">
        <v>771</v>
      </c>
      <c r="O1601">
        <v>2001</v>
      </c>
      <c r="S1601">
        <v>2.00159000126092E+17</v>
      </c>
      <c r="T1601" t="s">
        <v>772</v>
      </c>
    </row>
    <row r="1602" spans="1:20" x14ac:dyDescent="0.25">
      <c r="A1602">
        <v>5100423004</v>
      </c>
      <c r="B1602">
        <v>390716</v>
      </c>
      <c r="C1602" t="s">
        <v>768</v>
      </c>
      <c r="D1602" s="143">
        <v>46035</v>
      </c>
      <c r="E1602">
        <v>520.79</v>
      </c>
      <c r="F1602" t="s">
        <v>769</v>
      </c>
      <c r="G1602">
        <v>101273006</v>
      </c>
      <c r="H1602" t="s">
        <v>755</v>
      </c>
      <c r="I1602" t="s">
        <v>770</v>
      </c>
      <c r="J1602">
        <v>0</v>
      </c>
      <c r="K1602" s="143">
        <v>46111</v>
      </c>
      <c r="L1602" s="143">
        <v>46035</v>
      </c>
      <c r="M1602">
        <v>72025</v>
      </c>
      <c r="N1602" t="s">
        <v>771</v>
      </c>
      <c r="O1602">
        <v>2001</v>
      </c>
      <c r="S1602">
        <v>2.00159000126092E+17</v>
      </c>
      <c r="T1602" t="s">
        <v>772</v>
      </c>
    </row>
    <row r="1603" spans="1:20" x14ac:dyDescent="0.25">
      <c r="A1603">
        <v>5100423005</v>
      </c>
      <c r="B1603">
        <v>390716</v>
      </c>
      <c r="C1603" t="s">
        <v>768</v>
      </c>
      <c r="D1603" s="143">
        <v>46035</v>
      </c>
      <c r="E1603">
        <v>183.52</v>
      </c>
      <c r="F1603" t="s">
        <v>769</v>
      </c>
      <c r="G1603">
        <v>101273006</v>
      </c>
      <c r="H1603" t="s">
        <v>755</v>
      </c>
      <c r="I1603" t="s">
        <v>770</v>
      </c>
      <c r="J1603">
        <v>0</v>
      </c>
      <c r="K1603" s="143">
        <v>46111</v>
      </c>
      <c r="L1603" s="143">
        <v>46035</v>
      </c>
      <c r="M1603">
        <v>82025</v>
      </c>
      <c r="N1603" t="s">
        <v>771</v>
      </c>
      <c r="O1603">
        <v>2001</v>
      </c>
      <c r="S1603">
        <v>2.00159000126092E+17</v>
      </c>
      <c r="T1603" t="s">
        <v>772</v>
      </c>
    </row>
    <row r="1604" spans="1:20" x14ac:dyDescent="0.25">
      <c r="A1604">
        <v>5100423006</v>
      </c>
      <c r="B1604">
        <v>390716</v>
      </c>
      <c r="C1604" t="s">
        <v>768</v>
      </c>
      <c r="D1604" s="143">
        <v>46035</v>
      </c>
      <c r="E1604" s="55">
        <v>1229.56</v>
      </c>
      <c r="F1604" t="s">
        <v>769</v>
      </c>
      <c r="G1604">
        <v>101273006</v>
      </c>
      <c r="H1604" t="s">
        <v>755</v>
      </c>
      <c r="I1604" t="s">
        <v>770</v>
      </c>
      <c r="J1604">
        <v>0</v>
      </c>
      <c r="K1604" s="143">
        <v>46111</v>
      </c>
      <c r="L1604" s="143">
        <v>46035</v>
      </c>
      <c r="M1604">
        <v>92025</v>
      </c>
      <c r="N1604" t="s">
        <v>771</v>
      </c>
      <c r="O1604">
        <v>2001</v>
      </c>
      <c r="S1604">
        <v>2.00159000126092E+17</v>
      </c>
      <c r="T1604" t="s">
        <v>772</v>
      </c>
    </row>
    <row r="1605" spans="1:20" x14ac:dyDescent="0.25">
      <c r="A1605">
        <v>5100423015</v>
      </c>
      <c r="B1605">
        <v>391193</v>
      </c>
      <c r="C1605" t="s">
        <v>768</v>
      </c>
      <c r="D1605" s="143">
        <v>46035</v>
      </c>
      <c r="E1605">
        <v>145.84</v>
      </c>
      <c r="F1605" t="s">
        <v>769</v>
      </c>
      <c r="G1605">
        <v>1500038795</v>
      </c>
      <c r="H1605" t="s">
        <v>755</v>
      </c>
      <c r="I1605" t="s">
        <v>770</v>
      </c>
      <c r="K1605" s="143">
        <v>46069</v>
      </c>
      <c r="L1605" s="143">
        <v>46035</v>
      </c>
      <c r="M1605">
        <v>72025</v>
      </c>
      <c r="N1605" t="s">
        <v>771</v>
      </c>
      <c r="O1605">
        <v>2001</v>
      </c>
      <c r="S1605">
        <v>514887</v>
      </c>
      <c r="T1605" t="s">
        <v>772</v>
      </c>
    </row>
    <row r="1606" spans="1:20" x14ac:dyDescent="0.25">
      <c r="A1606">
        <v>5100423020</v>
      </c>
      <c r="B1606">
        <v>391672</v>
      </c>
      <c r="C1606" t="s">
        <v>768</v>
      </c>
      <c r="D1606" s="143">
        <v>46035</v>
      </c>
      <c r="E1606">
        <v>157.87</v>
      </c>
      <c r="F1606" t="s">
        <v>769</v>
      </c>
      <c r="G1606">
        <v>101173029</v>
      </c>
      <c r="H1606" t="s">
        <v>755</v>
      </c>
      <c r="I1606" t="s">
        <v>770</v>
      </c>
      <c r="J1606">
        <v>0</v>
      </c>
      <c r="K1606" s="143">
        <v>46167</v>
      </c>
      <c r="L1606" s="143">
        <v>46035</v>
      </c>
      <c r="M1606">
        <v>32025</v>
      </c>
      <c r="N1606" t="s">
        <v>771</v>
      </c>
      <c r="O1606">
        <v>2001</v>
      </c>
      <c r="S1606">
        <v>2.0015900021434202E+17</v>
      </c>
      <c r="T1606" t="s">
        <v>772</v>
      </c>
    </row>
    <row r="1607" spans="1:20" x14ac:dyDescent="0.25">
      <c r="A1607">
        <v>5100423021</v>
      </c>
      <c r="B1607">
        <v>391672</v>
      </c>
      <c r="C1607" t="s">
        <v>768</v>
      </c>
      <c r="D1607" s="143">
        <v>46035</v>
      </c>
      <c r="E1607">
        <v>512.12</v>
      </c>
      <c r="F1607" t="s">
        <v>769</v>
      </c>
      <c r="G1607">
        <v>101173029</v>
      </c>
      <c r="H1607" t="s">
        <v>755</v>
      </c>
      <c r="I1607" t="s">
        <v>770</v>
      </c>
      <c r="J1607">
        <v>0</v>
      </c>
      <c r="K1607" s="143">
        <v>46167</v>
      </c>
      <c r="L1607" s="143">
        <v>46035</v>
      </c>
      <c r="M1607">
        <v>52025</v>
      </c>
      <c r="N1607" t="s">
        <v>771</v>
      </c>
      <c r="O1607">
        <v>2001</v>
      </c>
      <c r="S1607">
        <v>2.0015900021434202E+17</v>
      </c>
      <c r="T1607" t="s">
        <v>772</v>
      </c>
    </row>
    <row r="1608" spans="1:20" x14ac:dyDescent="0.25">
      <c r="A1608">
        <v>5100423041</v>
      </c>
      <c r="B1608">
        <v>393272</v>
      </c>
      <c r="C1608" t="s">
        <v>768</v>
      </c>
      <c r="D1608" s="143">
        <v>46035</v>
      </c>
      <c r="E1608">
        <v>63.82</v>
      </c>
      <c r="F1608" t="s">
        <v>769</v>
      </c>
      <c r="G1608">
        <v>1500039410</v>
      </c>
      <c r="H1608" t="s">
        <v>755</v>
      </c>
      <c r="I1608" t="s">
        <v>770</v>
      </c>
      <c r="K1608" s="143">
        <v>46076</v>
      </c>
      <c r="L1608" s="143">
        <v>46035</v>
      </c>
      <c r="M1608">
        <v>32025</v>
      </c>
      <c r="N1608" t="s">
        <v>771</v>
      </c>
      <c r="O1608">
        <v>2001</v>
      </c>
      <c r="S1608">
        <v>515350</v>
      </c>
      <c r="T1608" t="s">
        <v>772</v>
      </c>
    </row>
    <row r="1609" spans="1:20" x14ac:dyDescent="0.25">
      <c r="A1609">
        <v>5100423054</v>
      </c>
      <c r="B1609">
        <v>394882</v>
      </c>
      <c r="C1609" t="s">
        <v>768</v>
      </c>
      <c r="D1609" s="143">
        <v>46035</v>
      </c>
      <c r="E1609" s="55">
        <v>10583.2</v>
      </c>
      <c r="F1609" t="s">
        <v>769</v>
      </c>
      <c r="G1609">
        <v>100556835</v>
      </c>
      <c r="H1609" t="s">
        <v>755</v>
      </c>
      <c r="I1609" t="s">
        <v>770</v>
      </c>
      <c r="J1609">
        <v>0</v>
      </c>
      <c r="K1609" s="143">
        <v>46195</v>
      </c>
      <c r="L1609" s="143">
        <v>46035</v>
      </c>
      <c r="M1609">
        <v>92025</v>
      </c>
      <c r="N1609" t="s">
        <v>771</v>
      </c>
      <c r="O1609">
        <v>2001</v>
      </c>
      <c r="S1609">
        <v>2.0015900029502202E+17</v>
      </c>
      <c r="T1609" t="s">
        <v>772</v>
      </c>
    </row>
    <row r="1610" spans="1:20" x14ac:dyDescent="0.25">
      <c r="A1610">
        <v>5100423058</v>
      </c>
      <c r="B1610">
        <v>395210</v>
      </c>
      <c r="C1610" t="s">
        <v>768</v>
      </c>
      <c r="D1610" s="143">
        <v>46035</v>
      </c>
      <c r="E1610" s="55">
        <v>4835.9799999999996</v>
      </c>
      <c r="F1610" t="s">
        <v>769</v>
      </c>
      <c r="G1610">
        <v>100035715</v>
      </c>
      <c r="H1610" t="s">
        <v>755</v>
      </c>
      <c r="I1610" t="s">
        <v>770</v>
      </c>
      <c r="J1610">
        <v>0</v>
      </c>
      <c r="K1610" s="143">
        <v>46153</v>
      </c>
      <c r="L1610" s="143">
        <v>46035</v>
      </c>
      <c r="M1610">
        <v>52025</v>
      </c>
      <c r="N1610" t="s">
        <v>771</v>
      </c>
      <c r="O1610">
        <v>2001</v>
      </c>
      <c r="S1610">
        <v>2.00159000375012E+17</v>
      </c>
      <c r="T1610" t="s">
        <v>772</v>
      </c>
    </row>
    <row r="1611" spans="1:20" x14ac:dyDescent="0.25">
      <c r="A1611">
        <v>5100423059</v>
      </c>
      <c r="B1611">
        <v>395855</v>
      </c>
      <c r="C1611" t="s">
        <v>768</v>
      </c>
      <c r="D1611" s="143">
        <v>46035</v>
      </c>
      <c r="E1611">
        <v>89.53</v>
      </c>
      <c r="F1611" t="s">
        <v>769</v>
      </c>
      <c r="G1611">
        <v>1500087654</v>
      </c>
      <c r="H1611" t="s">
        <v>755</v>
      </c>
      <c r="I1611" t="s">
        <v>770</v>
      </c>
      <c r="K1611" s="143">
        <v>46076</v>
      </c>
      <c r="L1611" s="143">
        <v>46035</v>
      </c>
      <c r="M1611">
        <v>52025</v>
      </c>
      <c r="N1611" t="s">
        <v>771</v>
      </c>
      <c r="O1611">
        <v>2001</v>
      </c>
      <c r="S1611">
        <v>515211</v>
      </c>
      <c r="T1611" t="s">
        <v>772</v>
      </c>
    </row>
    <row r="1612" spans="1:20" x14ac:dyDescent="0.25">
      <c r="A1612">
        <v>5100423085</v>
      </c>
      <c r="B1612">
        <v>397547</v>
      </c>
      <c r="C1612" t="s">
        <v>768</v>
      </c>
      <c r="D1612" s="143">
        <v>46035</v>
      </c>
      <c r="E1612" s="55">
        <v>17503.57</v>
      </c>
      <c r="F1612" t="s">
        <v>769</v>
      </c>
      <c r="G1612">
        <v>1500098206</v>
      </c>
      <c r="H1612" t="s">
        <v>755</v>
      </c>
      <c r="I1612" t="s">
        <v>770</v>
      </c>
      <c r="K1612" s="143">
        <v>46083</v>
      </c>
      <c r="L1612" s="143">
        <v>46035</v>
      </c>
      <c r="M1612">
        <v>52025</v>
      </c>
      <c r="N1612" t="s">
        <v>771</v>
      </c>
      <c r="O1612">
        <v>2001</v>
      </c>
      <c r="S1612">
        <v>515352</v>
      </c>
      <c r="T1612" t="s">
        <v>772</v>
      </c>
    </row>
    <row r="1613" spans="1:20" x14ac:dyDescent="0.25">
      <c r="A1613">
        <v>5100601849</v>
      </c>
      <c r="B1613">
        <v>19398</v>
      </c>
      <c r="C1613" t="s">
        <v>768</v>
      </c>
      <c r="D1613" s="143">
        <v>46086</v>
      </c>
      <c r="E1613" s="55">
        <v>9239.32</v>
      </c>
      <c r="F1613" t="s">
        <v>769</v>
      </c>
      <c r="G1613">
        <v>1500015324</v>
      </c>
      <c r="H1613" t="s">
        <v>755</v>
      </c>
      <c r="I1613" t="s">
        <v>784</v>
      </c>
      <c r="K1613" s="143">
        <v>46090</v>
      </c>
      <c r="L1613" s="143">
        <v>46086</v>
      </c>
      <c r="M1613">
        <v>32026</v>
      </c>
      <c r="N1613" t="s">
        <v>771</v>
      </c>
      <c r="O1613">
        <v>2001</v>
      </c>
      <c r="T1613">
        <v>1500059778</v>
      </c>
    </row>
    <row r="1614" spans="1:20" x14ac:dyDescent="0.25">
      <c r="A1614">
        <v>5100453818</v>
      </c>
      <c r="B1614">
        <v>19398</v>
      </c>
      <c r="C1614" t="s">
        <v>768</v>
      </c>
      <c r="D1614" s="143">
        <v>46072</v>
      </c>
      <c r="E1614" s="55">
        <v>4620.8900000000003</v>
      </c>
      <c r="F1614" t="s">
        <v>769</v>
      </c>
      <c r="G1614">
        <v>1500091608</v>
      </c>
      <c r="H1614" t="s">
        <v>755</v>
      </c>
      <c r="I1614" t="s">
        <v>791</v>
      </c>
      <c r="K1614" s="143">
        <v>46076</v>
      </c>
      <c r="L1614" s="143">
        <v>46072</v>
      </c>
      <c r="M1614">
        <v>22026</v>
      </c>
      <c r="N1614" t="s">
        <v>771</v>
      </c>
      <c r="O1614">
        <v>2001</v>
      </c>
      <c r="S1614" t="s">
        <v>773</v>
      </c>
      <c r="T1614">
        <v>1500059778</v>
      </c>
    </row>
    <row r="1615" spans="1:20" x14ac:dyDescent="0.25">
      <c r="A1615">
        <v>5100745451</v>
      </c>
      <c r="B1615">
        <v>20845</v>
      </c>
      <c r="C1615" t="s">
        <v>768</v>
      </c>
      <c r="D1615" s="143">
        <v>46093</v>
      </c>
      <c r="E1615" s="55">
        <v>14571.01</v>
      </c>
      <c r="F1615" t="s">
        <v>769</v>
      </c>
      <c r="G1615">
        <v>1500030307</v>
      </c>
      <c r="H1615" t="s">
        <v>755</v>
      </c>
      <c r="I1615" t="s">
        <v>788</v>
      </c>
      <c r="K1615" s="143">
        <v>46098</v>
      </c>
      <c r="L1615" s="143">
        <v>46093</v>
      </c>
      <c r="M1615">
        <v>32026</v>
      </c>
      <c r="N1615" t="s">
        <v>771</v>
      </c>
      <c r="O1615">
        <v>2001</v>
      </c>
      <c r="S1615" t="s">
        <v>778</v>
      </c>
      <c r="T1615">
        <v>1500059778</v>
      </c>
    </row>
    <row r="1616" spans="1:20" x14ac:dyDescent="0.25">
      <c r="A1616">
        <v>5100453817</v>
      </c>
      <c r="B1616">
        <v>20845</v>
      </c>
      <c r="C1616" t="s">
        <v>768</v>
      </c>
      <c r="D1616" s="143">
        <v>46072</v>
      </c>
      <c r="E1616" s="55">
        <v>10340.77</v>
      </c>
      <c r="F1616" t="s">
        <v>769</v>
      </c>
      <c r="G1616">
        <v>1500091609</v>
      </c>
      <c r="H1616" t="s">
        <v>755</v>
      </c>
      <c r="I1616" t="s">
        <v>791</v>
      </c>
      <c r="K1616" s="143">
        <v>46076</v>
      </c>
      <c r="L1616" s="143">
        <v>46072</v>
      </c>
      <c r="M1616">
        <v>22026</v>
      </c>
      <c r="N1616" t="s">
        <v>771</v>
      </c>
      <c r="O1616">
        <v>2001</v>
      </c>
      <c r="S1616" t="s">
        <v>773</v>
      </c>
      <c r="T1616">
        <v>1500059778</v>
      </c>
    </row>
    <row r="1617" spans="1:20" x14ac:dyDescent="0.25">
      <c r="A1617">
        <v>5100745452</v>
      </c>
      <c r="B1617">
        <v>21753</v>
      </c>
      <c r="C1617" t="s">
        <v>768</v>
      </c>
      <c r="D1617" s="143">
        <v>46093</v>
      </c>
      <c r="E1617" s="55">
        <v>9313.27</v>
      </c>
      <c r="F1617" t="s">
        <v>769</v>
      </c>
      <c r="G1617">
        <v>1500030308</v>
      </c>
      <c r="H1617" t="s">
        <v>755</v>
      </c>
      <c r="I1617" t="s">
        <v>788</v>
      </c>
      <c r="K1617" s="143">
        <v>46098</v>
      </c>
      <c r="L1617" s="143">
        <v>46093</v>
      </c>
      <c r="M1617">
        <v>32026</v>
      </c>
      <c r="N1617" t="s">
        <v>771</v>
      </c>
      <c r="O1617">
        <v>2001</v>
      </c>
      <c r="S1617" t="s">
        <v>778</v>
      </c>
      <c r="T1617">
        <v>1500059778</v>
      </c>
    </row>
    <row r="1618" spans="1:20" x14ac:dyDescent="0.25">
      <c r="A1618">
        <v>5100132299</v>
      </c>
      <c r="B1618">
        <v>21753</v>
      </c>
      <c r="C1618" t="s">
        <v>768</v>
      </c>
      <c r="D1618" s="143">
        <v>46079</v>
      </c>
      <c r="E1618" s="55">
        <v>3307.42</v>
      </c>
      <c r="F1618" t="s">
        <v>769</v>
      </c>
      <c r="G1618">
        <v>1500099000</v>
      </c>
      <c r="H1618" t="s">
        <v>755</v>
      </c>
      <c r="I1618" t="s">
        <v>785</v>
      </c>
      <c r="K1618" s="143">
        <v>46083</v>
      </c>
      <c r="L1618" s="143">
        <v>46079</v>
      </c>
      <c r="M1618">
        <v>22026</v>
      </c>
      <c r="N1618" t="s">
        <v>771</v>
      </c>
      <c r="O1618">
        <v>2001</v>
      </c>
      <c r="S1618" t="s">
        <v>783</v>
      </c>
      <c r="T1618">
        <v>1500059778</v>
      </c>
    </row>
    <row r="1619" spans="1:20" x14ac:dyDescent="0.25">
      <c r="A1619">
        <v>1900128132</v>
      </c>
      <c r="B1619">
        <v>44206</v>
      </c>
      <c r="C1619" t="s">
        <v>792</v>
      </c>
      <c r="D1619" s="143">
        <v>46066</v>
      </c>
      <c r="E1619" s="55">
        <v>-5224.04</v>
      </c>
      <c r="F1619" t="s">
        <v>769</v>
      </c>
      <c r="H1619" t="s">
        <v>787</v>
      </c>
      <c r="I1619" t="s">
        <v>789</v>
      </c>
      <c r="J1619">
        <v>0</v>
      </c>
      <c r="L1619" s="143">
        <v>46066</v>
      </c>
      <c r="M1619">
        <v>22026</v>
      </c>
      <c r="N1619" t="s">
        <v>771</v>
      </c>
      <c r="O1619">
        <v>2001</v>
      </c>
      <c r="Q1619" t="s">
        <v>793</v>
      </c>
      <c r="S1619" t="s">
        <v>795</v>
      </c>
      <c r="T1619">
        <v>1500059778</v>
      </c>
    </row>
    <row r="1620" spans="1:20" x14ac:dyDescent="0.25">
      <c r="A1620">
        <v>5100052918</v>
      </c>
      <c r="B1620">
        <v>44206</v>
      </c>
      <c r="C1620" t="s">
        <v>768</v>
      </c>
      <c r="D1620" s="143">
        <v>46066</v>
      </c>
      <c r="E1620" s="55">
        <v>5224.04</v>
      </c>
      <c r="F1620" t="s">
        <v>769</v>
      </c>
      <c r="H1620" t="s">
        <v>787</v>
      </c>
      <c r="I1620" t="s">
        <v>789</v>
      </c>
      <c r="J1620">
        <v>0</v>
      </c>
      <c r="L1620" s="143">
        <v>46066</v>
      </c>
      <c r="M1620">
        <v>22026</v>
      </c>
      <c r="N1620" t="s">
        <v>771</v>
      </c>
      <c r="O1620">
        <v>2001</v>
      </c>
      <c r="S1620" t="s">
        <v>795</v>
      </c>
      <c r="T1620">
        <v>1500059778</v>
      </c>
    </row>
    <row r="1621" spans="1:20" x14ac:dyDescent="0.25">
      <c r="A1621">
        <v>5101902228</v>
      </c>
      <c r="B1621">
        <v>312082</v>
      </c>
      <c r="C1621" t="s">
        <v>768</v>
      </c>
      <c r="D1621" s="143">
        <v>46100</v>
      </c>
      <c r="E1621" s="55">
        <v>17373.990000000002</v>
      </c>
      <c r="F1621" t="s">
        <v>769</v>
      </c>
      <c r="G1621">
        <v>1500122077</v>
      </c>
      <c r="H1621" t="s">
        <v>755</v>
      </c>
      <c r="I1621" t="s">
        <v>786</v>
      </c>
      <c r="K1621" s="143">
        <v>46104</v>
      </c>
      <c r="L1621" s="143">
        <v>46100</v>
      </c>
      <c r="M1621">
        <v>32026</v>
      </c>
      <c r="N1621" t="s">
        <v>771</v>
      </c>
      <c r="O1621">
        <v>2001</v>
      </c>
      <c r="S1621" t="s">
        <v>776</v>
      </c>
      <c r="T1621">
        <v>1500059778</v>
      </c>
    </row>
  </sheetData>
  <autoFilter ref="A2:T1621" xr:uid="{CAD0E897-A9D4-4847-AF86-3B19DB383392}"/>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D1A0B-D49A-465B-8F79-52515D3A4920}">
  <sheetPr filterMode="1">
    <tabColor theme="5" tint="0.39997558519241921"/>
  </sheetPr>
  <dimension ref="B1:O46"/>
  <sheetViews>
    <sheetView showGridLines="0" workbookViewId="0">
      <pane ySplit="3" topLeftCell="A6" activePane="bottomLeft" state="frozen"/>
      <selection activeCell="B1" sqref="B1"/>
      <selection pane="bottomLeft" activeCell="G34" sqref="G34:I34"/>
    </sheetView>
  </sheetViews>
  <sheetFormatPr defaultRowHeight="15" customHeight="1" x14ac:dyDescent="0.25"/>
  <cols>
    <col min="1" max="1" width="3.42578125" customWidth="1"/>
    <col min="2" max="2" width="10" bestFit="1" customWidth="1"/>
    <col min="3" max="3" width="39.28515625" bestFit="1" customWidth="1"/>
    <col min="4" max="4" width="18.140625" bestFit="1" customWidth="1"/>
    <col min="5" max="5" width="11.85546875" bestFit="1" customWidth="1"/>
    <col min="6" max="6" width="15.85546875" bestFit="1" customWidth="1"/>
    <col min="7" max="7" width="15.140625" bestFit="1" customWidth="1"/>
    <col min="8" max="8" width="10" bestFit="1" customWidth="1"/>
    <col min="9" max="9" width="11.7109375" bestFit="1" customWidth="1"/>
    <col min="10" max="10" width="9.28515625" bestFit="1" customWidth="1"/>
    <col min="11" max="11" width="11.85546875" bestFit="1" customWidth="1"/>
    <col min="12" max="12" width="19.5703125" style="161" bestFit="1" customWidth="1"/>
    <col min="13" max="13" width="8.140625" style="161" bestFit="1" customWidth="1"/>
    <col min="14" max="14" width="8.140625" style="161" hidden="1" customWidth="1"/>
    <col min="15" max="15" width="42.85546875" customWidth="1"/>
  </cols>
  <sheetData>
    <row r="1" spans="2:15" x14ac:dyDescent="0.25">
      <c r="F1" s="5">
        <v>8613844.6423914563</v>
      </c>
      <c r="G1" s="142">
        <f>F1-G2</f>
        <v>-4686288.6353472788</v>
      </c>
      <c r="I1" s="142">
        <f>H2+I2</f>
        <v>2468061.7129271696</v>
      </c>
    </row>
    <row r="2" spans="2:15" x14ac:dyDescent="0.25">
      <c r="E2" s="167"/>
      <c r="F2" s="146">
        <f>SUBTOTAL(9,F4:F1799)</f>
        <v>15768095.003392</v>
      </c>
      <c r="G2" s="146">
        <f>SUBTOTAL(9,G4:G1799)</f>
        <v>13300133.277738735</v>
      </c>
      <c r="H2" s="146">
        <f t="shared" ref="H2:I2" si="0">SUBTOTAL(9,H4:H1799)</f>
        <v>810884.1178732519</v>
      </c>
      <c r="I2" s="146">
        <f t="shared" si="0"/>
        <v>1657177.5950539177</v>
      </c>
    </row>
    <row r="3" spans="2:15" x14ac:dyDescent="0.25">
      <c r="B3" s="148" t="s">
        <v>3</v>
      </c>
      <c r="C3" s="148" t="s">
        <v>804</v>
      </c>
      <c r="D3" s="149" t="s">
        <v>805</v>
      </c>
      <c r="E3" s="150" t="s">
        <v>806</v>
      </c>
      <c r="F3" s="151" t="s">
        <v>807</v>
      </c>
      <c r="G3" s="151" t="s">
        <v>808</v>
      </c>
      <c r="H3" s="151" t="s">
        <v>5</v>
      </c>
      <c r="I3" s="151" t="s">
        <v>6</v>
      </c>
      <c r="J3" s="149" t="s">
        <v>809</v>
      </c>
      <c r="K3" s="149" t="s">
        <v>810</v>
      </c>
      <c r="L3" s="149" t="s">
        <v>811</v>
      </c>
      <c r="M3" s="149" t="s">
        <v>812</v>
      </c>
      <c r="N3" s="149"/>
      <c r="O3" s="149" t="s">
        <v>813</v>
      </c>
    </row>
    <row r="4" spans="2:15" x14ac:dyDescent="0.25">
      <c r="B4" s="186">
        <v>696</v>
      </c>
      <c r="C4" s="187" t="s">
        <v>342</v>
      </c>
      <c r="D4" s="154">
        <v>465639.16</v>
      </c>
      <c r="E4" s="155">
        <v>34914.5</v>
      </c>
      <c r="F4" s="156">
        <v>430724.66</v>
      </c>
      <c r="G4" s="156">
        <v>371314.36206896551</v>
      </c>
      <c r="H4" s="156">
        <v>0</v>
      </c>
      <c r="I4" s="156">
        <v>59410.297931034504</v>
      </c>
      <c r="J4" s="156">
        <v>0</v>
      </c>
      <c r="K4" s="157">
        <v>0.16000000000000006</v>
      </c>
      <c r="L4" s="163">
        <v>46111</v>
      </c>
      <c r="M4" s="163" t="s">
        <v>61</v>
      </c>
      <c r="N4" s="163" t="s">
        <v>61</v>
      </c>
      <c r="O4" s="152" t="s">
        <v>814</v>
      </c>
    </row>
    <row r="5" spans="2:15" x14ac:dyDescent="0.25">
      <c r="B5" s="186">
        <v>3137</v>
      </c>
      <c r="C5" s="187" t="s">
        <v>302</v>
      </c>
      <c r="D5" s="154">
        <v>671407.36</v>
      </c>
      <c r="E5" s="155">
        <v>299401.57999999996</v>
      </c>
      <c r="F5" s="156">
        <v>372005.78</v>
      </c>
      <c r="G5" s="156">
        <v>320694.64</v>
      </c>
      <c r="H5" s="156">
        <v>0</v>
      </c>
      <c r="I5" s="157">
        <v>51311.14</v>
      </c>
      <c r="J5" s="156">
        <v>0</v>
      </c>
      <c r="K5" s="157">
        <v>0.15999999251624536</v>
      </c>
      <c r="L5" s="163">
        <v>46111</v>
      </c>
      <c r="M5" s="163" t="s">
        <v>61</v>
      </c>
      <c r="N5" s="163" t="s">
        <v>107</v>
      </c>
      <c r="O5" s="152" t="s">
        <v>814</v>
      </c>
    </row>
    <row r="6" spans="2:15" x14ac:dyDescent="0.25">
      <c r="B6" s="186">
        <v>48298</v>
      </c>
      <c r="C6" s="187" t="s">
        <v>287</v>
      </c>
      <c r="D6" s="154">
        <v>400141.22000000003</v>
      </c>
      <c r="E6" s="155">
        <v>899.3</v>
      </c>
      <c r="F6" s="156">
        <v>399241.92</v>
      </c>
      <c r="G6" s="156">
        <v>344174.06896551728</v>
      </c>
      <c r="H6" s="156">
        <v>0</v>
      </c>
      <c r="I6" s="156">
        <v>55067.851034482803</v>
      </c>
      <c r="J6" s="156">
        <v>0</v>
      </c>
      <c r="K6" s="157">
        <v>0.16000000000000011</v>
      </c>
      <c r="L6" s="163">
        <v>46111</v>
      </c>
      <c r="M6" s="163" t="s">
        <v>141</v>
      </c>
      <c r="N6" s="163" t="s">
        <v>141</v>
      </c>
      <c r="O6" s="152" t="s">
        <v>815</v>
      </c>
    </row>
    <row r="7" spans="2:15" x14ac:dyDescent="0.25">
      <c r="B7" s="186">
        <v>311159</v>
      </c>
      <c r="C7" s="187" t="s">
        <v>425</v>
      </c>
      <c r="D7" s="154">
        <v>219055.64</v>
      </c>
      <c r="E7" s="155">
        <v>0</v>
      </c>
      <c r="F7" s="156">
        <v>219055.64</v>
      </c>
      <c r="G7" s="157">
        <v>189068.27</v>
      </c>
      <c r="H7" s="157">
        <v>0</v>
      </c>
      <c r="I7" s="157">
        <v>29987.373800000001</v>
      </c>
      <c r="J7" s="156">
        <v>0</v>
      </c>
      <c r="K7" s="157">
        <v>0.15860606224407725</v>
      </c>
      <c r="L7" s="163">
        <v>46111</v>
      </c>
      <c r="M7" s="163" t="s">
        <v>94</v>
      </c>
      <c r="N7" s="163" t="s">
        <v>94</v>
      </c>
      <c r="O7" s="152" t="s">
        <v>815</v>
      </c>
    </row>
    <row r="8" spans="2:15" x14ac:dyDescent="0.25">
      <c r="B8" s="191">
        <v>8939</v>
      </c>
      <c r="C8" s="192" t="s">
        <v>452</v>
      </c>
      <c r="D8" s="157">
        <v>130896.48</v>
      </c>
      <c r="E8" s="155">
        <v>19272.7</v>
      </c>
      <c r="F8" s="157">
        <v>111623.78</v>
      </c>
      <c r="G8" s="157">
        <v>111623.78</v>
      </c>
      <c r="H8" s="157">
        <v>0</v>
      </c>
      <c r="I8" s="157">
        <v>0</v>
      </c>
      <c r="J8" s="156">
        <v>0</v>
      </c>
      <c r="K8" s="157">
        <v>0</v>
      </c>
      <c r="L8" s="163">
        <v>46111</v>
      </c>
      <c r="M8" s="163" t="s">
        <v>83</v>
      </c>
      <c r="N8" s="163" t="s">
        <v>76</v>
      </c>
      <c r="O8" s="152" t="s">
        <v>816</v>
      </c>
    </row>
    <row r="9" spans="2:15" x14ac:dyDescent="0.25">
      <c r="B9" s="186">
        <v>325258</v>
      </c>
      <c r="C9" s="187" t="s">
        <v>230</v>
      </c>
      <c r="D9" s="154">
        <v>408636.88</v>
      </c>
      <c r="E9" s="155">
        <v>326883.88000000012</v>
      </c>
      <c r="F9" s="156">
        <v>81752.999999999898</v>
      </c>
      <c r="G9" s="156">
        <v>81752.999999999898</v>
      </c>
      <c r="H9" s="156">
        <v>0</v>
      </c>
      <c r="I9" s="158">
        <v>0</v>
      </c>
      <c r="J9" s="156">
        <v>0</v>
      </c>
      <c r="K9" s="158">
        <v>0</v>
      </c>
      <c r="L9" s="163">
        <v>46111</v>
      </c>
      <c r="M9" s="163" t="s">
        <v>817</v>
      </c>
      <c r="N9" s="163" t="s">
        <v>137</v>
      </c>
      <c r="O9" s="152" t="s">
        <v>816</v>
      </c>
    </row>
    <row r="10" spans="2:15" hidden="1" x14ac:dyDescent="0.25">
      <c r="B10" s="193">
        <v>397984</v>
      </c>
      <c r="C10" s="194" t="s">
        <v>237</v>
      </c>
      <c r="D10" s="159">
        <v>53357.5</v>
      </c>
      <c r="E10" s="155">
        <v>0</v>
      </c>
      <c r="F10" s="159">
        <v>53357.5</v>
      </c>
      <c r="G10" s="159">
        <v>45997.84</v>
      </c>
      <c r="H10" s="161"/>
      <c r="I10" s="159">
        <v>7359.66</v>
      </c>
      <c r="J10" s="156">
        <v>0</v>
      </c>
      <c r="K10" s="161">
        <f t="shared" ref="K10:K15" si="1">I10/G10</f>
        <v>0.16000012174484715</v>
      </c>
      <c r="L10" s="163">
        <v>46128</v>
      </c>
      <c r="M10" s="163" t="s">
        <v>83</v>
      </c>
      <c r="N10" s="163" t="s">
        <v>83</v>
      </c>
    </row>
    <row r="11" spans="2:15" hidden="1" x14ac:dyDescent="0.25">
      <c r="B11" s="193">
        <v>397985</v>
      </c>
      <c r="C11" s="194" t="s">
        <v>237</v>
      </c>
      <c r="D11" s="159">
        <v>53535.64</v>
      </c>
      <c r="E11" s="160">
        <v>0</v>
      </c>
      <c r="F11" s="159">
        <v>53535.64</v>
      </c>
      <c r="G11" s="159">
        <v>46151.41</v>
      </c>
      <c r="H11" s="161"/>
      <c r="I11" s="159">
        <v>7384.23</v>
      </c>
      <c r="J11" s="156">
        <v>0</v>
      </c>
      <c r="K11" s="161">
        <f t="shared" si="1"/>
        <v>0.16000009533836559</v>
      </c>
      <c r="L11" s="163">
        <v>46128</v>
      </c>
      <c r="M11" s="163" t="s">
        <v>83</v>
      </c>
      <c r="N11" s="163" t="s">
        <v>83</v>
      </c>
    </row>
    <row r="12" spans="2:15" hidden="1" x14ac:dyDescent="0.25">
      <c r="B12" s="193">
        <v>397986</v>
      </c>
      <c r="C12" s="194" t="s">
        <v>237</v>
      </c>
      <c r="D12" s="159">
        <v>542312.75</v>
      </c>
      <c r="E12" s="160">
        <v>0</v>
      </c>
      <c r="F12" s="159">
        <v>542312.75</v>
      </c>
      <c r="G12" s="159">
        <v>467510.99</v>
      </c>
      <c r="H12" s="161"/>
      <c r="I12" s="159">
        <v>74801.759999999995</v>
      </c>
      <c r="J12" s="156">
        <v>0</v>
      </c>
      <c r="K12" s="161">
        <f t="shared" si="1"/>
        <v>0.16000000342237944</v>
      </c>
      <c r="L12" s="163">
        <v>46128</v>
      </c>
      <c r="M12" s="163" t="s">
        <v>83</v>
      </c>
      <c r="N12" s="163" t="s">
        <v>83</v>
      </c>
    </row>
    <row r="13" spans="2:15" hidden="1" x14ac:dyDescent="0.25">
      <c r="B13" s="193">
        <v>397987</v>
      </c>
      <c r="C13" s="194" t="s">
        <v>237</v>
      </c>
      <c r="D13" s="159">
        <v>327055.94</v>
      </c>
      <c r="E13" s="160">
        <v>0</v>
      </c>
      <c r="F13" s="159">
        <v>327055.94</v>
      </c>
      <c r="G13" s="159">
        <v>281944.78000000003</v>
      </c>
      <c r="H13" s="161"/>
      <c r="I13" s="159">
        <v>45111.16</v>
      </c>
      <c r="J13" s="156">
        <v>0</v>
      </c>
      <c r="K13" s="161">
        <f t="shared" si="1"/>
        <v>0.15999998297538973</v>
      </c>
      <c r="L13" s="163">
        <v>46128</v>
      </c>
      <c r="M13" s="163" t="s">
        <v>83</v>
      </c>
      <c r="N13" s="163" t="s">
        <v>83</v>
      </c>
    </row>
    <row r="14" spans="2:15" hidden="1" x14ac:dyDescent="0.25">
      <c r="B14" s="193">
        <v>397988</v>
      </c>
      <c r="C14" s="194" t="s">
        <v>237</v>
      </c>
      <c r="D14" s="159">
        <v>175031.83</v>
      </c>
      <c r="E14" s="160">
        <v>0</v>
      </c>
      <c r="F14" s="159">
        <v>175031.83</v>
      </c>
      <c r="G14" s="159">
        <v>150889.51</v>
      </c>
      <c r="H14" s="161"/>
      <c r="I14" s="159">
        <v>24142.32</v>
      </c>
      <c r="J14" s="156">
        <v>0</v>
      </c>
      <c r="K14" s="161">
        <f t="shared" si="1"/>
        <v>0.15999998939621449</v>
      </c>
      <c r="L14" s="163">
        <v>46128</v>
      </c>
      <c r="M14" s="163" t="s">
        <v>83</v>
      </c>
      <c r="N14" s="163" t="s">
        <v>83</v>
      </c>
    </row>
    <row r="15" spans="2:15" hidden="1" x14ac:dyDescent="0.25">
      <c r="B15" s="193">
        <v>76471</v>
      </c>
      <c r="C15" s="194" t="s">
        <v>87</v>
      </c>
      <c r="D15" s="162">
        <v>13439248.149999999</v>
      </c>
      <c r="E15" s="165"/>
      <c r="F15" s="159">
        <v>7962909.7199999997</v>
      </c>
      <c r="G15" s="159">
        <v>6864577.3399999999</v>
      </c>
      <c r="H15" s="159"/>
      <c r="I15" s="159">
        <v>1098332.3799999999</v>
      </c>
      <c r="J15" s="156">
        <v>0</v>
      </c>
      <c r="K15" s="161">
        <f t="shared" si="1"/>
        <v>0.1600000008157822</v>
      </c>
      <c r="L15" s="163">
        <v>46136</v>
      </c>
      <c r="M15" s="163" t="s">
        <v>818</v>
      </c>
      <c r="N15" s="163" t="s">
        <v>91</v>
      </c>
      <c r="O15" t="s">
        <v>819</v>
      </c>
    </row>
    <row r="16" spans="2:15" x14ac:dyDescent="0.25">
      <c r="B16" s="188">
        <v>398024</v>
      </c>
      <c r="C16" s="188" t="s">
        <v>116</v>
      </c>
      <c r="D16" s="162">
        <v>4901364.63</v>
      </c>
      <c r="E16" s="165"/>
      <c r="F16" s="164">
        <v>1669923.58</v>
      </c>
      <c r="G16" s="162">
        <v>1669923.58</v>
      </c>
      <c r="H16" s="162">
        <v>0</v>
      </c>
      <c r="I16" s="162">
        <v>0</v>
      </c>
      <c r="J16" s="162">
        <v>0</v>
      </c>
      <c r="K16" s="162">
        <v>0</v>
      </c>
      <c r="L16" s="163">
        <v>46142</v>
      </c>
      <c r="M16" s="163" t="s">
        <v>83</v>
      </c>
      <c r="N16" s="163" t="s">
        <v>83</v>
      </c>
      <c r="O16" t="s">
        <v>820</v>
      </c>
    </row>
    <row r="17" spans="2:15" hidden="1" x14ac:dyDescent="0.25">
      <c r="B17" s="161">
        <v>21869</v>
      </c>
      <c r="C17" s="161" t="s">
        <v>116</v>
      </c>
      <c r="D17" s="162">
        <v>621522.28</v>
      </c>
      <c r="E17" s="165"/>
      <c r="F17" s="164">
        <v>604955.56000000006</v>
      </c>
      <c r="G17" s="162">
        <v>604955.56000000006</v>
      </c>
      <c r="H17" s="162">
        <v>0</v>
      </c>
      <c r="I17" s="162">
        <v>0</v>
      </c>
      <c r="J17" s="162">
        <v>0</v>
      </c>
      <c r="K17" s="162">
        <v>0</v>
      </c>
      <c r="L17" s="163">
        <v>46142</v>
      </c>
      <c r="M17" s="163" t="s">
        <v>83</v>
      </c>
      <c r="N17" s="163" t="s">
        <v>83</v>
      </c>
      <c r="O17" t="s">
        <v>820</v>
      </c>
    </row>
    <row r="18" spans="2:15" x14ac:dyDescent="0.25">
      <c r="B18" s="188">
        <v>308421</v>
      </c>
      <c r="C18" s="188" t="s">
        <v>160</v>
      </c>
      <c r="D18" s="162">
        <v>355418.28</v>
      </c>
      <c r="E18" s="165"/>
      <c r="F18" s="164">
        <v>272767.76639200002</v>
      </c>
      <c r="G18" s="162">
        <v>185885.08</v>
      </c>
      <c r="H18" s="162">
        <v>49259.546199999997</v>
      </c>
      <c r="I18" s="162">
        <v>37623.140191999999</v>
      </c>
      <c r="J18" s="161">
        <v>0.26500000000000001</v>
      </c>
      <c r="K18" s="161">
        <v>0.16</v>
      </c>
      <c r="L18" s="163">
        <v>46154</v>
      </c>
      <c r="M18" s="163" t="s">
        <v>162</v>
      </c>
      <c r="N18" s="163" t="s">
        <v>162</v>
      </c>
      <c r="O18" t="s">
        <v>821</v>
      </c>
    </row>
    <row r="19" spans="2:15" x14ac:dyDescent="0.25">
      <c r="B19" s="188">
        <v>308421</v>
      </c>
      <c r="C19" s="188" t="s">
        <v>160</v>
      </c>
      <c r="D19" s="162">
        <v>2431612.2400000002</v>
      </c>
      <c r="E19" s="165"/>
      <c r="F19" s="164">
        <v>2221130.6399999997</v>
      </c>
      <c r="G19" s="162">
        <v>1251482.2107042521</v>
      </c>
      <c r="H19" s="162">
        <v>663285.57167325192</v>
      </c>
      <c r="I19" s="162">
        <v>306362.84519640054</v>
      </c>
      <c r="J19" s="161">
        <v>0.53</v>
      </c>
      <c r="K19" s="161">
        <v>0.16</v>
      </c>
      <c r="L19" s="163">
        <v>46154</v>
      </c>
      <c r="M19" s="163" t="s">
        <v>162</v>
      </c>
      <c r="N19" s="163" t="s">
        <v>162</v>
      </c>
      <c r="O19" t="s">
        <v>821</v>
      </c>
    </row>
    <row r="20" spans="2:15" x14ac:dyDescent="0.25">
      <c r="B20" s="188">
        <v>8593</v>
      </c>
      <c r="C20" s="188" t="s">
        <v>96</v>
      </c>
      <c r="D20" s="162">
        <v>9992059.629999999</v>
      </c>
      <c r="E20" s="165"/>
      <c r="F20" s="162">
        <v>4286462.24</v>
      </c>
      <c r="G20" s="162">
        <v>3695226.07</v>
      </c>
      <c r="H20" s="162">
        <v>0</v>
      </c>
      <c r="I20" s="162">
        <v>591236.17000000004</v>
      </c>
      <c r="J20" s="162">
        <v>0</v>
      </c>
      <c r="K20" s="161">
        <v>0.16</v>
      </c>
      <c r="L20" s="163">
        <v>46148</v>
      </c>
      <c r="M20" s="163" t="s">
        <v>76</v>
      </c>
      <c r="N20" s="163" t="s">
        <v>76</v>
      </c>
      <c r="O20" t="s">
        <v>822</v>
      </c>
    </row>
    <row r="21" spans="2:15" x14ac:dyDescent="0.25">
      <c r="B21" s="188">
        <v>384776</v>
      </c>
      <c r="C21" s="188" t="s">
        <v>270</v>
      </c>
      <c r="D21" s="162">
        <v>886120.11999999988</v>
      </c>
      <c r="E21" s="165"/>
      <c r="F21" s="162">
        <v>544536</v>
      </c>
      <c r="G21" s="162">
        <v>371089</v>
      </c>
      <c r="H21" s="162">
        <v>98339</v>
      </c>
      <c r="I21" s="162">
        <v>75108</v>
      </c>
      <c r="J21" s="161">
        <v>0.26500000000000001</v>
      </c>
      <c r="K21" s="161">
        <v>0.16</v>
      </c>
      <c r="L21" s="163">
        <v>46154</v>
      </c>
      <c r="M21" s="163" t="s">
        <v>94</v>
      </c>
      <c r="N21" s="163" t="s">
        <v>119</v>
      </c>
      <c r="O21" t="s">
        <v>820</v>
      </c>
    </row>
    <row r="22" spans="2:15" x14ac:dyDescent="0.25">
      <c r="B22" s="188">
        <v>77974</v>
      </c>
      <c r="C22" s="188" t="s">
        <v>493</v>
      </c>
      <c r="D22" s="162">
        <v>105820.43</v>
      </c>
      <c r="E22" s="166">
        <v>50210.200000000004</v>
      </c>
      <c r="F22" s="162">
        <v>55610.23</v>
      </c>
      <c r="G22" s="162">
        <v>47939.85</v>
      </c>
      <c r="H22" s="162">
        <v>0</v>
      </c>
      <c r="I22" s="162">
        <v>7670.3760000000002</v>
      </c>
      <c r="J22" s="162">
        <v>0</v>
      </c>
      <c r="K22" s="161">
        <v>0.16</v>
      </c>
      <c r="L22" s="163">
        <v>46154</v>
      </c>
      <c r="M22" s="163" t="s">
        <v>94</v>
      </c>
      <c r="N22" s="163" t="s">
        <v>83</v>
      </c>
      <c r="O22" t="s">
        <v>823</v>
      </c>
    </row>
    <row r="23" spans="2:15" x14ac:dyDescent="0.25">
      <c r="B23" s="188">
        <v>11361</v>
      </c>
      <c r="C23" s="188" t="s">
        <v>268</v>
      </c>
      <c r="D23" s="162">
        <v>1281387.92</v>
      </c>
      <c r="E23" s="165"/>
      <c r="F23" s="162">
        <v>359375.63</v>
      </c>
      <c r="G23" s="185">
        <v>309806.59000000003</v>
      </c>
      <c r="H23" s="162">
        <v>0</v>
      </c>
      <c r="I23" s="162">
        <v>49569.04</v>
      </c>
      <c r="J23" s="162">
        <v>0</v>
      </c>
      <c r="K23" s="161">
        <v>0.16</v>
      </c>
      <c r="L23" s="163">
        <v>46154</v>
      </c>
      <c r="M23" s="163" t="s">
        <v>94</v>
      </c>
      <c r="N23" s="163" t="s">
        <v>216</v>
      </c>
      <c r="O23" t="s">
        <v>820</v>
      </c>
    </row>
    <row r="24" spans="2:15" x14ac:dyDescent="0.25">
      <c r="B24" s="188">
        <v>13642</v>
      </c>
      <c r="C24" s="188" t="s">
        <v>268</v>
      </c>
      <c r="D24" s="162">
        <v>645077.31000000006</v>
      </c>
      <c r="E24" s="165"/>
      <c r="F24" s="162">
        <v>318786.82</v>
      </c>
      <c r="G24" s="185">
        <v>274816.25</v>
      </c>
      <c r="H24" s="162">
        <v>0</v>
      </c>
      <c r="I24" s="162">
        <v>43970.57</v>
      </c>
      <c r="J24" s="162">
        <v>0</v>
      </c>
      <c r="K24" s="161">
        <v>0.16</v>
      </c>
      <c r="L24" s="163">
        <v>46154</v>
      </c>
      <c r="M24" s="163" t="s">
        <v>94</v>
      </c>
      <c r="N24" s="163" t="s">
        <v>94</v>
      </c>
      <c r="O24" t="s">
        <v>820</v>
      </c>
    </row>
    <row r="25" spans="2:15" x14ac:dyDescent="0.25">
      <c r="B25" s="188">
        <v>11914</v>
      </c>
      <c r="C25" s="188" t="s">
        <v>171</v>
      </c>
      <c r="D25" s="162">
        <v>1868683.99</v>
      </c>
      <c r="E25" s="165"/>
      <c r="F25" s="162">
        <v>528384.61</v>
      </c>
      <c r="G25" s="162">
        <v>455503.97</v>
      </c>
      <c r="H25" s="162">
        <v>0</v>
      </c>
      <c r="I25" s="162">
        <v>72880.639999999999</v>
      </c>
      <c r="J25" s="162">
        <v>0</v>
      </c>
      <c r="K25" s="161">
        <v>0.16</v>
      </c>
      <c r="L25" s="163">
        <v>46154</v>
      </c>
      <c r="M25" s="163" t="s">
        <v>94</v>
      </c>
      <c r="N25" s="163" t="s">
        <v>94</v>
      </c>
      <c r="O25" t="s">
        <v>820</v>
      </c>
    </row>
    <row r="26" spans="2:15" x14ac:dyDescent="0.25">
      <c r="B26" s="188">
        <v>398024</v>
      </c>
      <c r="C26" s="188" t="s">
        <v>116</v>
      </c>
      <c r="D26" s="162">
        <v>3231441.0631000004</v>
      </c>
      <c r="E26" s="155">
        <v>1444913.9157000007</v>
      </c>
      <c r="F26" s="162">
        <v>1786527.1473999997</v>
      </c>
      <c r="G26" s="162">
        <v>1786527.1473999997</v>
      </c>
      <c r="H26" s="162">
        <v>0</v>
      </c>
      <c r="I26" s="162">
        <v>0</v>
      </c>
      <c r="J26" s="162">
        <v>0</v>
      </c>
      <c r="K26" s="161">
        <v>0</v>
      </c>
      <c r="L26" s="163">
        <v>46150</v>
      </c>
      <c r="M26" s="163" t="s">
        <v>83</v>
      </c>
      <c r="N26" s="163" t="s">
        <v>83</v>
      </c>
      <c r="O26" t="s">
        <v>820</v>
      </c>
    </row>
    <row r="27" spans="2:15" ht="45" x14ac:dyDescent="0.25">
      <c r="B27" s="189">
        <v>318980</v>
      </c>
      <c r="C27" s="190" t="s">
        <v>408</v>
      </c>
      <c r="D27" s="55">
        <v>245395.5</v>
      </c>
      <c r="E27" s="183">
        <v>27026.98</v>
      </c>
      <c r="F27" s="55">
        <v>80344.960000000006</v>
      </c>
      <c r="G27" s="55">
        <v>69262.899999999994</v>
      </c>
      <c r="H27" s="162">
        <v>0</v>
      </c>
      <c r="I27" s="55">
        <v>11082.06</v>
      </c>
      <c r="J27" s="162">
        <v>0</v>
      </c>
      <c r="K27" s="161">
        <v>0.16</v>
      </c>
      <c r="L27" s="163">
        <v>46154</v>
      </c>
      <c r="M27" s="161" t="s">
        <v>67</v>
      </c>
      <c r="N27" s="163" t="s">
        <v>141</v>
      </c>
      <c r="O27" s="15" t="s">
        <v>824</v>
      </c>
    </row>
    <row r="28" spans="2:15" ht="60" x14ac:dyDescent="0.25">
      <c r="B28" s="189">
        <v>3566</v>
      </c>
      <c r="C28" s="189" t="s">
        <v>628</v>
      </c>
      <c r="D28">
        <v>16461.23</v>
      </c>
      <c r="E28" s="167"/>
      <c r="F28" s="19">
        <v>11164.19</v>
      </c>
      <c r="G28" s="19">
        <v>11164.19</v>
      </c>
      <c r="H28" s="162">
        <v>0</v>
      </c>
      <c r="I28" s="162">
        <v>0</v>
      </c>
      <c r="J28" s="162">
        <v>0</v>
      </c>
      <c r="K28" s="162">
        <v>0</v>
      </c>
      <c r="L28" s="163"/>
      <c r="M28" s="161" t="s">
        <v>112</v>
      </c>
      <c r="N28" s="163" t="s">
        <v>112</v>
      </c>
      <c r="O28" s="15" t="s">
        <v>825</v>
      </c>
    </row>
    <row r="29" spans="2:15" x14ac:dyDescent="0.25">
      <c r="B29" s="188">
        <v>8593</v>
      </c>
      <c r="C29" s="188" t="s">
        <v>96</v>
      </c>
      <c r="D29" s="162">
        <v>9992059.629999999</v>
      </c>
      <c r="E29" s="165">
        <v>0</v>
      </c>
      <c r="F29" s="162">
        <v>1887904.36</v>
      </c>
      <c r="G29" s="162">
        <v>1627603.7586000001</v>
      </c>
      <c r="H29" s="162">
        <v>0</v>
      </c>
      <c r="I29" s="162">
        <v>260400.60130000001</v>
      </c>
      <c r="J29" s="162">
        <v>0</v>
      </c>
      <c r="K29">
        <v>0.16</v>
      </c>
      <c r="L29" s="163">
        <v>46170</v>
      </c>
      <c r="M29" s="161" t="s">
        <v>76</v>
      </c>
      <c r="N29" s="163" t="s">
        <v>76</v>
      </c>
      <c r="O29" t="s">
        <v>822</v>
      </c>
    </row>
    <row r="30" spans="2:15" hidden="1" x14ac:dyDescent="0.25">
      <c r="B30">
        <v>16747</v>
      </c>
      <c r="C30" t="s">
        <v>206</v>
      </c>
      <c r="D30" s="184">
        <v>1581808.0000000005</v>
      </c>
      <c r="F30" s="19">
        <v>416296.52</v>
      </c>
      <c r="G30" s="19">
        <v>358876.33</v>
      </c>
      <c r="H30" s="19">
        <v>0</v>
      </c>
      <c r="I30" s="19">
        <v>57420.212800000001</v>
      </c>
      <c r="J30" s="162">
        <v>0</v>
      </c>
      <c r="K30">
        <v>0.16</v>
      </c>
      <c r="M30" s="163" t="s">
        <v>83</v>
      </c>
      <c r="N30" s="163" t="s">
        <v>83</v>
      </c>
      <c r="O30" t="s">
        <v>826</v>
      </c>
    </row>
    <row r="31" spans="2:15" x14ac:dyDescent="0.25">
      <c r="B31" s="189">
        <v>392092</v>
      </c>
      <c r="C31" s="189" t="s">
        <v>458</v>
      </c>
      <c r="D31" s="55">
        <v>149810.21</v>
      </c>
      <c r="E31" s="142">
        <v>58894.96</v>
      </c>
      <c r="F31" s="142">
        <f>+D31-E31</f>
        <v>90915.25</v>
      </c>
      <c r="G31" s="142">
        <v>90915.25</v>
      </c>
      <c r="H31" s="162">
        <v>0</v>
      </c>
      <c r="I31" s="162">
        <v>0</v>
      </c>
      <c r="J31" s="162">
        <v>0</v>
      </c>
      <c r="K31" s="162">
        <v>0</v>
      </c>
      <c r="M31" s="161" t="s">
        <v>107</v>
      </c>
      <c r="N31" s="163" t="s">
        <v>107</v>
      </c>
      <c r="O31" t="s">
        <v>827</v>
      </c>
    </row>
    <row r="32" spans="2:15" x14ac:dyDescent="0.25">
      <c r="B32" s="189">
        <v>32953</v>
      </c>
      <c r="C32" s="189" t="s">
        <v>313</v>
      </c>
      <c r="D32" s="142">
        <v>489083.38</v>
      </c>
      <c r="E32" s="142">
        <v>449226.58040000004</v>
      </c>
      <c r="F32" s="142">
        <v>39856.799599999998</v>
      </c>
      <c r="G32" s="142">
        <v>34359.31</v>
      </c>
      <c r="I32" s="142">
        <v>5497.4895999999999</v>
      </c>
      <c r="K32">
        <v>0.16</v>
      </c>
      <c r="M32" s="161" t="s">
        <v>107</v>
      </c>
      <c r="N32" s="163" t="s">
        <v>107</v>
      </c>
      <c r="O32" t="s">
        <v>827</v>
      </c>
    </row>
    <row r="33" spans="4:9" ht="15" hidden="1" customHeight="1" x14ac:dyDescent="0.25">
      <c r="F33" s="142">
        <f>G33+I33</f>
        <v>39856.799599999998</v>
      </c>
      <c r="G33" s="142">
        <f>F32/1.16</f>
        <v>34359.31</v>
      </c>
      <c r="I33" s="142">
        <f>G33*0.16</f>
        <v>5497.4895999999999</v>
      </c>
    </row>
    <row r="34" spans="4:9" ht="15" customHeight="1" x14ac:dyDescent="0.25">
      <c r="G34" s="142"/>
      <c r="I34" s="142"/>
    </row>
    <row r="45" spans="4:9" ht="15" customHeight="1" x14ac:dyDescent="0.25">
      <c r="D45" s="142"/>
    </row>
    <row r="46" spans="4:9" ht="15" customHeight="1" x14ac:dyDescent="0.25">
      <c r="D46" s="142"/>
    </row>
  </sheetData>
  <autoFilter ref="B3:O33" xr:uid="{60BD1A0B-D49A-465B-8F79-52515D3A4920}">
    <filterColumn colId="1">
      <colorFilter dxfId="0"/>
    </filterColumn>
  </autoFilter>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6D16F-947D-4D01-9807-6442EC3412E7}">
  <dimension ref="A3:C27"/>
  <sheetViews>
    <sheetView workbookViewId="0">
      <selection activeCell="E19" sqref="A19:E20"/>
    </sheetView>
  </sheetViews>
  <sheetFormatPr defaultRowHeight="15" x14ac:dyDescent="0.25"/>
  <cols>
    <col min="1" max="1" width="13" bestFit="1" customWidth="1"/>
    <col min="2" max="2" width="14.85546875" bestFit="1" customWidth="1"/>
    <col min="3" max="3" width="22.7109375" bestFit="1" customWidth="1"/>
  </cols>
  <sheetData>
    <row r="3" spans="1:3" x14ac:dyDescent="0.25">
      <c r="A3" s="168" t="s">
        <v>828</v>
      </c>
      <c r="B3" t="s">
        <v>829</v>
      </c>
      <c r="C3" t="s">
        <v>830</v>
      </c>
    </row>
    <row r="4" spans="1:3" x14ac:dyDescent="0.25">
      <c r="A4" s="56">
        <v>696</v>
      </c>
      <c r="B4">
        <v>371314.36206896551</v>
      </c>
      <c r="C4">
        <v>430724.66</v>
      </c>
    </row>
    <row r="5" spans="1:3" x14ac:dyDescent="0.25">
      <c r="A5" s="56">
        <v>3137</v>
      </c>
      <c r="B5">
        <v>320694.64</v>
      </c>
      <c r="C5">
        <v>372005.78</v>
      </c>
    </row>
    <row r="6" spans="1:3" x14ac:dyDescent="0.25">
      <c r="A6" s="56">
        <v>3566</v>
      </c>
      <c r="B6">
        <v>7548.9</v>
      </c>
      <c r="C6">
        <v>7548.9</v>
      </c>
    </row>
    <row r="7" spans="1:3" x14ac:dyDescent="0.25">
      <c r="A7" s="56">
        <v>8593</v>
      </c>
      <c r="B7">
        <v>3695226.07</v>
      </c>
      <c r="C7">
        <v>4286462.24</v>
      </c>
    </row>
    <row r="8" spans="1:3" x14ac:dyDescent="0.25">
      <c r="A8" s="56">
        <v>8939</v>
      </c>
      <c r="B8">
        <v>111623.78</v>
      </c>
      <c r="C8">
        <v>111623.78</v>
      </c>
    </row>
    <row r="9" spans="1:3" x14ac:dyDescent="0.25">
      <c r="A9" s="56">
        <v>11361</v>
      </c>
      <c r="B9">
        <v>309806.59000000003</v>
      </c>
      <c r="C9">
        <v>359375.63</v>
      </c>
    </row>
    <row r="10" spans="1:3" x14ac:dyDescent="0.25">
      <c r="A10" s="56">
        <v>11914</v>
      </c>
      <c r="B10">
        <v>455503.97</v>
      </c>
      <c r="C10">
        <v>528384.61</v>
      </c>
    </row>
    <row r="11" spans="1:3" x14ac:dyDescent="0.25">
      <c r="A11" s="56">
        <v>13642</v>
      </c>
      <c r="B11">
        <v>274816.25</v>
      </c>
      <c r="C11">
        <v>318786.82</v>
      </c>
    </row>
    <row r="12" spans="1:3" x14ac:dyDescent="0.25">
      <c r="A12" s="56">
        <v>21869</v>
      </c>
      <c r="B12">
        <v>604955.56000000006</v>
      </c>
      <c r="C12">
        <v>604955.56000000006</v>
      </c>
    </row>
    <row r="13" spans="1:3" x14ac:dyDescent="0.25">
      <c r="A13" s="56">
        <v>48298</v>
      </c>
      <c r="B13">
        <v>344174.06896551728</v>
      </c>
      <c r="C13">
        <v>399241.92</v>
      </c>
    </row>
    <row r="14" spans="1:3" x14ac:dyDescent="0.25">
      <c r="A14" s="56">
        <v>76471</v>
      </c>
      <c r="B14">
        <v>6864577.3399999999</v>
      </c>
      <c r="C14">
        <v>7962909.7199999997</v>
      </c>
    </row>
    <row r="15" spans="1:3" x14ac:dyDescent="0.25">
      <c r="A15" s="56">
        <v>77974</v>
      </c>
      <c r="B15">
        <v>47939.85</v>
      </c>
      <c r="C15">
        <v>55610.23</v>
      </c>
    </row>
    <row r="16" spans="1:3" x14ac:dyDescent="0.25">
      <c r="A16" s="56">
        <v>308421</v>
      </c>
      <c r="B16">
        <v>1437367.2907042522</v>
      </c>
      <c r="C16">
        <v>2493898.4063919997</v>
      </c>
    </row>
    <row r="17" spans="1:3" x14ac:dyDescent="0.25">
      <c r="A17" s="56">
        <v>311159</v>
      </c>
      <c r="B17">
        <v>189068.27</v>
      </c>
      <c r="C17">
        <v>219055.64</v>
      </c>
    </row>
    <row r="18" spans="1:3" x14ac:dyDescent="0.25">
      <c r="A18" s="56">
        <v>318980</v>
      </c>
      <c r="B18">
        <v>69262.899999999994</v>
      </c>
      <c r="C18">
        <v>80344.960000000006</v>
      </c>
    </row>
    <row r="19" spans="1:3" x14ac:dyDescent="0.25">
      <c r="A19" s="56">
        <v>325258</v>
      </c>
      <c r="B19">
        <v>81752.999999999898</v>
      </c>
      <c r="C19">
        <v>81752.999999999898</v>
      </c>
    </row>
    <row r="20" spans="1:3" x14ac:dyDescent="0.25">
      <c r="A20" s="56">
        <v>384776</v>
      </c>
      <c r="B20">
        <v>371089</v>
      </c>
      <c r="C20">
        <v>544536</v>
      </c>
    </row>
    <row r="21" spans="1:3" x14ac:dyDescent="0.25">
      <c r="A21" s="56">
        <v>397984</v>
      </c>
      <c r="B21">
        <v>45997.84</v>
      </c>
      <c r="C21">
        <v>53357.5</v>
      </c>
    </row>
    <row r="22" spans="1:3" x14ac:dyDescent="0.25">
      <c r="A22" s="56">
        <v>397985</v>
      </c>
      <c r="B22">
        <v>46151.41</v>
      </c>
      <c r="C22">
        <v>53535.64</v>
      </c>
    </row>
    <row r="23" spans="1:3" x14ac:dyDescent="0.25">
      <c r="A23" s="56">
        <v>397986</v>
      </c>
      <c r="B23">
        <v>467510.99</v>
      </c>
      <c r="C23">
        <v>542312.75</v>
      </c>
    </row>
    <row r="24" spans="1:3" x14ac:dyDescent="0.25">
      <c r="A24" s="56">
        <v>397987</v>
      </c>
      <c r="B24">
        <v>281944.78000000003</v>
      </c>
      <c r="C24">
        <v>327055.94</v>
      </c>
    </row>
    <row r="25" spans="1:3" x14ac:dyDescent="0.25">
      <c r="A25" s="56">
        <v>397988</v>
      </c>
      <c r="B25">
        <v>150889.51</v>
      </c>
      <c r="C25">
        <v>175031.83</v>
      </c>
    </row>
    <row r="26" spans="1:3" x14ac:dyDescent="0.25">
      <c r="A26" s="56">
        <v>398024</v>
      </c>
      <c r="B26">
        <v>3456450.7273999997</v>
      </c>
      <c r="C26">
        <v>3456450.7273999997</v>
      </c>
    </row>
    <row r="27" spans="1:3" x14ac:dyDescent="0.25">
      <c r="A27" s="56" t="s">
        <v>747</v>
      </c>
      <c r="B27">
        <v>20005667.099138733</v>
      </c>
      <c r="C27">
        <v>23464962.243792005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9CDE7-2815-441C-9FA4-41FAB2B05D29}">
  <dimension ref="B1:I13"/>
  <sheetViews>
    <sheetView workbookViewId="0">
      <selection activeCell="F23" sqref="F23"/>
    </sheetView>
  </sheetViews>
  <sheetFormatPr defaultRowHeight="15" x14ac:dyDescent="0.25"/>
  <cols>
    <col min="2" max="2" width="11.28515625" bestFit="1" customWidth="1"/>
    <col min="3" max="3" width="36.7109375" bestFit="1" customWidth="1"/>
    <col min="4" max="4" width="13.140625" bestFit="1" customWidth="1"/>
    <col min="5" max="6" width="11.140625" bestFit="1" customWidth="1"/>
    <col min="7" max="7" width="16.28515625" bestFit="1" customWidth="1"/>
    <col min="8" max="8" width="9.42578125" bestFit="1" customWidth="1"/>
    <col min="9" max="9" width="8.28515625" bestFit="1" customWidth="1"/>
  </cols>
  <sheetData>
    <row r="1" spans="2:9" x14ac:dyDescent="0.25">
      <c r="B1" s="172" t="s">
        <v>831</v>
      </c>
    </row>
    <row r="2" spans="2:9" x14ac:dyDescent="0.25">
      <c r="B2" s="172" t="s">
        <v>832</v>
      </c>
    </row>
    <row r="4" spans="2:9" x14ac:dyDescent="0.25">
      <c r="B4" s="170" t="s">
        <v>3</v>
      </c>
      <c r="C4" s="170" t="s">
        <v>804</v>
      </c>
      <c r="D4" s="171" t="s">
        <v>833</v>
      </c>
      <c r="E4" s="171" t="s">
        <v>5</v>
      </c>
      <c r="F4" s="171" t="s">
        <v>6</v>
      </c>
      <c r="G4" s="171" t="s">
        <v>807</v>
      </c>
      <c r="H4" s="171" t="s">
        <v>809</v>
      </c>
      <c r="I4" s="171" t="s">
        <v>810</v>
      </c>
    </row>
    <row r="5" spans="2:9" x14ac:dyDescent="0.25">
      <c r="B5" s="173">
        <v>308421</v>
      </c>
      <c r="C5" s="174" t="s">
        <v>160</v>
      </c>
      <c r="D5" s="174">
        <v>185885.08</v>
      </c>
      <c r="E5" s="174">
        <v>49259.546199999997</v>
      </c>
      <c r="F5" s="174">
        <v>37623.140191999999</v>
      </c>
      <c r="G5" s="175">
        <v>272767.76639200002</v>
      </c>
      <c r="H5" s="176">
        <v>0.26500000000000001</v>
      </c>
      <c r="I5" s="174">
        <v>0.16</v>
      </c>
    </row>
    <row r="6" spans="2:9" x14ac:dyDescent="0.25">
      <c r="B6" s="173">
        <v>308421</v>
      </c>
      <c r="C6" s="174" t="s">
        <v>160</v>
      </c>
      <c r="D6" s="174">
        <v>1251482.2107042521</v>
      </c>
      <c r="E6" s="174">
        <v>663285.57167325192</v>
      </c>
      <c r="F6" s="174">
        <v>306362.84519640054</v>
      </c>
      <c r="G6" s="175">
        <v>2221130.6399999997</v>
      </c>
      <c r="H6" s="176">
        <v>0.53</v>
      </c>
      <c r="I6" s="174">
        <v>0.16</v>
      </c>
    </row>
    <row r="7" spans="2:9" x14ac:dyDescent="0.25">
      <c r="B7" s="173">
        <v>384776</v>
      </c>
      <c r="C7" s="174" t="s">
        <v>270</v>
      </c>
      <c r="D7" s="174">
        <v>371089</v>
      </c>
      <c r="E7" s="174">
        <v>98339</v>
      </c>
      <c r="F7" s="174">
        <v>75108</v>
      </c>
      <c r="G7" s="174">
        <v>544536</v>
      </c>
      <c r="H7" s="176">
        <v>0.26500000000000001</v>
      </c>
      <c r="I7" s="174">
        <v>0.16</v>
      </c>
    </row>
    <row r="8" spans="2:9" x14ac:dyDescent="0.25">
      <c r="B8" s="173">
        <v>77974</v>
      </c>
      <c r="C8" s="174" t="s">
        <v>493</v>
      </c>
      <c r="D8" s="174">
        <v>47939.85</v>
      </c>
      <c r="E8" s="174">
        <v>0</v>
      </c>
      <c r="F8" s="174">
        <v>7670.3760000000002</v>
      </c>
      <c r="G8" s="174">
        <v>55610.23</v>
      </c>
      <c r="H8" s="176">
        <v>0</v>
      </c>
      <c r="I8" s="174">
        <v>0.16</v>
      </c>
    </row>
    <row r="9" spans="2:9" x14ac:dyDescent="0.25">
      <c r="B9" s="173">
        <v>11361</v>
      </c>
      <c r="C9" s="174" t="s">
        <v>268</v>
      </c>
      <c r="D9" s="174">
        <v>309806.59000000003</v>
      </c>
      <c r="E9" s="174">
        <v>0</v>
      </c>
      <c r="F9" s="174">
        <v>49569.04</v>
      </c>
      <c r="G9" s="174">
        <v>359375.63</v>
      </c>
      <c r="H9" s="176">
        <v>0</v>
      </c>
      <c r="I9" s="174">
        <v>0.16</v>
      </c>
    </row>
    <row r="10" spans="2:9" x14ac:dyDescent="0.25">
      <c r="B10" s="173">
        <v>13642</v>
      </c>
      <c r="C10" s="174" t="s">
        <v>268</v>
      </c>
      <c r="D10" s="174">
        <v>274816.25</v>
      </c>
      <c r="E10" s="174">
        <v>0</v>
      </c>
      <c r="F10" s="174">
        <v>43970.57</v>
      </c>
      <c r="G10" s="174">
        <v>318786.82</v>
      </c>
      <c r="H10" s="176">
        <v>0</v>
      </c>
      <c r="I10" s="174">
        <v>0.16</v>
      </c>
    </row>
    <row r="11" spans="2:9" x14ac:dyDescent="0.25">
      <c r="B11" s="173">
        <v>11914</v>
      </c>
      <c r="C11" s="174" t="s">
        <v>171</v>
      </c>
      <c r="D11" s="174">
        <v>455503.97</v>
      </c>
      <c r="E11" s="174">
        <v>0</v>
      </c>
      <c r="F11" s="174">
        <v>72880.639999999999</v>
      </c>
      <c r="G11" s="174">
        <v>528384.61</v>
      </c>
      <c r="H11" s="176">
        <v>0</v>
      </c>
      <c r="I11" s="174">
        <v>0.16</v>
      </c>
    </row>
    <row r="12" spans="2:9" x14ac:dyDescent="0.25">
      <c r="B12" s="179">
        <v>318980</v>
      </c>
      <c r="C12" s="182" t="s">
        <v>408</v>
      </c>
      <c r="D12" s="177">
        <v>69262.899999999994</v>
      </c>
      <c r="E12" s="177">
        <v>0</v>
      </c>
      <c r="F12" s="177">
        <v>11082.06</v>
      </c>
      <c r="G12" s="177">
        <v>80344.960000000006</v>
      </c>
      <c r="H12" s="178">
        <v>0</v>
      </c>
      <c r="I12" s="177">
        <v>0.16</v>
      </c>
    </row>
    <row r="13" spans="2:9" x14ac:dyDescent="0.25">
      <c r="D13" s="180">
        <f>SUM(D5:D12)</f>
        <v>2965785.8507042523</v>
      </c>
      <c r="E13" s="181"/>
      <c r="F13" s="181"/>
      <c r="G13" s="180">
        <f>SUM(G5:G12)</f>
        <v>4380936.6563919997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DFCC7-C268-419E-8731-E84D397495E8}">
  <dimension ref="A2:R434"/>
  <sheetViews>
    <sheetView topLeftCell="H389" zoomScale="80" zoomScaleNormal="80" workbookViewId="0">
      <selection activeCell="I432" sqref="I432"/>
    </sheetView>
  </sheetViews>
  <sheetFormatPr defaultColWidth="8.5703125" defaultRowHeight="15" x14ac:dyDescent="0.25"/>
  <cols>
    <col min="1" max="1" width="9.5703125" bestFit="1" customWidth="1"/>
    <col min="2" max="2" width="38.5703125" bestFit="1" customWidth="1"/>
    <col min="3" max="3" width="23.5703125" bestFit="1" customWidth="1"/>
    <col min="4" max="5" width="22.42578125" bestFit="1" customWidth="1"/>
    <col min="6" max="6" width="22.5703125" bestFit="1" customWidth="1"/>
    <col min="7" max="7" width="33.42578125" bestFit="1" customWidth="1"/>
    <col min="8" max="8" width="16.42578125" bestFit="1" customWidth="1"/>
    <col min="9" max="9" width="47.5703125" bestFit="1" customWidth="1"/>
    <col min="10" max="10" width="15.5703125" bestFit="1" customWidth="1"/>
    <col min="11" max="11" width="23" bestFit="1" customWidth="1"/>
    <col min="12" max="12" width="25.5703125" bestFit="1" customWidth="1"/>
    <col min="13" max="13" width="18.5703125" bestFit="1" customWidth="1"/>
    <col min="14" max="14" width="17.42578125" bestFit="1" customWidth="1"/>
    <col min="15" max="15" width="142.5703125" bestFit="1" customWidth="1"/>
    <col min="16" max="16" width="13.42578125" bestFit="1" customWidth="1"/>
    <col min="17" max="17" width="11.5703125" bestFit="1" customWidth="1"/>
    <col min="18" max="18" width="12.5703125" bestFit="1" customWidth="1"/>
  </cols>
  <sheetData>
    <row r="2" spans="1:18" x14ac:dyDescent="0.25">
      <c r="A2" t="s">
        <v>3</v>
      </c>
      <c r="B2" t="s">
        <v>804</v>
      </c>
      <c r="C2" t="s">
        <v>4</v>
      </c>
      <c r="D2" t="s">
        <v>7</v>
      </c>
      <c r="E2" t="s">
        <v>834</v>
      </c>
      <c r="F2" t="s">
        <v>835</v>
      </c>
      <c r="G2" t="s">
        <v>836</v>
      </c>
      <c r="H2" t="s">
        <v>32</v>
      </c>
      <c r="I2" t="s">
        <v>837</v>
      </c>
      <c r="J2" t="s">
        <v>37</v>
      </c>
      <c r="K2" t="s">
        <v>38</v>
      </c>
      <c r="L2" t="s">
        <v>838</v>
      </c>
      <c r="M2" t="s">
        <v>839</v>
      </c>
      <c r="N2" t="s">
        <v>840</v>
      </c>
      <c r="O2" t="s">
        <v>841</v>
      </c>
      <c r="P2" t="s">
        <v>842</v>
      </c>
      <c r="Q2" t="s">
        <v>843</v>
      </c>
      <c r="R2" t="s">
        <v>844</v>
      </c>
    </row>
    <row r="3" spans="1:18" x14ac:dyDescent="0.25">
      <c r="A3">
        <v>66738</v>
      </c>
      <c r="B3" t="s">
        <v>55</v>
      </c>
      <c r="C3" s="55">
        <v>89585265.109999999</v>
      </c>
      <c r="D3" s="55">
        <v>97167061.569999993</v>
      </c>
      <c r="F3" s="55">
        <v>89585265.109999999</v>
      </c>
      <c r="H3" t="s">
        <v>845</v>
      </c>
      <c r="I3" t="s">
        <v>846</v>
      </c>
      <c r="J3" t="s">
        <v>847</v>
      </c>
      <c r="K3" t="s">
        <v>60</v>
      </c>
      <c r="L3" t="s">
        <v>57</v>
      </c>
      <c r="P3" t="s">
        <v>845</v>
      </c>
      <c r="Q3" t="s">
        <v>845</v>
      </c>
      <c r="R3" s="55">
        <v>97746171.549999997</v>
      </c>
    </row>
    <row r="4" spans="1:18" x14ac:dyDescent="0.25">
      <c r="A4">
        <v>9647</v>
      </c>
      <c r="B4" t="s">
        <v>64</v>
      </c>
      <c r="C4" s="55">
        <v>37170939.990000002</v>
      </c>
      <c r="D4" s="55">
        <v>43117609.5</v>
      </c>
      <c r="F4" s="55">
        <v>37170939.990000002</v>
      </c>
      <c r="H4" t="s">
        <v>845</v>
      </c>
      <c r="I4" t="s">
        <v>848</v>
      </c>
      <c r="J4" t="s">
        <v>847</v>
      </c>
      <c r="K4" t="s">
        <v>66</v>
      </c>
      <c r="L4" t="s">
        <v>57</v>
      </c>
      <c r="P4" t="s">
        <v>845</v>
      </c>
      <c r="Q4" t="s">
        <v>845</v>
      </c>
      <c r="R4" s="55">
        <v>43117609.479999997</v>
      </c>
    </row>
    <row r="5" spans="1:18" x14ac:dyDescent="0.25">
      <c r="A5">
        <v>24232</v>
      </c>
      <c r="B5" t="s">
        <v>72</v>
      </c>
      <c r="C5" s="55">
        <v>17089111.16</v>
      </c>
      <c r="D5" s="55">
        <v>19606921.75</v>
      </c>
      <c r="E5" s="55">
        <v>2911551.17</v>
      </c>
      <c r="F5" s="55">
        <v>13683024.060000001</v>
      </c>
      <c r="G5" s="55">
        <v>494535.93</v>
      </c>
      <c r="H5" t="s">
        <v>845</v>
      </c>
      <c r="I5" t="s">
        <v>849</v>
      </c>
      <c r="J5" t="s">
        <v>847</v>
      </c>
      <c r="K5" t="s">
        <v>75</v>
      </c>
      <c r="L5" t="s">
        <v>73</v>
      </c>
      <c r="M5" s="55">
        <v>16594575.23</v>
      </c>
      <c r="N5" s="55">
        <v>19033260.579999998</v>
      </c>
      <c r="O5" t="s">
        <v>850</v>
      </c>
      <c r="P5" t="s">
        <v>845</v>
      </c>
      <c r="Q5" t="s">
        <v>845</v>
      </c>
      <c r="R5" s="55">
        <v>19606921.789999999</v>
      </c>
    </row>
    <row r="6" spans="1:18" x14ac:dyDescent="0.25">
      <c r="A6">
        <v>4077</v>
      </c>
      <c r="B6" t="s">
        <v>80</v>
      </c>
      <c r="C6" s="55">
        <v>15564008.9</v>
      </c>
      <c r="D6" s="55">
        <v>18052536.239999998</v>
      </c>
      <c r="E6" s="55">
        <v>15564008.9</v>
      </c>
      <c r="F6" t="s">
        <v>845</v>
      </c>
      <c r="H6" t="s">
        <v>845</v>
      </c>
      <c r="I6" t="s">
        <v>845</v>
      </c>
      <c r="J6" t="s">
        <v>847</v>
      </c>
      <c r="K6" t="s">
        <v>82</v>
      </c>
      <c r="L6" t="s">
        <v>81</v>
      </c>
      <c r="M6" s="55">
        <v>15564008.9</v>
      </c>
      <c r="N6" s="55">
        <v>18052536.579999998</v>
      </c>
      <c r="P6" t="s">
        <v>845</v>
      </c>
      <c r="Q6" t="s">
        <v>845</v>
      </c>
      <c r="R6" s="55">
        <v>18052536.23</v>
      </c>
    </row>
    <row r="7" spans="1:18" x14ac:dyDescent="0.25">
      <c r="A7">
        <v>76471</v>
      </c>
      <c r="B7" t="s">
        <v>87</v>
      </c>
      <c r="C7" s="55">
        <v>11585558.75</v>
      </c>
      <c r="D7" s="55">
        <v>13439248.039999999</v>
      </c>
      <c r="F7" s="55">
        <v>11585558.75</v>
      </c>
      <c r="H7" t="s">
        <v>845</v>
      </c>
      <c r="I7" t="s">
        <v>851</v>
      </c>
      <c r="J7" t="s">
        <v>847</v>
      </c>
      <c r="K7" t="s">
        <v>90</v>
      </c>
      <c r="L7" t="s">
        <v>73</v>
      </c>
      <c r="M7" s="55">
        <v>11585558.75</v>
      </c>
      <c r="N7" s="55">
        <v>13439248.15</v>
      </c>
      <c r="O7" t="s">
        <v>89</v>
      </c>
      <c r="P7" t="s">
        <v>845</v>
      </c>
      <c r="Q7" t="s">
        <v>845</v>
      </c>
      <c r="R7" s="55">
        <v>13439248.02</v>
      </c>
    </row>
    <row r="8" spans="1:18" x14ac:dyDescent="0.25">
      <c r="A8">
        <v>99457</v>
      </c>
      <c r="B8" t="s">
        <v>93</v>
      </c>
      <c r="C8" s="55">
        <v>10217048.380000001</v>
      </c>
      <c r="D8" s="55">
        <v>11176890.68</v>
      </c>
      <c r="E8" s="55">
        <v>2126670.85</v>
      </c>
      <c r="F8">
        <v>0</v>
      </c>
      <c r="G8" s="55">
        <v>8090377.5300000003</v>
      </c>
      <c r="H8" t="s">
        <v>845</v>
      </c>
      <c r="I8" t="s">
        <v>852</v>
      </c>
      <c r="J8" t="s">
        <v>847</v>
      </c>
      <c r="K8" t="s">
        <v>82</v>
      </c>
      <c r="L8" t="s">
        <v>81</v>
      </c>
      <c r="M8" s="55">
        <v>2126670.85</v>
      </c>
      <c r="N8" s="55">
        <v>2355254.91</v>
      </c>
      <c r="P8" t="s">
        <v>845</v>
      </c>
      <c r="Q8" t="s">
        <v>845</v>
      </c>
      <c r="R8" s="55">
        <v>11176890.689999999</v>
      </c>
    </row>
    <row r="9" spans="1:18" x14ac:dyDescent="0.25">
      <c r="A9">
        <v>8593</v>
      </c>
      <c r="B9" t="s">
        <v>96</v>
      </c>
      <c r="C9" s="55">
        <v>8613844.6400000006</v>
      </c>
      <c r="D9" s="55">
        <v>9992059.6300000008</v>
      </c>
      <c r="F9" s="55">
        <v>8613844.6400000006</v>
      </c>
      <c r="H9" t="s">
        <v>845</v>
      </c>
      <c r="I9" t="s">
        <v>845</v>
      </c>
      <c r="J9" t="s">
        <v>847</v>
      </c>
      <c r="K9" t="s">
        <v>75</v>
      </c>
      <c r="L9" t="s">
        <v>73</v>
      </c>
      <c r="M9" s="55">
        <v>8613844.6400000006</v>
      </c>
      <c r="N9" s="55">
        <v>9992059.7899999991</v>
      </c>
      <c r="O9" t="s">
        <v>97</v>
      </c>
      <c r="P9" t="s">
        <v>845</v>
      </c>
      <c r="Q9" t="s">
        <v>845</v>
      </c>
      <c r="R9" s="55">
        <v>9992059.6300000008</v>
      </c>
    </row>
    <row r="10" spans="1:18" x14ac:dyDescent="0.25">
      <c r="A10">
        <v>90738</v>
      </c>
      <c r="B10" t="s">
        <v>93</v>
      </c>
      <c r="C10" s="55">
        <v>7245863.5199999996</v>
      </c>
      <c r="D10" s="55">
        <v>8405201.6799999997</v>
      </c>
      <c r="E10" s="55">
        <v>3232317.21</v>
      </c>
      <c r="F10">
        <v>0</v>
      </c>
      <c r="G10" s="55">
        <v>4013546.31</v>
      </c>
      <c r="H10" t="s">
        <v>845</v>
      </c>
      <c r="I10" t="s">
        <v>852</v>
      </c>
      <c r="J10" t="s">
        <v>847</v>
      </c>
      <c r="K10" t="s">
        <v>82</v>
      </c>
      <c r="L10" t="s">
        <v>81</v>
      </c>
      <c r="M10" s="55">
        <v>3232317.21</v>
      </c>
      <c r="N10" s="55">
        <v>3749488.18</v>
      </c>
      <c r="P10" t="s">
        <v>845</v>
      </c>
      <c r="Q10" t="s">
        <v>845</v>
      </c>
      <c r="R10" s="55">
        <v>8405201.6799999997</v>
      </c>
    </row>
    <row r="11" spans="1:18" x14ac:dyDescent="0.25">
      <c r="A11">
        <v>20125</v>
      </c>
      <c r="B11" t="s">
        <v>101</v>
      </c>
      <c r="C11" s="55">
        <v>7139158.75</v>
      </c>
      <c r="D11" s="55">
        <v>8281424.1500000004</v>
      </c>
      <c r="F11" s="55">
        <v>4948440.29</v>
      </c>
      <c r="G11" s="55">
        <v>2190718.46</v>
      </c>
      <c r="H11" t="s">
        <v>845</v>
      </c>
      <c r="I11" t="s">
        <v>845</v>
      </c>
      <c r="J11" t="s">
        <v>847</v>
      </c>
      <c r="K11" t="s">
        <v>75</v>
      </c>
      <c r="L11" t="s">
        <v>73</v>
      </c>
      <c r="M11" s="55">
        <v>4948440.29</v>
      </c>
      <c r="N11" s="55">
        <v>5740190.7400000002</v>
      </c>
      <c r="O11" t="s">
        <v>853</v>
      </c>
      <c r="P11" t="s">
        <v>845</v>
      </c>
      <c r="Q11" t="s">
        <v>845</v>
      </c>
      <c r="R11" s="55">
        <v>8281424.1500000004</v>
      </c>
    </row>
    <row r="12" spans="1:18" x14ac:dyDescent="0.25">
      <c r="A12">
        <v>56150</v>
      </c>
      <c r="B12" t="s">
        <v>106</v>
      </c>
      <c r="C12" s="55">
        <v>5860104.4500000002</v>
      </c>
      <c r="D12" s="55">
        <v>6277802.3099999996</v>
      </c>
      <c r="E12" s="123">
        <v>4589868.4400000004</v>
      </c>
      <c r="F12" s="123">
        <v>0</v>
      </c>
      <c r="G12" s="55">
        <v>1270236.01</v>
      </c>
      <c r="H12" t="s">
        <v>845</v>
      </c>
      <c r="I12" t="s">
        <v>845</v>
      </c>
      <c r="J12" t="s">
        <v>847</v>
      </c>
      <c r="K12" t="s">
        <v>82</v>
      </c>
      <c r="L12" t="s">
        <v>81</v>
      </c>
      <c r="M12" s="55">
        <v>4589868.4400000004</v>
      </c>
      <c r="N12" s="55">
        <v>4911449.55</v>
      </c>
      <c r="P12" t="s">
        <v>845</v>
      </c>
      <c r="Q12" t="s">
        <v>845</v>
      </c>
      <c r="R12" s="55">
        <v>6277802.2800000003</v>
      </c>
    </row>
    <row r="13" spans="1:18" x14ac:dyDescent="0.25">
      <c r="A13">
        <v>81653</v>
      </c>
      <c r="B13" t="s">
        <v>110</v>
      </c>
      <c r="C13" s="55">
        <v>5448761.5099999998</v>
      </c>
      <c r="D13" s="55">
        <v>5458465.6900000004</v>
      </c>
      <c r="F13" s="55">
        <v>5448761.5099999998</v>
      </c>
      <c r="H13" t="s">
        <v>845</v>
      </c>
      <c r="I13" t="s">
        <v>851</v>
      </c>
      <c r="J13" t="s">
        <v>847</v>
      </c>
      <c r="K13" t="s">
        <v>90</v>
      </c>
      <c r="L13" t="s">
        <v>73</v>
      </c>
      <c r="M13" s="55">
        <v>5448761.5099999998</v>
      </c>
      <c r="N13" s="55">
        <v>5458465.7000000002</v>
      </c>
      <c r="O13" t="s">
        <v>89</v>
      </c>
      <c r="P13" t="s">
        <v>845</v>
      </c>
      <c r="Q13" t="s">
        <v>845</v>
      </c>
      <c r="R13" s="55">
        <v>5458465.79</v>
      </c>
    </row>
    <row r="14" spans="1:18" x14ac:dyDescent="0.25">
      <c r="A14">
        <v>61713</v>
      </c>
      <c r="B14" t="s">
        <v>114</v>
      </c>
      <c r="C14" s="55">
        <v>4432996.1500000004</v>
      </c>
      <c r="D14" s="55">
        <v>5142275.53</v>
      </c>
      <c r="F14" s="55">
        <v>3568291.29</v>
      </c>
      <c r="G14" s="55">
        <v>864704.86</v>
      </c>
      <c r="H14" t="s">
        <v>845</v>
      </c>
      <c r="I14" t="s">
        <v>851</v>
      </c>
      <c r="J14" t="s">
        <v>847</v>
      </c>
      <c r="K14" t="s">
        <v>75</v>
      </c>
      <c r="L14" t="s">
        <v>57</v>
      </c>
      <c r="O14" t="s">
        <v>115</v>
      </c>
      <c r="P14" t="s">
        <v>845</v>
      </c>
      <c r="Q14" t="s">
        <v>845</v>
      </c>
      <c r="R14" s="55">
        <v>5142275.55</v>
      </c>
    </row>
    <row r="15" spans="1:18" x14ac:dyDescent="0.25">
      <c r="A15">
        <v>398024</v>
      </c>
      <c r="B15" t="s">
        <v>116</v>
      </c>
      <c r="C15" s="55">
        <v>4901364.6399999997</v>
      </c>
      <c r="D15" s="55">
        <v>4901364.6500000004</v>
      </c>
      <c r="F15" s="55">
        <v>4901364.6399999997</v>
      </c>
      <c r="H15" t="s">
        <v>845</v>
      </c>
      <c r="I15" t="s">
        <v>851</v>
      </c>
      <c r="J15" t="s">
        <v>847</v>
      </c>
      <c r="K15" t="s">
        <v>90</v>
      </c>
      <c r="L15" t="s">
        <v>73</v>
      </c>
      <c r="M15" s="55">
        <v>4901364.6399999997</v>
      </c>
      <c r="N15" s="55">
        <v>4901364.6399999997</v>
      </c>
      <c r="P15" t="s">
        <v>845</v>
      </c>
      <c r="Q15" t="s">
        <v>845</v>
      </c>
      <c r="R15" s="55">
        <v>4901364.6500000004</v>
      </c>
    </row>
    <row r="16" spans="1:18" x14ac:dyDescent="0.25">
      <c r="A16">
        <v>34934</v>
      </c>
      <c r="B16" t="s">
        <v>117</v>
      </c>
      <c r="C16" s="55">
        <v>4076300.19</v>
      </c>
      <c r="D16" s="55">
        <v>4728508.2300000004</v>
      </c>
      <c r="E16" s="55">
        <v>1718185</v>
      </c>
      <c r="F16" s="55">
        <v>2358115.19</v>
      </c>
      <c r="H16" t="s">
        <v>845</v>
      </c>
      <c r="I16" t="s">
        <v>845</v>
      </c>
      <c r="J16" t="s">
        <v>847</v>
      </c>
      <c r="K16" t="s">
        <v>75</v>
      </c>
      <c r="L16" t="s">
        <v>73</v>
      </c>
      <c r="M16" s="55">
        <v>4076300.19</v>
      </c>
      <c r="N16" s="55">
        <v>4728508.22</v>
      </c>
      <c r="O16" t="s">
        <v>854</v>
      </c>
      <c r="P16" t="s">
        <v>845</v>
      </c>
      <c r="Q16" t="s">
        <v>845</v>
      </c>
      <c r="R16" s="55">
        <v>4728508.2300000004</v>
      </c>
    </row>
    <row r="17" spans="1:18" x14ac:dyDescent="0.25">
      <c r="A17">
        <v>38893</v>
      </c>
      <c r="B17" t="s">
        <v>122</v>
      </c>
      <c r="C17" s="55">
        <v>3414125.39</v>
      </c>
      <c r="D17" s="55">
        <v>3960385.44</v>
      </c>
      <c r="F17" s="55">
        <v>3414125.39</v>
      </c>
      <c r="H17" t="s">
        <v>855</v>
      </c>
      <c r="I17" t="s">
        <v>856</v>
      </c>
      <c r="J17" t="s">
        <v>847</v>
      </c>
      <c r="K17" t="s">
        <v>75</v>
      </c>
      <c r="L17" t="s">
        <v>57</v>
      </c>
      <c r="O17" t="s">
        <v>155</v>
      </c>
      <c r="P17" t="s">
        <v>845</v>
      </c>
      <c r="Q17" t="s">
        <v>845</v>
      </c>
      <c r="R17" s="55">
        <v>3960385.42</v>
      </c>
    </row>
    <row r="18" spans="1:18" x14ac:dyDescent="0.25">
      <c r="A18">
        <v>44040</v>
      </c>
      <c r="B18" t="s">
        <v>127</v>
      </c>
      <c r="C18" s="55">
        <v>2578675.12</v>
      </c>
      <c r="D18" s="55">
        <v>3794356.6</v>
      </c>
      <c r="F18" s="55">
        <v>359743.56</v>
      </c>
      <c r="G18" s="55">
        <v>2218931.56</v>
      </c>
      <c r="H18" t="s">
        <v>845</v>
      </c>
      <c r="I18" t="s">
        <v>851</v>
      </c>
      <c r="J18" t="s">
        <v>847</v>
      </c>
      <c r="K18" t="s">
        <v>75</v>
      </c>
      <c r="L18" t="s">
        <v>57</v>
      </c>
      <c r="P18" t="s">
        <v>845</v>
      </c>
      <c r="Q18" t="s">
        <v>845</v>
      </c>
      <c r="R18" s="55">
        <v>3794356.6</v>
      </c>
    </row>
    <row r="19" spans="1:18" x14ac:dyDescent="0.25">
      <c r="A19">
        <v>54569</v>
      </c>
      <c r="B19" t="s">
        <v>131</v>
      </c>
      <c r="C19" s="55">
        <v>3454984.12</v>
      </c>
      <c r="D19" s="55">
        <v>3721358.27</v>
      </c>
      <c r="F19" s="55">
        <v>3454984.12</v>
      </c>
      <c r="H19" t="s">
        <v>845</v>
      </c>
      <c r="I19" t="s">
        <v>851</v>
      </c>
      <c r="J19" t="s">
        <v>847</v>
      </c>
      <c r="K19" t="s">
        <v>90</v>
      </c>
      <c r="L19" t="s">
        <v>57</v>
      </c>
      <c r="P19" t="s">
        <v>845</v>
      </c>
      <c r="Q19" t="s">
        <v>845</v>
      </c>
      <c r="R19" s="55">
        <v>3721358.27</v>
      </c>
    </row>
    <row r="20" spans="1:18" x14ac:dyDescent="0.25">
      <c r="A20">
        <v>17921</v>
      </c>
      <c r="B20" t="s">
        <v>135</v>
      </c>
      <c r="C20" s="55">
        <v>3189882.41</v>
      </c>
      <c r="D20" s="55">
        <v>3699944.01</v>
      </c>
      <c r="F20" s="55">
        <v>3189882.41</v>
      </c>
      <c r="H20" t="s">
        <v>855</v>
      </c>
      <c r="I20" t="s">
        <v>856</v>
      </c>
      <c r="J20" t="s">
        <v>847</v>
      </c>
      <c r="K20" t="s">
        <v>75</v>
      </c>
      <c r="L20" t="s">
        <v>57</v>
      </c>
      <c r="O20" t="s">
        <v>155</v>
      </c>
      <c r="P20" t="s">
        <v>845</v>
      </c>
      <c r="Q20" t="s">
        <v>845</v>
      </c>
      <c r="R20" s="55">
        <v>3699944.02</v>
      </c>
    </row>
    <row r="21" spans="1:18" x14ac:dyDescent="0.25">
      <c r="A21">
        <v>9381</v>
      </c>
      <c r="B21" t="s">
        <v>139</v>
      </c>
      <c r="C21" s="55">
        <v>2846318.18</v>
      </c>
      <c r="D21" s="55">
        <v>3300750</v>
      </c>
      <c r="F21" s="55">
        <v>2846318.18</v>
      </c>
      <c r="H21" t="s">
        <v>845</v>
      </c>
      <c r="I21" t="s">
        <v>845</v>
      </c>
      <c r="J21" t="s">
        <v>847</v>
      </c>
      <c r="K21" t="s">
        <v>75</v>
      </c>
      <c r="L21" t="s">
        <v>73</v>
      </c>
      <c r="M21" s="55">
        <v>2846318.18</v>
      </c>
      <c r="N21" s="55">
        <v>3300749.96</v>
      </c>
      <c r="O21" t="s">
        <v>857</v>
      </c>
      <c r="P21" t="s">
        <v>845</v>
      </c>
      <c r="Q21" t="s">
        <v>845</v>
      </c>
      <c r="R21" s="55">
        <v>3300750.02</v>
      </c>
    </row>
    <row r="22" spans="1:18" x14ac:dyDescent="0.25">
      <c r="A22">
        <v>24489</v>
      </c>
      <c r="B22" t="s">
        <v>144</v>
      </c>
      <c r="C22" s="55">
        <v>2734026.41</v>
      </c>
      <c r="D22" s="55">
        <v>3171470.77</v>
      </c>
      <c r="F22" s="55">
        <v>2734026.41</v>
      </c>
      <c r="H22" t="s">
        <v>845</v>
      </c>
      <c r="I22" t="s">
        <v>851</v>
      </c>
      <c r="J22" t="s">
        <v>847</v>
      </c>
      <c r="K22" t="s">
        <v>90</v>
      </c>
      <c r="L22" t="s">
        <v>73</v>
      </c>
      <c r="M22" s="55">
        <v>2734026.41</v>
      </c>
      <c r="N22" s="55">
        <v>3171470.88</v>
      </c>
      <c r="P22" t="s">
        <v>845</v>
      </c>
      <c r="Q22" t="s">
        <v>845</v>
      </c>
      <c r="R22" s="55">
        <v>3171470.77</v>
      </c>
    </row>
    <row r="23" spans="1:18" x14ac:dyDescent="0.25">
      <c r="A23">
        <v>71217</v>
      </c>
      <c r="B23" t="s">
        <v>146</v>
      </c>
      <c r="C23" s="55">
        <v>2714666.12</v>
      </c>
      <c r="D23" s="55">
        <v>3145586.04</v>
      </c>
      <c r="F23" s="55">
        <v>2714666.12</v>
      </c>
      <c r="H23" t="s">
        <v>845</v>
      </c>
      <c r="I23" t="s">
        <v>845</v>
      </c>
      <c r="J23" t="s">
        <v>847</v>
      </c>
      <c r="K23" t="s">
        <v>75</v>
      </c>
      <c r="L23" t="s">
        <v>73</v>
      </c>
      <c r="M23" s="55">
        <v>2714666.12</v>
      </c>
      <c r="N23" s="55">
        <v>3145586.13</v>
      </c>
      <c r="P23" t="s">
        <v>845</v>
      </c>
      <c r="Q23" t="s">
        <v>845</v>
      </c>
      <c r="R23" s="55">
        <v>3145586.01</v>
      </c>
    </row>
    <row r="24" spans="1:18" x14ac:dyDescent="0.25">
      <c r="A24">
        <v>80622</v>
      </c>
      <c r="B24" t="s">
        <v>150</v>
      </c>
      <c r="C24" s="55">
        <v>2556718.4900000002</v>
      </c>
      <c r="D24" s="55">
        <v>2965793.48</v>
      </c>
      <c r="F24" s="55">
        <v>2556718.4900000002</v>
      </c>
      <c r="H24" t="s">
        <v>845</v>
      </c>
      <c r="I24" t="s">
        <v>845</v>
      </c>
      <c r="J24" t="s">
        <v>847</v>
      </c>
      <c r="K24" t="s">
        <v>133</v>
      </c>
      <c r="L24" t="s">
        <v>57</v>
      </c>
      <c r="P24" t="s">
        <v>845</v>
      </c>
      <c r="Q24" t="s">
        <v>845</v>
      </c>
      <c r="R24" s="55">
        <v>2965793.48</v>
      </c>
    </row>
    <row r="25" spans="1:18" x14ac:dyDescent="0.25">
      <c r="A25">
        <v>7875</v>
      </c>
      <c r="B25" t="s">
        <v>154</v>
      </c>
      <c r="C25" s="55">
        <v>2514428.16</v>
      </c>
      <c r="D25" s="55">
        <v>2916736.59</v>
      </c>
      <c r="F25" s="55">
        <v>2514428.16</v>
      </c>
      <c r="H25" t="s">
        <v>845</v>
      </c>
      <c r="I25" t="s">
        <v>851</v>
      </c>
      <c r="J25" t="s">
        <v>847</v>
      </c>
      <c r="K25" t="s">
        <v>90</v>
      </c>
      <c r="L25" t="s">
        <v>73</v>
      </c>
      <c r="M25" s="55">
        <v>2514428.16</v>
      </c>
      <c r="N25" s="55">
        <v>2916736.62</v>
      </c>
      <c r="P25" t="s">
        <v>845</v>
      </c>
      <c r="Q25" t="s">
        <v>845</v>
      </c>
      <c r="R25" s="55">
        <v>2916736.59</v>
      </c>
    </row>
    <row r="26" spans="1:18" x14ac:dyDescent="0.25">
      <c r="A26">
        <v>313387</v>
      </c>
      <c r="B26" t="s">
        <v>158</v>
      </c>
      <c r="C26" s="55">
        <v>2678050.89</v>
      </c>
      <c r="D26" s="55">
        <v>2823876.71</v>
      </c>
      <c r="F26" s="55">
        <v>2678050.89</v>
      </c>
      <c r="H26" t="s">
        <v>845</v>
      </c>
      <c r="I26" t="s">
        <v>851</v>
      </c>
      <c r="J26" t="s">
        <v>847</v>
      </c>
      <c r="K26" t="s">
        <v>90</v>
      </c>
      <c r="L26" t="s">
        <v>73</v>
      </c>
      <c r="M26" s="55">
        <v>2678050.89</v>
      </c>
      <c r="N26" s="55">
        <v>2823876.71</v>
      </c>
      <c r="P26" t="s">
        <v>845</v>
      </c>
      <c r="Q26" t="s">
        <v>845</v>
      </c>
      <c r="R26" s="55">
        <v>2823876.71</v>
      </c>
    </row>
    <row r="27" spans="1:18" x14ac:dyDescent="0.25">
      <c r="A27">
        <v>308421</v>
      </c>
      <c r="B27" t="s">
        <v>160</v>
      </c>
      <c r="C27" s="55">
        <v>1612446.67</v>
      </c>
      <c r="D27" s="55">
        <v>2787030.52</v>
      </c>
      <c r="F27" s="55">
        <v>1612446.67</v>
      </c>
      <c r="H27" t="s">
        <v>845</v>
      </c>
      <c r="I27" t="s">
        <v>851</v>
      </c>
      <c r="J27" t="s">
        <v>847</v>
      </c>
      <c r="K27" t="s">
        <v>90</v>
      </c>
      <c r="L27" t="s">
        <v>73</v>
      </c>
      <c r="M27" s="55">
        <v>1612446.67</v>
      </c>
      <c r="N27" s="55">
        <v>2787030.4</v>
      </c>
      <c r="P27" t="s">
        <v>845</v>
      </c>
      <c r="Q27" t="s">
        <v>845</v>
      </c>
      <c r="R27" s="55">
        <v>2787030.52</v>
      </c>
    </row>
    <row r="28" spans="1:18" x14ac:dyDescent="0.25">
      <c r="A28">
        <v>82511</v>
      </c>
      <c r="B28" t="s">
        <v>163</v>
      </c>
      <c r="C28" s="55">
        <v>2380059.31</v>
      </c>
      <c r="D28" s="55">
        <v>2760868.8</v>
      </c>
      <c r="F28" s="55">
        <v>2380059.31</v>
      </c>
      <c r="H28" t="s">
        <v>845</v>
      </c>
      <c r="I28" t="s">
        <v>851</v>
      </c>
      <c r="J28" t="s">
        <v>847</v>
      </c>
      <c r="K28" t="s">
        <v>90</v>
      </c>
      <c r="L28" t="s">
        <v>73</v>
      </c>
      <c r="M28" s="55">
        <v>2380059.31</v>
      </c>
      <c r="N28" s="55">
        <v>2760868.82</v>
      </c>
      <c r="P28" t="s">
        <v>845</v>
      </c>
      <c r="Q28" t="s">
        <v>845</v>
      </c>
      <c r="R28" s="55">
        <v>2760868.9</v>
      </c>
    </row>
    <row r="29" spans="1:18" x14ac:dyDescent="0.25">
      <c r="A29">
        <v>21943</v>
      </c>
      <c r="B29" t="s">
        <v>163</v>
      </c>
      <c r="C29" s="55">
        <v>2292934.14</v>
      </c>
      <c r="D29" s="55">
        <v>2659803.66</v>
      </c>
      <c r="F29" s="55">
        <v>2292934.14</v>
      </c>
      <c r="H29" t="s">
        <v>845</v>
      </c>
      <c r="I29" t="s">
        <v>851</v>
      </c>
      <c r="J29" t="s">
        <v>847</v>
      </c>
      <c r="K29" t="s">
        <v>90</v>
      </c>
      <c r="L29" t="s">
        <v>73</v>
      </c>
      <c r="M29" s="55">
        <v>2292934.14</v>
      </c>
      <c r="N29" s="55">
        <v>2659803.6</v>
      </c>
      <c r="P29" t="s">
        <v>845</v>
      </c>
      <c r="Q29" t="s">
        <v>845</v>
      </c>
      <c r="R29" s="55">
        <v>2659803.66</v>
      </c>
    </row>
    <row r="30" spans="1:18" x14ac:dyDescent="0.25">
      <c r="A30">
        <v>364</v>
      </c>
      <c r="B30" t="s">
        <v>167</v>
      </c>
      <c r="C30" s="55">
        <v>2535880.71</v>
      </c>
      <c r="D30" s="55">
        <v>2535881.08</v>
      </c>
      <c r="F30" s="55">
        <v>2535880.71</v>
      </c>
      <c r="H30" t="s">
        <v>845</v>
      </c>
      <c r="I30" t="s">
        <v>845</v>
      </c>
      <c r="J30" t="s">
        <v>847</v>
      </c>
      <c r="K30" t="s">
        <v>75</v>
      </c>
      <c r="L30" t="s">
        <v>73</v>
      </c>
      <c r="M30" s="55">
        <v>2535880.71</v>
      </c>
      <c r="N30" s="55">
        <v>2535880.71</v>
      </c>
      <c r="P30" t="s">
        <v>845</v>
      </c>
      <c r="Q30" t="s">
        <v>845</v>
      </c>
      <c r="R30" s="55">
        <v>2535881.08</v>
      </c>
    </row>
    <row r="31" spans="1:18" x14ac:dyDescent="0.25">
      <c r="A31">
        <v>11914</v>
      </c>
      <c r="B31" t="s">
        <v>171</v>
      </c>
      <c r="C31" s="55">
        <v>2177336.88</v>
      </c>
      <c r="D31" s="55">
        <v>2525710.9</v>
      </c>
      <c r="F31" s="55">
        <v>2177336.88</v>
      </c>
      <c r="H31" t="s">
        <v>845</v>
      </c>
      <c r="I31" t="s">
        <v>851</v>
      </c>
      <c r="J31" t="s">
        <v>847</v>
      </c>
      <c r="K31" t="s">
        <v>133</v>
      </c>
      <c r="L31" t="s">
        <v>57</v>
      </c>
      <c r="P31" t="s">
        <v>845</v>
      </c>
      <c r="Q31" t="s">
        <v>845</v>
      </c>
      <c r="R31" s="55">
        <v>2525710.9300000002</v>
      </c>
    </row>
    <row r="32" spans="1:18" x14ac:dyDescent="0.25">
      <c r="A32">
        <v>51698</v>
      </c>
      <c r="B32" t="s">
        <v>174</v>
      </c>
      <c r="C32" s="55">
        <v>2017199.85</v>
      </c>
      <c r="D32" s="55">
        <v>2339951.9</v>
      </c>
      <c r="F32" s="55">
        <v>2017199.85</v>
      </c>
      <c r="H32" t="s">
        <v>845</v>
      </c>
      <c r="I32" t="s">
        <v>851</v>
      </c>
      <c r="J32" t="s">
        <v>847</v>
      </c>
      <c r="K32" t="s">
        <v>90</v>
      </c>
      <c r="L32" t="s">
        <v>73</v>
      </c>
      <c r="M32" s="55">
        <v>2017199.85</v>
      </c>
      <c r="N32" s="55">
        <v>2339951.85</v>
      </c>
      <c r="P32" t="s">
        <v>845</v>
      </c>
      <c r="Q32" t="s">
        <v>845</v>
      </c>
      <c r="R32" s="55">
        <v>2339951.9</v>
      </c>
    </row>
    <row r="33" spans="1:18" x14ac:dyDescent="0.25">
      <c r="A33">
        <v>12480</v>
      </c>
      <c r="B33" t="s">
        <v>176</v>
      </c>
      <c r="C33" s="55">
        <v>1963610.75</v>
      </c>
      <c r="D33" s="55">
        <v>2277788.38</v>
      </c>
      <c r="F33" s="55">
        <v>1963610.75</v>
      </c>
      <c r="H33" t="s">
        <v>845</v>
      </c>
      <c r="I33" t="s">
        <v>845</v>
      </c>
      <c r="J33" t="s">
        <v>847</v>
      </c>
      <c r="K33" t="s">
        <v>75</v>
      </c>
      <c r="L33" t="s">
        <v>73</v>
      </c>
      <c r="M33" s="55">
        <v>1963610.75</v>
      </c>
      <c r="N33" s="55">
        <v>2277788.48</v>
      </c>
      <c r="P33" t="s">
        <v>845</v>
      </c>
      <c r="Q33" t="s">
        <v>845</v>
      </c>
      <c r="R33" s="55">
        <v>2277788.38</v>
      </c>
    </row>
    <row r="34" spans="1:18" x14ac:dyDescent="0.25">
      <c r="A34">
        <v>11042</v>
      </c>
      <c r="B34" t="s">
        <v>180</v>
      </c>
      <c r="C34" s="55">
        <v>1539286.01</v>
      </c>
      <c r="D34" s="55">
        <v>2258748.2000000002</v>
      </c>
      <c r="F34" s="55">
        <v>1467671.39</v>
      </c>
      <c r="G34" s="55">
        <v>71614.62</v>
      </c>
      <c r="H34" t="s">
        <v>845</v>
      </c>
      <c r="I34" t="s">
        <v>851</v>
      </c>
      <c r="J34" t="s">
        <v>847</v>
      </c>
      <c r="K34" t="s">
        <v>75</v>
      </c>
      <c r="L34" t="s">
        <v>73</v>
      </c>
      <c r="M34" s="55">
        <v>1467671.39</v>
      </c>
      <c r="N34" s="55">
        <v>2153661.0299999998</v>
      </c>
      <c r="P34" t="s">
        <v>845</v>
      </c>
      <c r="Q34" t="s">
        <v>845</v>
      </c>
      <c r="R34" s="55">
        <v>2258748.2000000002</v>
      </c>
    </row>
    <row r="35" spans="1:18" x14ac:dyDescent="0.25">
      <c r="A35">
        <v>307988</v>
      </c>
      <c r="B35" t="s">
        <v>183</v>
      </c>
      <c r="C35" s="55">
        <v>1768456.23</v>
      </c>
      <c r="D35" s="55">
        <v>2051409.37</v>
      </c>
      <c r="F35" s="55">
        <v>1768456.23</v>
      </c>
      <c r="H35" t="s">
        <v>845</v>
      </c>
      <c r="I35" t="s">
        <v>851</v>
      </c>
      <c r="J35" t="s">
        <v>847</v>
      </c>
      <c r="K35" t="s">
        <v>90</v>
      </c>
      <c r="L35" t="s">
        <v>73</v>
      </c>
      <c r="M35" s="55">
        <v>1768456.23</v>
      </c>
      <c r="N35" s="55">
        <v>2051409.23</v>
      </c>
      <c r="P35" t="s">
        <v>845</v>
      </c>
      <c r="Q35" t="s">
        <v>845</v>
      </c>
      <c r="R35" s="55">
        <v>2051409.38</v>
      </c>
    </row>
    <row r="36" spans="1:18" x14ac:dyDescent="0.25">
      <c r="A36">
        <v>319178</v>
      </c>
      <c r="B36" t="s">
        <v>184</v>
      </c>
      <c r="C36" s="55">
        <v>1899275.92</v>
      </c>
      <c r="D36" s="55">
        <v>1899275.89</v>
      </c>
      <c r="F36" s="55">
        <v>1307819.1499999999</v>
      </c>
      <c r="G36" s="55">
        <v>591456.77</v>
      </c>
      <c r="H36" t="s">
        <v>845</v>
      </c>
      <c r="I36" t="s">
        <v>845</v>
      </c>
      <c r="J36" t="s">
        <v>847</v>
      </c>
      <c r="K36" t="s">
        <v>75</v>
      </c>
      <c r="L36" t="s">
        <v>73</v>
      </c>
      <c r="M36" s="55">
        <v>1307819.1499999999</v>
      </c>
      <c r="N36" s="55">
        <v>1307819.1499999999</v>
      </c>
      <c r="P36" t="s">
        <v>845</v>
      </c>
      <c r="Q36" t="s">
        <v>845</v>
      </c>
      <c r="R36" s="55">
        <v>1899275.94</v>
      </c>
    </row>
    <row r="37" spans="1:18" x14ac:dyDescent="0.25">
      <c r="A37">
        <v>7410</v>
      </c>
      <c r="B37" t="s">
        <v>135</v>
      </c>
      <c r="C37" s="55">
        <v>1677791.02</v>
      </c>
      <c r="D37" s="55">
        <v>1898195.6</v>
      </c>
      <c r="F37" s="55">
        <v>1677791.02</v>
      </c>
      <c r="H37" t="s">
        <v>855</v>
      </c>
      <c r="I37" t="s">
        <v>856</v>
      </c>
      <c r="J37" t="s">
        <v>847</v>
      </c>
      <c r="K37" t="s">
        <v>75</v>
      </c>
      <c r="L37" t="s">
        <v>57</v>
      </c>
      <c r="O37" t="s">
        <v>155</v>
      </c>
      <c r="P37" t="s">
        <v>845</v>
      </c>
      <c r="Q37" t="s">
        <v>845</v>
      </c>
      <c r="R37" s="55">
        <v>1898195.6</v>
      </c>
    </row>
    <row r="38" spans="1:18" x14ac:dyDescent="0.25">
      <c r="A38">
        <v>303974</v>
      </c>
      <c r="B38" t="s">
        <v>188</v>
      </c>
      <c r="C38" s="55">
        <v>1805198.34</v>
      </c>
      <c r="D38" s="55">
        <v>1805198.33</v>
      </c>
      <c r="E38" s="55">
        <v>1799385</v>
      </c>
      <c r="F38" t="s">
        <v>845</v>
      </c>
      <c r="G38" s="55">
        <v>5813</v>
      </c>
      <c r="H38" t="s">
        <v>845</v>
      </c>
      <c r="I38" t="s">
        <v>845</v>
      </c>
      <c r="J38" t="s">
        <v>847</v>
      </c>
      <c r="K38" t="s">
        <v>82</v>
      </c>
      <c r="L38" t="s">
        <v>81</v>
      </c>
      <c r="M38" s="55">
        <v>1799385</v>
      </c>
      <c r="N38" s="55">
        <v>1799385</v>
      </c>
      <c r="P38" t="s">
        <v>845</v>
      </c>
      <c r="Q38" t="s">
        <v>845</v>
      </c>
      <c r="R38" s="55">
        <v>1805198.33</v>
      </c>
    </row>
    <row r="39" spans="1:18" x14ac:dyDescent="0.25">
      <c r="A39">
        <v>29272</v>
      </c>
      <c r="B39" t="s">
        <v>192</v>
      </c>
      <c r="C39" s="55">
        <v>1802449.19</v>
      </c>
      <c r="D39" s="55">
        <v>1802449.19</v>
      </c>
      <c r="F39" s="55">
        <v>1802449.19</v>
      </c>
      <c r="H39" t="s">
        <v>845</v>
      </c>
      <c r="I39" t="s">
        <v>851</v>
      </c>
      <c r="J39" t="s">
        <v>847</v>
      </c>
      <c r="K39" t="s">
        <v>90</v>
      </c>
      <c r="L39" t="s">
        <v>73</v>
      </c>
      <c r="M39" s="55">
        <v>1802449.19</v>
      </c>
      <c r="N39" s="55">
        <v>1802449.19</v>
      </c>
      <c r="P39" t="s">
        <v>845</v>
      </c>
      <c r="Q39" t="s">
        <v>845</v>
      </c>
      <c r="R39" s="55">
        <v>1802449.19</v>
      </c>
    </row>
    <row r="40" spans="1:18" x14ac:dyDescent="0.25">
      <c r="A40">
        <v>21367</v>
      </c>
      <c r="B40" t="s">
        <v>195</v>
      </c>
      <c r="C40" s="55">
        <v>1641249.73</v>
      </c>
      <c r="D40" s="55">
        <v>1725862.83</v>
      </c>
      <c r="E40" s="55">
        <v>624456.68999999994</v>
      </c>
      <c r="F40" s="55">
        <v>1016793.04</v>
      </c>
      <c r="H40" t="s">
        <v>845</v>
      </c>
      <c r="I40" t="s">
        <v>858</v>
      </c>
      <c r="J40" t="s">
        <v>847</v>
      </c>
      <c r="K40" t="s">
        <v>75</v>
      </c>
      <c r="L40" t="s">
        <v>73</v>
      </c>
      <c r="M40" s="55">
        <v>1641249.73</v>
      </c>
      <c r="N40" s="55">
        <v>1725862.84</v>
      </c>
      <c r="P40" t="s">
        <v>845</v>
      </c>
      <c r="Q40" t="s">
        <v>845</v>
      </c>
      <c r="R40" s="55">
        <v>1725862.83</v>
      </c>
    </row>
    <row r="41" spans="1:18" x14ac:dyDescent="0.25">
      <c r="A41">
        <v>13835</v>
      </c>
      <c r="B41" t="s">
        <v>199</v>
      </c>
      <c r="C41" s="55">
        <v>1695399.25</v>
      </c>
      <c r="D41" s="55">
        <v>1695399.25</v>
      </c>
      <c r="E41" s="55">
        <v>1565314.25</v>
      </c>
      <c r="G41" s="55">
        <v>130085</v>
      </c>
      <c r="H41" t="s">
        <v>845</v>
      </c>
      <c r="I41" t="s">
        <v>859</v>
      </c>
      <c r="J41" t="s">
        <v>847</v>
      </c>
      <c r="K41" t="s">
        <v>82</v>
      </c>
      <c r="L41" t="s">
        <v>81</v>
      </c>
      <c r="M41" s="55">
        <v>1565314.25</v>
      </c>
      <c r="N41" s="55">
        <v>1565314.25</v>
      </c>
      <c r="P41" t="s">
        <v>845</v>
      </c>
      <c r="Q41" t="s">
        <v>845</v>
      </c>
      <c r="R41" s="55">
        <v>1695399.25</v>
      </c>
    </row>
    <row r="42" spans="1:18" x14ac:dyDescent="0.25">
      <c r="A42">
        <v>327197</v>
      </c>
      <c r="B42" t="s">
        <v>201</v>
      </c>
      <c r="C42" s="55">
        <v>1454493.13</v>
      </c>
      <c r="D42" s="55">
        <v>1687212.04</v>
      </c>
      <c r="E42" s="55">
        <v>1026732.7</v>
      </c>
      <c r="G42" s="55">
        <v>427760.43</v>
      </c>
      <c r="H42" t="s">
        <v>845</v>
      </c>
      <c r="I42" t="s">
        <v>845</v>
      </c>
      <c r="J42" t="s">
        <v>847</v>
      </c>
      <c r="K42" t="s">
        <v>82</v>
      </c>
      <c r="L42" t="s">
        <v>81</v>
      </c>
      <c r="M42" s="55">
        <v>1026732.7</v>
      </c>
      <c r="N42" s="55">
        <v>1191009.93</v>
      </c>
      <c r="P42" t="s">
        <v>845</v>
      </c>
      <c r="Q42" t="s">
        <v>845</v>
      </c>
      <c r="R42" s="55">
        <v>1687212.04</v>
      </c>
    </row>
    <row r="43" spans="1:18" x14ac:dyDescent="0.25">
      <c r="A43">
        <v>16747</v>
      </c>
      <c r="B43" t="s">
        <v>206</v>
      </c>
      <c r="C43" s="55">
        <v>1363627.56</v>
      </c>
      <c r="D43" s="55">
        <v>1581808</v>
      </c>
      <c r="F43" s="55">
        <v>1363627.56</v>
      </c>
      <c r="H43" t="s">
        <v>845</v>
      </c>
      <c r="I43" t="s">
        <v>845</v>
      </c>
      <c r="J43" t="s">
        <v>847</v>
      </c>
      <c r="K43" t="s">
        <v>75</v>
      </c>
      <c r="L43" t="s">
        <v>73</v>
      </c>
      <c r="M43" s="55">
        <v>1363627.56</v>
      </c>
      <c r="N43" s="55">
        <v>1581807.99</v>
      </c>
      <c r="O43" t="s">
        <v>207</v>
      </c>
      <c r="P43" t="s">
        <v>845</v>
      </c>
      <c r="Q43" t="s">
        <v>845</v>
      </c>
      <c r="R43" s="55">
        <v>1581808</v>
      </c>
    </row>
    <row r="44" spans="1:18" x14ac:dyDescent="0.25">
      <c r="A44">
        <v>83394</v>
      </c>
      <c r="B44" t="s">
        <v>209</v>
      </c>
      <c r="C44" s="55">
        <v>1061915.96</v>
      </c>
      <c r="D44" s="55">
        <v>1568113.17</v>
      </c>
      <c r="E44" s="55">
        <v>76727.77</v>
      </c>
      <c r="G44" s="55">
        <v>985188.19</v>
      </c>
      <c r="H44" t="s">
        <v>845</v>
      </c>
      <c r="I44" t="s">
        <v>845</v>
      </c>
      <c r="J44" t="s">
        <v>847</v>
      </c>
      <c r="K44" t="s">
        <v>82</v>
      </c>
      <c r="L44" t="s">
        <v>81</v>
      </c>
      <c r="M44" s="55">
        <v>76727.77</v>
      </c>
      <c r="N44" s="55">
        <v>82743.289999999994</v>
      </c>
      <c r="P44" t="s">
        <v>845</v>
      </c>
      <c r="Q44" t="s">
        <v>845</v>
      </c>
      <c r="R44" s="55">
        <v>1568113.17</v>
      </c>
    </row>
    <row r="45" spans="1:18" x14ac:dyDescent="0.25">
      <c r="A45">
        <v>305</v>
      </c>
      <c r="B45" t="s">
        <v>211</v>
      </c>
      <c r="C45" s="55">
        <v>1561609.4</v>
      </c>
      <c r="D45" s="55">
        <v>1561608.56</v>
      </c>
      <c r="F45" s="55">
        <v>1561609.4</v>
      </c>
      <c r="H45" t="s">
        <v>845</v>
      </c>
      <c r="I45" t="s">
        <v>851</v>
      </c>
      <c r="J45" t="s">
        <v>847</v>
      </c>
      <c r="K45" t="s">
        <v>90</v>
      </c>
      <c r="L45" t="s">
        <v>73</v>
      </c>
      <c r="M45" s="55">
        <v>1561609.4</v>
      </c>
      <c r="N45" s="55">
        <v>1561609.4</v>
      </c>
      <c r="P45" t="s">
        <v>845</v>
      </c>
      <c r="Q45" t="s">
        <v>845</v>
      </c>
      <c r="R45" s="55">
        <v>1561608.56</v>
      </c>
    </row>
    <row r="46" spans="1:18" x14ac:dyDescent="0.25">
      <c r="A46">
        <v>34801</v>
      </c>
      <c r="B46" t="s">
        <v>214</v>
      </c>
      <c r="C46" s="55">
        <v>1340024.6200000001</v>
      </c>
      <c r="D46" s="55">
        <v>1554428.58</v>
      </c>
      <c r="F46" s="55">
        <v>1340024.6200000001</v>
      </c>
      <c r="H46" t="s">
        <v>845</v>
      </c>
      <c r="I46" t="s">
        <v>851</v>
      </c>
      <c r="J46" t="s">
        <v>847</v>
      </c>
      <c r="K46" t="s">
        <v>90</v>
      </c>
      <c r="L46" t="s">
        <v>73</v>
      </c>
      <c r="M46" s="55">
        <v>1340024.6200000001</v>
      </c>
      <c r="N46" s="55">
        <v>1554428.56</v>
      </c>
      <c r="P46" t="s">
        <v>845</v>
      </c>
      <c r="Q46" t="s">
        <v>845</v>
      </c>
      <c r="R46" s="55">
        <v>1554428.58</v>
      </c>
    </row>
    <row r="47" spans="1:18" x14ac:dyDescent="0.25">
      <c r="A47">
        <v>312231</v>
      </c>
      <c r="B47" t="s">
        <v>217</v>
      </c>
      <c r="C47" s="55">
        <v>1362282.35</v>
      </c>
      <c r="D47" s="55">
        <v>1546284.54</v>
      </c>
      <c r="F47" s="55">
        <v>1362282.35</v>
      </c>
      <c r="H47" t="s">
        <v>845</v>
      </c>
      <c r="I47" t="s">
        <v>845</v>
      </c>
      <c r="J47" t="s">
        <v>847</v>
      </c>
      <c r="K47" t="s">
        <v>75</v>
      </c>
      <c r="L47" t="s">
        <v>73</v>
      </c>
      <c r="M47" s="55">
        <v>1362282.35</v>
      </c>
      <c r="N47" s="55">
        <v>1546284.64</v>
      </c>
      <c r="O47" t="s">
        <v>218</v>
      </c>
      <c r="P47" t="s">
        <v>845</v>
      </c>
      <c r="Q47" t="s">
        <v>845</v>
      </c>
      <c r="R47" s="55">
        <v>1546284.54</v>
      </c>
    </row>
    <row r="48" spans="1:18" x14ac:dyDescent="0.25">
      <c r="A48">
        <v>75390</v>
      </c>
      <c r="B48" t="s">
        <v>221</v>
      </c>
      <c r="C48" s="55">
        <v>1455353.94</v>
      </c>
      <c r="D48" s="55">
        <v>1455353.93</v>
      </c>
      <c r="F48" s="55">
        <v>1384859.78</v>
      </c>
      <c r="G48" s="55">
        <v>70494.149999999994</v>
      </c>
      <c r="H48" t="s">
        <v>845</v>
      </c>
      <c r="I48" t="s">
        <v>845</v>
      </c>
      <c r="J48" t="s">
        <v>847</v>
      </c>
      <c r="K48" t="s">
        <v>75</v>
      </c>
      <c r="L48" t="s">
        <v>73</v>
      </c>
      <c r="M48" s="55">
        <v>1384859.78</v>
      </c>
      <c r="N48" s="55">
        <v>1384859.78</v>
      </c>
      <c r="O48" t="s">
        <v>222</v>
      </c>
      <c r="P48" t="s">
        <v>845</v>
      </c>
      <c r="Q48" t="s">
        <v>845</v>
      </c>
      <c r="R48" s="55">
        <v>1455353.93</v>
      </c>
    </row>
    <row r="49" spans="1:18" x14ac:dyDescent="0.25">
      <c r="A49">
        <v>379495</v>
      </c>
      <c r="B49" t="s">
        <v>224</v>
      </c>
      <c r="C49" s="55">
        <v>1308098.27</v>
      </c>
      <c r="D49" s="55">
        <v>1406356.85</v>
      </c>
      <c r="F49" s="55">
        <v>1308098.27</v>
      </c>
      <c r="H49" t="s">
        <v>845</v>
      </c>
      <c r="I49" t="s">
        <v>851</v>
      </c>
      <c r="J49" t="s">
        <v>847</v>
      </c>
      <c r="K49" t="s">
        <v>90</v>
      </c>
      <c r="L49" t="s">
        <v>73</v>
      </c>
      <c r="M49" s="55">
        <v>1308098.27</v>
      </c>
      <c r="N49" s="55">
        <v>1406356.93</v>
      </c>
      <c r="P49" t="s">
        <v>845</v>
      </c>
      <c r="Q49" t="s">
        <v>845</v>
      </c>
      <c r="R49" s="55">
        <v>1406356.85</v>
      </c>
    </row>
    <row r="50" spans="1:18" x14ac:dyDescent="0.25">
      <c r="A50">
        <v>51987</v>
      </c>
      <c r="B50" t="s">
        <v>225</v>
      </c>
      <c r="C50" s="55">
        <v>1298565.31</v>
      </c>
      <c r="D50" s="55">
        <v>1402450.62</v>
      </c>
      <c r="F50" s="55">
        <v>1298565.31</v>
      </c>
      <c r="H50" t="s">
        <v>845</v>
      </c>
      <c r="I50" t="s">
        <v>851</v>
      </c>
      <c r="J50" t="s">
        <v>847</v>
      </c>
      <c r="K50" t="s">
        <v>90</v>
      </c>
      <c r="L50" t="s">
        <v>73</v>
      </c>
      <c r="M50" s="55">
        <v>1298565.31</v>
      </c>
      <c r="N50" s="55">
        <v>1402450.56</v>
      </c>
      <c r="P50" t="s">
        <v>845</v>
      </c>
      <c r="Q50" t="s">
        <v>845</v>
      </c>
      <c r="R50" s="55">
        <v>1402450.67</v>
      </c>
    </row>
    <row r="51" spans="1:18" x14ac:dyDescent="0.25">
      <c r="A51">
        <v>14833</v>
      </c>
      <c r="B51" t="s">
        <v>226</v>
      </c>
      <c r="C51" s="55">
        <v>1202006.4099999999</v>
      </c>
      <c r="D51" s="55">
        <v>1394327.58</v>
      </c>
      <c r="F51" s="55">
        <v>1202006.4099999999</v>
      </c>
      <c r="H51" t="s">
        <v>845</v>
      </c>
      <c r="I51" t="s">
        <v>851</v>
      </c>
      <c r="J51" t="s">
        <v>847</v>
      </c>
      <c r="K51" t="s">
        <v>90</v>
      </c>
      <c r="L51" t="s">
        <v>73</v>
      </c>
      <c r="M51" s="55">
        <v>1202006.4099999999</v>
      </c>
      <c r="N51" s="55">
        <v>1394327.43</v>
      </c>
      <c r="P51" t="s">
        <v>845</v>
      </c>
      <c r="Q51" t="s">
        <v>845</v>
      </c>
      <c r="R51" s="55">
        <v>1394327.59</v>
      </c>
    </row>
    <row r="52" spans="1:18" x14ac:dyDescent="0.25">
      <c r="A52">
        <v>55780</v>
      </c>
      <c r="B52" t="s">
        <v>227</v>
      </c>
      <c r="C52" s="55">
        <v>1199170.96</v>
      </c>
      <c r="D52" s="55">
        <v>1391038.55</v>
      </c>
      <c r="F52" s="55">
        <v>1199170.96</v>
      </c>
      <c r="H52" t="s">
        <v>845</v>
      </c>
      <c r="I52" t="s">
        <v>851</v>
      </c>
      <c r="J52" t="s">
        <v>847</v>
      </c>
      <c r="K52" t="s">
        <v>90</v>
      </c>
      <c r="L52" t="s">
        <v>73</v>
      </c>
      <c r="M52" s="55">
        <v>1199170.96</v>
      </c>
      <c r="N52" s="55">
        <v>1391038.43</v>
      </c>
      <c r="P52" t="s">
        <v>845</v>
      </c>
      <c r="Q52" t="s">
        <v>845</v>
      </c>
      <c r="R52" s="55">
        <v>1391038.55</v>
      </c>
    </row>
    <row r="53" spans="1:18" x14ac:dyDescent="0.25">
      <c r="A53">
        <v>325258</v>
      </c>
      <c r="B53" t="s">
        <v>230</v>
      </c>
      <c r="C53" s="55">
        <v>1374858.16</v>
      </c>
      <c r="D53" s="55">
        <v>1379211.03</v>
      </c>
      <c r="E53" s="55">
        <v>323466.15000000002</v>
      </c>
      <c r="F53" s="55">
        <v>81753.820000000007</v>
      </c>
      <c r="G53" s="55">
        <v>969638.19</v>
      </c>
      <c r="H53" t="s">
        <v>845</v>
      </c>
      <c r="I53" t="s">
        <v>851</v>
      </c>
      <c r="J53" t="s">
        <v>847</v>
      </c>
      <c r="K53" t="s">
        <v>75</v>
      </c>
      <c r="L53" t="s">
        <v>73</v>
      </c>
      <c r="M53" s="55">
        <v>405219.97</v>
      </c>
      <c r="N53" s="55">
        <v>408637.7</v>
      </c>
      <c r="P53" t="s">
        <v>845</v>
      </c>
      <c r="Q53" t="s">
        <v>845</v>
      </c>
      <c r="R53" s="55">
        <v>1379211.03</v>
      </c>
    </row>
    <row r="54" spans="1:18" x14ac:dyDescent="0.25">
      <c r="A54">
        <v>137</v>
      </c>
      <c r="B54" t="s">
        <v>233</v>
      </c>
      <c r="C54" s="55">
        <v>1171057.74</v>
      </c>
      <c r="D54" s="55">
        <v>1358427.01</v>
      </c>
      <c r="F54" s="55">
        <v>1171057.74</v>
      </c>
      <c r="H54" t="s">
        <v>845</v>
      </c>
      <c r="I54" t="s">
        <v>851</v>
      </c>
      <c r="J54" t="s">
        <v>847</v>
      </c>
      <c r="K54" t="s">
        <v>133</v>
      </c>
      <c r="L54" t="s">
        <v>57</v>
      </c>
      <c r="P54" t="s">
        <v>845</v>
      </c>
      <c r="Q54" t="s">
        <v>845</v>
      </c>
      <c r="R54" s="55">
        <v>1358427.01</v>
      </c>
    </row>
    <row r="55" spans="1:18" x14ac:dyDescent="0.25">
      <c r="A55">
        <v>389783</v>
      </c>
      <c r="B55" t="s">
        <v>235</v>
      </c>
      <c r="C55" s="55">
        <v>1044839.96</v>
      </c>
      <c r="D55" s="55">
        <v>1212014.3600000001</v>
      </c>
      <c r="F55" s="55">
        <v>1044839.96</v>
      </c>
      <c r="H55" t="s">
        <v>845</v>
      </c>
      <c r="I55" t="s">
        <v>851</v>
      </c>
      <c r="J55" t="s">
        <v>847</v>
      </c>
      <c r="K55" t="s">
        <v>90</v>
      </c>
      <c r="L55" t="s">
        <v>73</v>
      </c>
      <c r="M55" s="55">
        <v>1044839.96</v>
      </c>
      <c r="N55" s="55">
        <v>1212014.3600000001</v>
      </c>
      <c r="P55" t="s">
        <v>845</v>
      </c>
      <c r="Q55" t="s">
        <v>845</v>
      </c>
      <c r="R55" s="55">
        <v>1212014.3400000001</v>
      </c>
    </row>
    <row r="56" spans="1:18" x14ac:dyDescent="0.25">
      <c r="A56">
        <v>397984</v>
      </c>
      <c r="B56" t="s">
        <v>237</v>
      </c>
      <c r="C56" s="55">
        <v>1009288.59</v>
      </c>
      <c r="D56" s="55">
        <v>1170774.76</v>
      </c>
      <c r="F56" s="55">
        <v>996068.37</v>
      </c>
      <c r="G56" s="55">
        <v>13220.22</v>
      </c>
      <c r="H56" t="s">
        <v>845</v>
      </c>
      <c r="I56" t="s">
        <v>845</v>
      </c>
      <c r="J56" t="s">
        <v>847</v>
      </c>
      <c r="K56" t="s">
        <v>75</v>
      </c>
      <c r="L56" t="s">
        <v>238</v>
      </c>
      <c r="P56" t="s">
        <v>845</v>
      </c>
      <c r="Q56" s="55">
        <v>1170774.76</v>
      </c>
      <c r="R56" t="s">
        <v>845</v>
      </c>
    </row>
    <row r="57" spans="1:18" x14ac:dyDescent="0.25">
      <c r="A57">
        <v>383349</v>
      </c>
      <c r="B57" t="s">
        <v>241</v>
      </c>
      <c r="C57" s="55">
        <v>1141553.98</v>
      </c>
      <c r="D57" s="55">
        <v>1141553.99</v>
      </c>
      <c r="F57" s="55">
        <v>1141553.98</v>
      </c>
      <c r="H57" t="s">
        <v>845</v>
      </c>
      <c r="I57" t="s">
        <v>845</v>
      </c>
      <c r="J57" t="s">
        <v>847</v>
      </c>
      <c r="K57" t="s">
        <v>75</v>
      </c>
      <c r="L57" t="s">
        <v>73</v>
      </c>
      <c r="M57" s="55">
        <v>1141553.98</v>
      </c>
      <c r="N57" s="55">
        <v>1141553.98</v>
      </c>
      <c r="P57" t="s">
        <v>845</v>
      </c>
      <c r="Q57" t="s">
        <v>845</v>
      </c>
      <c r="R57" s="55">
        <v>1141553.99</v>
      </c>
    </row>
    <row r="58" spans="1:18" x14ac:dyDescent="0.25">
      <c r="A58">
        <v>5330</v>
      </c>
      <c r="B58" t="s">
        <v>245</v>
      </c>
      <c r="C58" s="55">
        <v>961798.11</v>
      </c>
      <c r="D58" s="55">
        <v>1115685.82</v>
      </c>
      <c r="F58" s="55">
        <v>961798.11</v>
      </c>
      <c r="H58" t="s">
        <v>845</v>
      </c>
      <c r="I58" t="s">
        <v>845</v>
      </c>
      <c r="J58" t="s">
        <v>847</v>
      </c>
      <c r="K58" t="s">
        <v>75</v>
      </c>
      <c r="L58" t="s">
        <v>73</v>
      </c>
      <c r="M58" s="55">
        <v>961798.11</v>
      </c>
      <c r="N58" s="55">
        <v>1115685.81</v>
      </c>
      <c r="P58" t="s">
        <v>845</v>
      </c>
      <c r="Q58" t="s">
        <v>845</v>
      </c>
      <c r="R58" s="55">
        <v>1115685.82</v>
      </c>
    </row>
    <row r="59" spans="1:18" x14ac:dyDescent="0.25">
      <c r="A59">
        <v>21845</v>
      </c>
      <c r="B59" t="s">
        <v>249</v>
      </c>
      <c r="C59" s="55">
        <v>1064364.8899999999</v>
      </c>
      <c r="D59" s="55">
        <v>1064364.8899999999</v>
      </c>
      <c r="F59" s="55">
        <v>1064364.8899999999</v>
      </c>
      <c r="H59" t="s">
        <v>845</v>
      </c>
      <c r="I59" t="s">
        <v>851</v>
      </c>
      <c r="J59" t="s">
        <v>847</v>
      </c>
      <c r="K59" t="s">
        <v>90</v>
      </c>
      <c r="L59" t="s">
        <v>73</v>
      </c>
      <c r="M59" s="55">
        <v>1064364.8899999999</v>
      </c>
      <c r="N59" s="55">
        <v>1064364.8899999999</v>
      </c>
      <c r="P59" t="s">
        <v>845</v>
      </c>
      <c r="Q59" t="s">
        <v>845</v>
      </c>
      <c r="R59" s="55">
        <v>1064364.8899999999</v>
      </c>
    </row>
    <row r="60" spans="1:18" x14ac:dyDescent="0.25">
      <c r="A60">
        <v>22068</v>
      </c>
      <c r="B60" t="s">
        <v>250</v>
      </c>
      <c r="C60" s="55">
        <v>1060303.72</v>
      </c>
      <c r="D60" s="55">
        <v>1060303.73</v>
      </c>
      <c r="F60" s="55">
        <v>1060303.72</v>
      </c>
      <c r="H60" t="s">
        <v>845</v>
      </c>
      <c r="I60" t="s">
        <v>851</v>
      </c>
      <c r="J60" t="s">
        <v>847</v>
      </c>
      <c r="K60" t="s">
        <v>90</v>
      </c>
      <c r="L60" t="s">
        <v>73</v>
      </c>
      <c r="M60" s="55">
        <v>1060303.72</v>
      </c>
      <c r="N60" s="55">
        <v>1060303.72</v>
      </c>
      <c r="P60" t="s">
        <v>845</v>
      </c>
      <c r="Q60" t="s">
        <v>845</v>
      </c>
      <c r="R60" s="55">
        <v>1060303.73</v>
      </c>
    </row>
    <row r="61" spans="1:18" x14ac:dyDescent="0.25">
      <c r="A61">
        <v>58958</v>
      </c>
      <c r="B61" t="s">
        <v>251</v>
      </c>
      <c r="C61" s="55">
        <v>912839.39</v>
      </c>
      <c r="D61" s="55">
        <v>1058893.69</v>
      </c>
      <c r="F61" s="55">
        <v>912839.39</v>
      </c>
      <c r="H61" t="s">
        <v>845</v>
      </c>
      <c r="I61" t="s">
        <v>845</v>
      </c>
      <c r="J61" t="s">
        <v>860</v>
      </c>
      <c r="K61" t="s">
        <v>90</v>
      </c>
      <c r="L61" t="s">
        <v>73</v>
      </c>
      <c r="M61" s="55">
        <v>912839.39</v>
      </c>
      <c r="N61" s="55">
        <v>1058893.75</v>
      </c>
      <c r="P61" t="s">
        <v>845</v>
      </c>
      <c r="Q61" t="s">
        <v>845</v>
      </c>
      <c r="R61" s="55">
        <v>1058893.69</v>
      </c>
    </row>
    <row r="62" spans="1:18" x14ac:dyDescent="0.25">
      <c r="A62">
        <v>387183</v>
      </c>
      <c r="B62" t="s">
        <v>253</v>
      </c>
      <c r="C62" s="55">
        <v>866011.35</v>
      </c>
      <c r="D62" s="55">
        <v>1004572.63</v>
      </c>
      <c r="F62" s="55">
        <v>866011.35</v>
      </c>
      <c r="H62" t="s">
        <v>845</v>
      </c>
      <c r="I62" t="s">
        <v>845</v>
      </c>
      <c r="J62" t="s">
        <v>847</v>
      </c>
      <c r="K62" t="s">
        <v>75</v>
      </c>
      <c r="L62" t="s">
        <v>73</v>
      </c>
      <c r="M62" s="55">
        <v>866011.35</v>
      </c>
      <c r="N62" s="55">
        <v>1004572.59</v>
      </c>
      <c r="P62" t="s">
        <v>845</v>
      </c>
      <c r="Q62" t="s">
        <v>845</v>
      </c>
      <c r="R62" s="55">
        <v>1004572.63</v>
      </c>
    </row>
    <row r="63" spans="1:18" x14ac:dyDescent="0.25">
      <c r="A63">
        <v>81422</v>
      </c>
      <c r="B63" t="s">
        <v>255</v>
      </c>
      <c r="C63" s="55">
        <v>862425.72</v>
      </c>
      <c r="D63" s="55">
        <v>1000413.84</v>
      </c>
      <c r="F63" s="55">
        <v>862425.72</v>
      </c>
      <c r="H63" t="s">
        <v>845</v>
      </c>
      <c r="I63" t="s">
        <v>845</v>
      </c>
      <c r="J63" t="s">
        <v>860</v>
      </c>
      <c r="K63" t="s">
        <v>90</v>
      </c>
      <c r="L63" t="s">
        <v>73</v>
      </c>
      <c r="M63" s="55">
        <v>862425.72</v>
      </c>
      <c r="N63" s="55">
        <v>1000413.84</v>
      </c>
      <c r="P63" t="s">
        <v>845</v>
      </c>
      <c r="Q63" t="s">
        <v>845</v>
      </c>
      <c r="R63" s="55">
        <v>1000413.84</v>
      </c>
    </row>
    <row r="64" spans="1:18" x14ac:dyDescent="0.25">
      <c r="A64">
        <v>394189</v>
      </c>
      <c r="B64" t="s">
        <v>257</v>
      </c>
      <c r="C64" s="55">
        <v>861532.13</v>
      </c>
      <c r="D64" s="55">
        <v>999377.42</v>
      </c>
      <c r="F64" s="55">
        <v>861532.13</v>
      </c>
      <c r="H64" t="s">
        <v>845</v>
      </c>
      <c r="I64" t="s">
        <v>845</v>
      </c>
      <c r="J64" t="s">
        <v>860</v>
      </c>
      <c r="K64" t="s">
        <v>90</v>
      </c>
      <c r="L64" t="s">
        <v>73</v>
      </c>
      <c r="M64" s="55">
        <v>861532.13</v>
      </c>
      <c r="N64" s="55">
        <v>999377.43</v>
      </c>
      <c r="P64" t="s">
        <v>845</v>
      </c>
      <c r="Q64" t="s">
        <v>845</v>
      </c>
      <c r="R64" s="55">
        <v>999377.42</v>
      </c>
    </row>
    <row r="65" spans="1:18" x14ac:dyDescent="0.25">
      <c r="A65">
        <v>53256</v>
      </c>
      <c r="B65" t="s">
        <v>260</v>
      </c>
      <c r="C65" s="55">
        <v>825790.19</v>
      </c>
      <c r="D65" s="55">
        <v>957916.6</v>
      </c>
      <c r="E65" s="55">
        <v>701416.7</v>
      </c>
      <c r="F65" t="s">
        <v>845</v>
      </c>
      <c r="G65" s="55">
        <v>124373.49</v>
      </c>
      <c r="H65" t="s">
        <v>845</v>
      </c>
      <c r="I65" t="s">
        <v>845</v>
      </c>
      <c r="J65" t="s">
        <v>847</v>
      </c>
      <c r="K65" t="s">
        <v>82</v>
      </c>
      <c r="L65" t="s">
        <v>81</v>
      </c>
      <c r="M65" s="55">
        <v>701416.7</v>
      </c>
      <c r="N65" s="55">
        <v>813643.37</v>
      </c>
      <c r="P65" t="s">
        <v>845</v>
      </c>
      <c r="Q65" t="s">
        <v>845</v>
      </c>
      <c r="R65" s="55">
        <v>957916.6</v>
      </c>
    </row>
    <row r="66" spans="1:18" x14ac:dyDescent="0.25">
      <c r="A66">
        <v>16068</v>
      </c>
      <c r="B66" t="s">
        <v>263</v>
      </c>
      <c r="C66" s="55">
        <v>821068.11</v>
      </c>
      <c r="D66" s="55">
        <v>952439.07</v>
      </c>
      <c r="F66" s="55">
        <v>821068.11</v>
      </c>
      <c r="H66" t="s">
        <v>845</v>
      </c>
      <c r="I66" t="s">
        <v>845</v>
      </c>
      <c r="J66" t="s">
        <v>860</v>
      </c>
      <c r="K66" t="s">
        <v>90</v>
      </c>
      <c r="L66" t="s">
        <v>238</v>
      </c>
      <c r="P66" t="s">
        <v>845</v>
      </c>
      <c r="Q66" s="55">
        <v>952439.05</v>
      </c>
      <c r="R66" t="s">
        <v>845</v>
      </c>
    </row>
    <row r="67" spans="1:18" x14ac:dyDescent="0.25">
      <c r="A67">
        <v>33571</v>
      </c>
      <c r="B67" t="s">
        <v>264</v>
      </c>
      <c r="C67" s="55">
        <v>945096.76</v>
      </c>
      <c r="D67" s="55">
        <v>945096.76</v>
      </c>
      <c r="F67" s="55">
        <v>945096.76</v>
      </c>
      <c r="H67" t="s">
        <v>845</v>
      </c>
      <c r="I67" t="s">
        <v>845</v>
      </c>
      <c r="J67" t="s">
        <v>860</v>
      </c>
      <c r="K67" t="s">
        <v>90</v>
      </c>
      <c r="L67" t="s">
        <v>73</v>
      </c>
      <c r="M67" s="55">
        <v>945096.76</v>
      </c>
      <c r="N67" s="55">
        <v>945096.76</v>
      </c>
      <c r="P67" t="s">
        <v>845</v>
      </c>
      <c r="Q67" t="s">
        <v>845</v>
      </c>
      <c r="R67" s="55">
        <v>945096.76</v>
      </c>
    </row>
    <row r="68" spans="1:18" x14ac:dyDescent="0.25">
      <c r="A68">
        <v>304196</v>
      </c>
      <c r="B68" t="s">
        <v>265</v>
      </c>
      <c r="C68" s="55">
        <v>927389.66</v>
      </c>
      <c r="D68" s="55">
        <v>927389.66</v>
      </c>
      <c r="F68" s="55">
        <v>927389.66</v>
      </c>
      <c r="H68" t="s">
        <v>845</v>
      </c>
      <c r="I68" t="s">
        <v>845</v>
      </c>
      <c r="J68" t="s">
        <v>860</v>
      </c>
      <c r="K68" t="s">
        <v>90</v>
      </c>
      <c r="L68" t="s">
        <v>73</v>
      </c>
      <c r="M68" s="55">
        <v>927389.66</v>
      </c>
      <c r="N68" s="55">
        <v>927389.66</v>
      </c>
      <c r="P68" t="s">
        <v>845</v>
      </c>
      <c r="Q68" t="s">
        <v>845</v>
      </c>
      <c r="R68" s="55">
        <v>927389.66</v>
      </c>
    </row>
    <row r="69" spans="1:18" x14ac:dyDescent="0.25">
      <c r="A69">
        <v>306225</v>
      </c>
      <c r="B69" t="s">
        <v>266</v>
      </c>
      <c r="C69" s="55">
        <v>803396.8</v>
      </c>
      <c r="D69" s="55">
        <v>916496.61</v>
      </c>
      <c r="F69" s="55">
        <v>803396.8</v>
      </c>
      <c r="H69" t="s">
        <v>845</v>
      </c>
      <c r="I69" t="s">
        <v>845</v>
      </c>
      <c r="J69" t="s">
        <v>860</v>
      </c>
      <c r="K69" t="s">
        <v>90</v>
      </c>
      <c r="L69" t="s">
        <v>73</v>
      </c>
      <c r="M69" s="55">
        <v>803396.8</v>
      </c>
      <c r="N69" s="55">
        <v>916496.88</v>
      </c>
      <c r="P69" t="s">
        <v>845</v>
      </c>
      <c r="Q69" t="s">
        <v>845</v>
      </c>
      <c r="R69" s="55">
        <v>916496.61</v>
      </c>
    </row>
    <row r="70" spans="1:18" x14ac:dyDescent="0.25">
      <c r="A70">
        <v>11361</v>
      </c>
      <c r="B70" t="s">
        <v>268</v>
      </c>
      <c r="C70" s="55">
        <v>786706.16</v>
      </c>
      <c r="D70" s="55">
        <v>912579.27</v>
      </c>
      <c r="F70" s="55">
        <v>786706.16</v>
      </c>
      <c r="H70" t="s">
        <v>845</v>
      </c>
      <c r="I70" t="s">
        <v>849</v>
      </c>
      <c r="J70" t="s">
        <v>847</v>
      </c>
      <c r="K70" t="s">
        <v>75</v>
      </c>
      <c r="L70" t="s">
        <v>73</v>
      </c>
      <c r="M70" s="55">
        <v>786706.16</v>
      </c>
      <c r="N70" s="55">
        <v>912579.18</v>
      </c>
      <c r="P70" t="s">
        <v>845</v>
      </c>
      <c r="Q70" t="s">
        <v>845</v>
      </c>
      <c r="R70" s="55">
        <v>912579.27</v>
      </c>
    </row>
    <row r="71" spans="1:18" x14ac:dyDescent="0.25">
      <c r="A71">
        <v>384776</v>
      </c>
      <c r="B71" t="s">
        <v>270</v>
      </c>
      <c r="C71" s="55">
        <v>603036.43000000005</v>
      </c>
      <c r="D71" s="55">
        <v>886120.12</v>
      </c>
      <c r="F71" s="55">
        <v>603036.43000000005</v>
      </c>
      <c r="H71" t="s">
        <v>845</v>
      </c>
      <c r="I71" t="s">
        <v>845</v>
      </c>
      <c r="J71" t="s">
        <v>847</v>
      </c>
      <c r="K71" t="s">
        <v>75</v>
      </c>
      <c r="L71" t="s">
        <v>73</v>
      </c>
      <c r="M71" s="55">
        <v>603036.43000000005</v>
      </c>
      <c r="N71" s="55">
        <v>886120.15</v>
      </c>
      <c r="P71" t="s">
        <v>845</v>
      </c>
      <c r="Q71" t="s">
        <v>845</v>
      </c>
      <c r="R71" s="55">
        <v>886120.12</v>
      </c>
    </row>
    <row r="72" spans="1:18" x14ac:dyDescent="0.25">
      <c r="A72">
        <v>55798</v>
      </c>
      <c r="B72" t="s">
        <v>273</v>
      </c>
      <c r="C72" s="55">
        <v>742175.07</v>
      </c>
      <c r="D72" s="55">
        <v>860923.08</v>
      </c>
      <c r="F72" s="55">
        <v>742175.07</v>
      </c>
      <c r="H72" t="s">
        <v>845</v>
      </c>
      <c r="I72" t="s">
        <v>845</v>
      </c>
      <c r="J72" t="s">
        <v>860</v>
      </c>
      <c r="K72" t="s">
        <v>90</v>
      </c>
      <c r="L72" t="s">
        <v>73</v>
      </c>
      <c r="M72" s="55">
        <v>742175.07</v>
      </c>
      <c r="N72" s="55">
        <v>860923.11</v>
      </c>
      <c r="P72" t="s">
        <v>845</v>
      </c>
      <c r="Q72" t="s">
        <v>845</v>
      </c>
      <c r="R72" s="55">
        <v>860923.08</v>
      </c>
    </row>
    <row r="73" spans="1:18" x14ac:dyDescent="0.25">
      <c r="A73">
        <v>85902</v>
      </c>
      <c r="B73" t="s">
        <v>275</v>
      </c>
      <c r="C73" s="55">
        <v>725653.98</v>
      </c>
      <c r="D73" s="55">
        <v>841758.63</v>
      </c>
      <c r="F73" s="55">
        <v>725653.98</v>
      </c>
      <c r="H73" t="s">
        <v>845</v>
      </c>
      <c r="I73" t="s">
        <v>845</v>
      </c>
      <c r="J73" t="s">
        <v>860</v>
      </c>
      <c r="K73" t="s">
        <v>90</v>
      </c>
      <c r="L73" t="s">
        <v>238</v>
      </c>
      <c r="P73" s="55">
        <v>841758.63</v>
      </c>
      <c r="Q73" t="s">
        <v>845</v>
      </c>
      <c r="R73" t="s">
        <v>845</v>
      </c>
    </row>
    <row r="74" spans="1:18" x14ac:dyDescent="0.25">
      <c r="A74">
        <v>62760</v>
      </c>
      <c r="B74" t="s">
        <v>276</v>
      </c>
      <c r="C74" s="55">
        <v>721247.01</v>
      </c>
      <c r="D74" s="55">
        <v>836646.49</v>
      </c>
      <c r="F74" s="55">
        <v>721247.01</v>
      </c>
      <c r="H74" t="s">
        <v>845</v>
      </c>
      <c r="I74" t="s">
        <v>845</v>
      </c>
      <c r="J74" t="s">
        <v>860</v>
      </c>
      <c r="K74" t="s">
        <v>90</v>
      </c>
      <c r="L74" t="s">
        <v>73</v>
      </c>
      <c r="M74" s="55">
        <v>721247.01</v>
      </c>
      <c r="N74" s="55">
        <v>836646.53</v>
      </c>
      <c r="P74" t="s">
        <v>845</v>
      </c>
      <c r="Q74" t="s">
        <v>845</v>
      </c>
      <c r="R74" s="55">
        <v>836646.49</v>
      </c>
    </row>
    <row r="75" spans="1:18" x14ac:dyDescent="0.25">
      <c r="A75">
        <v>10348</v>
      </c>
      <c r="B75" t="s">
        <v>277</v>
      </c>
      <c r="C75" s="55">
        <v>698397.79</v>
      </c>
      <c r="D75" s="55">
        <v>810141.4</v>
      </c>
      <c r="F75" s="55">
        <v>698397.79</v>
      </c>
      <c r="H75" t="s">
        <v>845</v>
      </c>
      <c r="I75" t="s">
        <v>845</v>
      </c>
      <c r="J75" t="s">
        <v>860</v>
      </c>
      <c r="K75" t="s">
        <v>90</v>
      </c>
      <c r="L75" t="s">
        <v>73</v>
      </c>
      <c r="M75" s="55">
        <v>698397.79</v>
      </c>
      <c r="N75" s="55">
        <v>810141.44</v>
      </c>
      <c r="P75" t="s">
        <v>845</v>
      </c>
      <c r="Q75" t="s">
        <v>845</v>
      </c>
      <c r="R75" s="55">
        <v>810141.4</v>
      </c>
    </row>
    <row r="76" spans="1:18" x14ac:dyDescent="0.25">
      <c r="A76">
        <v>39057</v>
      </c>
      <c r="B76" t="s">
        <v>278</v>
      </c>
      <c r="C76" s="55">
        <v>678987.01</v>
      </c>
      <c r="D76" s="55">
        <v>787624.97</v>
      </c>
      <c r="F76" s="55">
        <v>678987.01</v>
      </c>
      <c r="H76" t="s">
        <v>845</v>
      </c>
      <c r="I76" t="s">
        <v>845</v>
      </c>
      <c r="J76" t="s">
        <v>860</v>
      </c>
      <c r="K76" t="s">
        <v>90</v>
      </c>
      <c r="L76" t="s">
        <v>73</v>
      </c>
      <c r="M76" s="55">
        <v>678987.01</v>
      </c>
      <c r="N76" s="55">
        <v>787625.07</v>
      </c>
      <c r="P76" t="s">
        <v>845</v>
      </c>
      <c r="Q76" t="s">
        <v>845</v>
      </c>
      <c r="R76" s="55">
        <v>787624.97</v>
      </c>
    </row>
    <row r="77" spans="1:18" x14ac:dyDescent="0.25">
      <c r="A77">
        <v>52480</v>
      </c>
      <c r="B77" t="s">
        <v>280</v>
      </c>
      <c r="C77" s="55">
        <v>740317.29</v>
      </c>
      <c r="D77" s="55">
        <v>740317.29</v>
      </c>
      <c r="F77" s="55">
        <v>740317.29</v>
      </c>
      <c r="H77" t="s">
        <v>845</v>
      </c>
      <c r="I77" t="s">
        <v>845</v>
      </c>
      <c r="J77" t="s">
        <v>860</v>
      </c>
      <c r="K77" t="s">
        <v>90</v>
      </c>
      <c r="L77" t="s">
        <v>73</v>
      </c>
      <c r="M77" s="55">
        <v>740317.29</v>
      </c>
      <c r="N77" s="55">
        <v>740317.29</v>
      </c>
      <c r="P77" t="s">
        <v>845</v>
      </c>
      <c r="Q77" t="s">
        <v>845</v>
      </c>
      <c r="R77" s="55">
        <v>740317.29</v>
      </c>
    </row>
    <row r="78" spans="1:18" x14ac:dyDescent="0.25">
      <c r="A78">
        <v>43463</v>
      </c>
      <c r="B78" t="s">
        <v>281</v>
      </c>
      <c r="C78" s="55">
        <v>631186.37</v>
      </c>
      <c r="D78" s="55">
        <v>732176.24</v>
      </c>
      <c r="F78" s="55">
        <v>631186.37</v>
      </c>
      <c r="H78" t="s">
        <v>845</v>
      </c>
      <c r="I78" t="s">
        <v>845</v>
      </c>
      <c r="J78" t="s">
        <v>860</v>
      </c>
      <c r="K78" t="s">
        <v>90</v>
      </c>
      <c r="L78" t="s">
        <v>73</v>
      </c>
      <c r="M78" s="55">
        <v>631186.37</v>
      </c>
      <c r="N78" s="55">
        <v>732176.25</v>
      </c>
      <c r="P78" t="s">
        <v>845</v>
      </c>
      <c r="Q78" t="s">
        <v>845</v>
      </c>
      <c r="R78" s="55">
        <v>732176.25</v>
      </c>
    </row>
    <row r="79" spans="1:18" x14ac:dyDescent="0.25">
      <c r="A79">
        <v>12995</v>
      </c>
      <c r="B79" t="s">
        <v>282</v>
      </c>
      <c r="C79" s="55">
        <v>630471.06999999995</v>
      </c>
      <c r="D79" s="55">
        <v>731346.26</v>
      </c>
      <c r="F79" s="55">
        <v>630471.06999999995</v>
      </c>
      <c r="H79" t="s">
        <v>845</v>
      </c>
      <c r="I79" t="s">
        <v>845</v>
      </c>
      <c r="J79" t="s">
        <v>860</v>
      </c>
      <c r="K79" t="s">
        <v>90</v>
      </c>
      <c r="L79" t="s">
        <v>73</v>
      </c>
      <c r="M79" s="55">
        <v>630471.06999999995</v>
      </c>
      <c r="N79" s="55">
        <v>731346.44</v>
      </c>
      <c r="P79" t="s">
        <v>845</v>
      </c>
      <c r="Q79" t="s">
        <v>845</v>
      </c>
      <c r="R79" s="55">
        <v>731346.26</v>
      </c>
    </row>
    <row r="80" spans="1:18" x14ac:dyDescent="0.25">
      <c r="A80">
        <v>37481</v>
      </c>
      <c r="B80" t="s">
        <v>283</v>
      </c>
      <c r="C80" s="55">
        <v>624993.06999999995</v>
      </c>
      <c r="D80" s="55">
        <v>724991.98</v>
      </c>
      <c r="F80" s="55">
        <v>624993.06999999995</v>
      </c>
      <c r="H80" t="s">
        <v>845</v>
      </c>
      <c r="I80" t="s">
        <v>845</v>
      </c>
      <c r="J80" t="s">
        <v>860</v>
      </c>
      <c r="K80" t="s">
        <v>90</v>
      </c>
      <c r="L80" t="s">
        <v>73</v>
      </c>
      <c r="M80" s="55">
        <v>624993.06999999995</v>
      </c>
      <c r="N80" s="55">
        <v>724991.97</v>
      </c>
      <c r="P80" t="s">
        <v>845</v>
      </c>
      <c r="Q80" t="s">
        <v>845</v>
      </c>
      <c r="R80" s="55">
        <v>724991.97</v>
      </c>
    </row>
    <row r="81" spans="1:18" x14ac:dyDescent="0.25">
      <c r="A81">
        <v>318196</v>
      </c>
      <c r="B81" t="s">
        <v>284</v>
      </c>
      <c r="C81" s="55">
        <v>624613.84</v>
      </c>
      <c r="D81" s="55">
        <v>724552.15</v>
      </c>
      <c r="E81" s="55">
        <v>584855.56999999995</v>
      </c>
      <c r="G81" s="55">
        <v>39758.269999999997</v>
      </c>
      <c r="H81" t="s">
        <v>845</v>
      </c>
      <c r="I81" t="s">
        <v>845</v>
      </c>
      <c r="J81" t="s">
        <v>847</v>
      </c>
      <c r="K81" t="s">
        <v>82</v>
      </c>
      <c r="L81" t="s">
        <v>81</v>
      </c>
      <c r="M81" s="55">
        <v>584855.56999999995</v>
      </c>
      <c r="N81" s="55">
        <v>678432.5</v>
      </c>
      <c r="P81" t="s">
        <v>845</v>
      </c>
      <c r="Q81" t="s">
        <v>845</v>
      </c>
      <c r="R81" s="55">
        <v>724552.12</v>
      </c>
    </row>
    <row r="82" spans="1:18" x14ac:dyDescent="0.25">
      <c r="A82">
        <v>48298</v>
      </c>
      <c r="B82" t="s">
        <v>287</v>
      </c>
      <c r="C82" s="55">
        <v>619104.25</v>
      </c>
      <c r="D82" s="55">
        <v>718160.95</v>
      </c>
      <c r="F82" s="55">
        <v>344949.32</v>
      </c>
      <c r="G82" s="55">
        <v>274154.93</v>
      </c>
      <c r="H82" t="s">
        <v>845</v>
      </c>
      <c r="I82" t="s">
        <v>845</v>
      </c>
      <c r="J82" t="s">
        <v>847</v>
      </c>
      <c r="K82" t="s">
        <v>133</v>
      </c>
      <c r="L82" t="s">
        <v>57</v>
      </c>
      <c r="P82" t="s">
        <v>845</v>
      </c>
      <c r="Q82" t="s">
        <v>845</v>
      </c>
      <c r="R82" s="55">
        <v>718160.95</v>
      </c>
    </row>
    <row r="83" spans="1:18" x14ac:dyDescent="0.25">
      <c r="A83">
        <v>44883</v>
      </c>
      <c r="B83" t="s">
        <v>290</v>
      </c>
      <c r="C83" s="55">
        <v>423883.77</v>
      </c>
      <c r="D83" s="55">
        <v>718071.01</v>
      </c>
      <c r="F83" s="55">
        <v>423883.77</v>
      </c>
      <c r="H83" t="s">
        <v>845</v>
      </c>
      <c r="I83" t="s">
        <v>845</v>
      </c>
      <c r="J83" t="s">
        <v>860</v>
      </c>
      <c r="K83" t="s">
        <v>90</v>
      </c>
      <c r="L83" t="s">
        <v>73</v>
      </c>
      <c r="M83" s="55">
        <v>423883.77</v>
      </c>
      <c r="N83" s="55">
        <v>718071</v>
      </c>
      <c r="P83" t="s">
        <v>845</v>
      </c>
      <c r="Q83" t="s">
        <v>845</v>
      </c>
      <c r="R83" s="55">
        <v>718071.01</v>
      </c>
    </row>
    <row r="84" spans="1:18" x14ac:dyDescent="0.25">
      <c r="A84">
        <v>316877</v>
      </c>
      <c r="B84" t="s">
        <v>291</v>
      </c>
      <c r="C84" s="55">
        <v>616995.11</v>
      </c>
      <c r="D84" s="55">
        <v>715714.33</v>
      </c>
      <c r="F84" s="55">
        <v>616995.11</v>
      </c>
      <c r="H84" t="s">
        <v>845</v>
      </c>
      <c r="I84" t="s">
        <v>845</v>
      </c>
      <c r="J84" t="s">
        <v>860</v>
      </c>
      <c r="K84" t="s">
        <v>90</v>
      </c>
      <c r="L84" t="s">
        <v>73</v>
      </c>
      <c r="M84" s="55">
        <v>616995.11</v>
      </c>
      <c r="N84" s="55">
        <v>715714.32</v>
      </c>
      <c r="P84" t="s">
        <v>845</v>
      </c>
      <c r="Q84" t="s">
        <v>845</v>
      </c>
      <c r="R84" s="55">
        <v>715714.33</v>
      </c>
    </row>
    <row r="85" spans="1:18" x14ac:dyDescent="0.25">
      <c r="A85">
        <v>71233</v>
      </c>
      <c r="B85" t="s">
        <v>292</v>
      </c>
      <c r="C85" s="55">
        <v>611494.40000000002</v>
      </c>
      <c r="D85" s="55">
        <v>709333.64</v>
      </c>
      <c r="F85" s="55">
        <v>611494.40000000002</v>
      </c>
      <c r="H85" t="s">
        <v>845</v>
      </c>
      <c r="I85" t="s">
        <v>845</v>
      </c>
      <c r="J85" t="s">
        <v>860</v>
      </c>
      <c r="K85" t="s">
        <v>90</v>
      </c>
      <c r="L85" t="s">
        <v>73</v>
      </c>
      <c r="M85" s="55">
        <v>611494.40000000002</v>
      </c>
      <c r="N85" s="55">
        <v>709333.61</v>
      </c>
      <c r="P85" t="s">
        <v>845</v>
      </c>
      <c r="Q85" t="s">
        <v>845</v>
      </c>
      <c r="R85" s="55">
        <v>709333.64</v>
      </c>
    </row>
    <row r="86" spans="1:18" x14ac:dyDescent="0.25">
      <c r="A86">
        <v>208892</v>
      </c>
      <c r="B86" t="s">
        <v>295</v>
      </c>
      <c r="C86" s="55">
        <v>686095.39</v>
      </c>
      <c r="D86" s="55">
        <v>686095.39</v>
      </c>
      <c r="F86" s="55">
        <v>686095.39</v>
      </c>
      <c r="H86" t="s">
        <v>845</v>
      </c>
      <c r="I86" t="s">
        <v>845</v>
      </c>
      <c r="J86" t="s">
        <v>860</v>
      </c>
      <c r="K86" t="s">
        <v>90</v>
      </c>
      <c r="L86" t="s">
        <v>73</v>
      </c>
      <c r="M86" s="55">
        <v>686095.39</v>
      </c>
      <c r="N86" s="55">
        <v>686095.39</v>
      </c>
      <c r="P86" t="s">
        <v>845</v>
      </c>
      <c r="Q86" t="s">
        <v>845</v>
      </c>
      <c r="R86" s="55">
        <v>686095.39</v>
      </c>
    </row>
    <row r="87" spans="1:18" x14ac:dyDescent="0.25">
      <c r="A87">
        <v>13860</v>
      </c>
      <c r="B87" t="s">
        <v>297</v>
      </c>
      <c r="C87" s="55">
        <v>591083.07999999996</v>
      </c>
      <c r="D87" s="55">
        <v>685656.37</v>
      </c>
      <c r="F87" s="55">
        <v>591083.07999999996</v>
      </c>
      <c r="H87" t="s">
        <v>845</v>
      </c>
      <c r="I87" t="s">
        <v>845</v>
      </c>
      <c r="J87" t="s">
        <v>847</v>
      </c>
      <c r="K87" t="s">
        <v>75</v>
      </c>
      <c r="L87" t="s">
        <v>73</v>
      </c>
      <c r="M87" s="55">
        <v>591083.07999999996</v>
      </c>
      <c r="N87" s="55">
        <v>685656.37</v>
      </c>
      <c r="P87" t="s">
        <v>845</v>
      </c>
      <c r="Q87" t="s">
        <v>845</v>
      </c>
      <c r="R87" s="55">
        <v>685656.36</v>
      </c>
    </row>
    <row r="88" spans="1:18" x14ac:dyDescent="0.25">
      <c r="A88">
        <v>64014</v>
      </c>
      <c r="B88" t="s">
        <v>300</v>
      </c>
      <c r="C88" s="55">
        <v>665488.12</v>
      </c>
      <c r="D88" s="55">
        <v>679070.34</v>
      </c>
      <c r="E88" s="55">
        <v>661087.93000000005</v>
      </c>
      <c r="G88" s="55">
        <v>4400.2</v>
      </c>
      <c r="H88" t="s">
        <v>845</v>
      </c>
      <c r="I88" t="s">
        <v>845</v>
      </c>
      <c r="J88" t="s">
        <v>847</v>
      </c>
      <c r="K88" t="s">
        <v>82</v>
      </c>
      <c r="L88" t="s">
        <v>81</v>
      </c>
      <c r="M88" s="55">
        <v>661087.93000000005</v>
      </c>
      <c r="N88" s="55">
        <v>674670.16</v>
      </c>
      <c r="P88" t="s">
        <v>845</v>
      </c>
      <c r="Q88" t="s">
        <v>845</v>
      </c>
      <c r="R88" s="55">
        <v>679070.31</v>
      </c>
    </row>
    <row r="89" spans="1:18" x14ac:dyDescent="0.25">
      <c r="A89">
        <v>21853</v>
      </c>
      <c r="B89" t="s">
        <v>301</v>
      </c>
      <c r="C89" s="55">
        <v>674473.88</v>
      </c>
      <c r="D89" s="55">
        <v>674473.88</v>
      </c>
      <c r="F89" s="55">
        <v>674473.88</v>
      </c>
      <c r="H89" t="s">
        <v>845</v>
      </c>
      <c r="I89" t="s">
        <v>845</v>
      </c>
      <c r="J89" t="s">
        <v>860</v>
      </c>
      <c r="K89" t="s">
        <v>90</v>
      </c>
      <c r="L89" t="s">
        <v>73</v>
      </c>
      <c r="M89" s="55">
        <v>674473.88</v>
      </c>
      <c r="N89" s="55">
        <v>674473.88</v>
      </c>
      <c r="P89" t="s">
        <v>845</v>
      </c>
      <c r="Q89" t="s">
        <v>845</v>
      </c>
      <c r="R89" s="55">
        <v>674473.88</v>
      </c>
    </row>
    <row r="90" spans="1:18" x14ac:dyDescent="0.25">
      <c r="A90">
        <v>3137</v>
      </c>
      <c r="B90" t="s">
        <v>302</v>
      </c>
      <c r="C90" s="55">
        <v>578799.47</v>
      </c>
      <c r="D90" s="55">
        <v>671407.36</v>
      </c>
      <c r="E90" s="55">
        <v>258104.83</v>
      </c>
      <c r="F90" t="s">
        <v>845</v>
      </c>
      <c r="G90" s="55">
        <v>320694.64</v>
      </c>
      <c r="H90" t="s">
        <v>845</v>
      </c>
      <c r="I90" t="s">
        <v>861</v>
      </c>
      <c r="J90" t="s">
        <v>847</v>
      </c>
      <c r="K90" t="s">
        <v>82</v>
      </c>
      <c r="L90" t="s">
        <v>303</v>
      </c>
      <c r="O90" t="s">
        <v>304</v>
      </c>
      <c r="P90" s="55">
        <v>671407.36</v>
      </c>
      <c r="Q90" t="s">
        <v>845</v>
      </c>
      <c r="R90" t="s">
        <v>845</v>
      </c>
    </row>
    <row r="91" spans="1:18" x14ac:dyDescent="0.25">
      <c r="A91">
        <v>86520</v>
      </c>
      <c r="B91" t="s">
        <v>305</v>
      </c>
      <c r="C91" s="55">
        <v>578790.18999999994</v>
      </c>
      <c r="D91" s="55">
        <v>671396.61</v>
      </c>
      <c r="F91" s="55">
        <v>578790.18999999994</v>
      </c>
      <c r="H91" t="s">
        <v>845</v>
      </c>
      <c r="I91" t="s">
        <v>845</v>
      </c>
      <c r="J91" t="s">
        <v>860</v>
      </c>
      <c r="K91" t="s">
        <v>90</v>
      </c>
      <c r="L91" t="s">
        <v>73</v>
      </c>
      <c r="M91" s="55">
        <v>578790.18999999994</v>
      </c>
      <c r="N91" s="55">
        <v>671396.62</v>
      </c>
      <c r="P91" t="s">
        <v>845</v>
      </c>
      <c r="Q91" t="s">
        <v>845</v>
      </c>
      <c r="R91" s="55">
        <v>671396.61</v>
      </c>
    </row>
    <row r="92" spans="1:18" x14ac:dyDescent="0.25">
      <c r="A92">
        <v>306571</v>
      </c>
      <c r="B92" t="s">
        <v>306</v>
      </c>
      <c r="C92" s="55">
        <v>597144.21</v>
      </c>
      <c r="D92" s="55">
        <v>660158.43999999994</v>
      </c>
      <c r="F92" s="55">
        <v>597144.21</v>
      </c>
      <c r="H92" t="s">
        <v>845</v>
      </c>
      <c r="I92" t="s">
        <v>845</v>
      </c>
      <c r="J92" t="s">
        <v>860</v>
      </c>
      <c r="K92" t="s">
        <v>90</v>
      </c>
      <c r="L92" t="s">
        <v>238</v>
      </c>
      <c r="P92" s="55">
        <v>660158.43999999994</v>
      </c>
      <c r="Q92" t="s">
        <v>845</v>
      </c>
      <c r="R92" t="s">
        <v>845</v>
      </c>
    </row>
    <row r="93" spans="1:18" x14ac:dyDescent="0.25">
      <c r="A93">
        <v>13642</v>
      </c>
      <c r="B93" t="s">
        <v>268</v>
      </c>
      <c r="C93" s="55">
        <v>556101.18000000005</v>
      </c>
      <c r="D93" s="55">
        <v>645077.31000000006</v>
      </c>
      <c r="F93" s="55">
        <v>556101.18000000005</v>
      </c>
      <c r="H93" t="s">
        <v>845</v>
      </c>
      <c r="I93" t="s">
        <v>849</v>
      </c>
      <c r="J93" t="s">
        <v>847</v>
      </c>
      <c r="K93" t="s">
        <v>75</v>
      </c>
      <c r="L93" t="s">
        <v>73</v>
      </c>
      <c r="M93" s="55">
        <v>556101.18000000005</v>
      </c>
      <c r="N93" s="55">
        <v>645077.31000000006</v>
      </c>
      <c r="P93" t="s">
        <v>845</v>
      </c>
      <c r="Q93" t="s">
        <v>845</v>
      </c>
      <c r="R93" s="55">
        <v>645077.31000000006</v>
      </c>
    </row>
    <row r="94" spans="1:18" x14ac:dyDescent="0.25">
      <c r="A94">
        <v>21869</v>
      </c>
      <c r="B94" t="s">
        <v>116</v>
      </c>
      <c r="C94" s="55">
        <v>621522.29</v>
      </c>
      <c r="D94" s="55">
        <v>621522.28</v>
      </c>
      <c r="F94" s="55">
        <v>621522.29</v>
      </c>
      <c r="H94" t="s">
        <v>845</v>
      </c>
      <c r="I94" t="s">
        <v>845</v>
      </c>
      <c r="J94" t="s">
        <v>860</v>
      </c>
      <c r="K94" t="s">
        <v>90</v>
      </c>
      <c r="L94" t="s">
        <v>73</v>
      </c>
      <c r="M94" s="55">
        <v>621522.29</v>
      </c>
      <c r="N94" s="55">
        <v>621522.29</v>
      </c>
      <c r="P94" t="s">
        <v>845</v>
      </c>
      <c r="Q94" t="s">
        <v>845</v>
      </c>
      <c r="R94" s="55">
        <v>621522.28</v>
      </c>
    </row>
    <row r="95" spans="1:18" x14ac:dyDescent="0.25">
      <c r="A95">
        <v>79087</v>
      </c>
      <c r="B95" t="s">
        <v>310</v>
      </c>
      <c r="C95" s="55">
        <v>532651.81000000006</v>
      </c>
      <c r="D95" s="55">
        <v>617876.11</v>
      </c>
      <c r="F95" s="55">
        <v>101785.73</v>
      </c>
      <c r="G95" s="55">
        <v>430866.08</v>
      </c>
      <c r="H95" t="s">
        <v>845</v>
      </c>
      <c r="I95" t="s">
        <v>861</v>
      </c>
      <c r="J95" t="s">
        <v>847</v>
      </c>
      <c r="K95" t="s">
        <v>133</v>
      </c>
      <c r="L95" t="s">
        <v>57</v>
      </c>
      <c r="P95" t="s">
        <v>845</v>
      </c>
      <c r="Q95" t="s">
        <v>845</v>
      </c>
      <c r="R95" s="55">
        <v>617876.11</v>
      </c>
    </row>
    <row r="96" spans="1:18" x14ac:dyDescent="0.25">
      <c r="A96">
        <v>32953</v>
      </c>
      <c r="B96" t="s">
        <v>313</v>
      </c>
      <c r="C96" s="55">
        <v>526702.41</v>
      </c>
      <c r="D96" s="55">
        <v>610975.07999999996</v>
      </c>
      <c r="E96" s="55">
        <v>356190</v>
      </c>
      <c r="F96" s="55">
        <v>65434.19</v>
      </c>
      <c r="G96" s="55">
        <v>105078.23</v>
      </c>
      <c r="H96" t="s">
        <v>845</v>
      </c>
      <c r="I96" t="s">
        <v>845</v>
      </c>
      <c r="J96" t="s">
        <v>847</v>
      </c>
      <c r="K96" t="s">
        <v>75</v>
      </c>
      <c r="L96" t="s">
        <v>73</v>
      </c>
      <c r="M96" s="55">
        <v>421624.19</v>
      </c>
      <c r="N96" s="55">
        <v>489084.05</v>
      </c>
      <c r="P96" t="s">
        <v>845</v>
      </c>
      <c r="Q96" t="s">
        <v>845</v>
      </c>
      <c r="R96" s="55">
        <v>610975.07999999996</v>
      </c>
    </row>
    <row r="97" spans="1:18" x14ac:dyDescent="0.25">
      <c r="A97">
        <v>11716</v>
      </c>
      <c r="B97" t="s">
        <v>316</v>
      </c>
      <c r="C97" s="55">
        <v>507093.83</v>
      </c>
      <c r="D97" s="55">
        <v>588228.75</v>
      </c>
      <c r="F97" s="55">
        <v>507093.83</v>
      </c>
      <c r="H97" t="s">
        <v>845</v>
      </c>
      <c r="I97" t="s">
        <v>845</v>
      </c>
      <c r="J97" t="s">
        <v>860</v>
      </c>
      <c r="K97" t="s">
        <v>90</v>
      </c>
      <c r="L97" t="s">
        <v>73</v>
      </c>
      <c r="M97" s="55">
        <v>507093.83</v>
      </c>
      <c r="N97" s="55">
        <v>588228.81000000006</v>
      </c>
      <c r="P97" t="s">
        <v>845</v>
      </c>
      <c r="Q97" t="s">
        <v>845</v>
      </c>
      <c r="R97" s="55">
        <v>588228.75</v>
      </c>
    </row>
    <row r="98" spans="1:18" x14ac:dyDescent="0.25">
      <c r="A98">
        <v>312397</v>
      </c>
      <c r="B98" t="s">
        <v>317</v>
      </c>
      <c r="C98" s="55">
        <v>556338.23</v>
      </c>
      <c r="D98" s="55">
        <v>585969.03</v>
      </c>
      <c r="F98" s="55">
        <v>556338.23</v>
      </c>
      <c r="H98" t="s">
        <v>845</v>
      </c>
      <c r="I98" t="s">
        <v>845</v>
      </c>
      <c r="J98" t="s">
        <v>860</v>
      </c>
      <c r="K98" t="s">
        <v>90</v>
      </c>
      <c r="L98" t="s">
        <v>238</v>
      </c>
      <c r="P98" t="s">
        <v>845</v>
      </c>
      <c r="Q98" s="55">
        <v>585969.03</v>
      </c>
      <c r="R98" t="s">
        <v>845</v>
      </c>
    </row>
    <row r="99" spans="1:18" x14ac:dyDescent="0.25">
      <c r="A99">
        <v>58487</v>
      </c>
      <c r="B99" t="s">
        <v>318</v>
      </c>
      <c r="C99" s="55">
        <v>487893.67</v>
      </c>
      <c r="D99" s="55">
        <v>565956.6</v>
      </c>
      <c r="F99" s="55">
        <v>487893.67</v>
      </c>
      <c r="H99" t="s">
        <v>845</v>
      </c>
      <c r="I99" t="s">
        <v>845</v>
      </c>
      <c r="J99" t="s">
        <v>860</v>
      </c>
      <c r="K99" t="s">
        <v>90</v>
      </c>
      <c r="L99" t="s">
        <v>73</v>
      </c>
      <c r="M99" s="55">
        <v>487893.67</v>
      </c>
      <c r="N99" s="55">
        <v>565956.59</v>
      </c>
      <c r="P99" t="s">
        <v>845</v>
      </c>
      <c r="Q99" t="s">
        <v>845</v>
      </c>
      <c r="R99" s="55">
        <v>565956.6</v>
      </c>
    </row>
    <row r="100" spans="1:18" x14ac:dyDescent="0.25">
      <c r="A100">
        <v>82370</v>
      </c>
      <c r="B100" t="s">
        <v>319</v>
      </c>
      <c r="C100" s="55">
        <v>547009.9</v>
      </c>
      <c r="D100" s="55">
        <v>550125.81999999995</v>
      </c>
      <c r="F100" s="55">
        <v>547009.9</v>
      </c>
      <c r="H100" t="s">
        <v>845</v>
      </c>
      <c r="I100" t="s">
        <v>845</v>
      </c>
      <c r="J100" t="s">
        <v>847</v>
      </c>
      <c r="K100" t="s">
        <v>75</v>
      </c>
      <c r="L100" t="s">
        <v>73</v>
      </c>
      <c r="M100" s="55">
        <v>547009.9</v>
      </c>
      <c r="N100" s="55">
        <v>550125.82999999996</v>
      </c>
      <c r="P100" t="s">
        <v>845</v>
      </c>
      <c r="Q100" t="s">
        <v>845</v>
      </c>
      <c r="R100" s="55">
        <v>550125.81000000006</v>
      </c>
    </row>
    <row r="101" spans="1:18" x14ac:dyDescent="0.25">
      <c r="A101">
        <v>328724</v>
      </c>
      <c r="B101" t="s">
        <v>322</v>
      </c>
      <c r="C101" s="55">
        <v>464092.44</v>
      </c>
      <c r="D101" s="55">
        <v>538347.22</v>
      </c>
      <c r="F101" s="55">
        <v>464092.44</v>
      </c>
      <c r="H101" t="s">
        <v>845</v>
      </c>
      <c r="I101" t="s">
        <v>845</v>
      </c>
      <c r="J101" t="s">
        <v>860</v>
      </c>
      <c r="K101" t="s">
        <v>90</v>
      </c>
      <c r="L101" t="s">
        <v>73</v>
      </c>
      <c r="M101" s="55">
        <v>464092.44</v>
      </c>
      <c r="N101" s="55">
        <v>538347.22</v>
      </c>
      <c r="P101" t="s">
        <v>845</v>
      </c>
      <c r="Q101" t="s">
        <v>845</v>
      </c>
      <c r="R101" s="55">
        <v>538347.22</v>
      </c>
    </row>
    <row r="102" spans="1:18" x14ac:dyDescent="0.25">
      <c r="A102">
        <v>5766</v>
      </c>
      <c r="B102" t="s">
        <v>230</v>
      </c>
      <c r="C102" s="55">
        <v>497065.25</v>
      </c>
      <c r="D102" s="55">
        <v>536817.43999999994</v>
      </c>
      <c r="F102" s="55">
        <v>497065.25</v>
      </c>
      <c r="H102" t="s">
        <v>845</v>
      </c>
      <c r="I102" t="s">
        <v>845</v>
      </c>
      <c r="J102" t="s">
        <v>860</v>
      </c>
      <c r="K102" t="s">
        <v>90</v>
      </c>
      <c r="L102" t="s">
        <v>238</v>
      </c>
      <c r="P102" t="s">
        <v>845</v>
      </c>
      <c r="Q102" s="55">
        <v>536817.43999999994</v>
      </c>
      <c r="R102" t="s">
        <v>845</v>
      </c>
    </row>
    <row r="103" spans="1:18" x14ac:dyDescent="0.25">
      <c r="A103">
        <v>98327</v>
      </c>
      <c r="B103" t="s">
        <v>324</v>
      </c>
      <c r="C103" s="55">
        <v>454531.92</v>
      </c>
      <c r="D103" s="55">
        <v>527257.07999999996</v>
      </c>
      <c r="E103" t="s">
        <v>845</v>
      </c>
      <c r="F103" t="s">
        <v>845</v>
      </c>
      <c r="G103" s="55">
        <v>454531.92</v>
      </c>
      <c r="H103" t="s">
        <v>845</v>
      </c>
      <c r="I103" t="s">
        <v>845</v>
      </c>
      <c r="J103" t="s">
        <v>847</v>
      </c>
      <c r="K103" t="s">
        <v>82</v>
      </c>
      <c r="L103" t="s">
        <v>325</v>
      </c>
      <c r="O103" t="s">
        <v>326</v>
      </c>
      <c r="P103" t="s">
        <v>845</v>
      </c>
      <c r="Q103" t="s">
        <v>845</v>
      </c>
      <c r="R103" s="55">
        <v>527257.07999999996</v>
      </c>
    </row>
    <row r="104" spans="1:18" x14ac:dyDescent="0.25">
      <c r="A104">
        <v>8599</v>
      </c>
      <c r="B104" t="s">
        <v>313</v>
      </c>
      <c r="C104" s="55">
        <v>507149.52</v>
      </c>
      <c r="D104" s="55">
        <v>507149.52</v>
      </c>
      <c r="F104" s="55">
        <v>507149.52</v>
      </c>
      <c r="H104" t="s">
        <v>845</v>
      </c>
      <c r="I104" t="s">
        <v>845</v>
      </c>
      <c r="J104" t="s">
        <v>847</v>
      </c>
      <c r="K104" t="s">
        <v>133</v>
      </c>
      <c r="L104" t="s">
        <v>57</v>
      </c>
      <c r="P104" t="s">
        <v>845</v>
      </c>
      <c r="Q104" t="s">
        <v>845</v>
      </c>
      <c r="R104" s="55">
        <v>507149.52</v>
      </c>
    </row>
    <row r="105" spans="1:18" x14ac:dyDescent="0.25">
      <c r="A105">
        <v>225839</v>
      </c>
      <c r="B105" t="s">
        <v>331</v>
      </c>
      <c r="C105" s="55">
        <v>480373.4</v>
      </c>
      <c r="D105" s="55">
        <v>499116.48</v>
      </c>
      <c r="F105" s="55">
        <v>480373.4</v>
      </c>
      <c r="H105" t="s">
        <v>845</v>
      </c>
      <c r="I105" t="s">
        <v>845</v>
      </c>
      <c r="J105" t="s">
        <v>860</v>
      </c>
      <c r="K105" t="s">
        <v>90</v>
      </c>
      <c r="L105" t="s">
        <v>238</v>
      </c>
      <c r="P105" s="55">
        <v>499116.5</v>
      </c>
      <c r="Q105" t="s">
        <v>845</v>
      </c>
      <c r="R105" t="s">
        <v>845</v>
      </c>
    </row>
    <row r="106" spans="1:18" x14ac:dyDescent="0.25">
      <c r="A106">
        <v>373894</v>
      </c>
      <c r="B106" t="s">
        <v>332</v>
      </c>
      <c r="C106" s="55">
        <v>426658.74</v>
      </c>
      <c r="D106" s="55">
        <v>494924.13</v>
      </c>
      <c r="F106" s="55">
        <v>426658.74</v>
      </c>
      <c r="H106" t="s">
        <v>845</v>
      </c>
      <c r="I106" t="s">
        <v>845</v>
      </c>
      <c r="J106" t="s">
        <v>860</v>
      </c>
      <c r="K106" t="s">
        <v>90</v>
      </c>
      <c r="L106" t="s">
        <v>73</v>
      </c>
      <c r="M106" s="55">
        <v>426658.74</v>
      </c>
      <c r="N106" s="55">
        <v>494924.14</v>
      </c>
      <c r="P106" t="s">
        <v>845</v>
      </c>
      <c r="Q106" t="s">
        <v>845</v>
      </c>
      <c r="R106" s="55">
        <v>494924.13</v>
      </c>
    </row>
    <row r="107" spans="1:18" x14ac:dyDescent="0.25">
      <c r="A107">
        <v>76067</v>
      </c>
      <c r="B107" t="s">
        <v>334</v>
      </c>
      <c r="C107" s="55">
        <v>420730.38</v>
      </c>
      <c r="D107" s="55">
        <v>488046.63</v>
      </c>
      <c r="F107" s="55">
        <v>420730.38</v>
      </c>
      <c r="H107" t="s">
        <v>845</v>
      </c>
      <c r="I107" t="s">
        <v>845</v>
      </c>
      <c r="J107" t="s">
        <v>860</v>
      </c>
      <c r="K107" t="s">
        <v>90</v>
      </c>
      <c r="L107" t="s">
        <v>73</v>
      </c>
      <c r="M107" s="55">
        <v>420730.38</v>
      </c>
      <c r="N107" s="55">
        <v>488046.96</v>
      </c>
      <c r="P107" t="s">
        <v>845</v>
      </c>
      <c r="Q107" t="s">
        <v>845</v>
      </c>
      <c r="R107" s="55">
        <v>488046.63</v>
      </c>
    </row>
    <row r="108" spans="1:18" x14ac:dyDescent="0.25">
      <c r="A108">
        <v>339564</v>
      </c>
      <c r="B108" t="s">
        <v>335</v>
      </c>
      <c r="C108" s="55">
        <v>411450.47</v>
      </c>
      <c r="D108" s="55">
        <v>477282.55</v>
      </c>
      <c r="F108" s="55">
        <v>411450.47</v>
      </c>
      <c r="H108" t="s">
        <v>845</v>
      </c>
      <c r="I108" t="s">
        <v>845</v>
      </c>
      <c r="J108" t="s">
        <v>860</v>
      </c>
      <c r="K108" t="s">
        <v>90</v>
      </c>
      <c r="L108" t="s">
        <v>73</v>
      </c>
      <c r="M108" s="55">
        <v>411450.47</v>
      </c>
      <c r="N108" s="55">
        <v>477282.54</v>
      </c>
      <c r="P108" t="s">
        <v>845</v>
      </c>
      <c r="Q108" t="s">
        <v>845</v>
      </c>
      <c r="R108" s="55">
        <v>477282.55</v>
      </c>
    </row>
    <row r="109" spans="1:18" x14ac:dyDescent="0.25">
      <c r="A109">
        <v>381467</v>
      </c>
      <c r="B109" t="s">
        <v>336</v>
      </c>
      <c r="C109" s="55">
        <v>440139.48</v>
      </c>
      <c r="D109" s="55">
        <v>477109.65</v>
      </c>
      <c r="F109" s="55">
        <v>60783.15</v>
      </c>
      <c r="G109" s="55">
        <v>379356.33</v>
      </c>
      <c r="H109" t="s">
        <v>845</v>
      </c>
      <c r="I109" t="s">
        <v>845</v>
      </c>
      <c r="J109" t="s">
        <v>847</v>
      </c>
      <c r="K109" t="s">
        <v>75</v>
      </c>
      <c r="L109" t="s">
        <v>73</v>
      </c>
      <c r="M109" s="55">
        <v>60783.15</v>
      </c>
      <c r="N109" s="55">
        <v>65645.8</v>
      </c>
      <c r="P109" t="s">
        <v>845</v>
      </c>
      <c r="Q109" t="s">
        <v>845</v>
      </c>
      <c r="R109" s="55">
        <v>477109.66</v>
      </c>
    </row>
    <row r="110" spans="1:18" x14ac:dyDescent="0.25">
      <c r="A110">
        <v>379719</v>
      </c>
      <c r="B110" t="s">
        <v>341</v>
      </c>
      <c r="C110" s="55">
        <v>407793.9</v>
      </c>
      <c r="D110" s="55">
        <v>473040.94</v>
      </c>
      <c r="F110" s="55">
        <v>407793.9</v>
      </c>
      <c r="H110" t="s">
        <v>845</v>
      </c>
      <c r="I110" t="s">
        <v>845</v>
      </c>
      <c r="J110" t="s">
        <v>860</v>
      </c>
      <c r="K110" t="s">
        <v>90</v>
      </c>
      <c r="L110" t="s">
        <v>73</v>
      </c>
      <c r="M110" s="55">
        <v>407793.9</v>
      </c>
      <c r="N110" s="55">
        <v>473040.95</v>
      </c>
      <c r="P110" t="s">
        <v>845</v>
      </c>
      <c r="Q110" t="s">
        <v>845</v>
      </c>
      <c r="R110" s="55">
        <v>473040.94</v>
      </c>
    </row>
    <row r="111" spans="1:18" x14ac:dyDescent="0.25">
      <c r="A111">
        <v>696</v>
      </c>
      <c r="B111" t="s">
        <v>342</v>
      </c>
      <c r="C111" s="55">
        <v>401413.08</v>
      </c>
      <c r="D111" s="55">
        <v>465639.16</v>
      </c>
      <c r="E111" s="55">
        <v>30098.71</v>
      </c>
      <c r="G111" s="55">
        <v>371314.36</v>
      </c>
      <c r="H111" t="s">
        <v>845</v>
      </c>
      <c r="I111" t="s">
        <v>862</v>
      </c>
      <c r="J111" t="s">
        <v>847</v>
      </c>
      <c r="K111" t="s">
        <v>82</v>
      </c>
      <c r="L111" t="s">
        <v>303</v>
      </c>
      <c r="O111" t="s">
        <v>343</v>
      </c>
      <c r="P111" s="55">
        <v>465639.16</v>
      </c>
      <c r="Q111" t="s">
        <v>845</v>
      </c>
      <c r="R111" t="s">
        <v>845</v>
      </c>
    </row>
    <row r="112" spans="1:18" x14ac:dyDescent="0.25">
      <c r="A112">
        <v>49890</v>
      </c>
      <c r="B112" t="s">
        <v>345</v>
      </c>
      <c r="C112" s="55">
        <v>395077.87</v>
      </c>
      <c r="D112" s="55">
        <v>458290.34</v>
      </c>
      <c r="F112" s="55">
        <v>395077.87</v>
      </c>
      <c r="H112" t="s">
        <v>845</v>
      </c>
      <c r="I112" t="s">
        <v>845</v>
      </c>
      <c r="J112" t="s">
        <v>847</v>
      </c>
      <c r="K112" t="s">
        <v>75</v>
      </c>
      <c r="L112" t="s">
        <v>73</v>
      </c>
      <c r="M112" s="55">
        <v>395077.87</v>
      </c>
      <c r="N112" s="55">
        <v>458290.32</v>
      </c>
      <c r="P112" t="s">
        <v>845</v>
      </c>
      <c r="Q112" t="s">
        <v>845</v>
      </c>
      <c r="R112" s="55">
        <v>458290.34</v>
      </c>
    </row>
    <row r="113" spans="1:18" x14ac:dyDescent="0.25">
      <c r="A113">
        <v>20512</v>
      </c>
      <c r="B113" t="s">
        <v>348</v>
      </c>
      <c r="C113" s="55">
        <v>392647.02</v>
      </c>
      <c r="D113" s="55">
        <v>455470.56</v>
      </c>
      <c r="F113" s="55">
        <v>392647.02</v>
      </c>
      <c r="H113" t="s">
        <v>845</v>
      </c>
      <c r="I113" t="s">
        <v>845</v>
      </c>
      <c r="J113" t="s">
        <v>860</v>
      </c>
      <c r="K113" t="s">
        <v>90</v>
      </c>
      <c r="L113" t="s">
        <v>73</v>
      </c>
      <c r="M113" s="55">
        <v>392647.02</v>
      </c>
      <c r="N113" s="55">
        <v>455470.55</v>
      </c>
      <c r="P113" t="s">
        <v>845</v>
      </c>
      <c r="Q113" t="s">
        <v>845</v>
      </c>
      <c r="R113" s="55">
        <v>455470.56</v>
      </c>
    </row>
    <row r="114" spans="1:18" x14ac:dyDescent="0.25">
      <c r="A114">
        <v>387860</v>
      </c>
      <c r="B114" t="s">
        <v>349</v>
      </c>
      <c r="C114" s="55">
        <v>426983.95</v>
      </c>
      <c r="D114" s="55">
        <v>426983.95</v>
      </c>
      <c r="F114" s="55">
        <v>426983.95</v>
      </c>
      <c r="H114" t="s">
        <v>845</v>
      </c>
      <c r="I114" t="s">
        <v>845</v>
      </c>
      <c r="J114" t="s">
        <v>860</v>
      </c>
      <c r="K114" t="s">
        <v>90</v>
      </c>
      <c r="L114" t="s">
        <v>73</v>
      </c>
      <c r="M114" s="55">
        <v>426983.95</v>
      </c>
      <c r="N114" s="55">
        <v>426983.95</v>
      </c>
      <c r="P114" t="s">
        <v>845</v>
      </c>
      <c r="Q114" t="s">
        <v>845</v>
      </c>
      <c r="R114" s="55">
        <v>426983.95</v>
      </c>
    </row>
    <row r="115" spans="1:18" x14ac:dyDescent="0.25">
      <c r="A115">
        <v>384446</v>
      </c>
      <c r="B115" t="s">
        <v>350</v>
      </c>
      <c r="C115" s="55">
        <v>379101.53</v>
      </c>
      <c r="D115" s="55">
        <v>425805.37</v>
      </c>
      <c r="F115" s="55">
        <v>379101.53</v>
      </c>
      <c r="H115" t="s">
        <v>845</v>
      </c>
      <c r="I115" t="s">
        <v>845</v>
      </c>
      <c r="J115" t="s">
        <v>860</v>
      </c>
      <c r="K115" t="s">
        <v>90</v>
      </c>
      <c r="L115" t="s">
        <v>73</v>
      </c>
      <c r="M115" s="55">
        <v>379101.53</v>
      </c>
      <c r="N115" s="55">
        <v>425804.99</v>
      </c>
      <c r="P115" t="s">
        <v>845</v>
      </c>
      <c r="Q115" t="s">
        <v>845</v>
      </c>
      <c r="R115" s="55">
        <v>425805.37</v>
      </c>
    </row>
    <row r="116" spans="1:18" x14ac:dyDescent="0.25">
      <c r="A116">
        <v>20851</v>
      </c>
      <c r="B116" t="s">
        <v>351</v>
      </c>
      <c r="C116" s="55">
        <v>232797.77</v>
      </c>
      <c r="D116" s="55">
        <v>412902.01</v>
      </c>
      <c r="F116" s="55">
        <v>232797.77</v>
      </c>
      <c r="H116" t="s">
        <v>845</v>
      </c>
      <c r="I116" t="s">
        <v>845</v>
      </c>
      <c r="J116" t="s">
        <v>860</v>
      </c>
      <c r="K116" t="s">
        <v>90</v>
      </c>
      <c r="L116" t="s">
        <v>73</v>
      </c>
      <c r="M116" s="55">
        <v>232797.77</v>
      </c>
      <c r="N116" s="55">
        <v>412902.03</v>
      </c>
      <c r="P116" t="s">
        <v>845</v>
      </c>
      <c r="Q116" t="s">
        <v>845</v>
      </c>
      <c r="R116" s="55">
        <v>412902.01</v>
      </c>
    </row>
    <row r="117" spans="1:18" x14ac:dyDescent="0.25">
      <c r="A117">
        <v>716</v>
      </c>
      <c r="B117" t="s">
        <v>352</v>
      </c>
      <c r="C117" s="55">
        <v>354374.51</v>
      </c>
      <c r="D117" s="55">
        <v>411074.43</v>
      </c>
      <c r="E117" s="55">
        <v>78028.72</v>
      </c>
      <c r="F117" t="s">
        <v>845</v>
      </c>
      <c r="G117" s="55">
        <v>276345.78999999998</v>
      </c>
      <c r="H117" t="s">
        <v>845</v>
      </c>
      <c r="I117" t="s">
        <v>845</v>
      </c>
      <c r="J117" t="s">
        <v>847</v>
      </c>
      <c r="K117" t="s">
        <v>82</v>
      </c>
      <c r="L117" t="s">
        <v>81</v>
      </c>
      <c r="M117" s="55">
        <v>78028.72</v>
      </c>
      <c r="N117" s="55">
        <v>90513.32</v>
      </c>
      <c r="P117" t="s">
        <v>845</v>
      </c>
      <c r="Q117" t="s">
        <v>845</v>
      </c>
      <c r="R117" s="55">
        <v>411074.43</v>
      </c>
    </row>
    <row r="118" spans="1:18" x14ac:dyDescent="0.25">
      <c r="A118">
        <v>32169</v>
      </c>
      <c r="B118" t="s">
        <v>355</v>
      </c>
      <c r="C118" s="55">
        <v>350559.26</v>
      </c>
      <c r="D118" s="55">
        <v>406648.74</v>
      </c>
      <c r="F118" s="55">
        <v>350559.26</v>
      </c>
      <c r="H118" t="s">
        <v>845</v>
      </c>
      <c r="I118" t="s">
        <v>845</v>
      </c>
      <c r="J118" t="s">
        <v>860</v>
      </c>
      <c r="K118" t="s">
        <v>90</v>
      </c>
      <c r="L118" t="s">
        <v>238</v>
      </c>
      <c r="P118" s="55">
        <v>406648.74</v>
      </c>
      <c r="Q118" t="s">
        <v>845</v>
      </c>
      <c r="R118" t="s">
        <v>845</v>
      </c>
    </row>
    <row r="119" spans="1:18" x14ac:dyDescent="0.25">
      <c r="A119">
        <v>325373</v>
      </c>
      <c r="B119" t="s">
        <v>356</v>
      </c>
      <c r="C119" s="55">
        <v>374998.65</v>
      </c>
      <c r="D119" s="55">
        <v>404998.55</v>
      </c>
      <c r="F119" s="55">
        <v>374998.65</v>
      </c>
      <c r="H119" t="s">
        <v>845</v>
      </c>
      <c r="I119" t="s">
        <v>845</v>
      </c>
      <c r="J119" t="s">
        <v>860</v>
      </c>
      <c r="K119" t="s">
        <v>90</v>
      </c>
      <c r="L119" t="s">
        <v>73</v>
      </c>
      <c r="M119" s="55">
        <v>374998.65</v>
      </c>
      <c r="N119" s="55">
        <v>404998.54</v>
      </c>
      <c r="P119" t="s">
        <v>845</v>
      </c>
      <c r="Q119" t="s">
        <v>845</v>
      </c>
      <c r="R119" s="55">
        <v>404998.55</v>
      </c>
    </row>
    <row r="120" spans="1:18" x14ac:dyDescent="0.25">
      <c r="A120">
        <v>14680</v>
      </c>
      <c r="B120" t="s">
        <v>357</v>
      </c>
      <c r="C120" s="55">
        <v>344660.56</v>
      </c>
      <c r="D120" s="55">
        <v>399806.26</v>
      </c>
      <c r="F120" s="55">
        <v>344660.56</v>
      </c>
      <c r="H120" t="s">
        <v>845</v>
      </c>
      <c r="I120" t="s">
        <v>845</v>
      </c>
      <c r="J120" t="s">
        <v>860</v>
      </c>
      <c r="K120" t="s">
        <v>90</v>
      </c>
      <c r="L120" t="s">
        <v>73</v>
      </c>
      <c r="M120" s="55">
        <v>344660.56</v>
      </c>
      <c r="N120" s="55">
        <v>399806.25</v>
      </c>
      <c r="P120" t="s">
        <v>845</v>
      </c>
      <c r="Q120" t="s">
        <v>845</v>
      </c>
      <c r="R120" s="55">
        <v>399806.26</v>
      </c>
    </row>
    <row r="121" spans="1:18" x14ac:dyDescent="0.25">
      <c r="A121">
        <v>3806</v>
      </c>
      <c r="B121" t="s">
        <v>358</v>
      </c>
      <c r="C121" s="55">
        <v>336807.9</v>
      </c>
      <c r="D121" s="55">
        <v>390697.21</v>
      </c>
      <c r="F121" s="55">
        <v>336807.9</v>
      </c>
      <c r="H121" t="s">
        <v>845</v>
      </c>
      <c r="I121" t="s">
        <v>845</v>
      </c>
      <c r="J121" t="s">
        <v>860</v>
      </c>
      <c r="K121" t="s">
        <v>90</v>
      </c>
      <c r="L121" t="s">
        <v>73</v>
      </c>
      <c r="M121" s="55">
        <v>336807.9</v>
      </c>
      <c r="N121" s="55">
        <v>390697.18</v>
      </c>
      <c r="P121" t="s">
        <v>845</v>
      </c>
      <c r="Q121" t="s">
        <v>845</v>
      </c>
      <c r="R121" s="55">
        <v>390697.21</v>
      </c>
    </row>
    <row r="122" spans="1:18" x14ac:dyDescent="0.25">
      <c r="A122">
        <v>76216</v>
      </c>
      <c r="B122" t="s">
        <v>359</v>
      </c>
      <c r="C122" s="55">
        <v>335959.94</v>
      </c>
      <c r="D122" s="55">
        <v>389713.54</v>
      </c>
      <c r="F122" s="55">
        <v>335959.94</v>
      </c>
      <c r="H122" t="s">
        <v>845</v>
      </c>
      <c r="I122" t="s">
        <v>845</v>
      </c>
      <c r="J122" t="s">
        <v>860</v>
      </c>
      <c r="K122" t="s">
        <v>90</v>
      </c>
      <c r="L122" t="s">
        <v>238</v>
      </c>
      <c r="P122" s="55">
        <v>389713.54</v>
      </c>
      <c r="Q122" t="s">
        <v>845</v>
      </c>
      <c r="R122" t="s">
        <v>845</v>
      </c>
    </row>
    <row r="123" spans="1:18" x14ac:dyDescent="0.25">
      <c r="A123">
        <v>54999</v>
      </c>
      <c r="B123" t="s">
        <v>360</v>
      </c>
      <c r="C123" s="55">
        <v>380655.68</v>
      </c>
      <c r="D123" s="55">
        <v>380655.68</v>
      </c>
      <c r="F123" s="55">
        <v>380655.68</v>
      </c>
      <c r="H123" t="s">
        <v>845</v>
      </c>
      <c r="I123" t="s">
        <v>845</v>
      </c>
      <c r="J123" t="s">
        <v>860</v>
      </c>
      <c r="K123" t="s">
        <v>90</v>
      </c>
      <c r="L123" t="s">
        <v>73</v>
      </c>
      <c r="M123" s="55">
        <v>380655.68</v>
      </c>
      <c r="N123" s="55">
        <v>380655.68</v>
      </c>
      <c r="P123" t="s">
        <v>845</v>
      </c>
      <c r="Q123" t="s">
        <v>845</v>
      </c>
      <c r="R123" s="55">
        <v>380655.66</v>
      </c>
    </row>
    <row r="124" spans="1:18" x14ac:dyDescent="0.25">
      <c r="A124">
        <v>50153</v>
      </c>
      <c r="B124" t="s">
        <v>361</v>
      </c>
      <c r="C124" s="55">
        <v>374842.02</v>
      </c>
      <c r="D124" s="55">
        <v>374842.02</v>
      </c>
      <c r="F124" s="55">
        <v>374842.02</v>
      </c>
      <c r="H124" t="s">
        <v>845</v>
      </c>
      <c r="I124" t="s">
        <v>845</v>
      </c>
      <c r="J124" t="s">
        <v>860</v>
      </c>
      <c r="K124" t="s">
        <v>90</v>
      </c>
      <c r="L124" t="s">
        <v>238</v>
      </c>
      <c r="P124" t="s">
        <v>845</v>
      </c>
      <c r="Q124" s="55">
        <v>374842.02</v>
      </c>
      <c r="R124" t="s">
        <v>845</v>
      </c>
    </row>
    <row r="125" spans="1:18" x14ac:dyDescent="0.25">
      <c r="A125">
        <v>6346</v>
      </c>
      <c r="B125" t="s">
        <v>362</v>
      </c>
      <c r="C125" s="55">
        <v>317346.71999999997</v>
      </c>
      <c r="D125" s="55">
        <v>368122.19</v>
      </c>
      <c r="F125" s="55">
        <v>317346.71999999997</v>
      </c>
      <c r="H125" t="s">
        <v>845</v>
      </c>
      <c r="I125" t="s">
        <v>845</v>
      </c>
      <c r="J125" t="s">
        <v>847</v>
      </c>
      <c r="K125" t="s">
        <v>75</v>
      </c>
      <c r="L125" t="s">
        <v>73</v>
      </c>
      <c r="M125" s="55">
        <v>317346.71999999997</v>
      </c>
      <c r="N125" s="55">
        <v>368122.19</v>
      </c>
      <c r="P125" t="s">
        <v>845</v>
      </c>
      <c r="Q125" t="s">
        <v>845</v>
      </c>
      <c r="R125" s="55">
        <v>368122.19</v>
      </c>
    </row>
    <row r="126" spans="1:18" x14ac:dyDescent="0.25">
      <c r="A126">
        <v>391177</v>
      </c>
      <c r="B126" t="s">
        <v>365</v>
      </c>
      <c r="C126" s="55">
        <v>309144.48</v>
      </c>
      <c r="D126" s="55">
        <v>358607.61</v>
      </c>
      <c r="F126" s="55">
        <v>309144.48</v>
      </c>
      <c r="H126" t="s">
        <v>845</v>
      </c>
      <c r="I126" t="s">
        <v>845</v>
      </c>
      <c r="J126" t="s">
        <v>860</v>
      </c>
      <c r="K126" t="s">
        <v>90</v>
      </c>
      <c r="L126" t="s">
        <v>73</v>
      </c>
      <c r="M126" s="55">
        <v>309144.48</v>
      </c>
      <c r="N126" s="55">
        <v>358607.6</v>
      </c>
      <c r="P126" t="s">
        <v>845</v>
      </c>
      <c r="Q126" t="s">
        <v>845</v>
      </c>
      <c r="R126" s="55">
        <v>358607.61</v>
      </c>
    </row>
    <row r="127" spans="1:18" x14ac:dyDescent="0.25">
      <c r="A127">
        <v>15606</v>
      </c>
      <c r="B127" t="s">
        <v>366</v>
      </c>
      <c r="C127" s="55">
        <v>303210.96000000002</v>
      </c>
      <c r="D127" s="55">
        <v>351724.75</v>
      </c>
      <c r="F127" s="55">
        <v>303210.96000000002</v>
      </c>
      <c r="H127" t="s">
        <v>845</v>
      </c>
      <c r="I127" t="s">
        <v>845</v>
      </c>
      <c r="J127" t="s">
        <v>860</v>
      </c>
      <c r="K127" t="s">
        <v>90</v>
      </c>
      <c r="L127" t="s">
        <v>238</v>
      </c>
      <c r="P127" s="55">
        <v>351724.75</v>
      </c>
      <c r="Q127" t="s">
        <v>845</v>
      </c>
      <c r="R127" t="s">
        <v>845</v>
      </c>
    </row>
    <row r="128" spans="1:18" x14ac:dyDescent="0.25">
      <c r="A128">
        <v>20436</v>
      </c>
      <c r="B128" t="s">
        <v>367</v>
      </c>
      <c r="C128" s="55">
        <v>197985.48</v>
      </c>
      <c r="D128" s="55">
        <v>351384.57</v>
      </c>
      <c r="F128" s="55">
        <v>197985.48</v>
      </c>
      <c r="H128" t="s">
        <v>845</v>
      </c>
      <c r="I128" t="s">
        <v>845</v>
      </c>
      <c r="J128" t="s">
        <v>860</v>
      </c>
      <c r="K128" t="s">
        <v>90</v>
      </c>
      <c r="L128" t="s">
        <v>73</v>
      </c>
      <c r="M128" s="55">
        <v>197985.48</v>
      </c>
      <c r="N128" s="55">
        <v>351384.63</v>
      </c>
      <c r="P128" t="s">
        <v>845</v>
      </c>
      <c r="Q128" t="s">
        <v>845</v>
      </c>
      <c r="R128" s="55">
        <v>351384.57</v>
      </c>
    </row>
    <row r="129" spans="1:18" x14ac:dyDescent="0.25">
      <c r="A129">
        <v>97071</v>
      </c>
      <c r="B129" t="s">
        <v>368</v>
      </c>
      <c r="C129" s="55">
        <v>321220.8</v>
      </c>
      <c r="D129" s="55">
        <v>348936.59</v>
      </c>
      <c r="F129" s="55">
        <v>321220.8</v>
      </c>
      <c r="H129" t="s">
        <v>845</v>
      </c>
      <c r="I129" t="s">
        <v>845</v>
      </c>
      <c r="J129" t="s">
        <v>860</v>
      </c>
      <c r="K129" t="s">
        <v>90</v>
      </c>
      <c r="L129" t="s">
        <v>238</v>
      </c>
      <c r="P129" s="55">
        <v>348936.59</v>
      </c>
      <c r="Q129" t="s">
        <v>845</v>
      </c>
      <c r="R129" t="s">
        <v>845</v>
      </c>
    </row>
    <row r="130" spans="1:18" x14ac:dyDescent="0.25">
      <c r="A130">
        <v>11544</v>
      </c>
      <c r="B130" t="s">
        <v>369</v>
      </c>
      <c r="C130" s="55">
        <v>321758.43</v>
      </c>
      <c r="D130" s="55">
        <v>341653.17</v>
      </c>
      <c r="F130" s="55">
        <v>321758.43</v>
      </c>
      <c r="H130" t="s">
        <v>845</v>
      </c>
      <c r="I130" t="s">
        <v>845</v>
      </c>
      <c r="J130" t="s">
        <v>860</v>
      </c>
      <c r="K130" t="s">
        <v>90</v>
      </c>
      <c r="L130" t="s">
        <v>238</v>
      </c>
      <c r="P130" s="55">
        <v>341653.17</v>
      </c>
      <c r="Q130" t="s">
        <v>845</v>
      </c>
      <c r="R130" t="s">
        <v>845</v>
      </c>
    </row>
    <row r="131" spans="1:18" x14ac:dyDescent="0.25">
      <c r="A131">
        <v>26831</v>
      </c>
      <c r="B131" t="s">
        <v>370</v>
      </c>
      <c r="C131" s="55">
        <v>336250.08</v>
      </c>
      <c r="D131" s="55">
        <v>336250.08</v>
      </c>
      <c r="F131" s="55">
        <v>336250.08</v>
      </c>
      <c r="H131" t="s">
        <v>845</v>
      </c>
      <c r="I131" t="s">
        <v>845</v>
      </c>
      <c r="J131" t="s">
        <v>847</v>
      </c>
      <c r="K131" t="s">
        <v>75</v>
      </c>
      <c r="L131" t="s">
        <v>73</v>
      </c>
      <c r="M131" s="55">
        <v>336250.08</v>
      </c>
      <c r="N131" s="55">
        <v>336250.08</v>
      </c>
      <c r="P131" t="s">
        <v>845</v>
      </c>
      <c r="Q131" t="s">
        <v>845</v>
      </c>
      <c r="R131" s="55">
        <v>336250.08</v>
      </c>
    </row>
    <row r="132" spans="1:18" x14ac:dyDescent="0.25">
      <c r="A132">
        <v>315838</v>
      </c>
      <c r="B132" t="s">
        <v>372</v>
      </c>
      <c r="C132" s="55">
        <v>280053.8</v>
      </c>
      <c r="D132" s="55">
        <v>324862.33</v>
      </c>
      <c r="F132" s="55">
        <v>280053.8</v>
      </c>
      <c r="H132" t="s">
        <v>845</v>
      </c>
      <c r="I132" t="s">
        <v>845</v>
      </c>
      <c r="J132" t="s">
        <v>847</v>
      </c>
      <c r="K132" t="s">
        <v>75</v>
      </c>
      <c r="L132" t="s">
        <v>73</v>
      </c>
      <c r="M132" s="55">
        <v>280053.8</v>
      </c>
      <c r="N132" s="55">
        <v>324862.40999999997</v>
      </c>
      <c r="P132" t="s">
        <v>845</v>
      </c>
      <c r="Q132" t="s">
        <v>845</v>
      </c>
      <c r="R132" s="55">
        <v>324862.33</v>
      </c>
    </row>
    <row r="133" spans="1:18" x14ac:dyDescent="0.25">
      <c r="A133">
        <v>90589</v>
      </c>
      <c r="B133" t="s">
        <v>375</v>
      </c>
      <c r="C133" s="55">
        <v>323205.02</v>
      </c>
      <c r="D133" s="55">
        <v>323205.07</v>
      </c>
      <c r="F133" s="55">
        <v>323205.02</v>
      </c>
      <c r="H133" t="s">
        <v>845</v>
      </c>
      <c r="I133" t="s">
        <v>845</v>
      </c>
      <c r="J133" t="s">
        <v>860</v>
      </c>
      <c r="K133" t="s">
        <v>90</v>
      </c>
      <c r="L133" t="s">
        <v>73</v>
      </c>
      <c r="M133" s="55">
        <v>323205.02</v>
      </c>
      <c r="N133" s="55">
        <v>323205.02</v>
      </c>
      <c r="P133" t="s">
        <v>845</v>
      </c>
      <c r="Q133" t="s">
        <v>845</v>
      </c>
      <c r="R133" s="55">
        <v>323205.07</v>
      </c>
    </row>
    <row r="134" spans="1:18" x14ac:dyDescent="0.25">
      <c r="A134">
        <v>7542</v>
      </c>
      <c r="B134" t="s">
        <v>376</v>
      </c>
      <c r="C134" s="55">
        <v>298118.8</v>
      </c>
      <c r="D134" s="55">
        <v>321968.34999999998</v>
      </c>
      <c r="F134" s="55">
        <v>298118.8</v>
      </c>
      <c r="H134" t="s">
        <v>845</v>
      </c>
      <c r="I134" t="s">
        <v>845</v>
      </c>
      <c r="J134" t="s">
        <v>860</v>
      </c>
      <c r="K134" t="s">
        <v>90</v>
      </c>
      <c r="L134" t="s">
        <v>238</v>
      </c>
      <c r="P134" s="55">
        <v>321968.34999999998</v>
      </c>
      <c r="Q134" t="s">
        <v>845</v>
      </c>
      <c r="R134" t="s">
        <v>845</v>
      </c>
    </row>
    <row r="135" spans="1:18" x14ac:dyDescent="0.25">
      <c r="A135">
        <v>387977</v>
      </c>
      <c r="B135" t="s">
        <v>377</v>
      </c>
      <c r="C135" s="55">
        <v>275350.03000000003</v>
      </c>
      <c r="D135" s="55">
        <v>319406.03000000003</v>
      </c>
      <c r="F135" s="55">
        <v>275350.03000000003</v>
      </c>
      <c r="H135" t="s">
        <v>845</v>
      </c>
      <c r="I135" t="s">
        <v>845</v>
      </c>
      <c r="J135" t="s">
        <v>860</v>
      </c>
      <c r="K135" t="s">
        <v>90</v>
      </c>
      <c r="L135" t="s">
        <v>73</v>
      </c>
      <c r="M135" s="55">
        <v>275350.03000000003</v>
      </c>
      <c r="N135" s="55">
        <v>319406.05</v>
      </c>
      <c r="P135" t="s">
        <v>845</v>
      </c>
      <c r="Q135" t="s">
        <v>845</v>
      </c>
      <c r="R135" s="55">
        <v>319406.03000000003</v>
      </c>
    </row>
    <row r="136" spans="1:18" x14ac:dyDescent="0.25">
      <c r="A136">
        <v>93591</v>
      </c>
      <c r="B136" t="s">
        <v>378</v>
      </c>
      <c r="C136" s="55">
        <v>301946.31</v>
      </c>
      <c r="D136" s="55">
        <v>301946.31</v>
      </c>
      <c r="F136" s="55">
        <v>301946.31</v>
      </c>
      <c r="H136" t="s">
        <v>845</v>
      </c>
      <c r="I136" t="s">
        <v>845</v>
      </c>
      <c r="J136" t="s">
        <v>847</v>
      </c>
      <c r="K136" t="s">
        <v>133</v>
      </c>
      <c r="L136" t="s">
        <v>238</v>
      </c>
      <c r="P136" s="55">
        <v>301946.31</v>
      </c>
      <c r="Q136" t="s">
        <v>845</v>
      </c>
      <c r="R136" t="s">
        <v>845</v>
      </c>
    </row>
    <row r="137" spans="1:18" x14ac:dyDescent="0.25">
      <c r="A137">
        <v>943</v>
      </c>
      <c r="B137" t="s">
        <v>380</v>
      </c>
      <c r="C137" s="55">
        <v>257653.6</v>
      </c>
      <c r="D137" s="55">
        <v>298878.25</v>
      </c>
      <c r="F137" s="55">
        <v>257653.6</v>
      </c>
      <c r="H137" t="s">
        <v>845</v>
      </c>
      <c r="I137" t="s">
        <v>845</v>
      </c>
      <c r="J137" t="s">
        <v>860</v>
      </c>
      <c r="K137" t="s">
        <v>90</v>
      </c>
      <c r="L137" t="s">
        <v>238</v>
      </c>
      <c r="P137" s="55">
        <v>298878.24</v>
      </c>
      <c r="Q137" t="s">
        <v>845</v>
      </c>
      <c r="R137" t="s">
        <v>845</v>
      </c>
    </row>
    <row r="138" spans="1:18" x14ac:dyDescent="0.25">
      <c r="A138">
        <v>36152</v>
      </c>
      <c r="B138" t="s">
        <v>382</v>
      </c>
      <c r="C138" s="55">
        <v>298263.65000000002</v>
      </c>
      <c r="D138" s="55">
        <v>298263.63</v>
      </c>
      <c r="F138" s="55">
        <v>298263.65000000002</v>
      </c>
      <c r="H138" t="s">
        <v>845</v>
      </c>
      <c r="I138" t="s">
        <v>845</v>
      </c>
      <c r="J138" t="s">
        <v>847</v>
      </c>
      <c r="K138" t="s">
        <v>75</v>
      </c>
      <c r="L138" t="s">
        <v>73</v>
      </c>
      <c r="M138" s="55">
        <v>298263.65000000002</v>
      </c>
      <c r="N138" s="55">
        <v>298263.65000000002</v>
      </c>
      <c r="P138" t="s">
        <v>845</v>
      </c>
      <c r="Q138" t="s">
        <v>845</v>
      </c>
      <c r="R138" s="55">
        <v>298263.63</v>
      </c>
    </row>
    <row r="139" spans="1:18" x14ac:dyDescent="0.25">
      <c r="A139">
        <v>314815</v>
      </c>
      <c r="B139" t="s">
        <v>384</v>
      </c>
      <c r="C139" s="55">
        <v>292805.64</v>
      </c>
      <c r="D139" s="55">
        <v>293916.82</v>
      </c>
      <c r="F139" s="55">
        <v>292805.64</v>
      </c>
      <c r="H139" t="s">
        <v>845</v>
      </c>
      <c r="I139" t="s">
        <v>845</v>
      </c>
      <c r="J139" t="s">
        <v>860</v>
      </c>
      <c r="K139" t="s">
        <v>90</v>
      </c>
      <c r="L139" t="s">
        <v>238</v>
      </c>
      <c r="P139" t="s">
        <v>845</v>
      </c>
      <c r="Q139" s="55">
        <v>293916.82</v>
      </c>
      <c r="R139" t="s">
        <v>845</v>
      </c>
    </row>
    <row r="140" spans="1:18" x14ac:dyDescent="0.25">
      <c r="A140">
        <v>49601</v>
      </c>
      <c r="B140" t="s">
        <v>385</v>
      </c>
      <c r="C140" s="55">
        <v>249464.3</v>
      </c>
      <c r="D140" s="55">
        <v>289378.56</v>
      </c>
      <c r="F140" s="55">
        <v>249464.3</v>
      </c>
      <c r="H140" t="s">
        <v>845</v>
      </c>
      <c r="I140" t="s">
        <v>845</v>
      </c>
      <c r="J140" t="s">
        <v>860</v>
      </c>
      <c r="K140" t="s">
        <v>90</v>
      </c>
      <c r="L140" t="s">
        <v>73</v>
      </c>
      <c r="M140" s="55">
        <v>249464.3</v>
      </c>
      <c r="N140" s="55">
        <v>289378.59000000003</v>
      </c>
      <c r="P140" t="s">
        <v>845</v>
      </c>
      <c r="Q140" t="s">
        <v>845</v>
      </c>
      <c r="R140" s="55">
        <v>289378.56</v>
      </c>
    </row>
    <row r="141" spans="1:18" x14ac:dyDescent="0.25">
      <c r="A141">
        <v>33241</v>
      </c>
      <c r="B141" t="s">
        <v>387</v>
      </c>
      <c r="C141" s="55">
        <v>249396.46</v>
      </c>
      <c r="D141" s="55">
        <v>289299.92</v>
      </c>
      <c r="F141" s="55">
        <v>249396.46</v>
      </c>
      <c r="H141" t="s">
        <v>845</v>
      </c>
      <c r="I141" t="s">
        <v>845</v>
      </c>
      <c r="J141" t="s">
        <v>860</v>
      </c>
      <c r="K141" t="s">
        <v>90</v>
      </c>
      <c r="L141" t="s">
        <v>73</v>
      </c>
      <c r="M141" s="55">
        <v>249396.46</v>
      </c>
      <c r="N141" s="55">
        <v>289299.90999999997</v>
      </c>
      <c r="P141" t="s">
        <v>845</v>
      </c>
      <c r="Q141" t="s">
        <v>845</v>
      </c>
      <c r="R141" s="55">
        <v>289299.92</v>
      </c>
    </row>
    <row r="142" spans="1:18" x14ac:dyDescent="0.25">
      <c r="A142">
        <v>201</v>
      </c>
      <c r="B142" t="s">
        <v>388</v>
      </c>
      <c r="C142" s="55">
        <v>248399.84</v>
      </c>
      <c r="D142" s="55">
        <v>288143.83</v>
      </c>
      <c r="F142" s="55">
        <v>248399.84</v>
      </c>
      <c r="H142" t="s">
        <v>845</v>
      </c>
      <c r="I142" t="s">
        <v>845</v>
      </c>
      <c r="J142" t="s">
        <v>860</v>
      </c>
      <c r="K142" t="s">
        <v>90</v>
      </c>
      <c r="L142" t="s">
        <v>73</v>
      </c>
      <c r="M142" s="55">
        <v>248399.84</v>
      </c>
      <c r="N142" s="55">
        <v>288143.81</v>
      </c>
      <c r="P142" t="s">
        <v>845</v>
      </c>
      <c r="Q142" t="s">
        <v>845</v>
      </c>
      <c r="R142" s="55">
        <v>288143.83</v>
      </c>
    </row>
    <row r="143" spans="1:18" x14ac:dyDescent="0.25">
      <c r="A143">
        <v>40279</v>
      </c>
      <c r="B143" t="s">
        <v>389</v>
      </c>
      <c r="C143" s="55">
        <v>261272.63</v>
      </c>
      <c r="D143" s="55">
        <v>281261.62</v>
      </c>
      <c r="F143" s="55">
        <v>261272.63</v>
      </c>
      <c r="H143" t="s">
        <v>845</v>
      </c>
      <c r="I143" t="s">
        <v>845</v>
      </c>
      <c r="J143" t="s">
        <v>860</v>
      </c>
      <c r="K143" t="s">
        <v>90</v>
      </c>
      <c r="L143" t="s">
        <v>73</v>
      </c>
      <c r="M143" s="55">
        <v>261272.63</v>
      </c>
      <c r="N143" s="55">
        <v>281261.48</v>
      </c>
      <c r="P143" t="s">
        <v>845</v>
      </c>
      <c r="Q143" t="s">
        <v>845</v>
      </c>
      <c r="R143" s="55">
        <v>281261.62</v>
      </c>
    </row>
    <row r="144" spans="1:18" x14ac:dyDescent="0.25">
      <c r="A144">
        <v>26138</v>
      </c>
      <c r="B144" t="s">
        <v>390</v>
      </c>
      <c r="C144" s="55">
        <v>242077.98</v>
      </c>
      <c r="D144" s="55">
        <v>269363.86</v>
      </c>
      <c r="F144" s="55">
        <v>242077.98</v>
      </c>
      <c r="H144" t="s">
        <v>845</v>
      </c>
      <c r="I144" t="s">
        <v>845</v>
      </c>
      <c r="J144" t="s">
        <v>860</v>
      </c>
      <c r="K144" t="s">
        <v>90</v>
      </c>
      <c r="L144" t="s">
        <v>238</v>
      </c>
      <c r="P144" s="55">
        <v>269363.86</v>
      </c>
      <c r="Q144" t="s">
        <v>845</v>
      </c>
      <c r="R144" t="s">
        <v>845</v>
      </c>
    </row>
    <row r="145" spans="1:18" x14ac:dyDescent="0.25">
      <c r="A145">
        <v>24927</v>
      </c>
      <c r="B145" t="s">
        <v>391</v>
      </c>
      <c r="C145" s="55">
        <v>186146.19</v>
      </c>
      <c r="D145" s="55">
        <v>268764.15999999997</v>
      </c>
      <c r="F145" s="55">
        <v>186146.19</v>
      </c>
      <c r="H145" t="s">
        <v>845</v>
      </c>
      <c r="I145" t="s">
        <v>845</v>
      </c>
      <c r="J145" t="s">
        <v>847</v>
      </c>
      <c r="K145" t="s">
        <v>75</v>
      </c>
      <c r="L145" t="s">
        <v>73</v>
      </c>
      <c r="M145" s="55">
        <v>186146.19</v>
      </c>
      <c r="N145" s="55">
        <v>268764.12</v>
      </c>
      <c r="P145" t="s">
        <v>845</v>
      </c>
      <c r="Q145" t="s">
        <v>845</v>
      </c>
      <c r="R145" s="55">
        <v>268764.15999999997</v>
      </c>
    </row>
    <row r="146" spans="1:18" x14ac:dyDescent="0.25">
      <c r="A146">
        <v>327148</v>
      </c>
      <c r="B146" t="s">
        <v>395</v>
      </c>
      <c r="C146" s="55">
        <v>231474.17</v>
      </c>
      <c r="D146" s="55">
        <v>268510.03999999998</v>
      </c>
      <c r="F146" s="55">
        <v>231474.17</v>
      </c>
      <c r="H146" t="s">
        <v>845</v>
      </c>
      <c r="I146" t="s">
        <v>845</v>
      </c>
      <c r="J146" t="s">
        <v>860</v>
      </c>
      <c r="K146" t="s">
        <v>90</v>
      </c>
      <c r="L146" t="s">
        <v>73</v>
      </c>
      <c r="M146" s="55">
        <v>231474.17</v>
      </c>
      <c r="N146" s="55">
        <v>268510.03000000003</v>
      </c>
      <c r="P146" t="s">
        <v>845</v>
      </c>
      <c r="Q146" t="s">
        <v>845</v>
      </c>
      <c r="R146" s="55">
        <v>268510.03000000003</v>
      </c>
    </row>
    <row r="147" spans="1:18" x14ac:dyDescent="0.25">
      <c r="A147">
        <v>152561</v>
      </c>
      <c r="B147" t="s">
        <v>396</v>
      </c>
      <c r="C147" s="55">
        <v>229805.73</v>
      </c>
      <c r="D147" s="55">
        <v>266574.65999999997</v>
      </c>
      <c r="F147" s="55">
        <v>229805.73</v>
      </c>
      <c r="H147" t="s">
        <v>845</v>
      </c>
      <c r="I147" t="s">
        <v>845</v>
      </c>
      <c r="J147" t="s">
        <v>860</v>
      </c>
      <c r="K147" t="s">
        <v>90</v>
      </c>
      <c r="L147" t="s">
        <v>238</v>
      </c>
      <c r="P147" s="55">
        <v>266574.65999999997</v>
      </c>
      <c r="Q147" t="s">
        <v>845</v>
      </c>
      <c r="R147" t="s">
        <v>845</v>
      </c>
    </row>
    <row r="148" spans="1:18" x14ac:dyDescent="0.25">
      <c r="A148">
        <v>332296</v>
      </c>
      <c r="B148" t="s">
        <v>397</v>
      </c>
      <c r="C148" s="55">
        <v>228117.72</v>
      </c>
      <c r="D148" s="55">
        <v>264616.51</v>
      </c>
      <c r="F148" s="55">
        <v>228117.72</v>
      </c>
      <c r="H148" t="s">
        <v>845</v>
      </c>
      <c r="I148" t="s">
        <v>845</v>
      </c>
      <c r="J148" t="s">
        <v>860</v>
      </c>
      <c r="K148" t="s">
        <v>90</v>
      </c>
      <c r="L148" t="s">
        <v>73</v>
      </c>
      <c r="M148" s="55">
        <v>228117.72</v>
      </c>
      <c r="N148" s="55">
        <v>264616.55</v>
      </c>
      <c r="P148" t="s">
        <v>845</v>
      </c>
      <c r="Q148" t="s">
        <v>845</v>
      </c>
      <c r="R148" s="55">
        <v>264616.51</v>
      </c>
    </row>
    <row r="149" spans="1:18" x14ac:dyDescent="0.25">
      <c r="A149">
        <v>328658</v>
      </c>
      <c r="B149" t="s">
        <v>398</v>
      </c>
      <c r="C149" s="55">
        <v>225683.12</v>
      </c>
      <c r="D149" s="55">
        <v>261719.65</v>
      </c>
      <c r="F149" s="55">
        <v>225683.12</v>
      </c>
      <c r="H149" t="s">
        <v>845</v>
      </c>
      <c r="I149" t="s">
        <v>845</v>
      </c>
      <c r="J149" t="s">
        <v>860</v>
      </c>
      <c r="K149" t="s">
        <v>90</v>
      </c>
      <c r="L149" t="s">
        <v>73</v>
      </c>
      <c r="M149" s="55">
        <v>225683.12</v>
      </c>
      <c r="N149" s="55">
        <v>261719.47</v>
      </c>
      <c r="P149" t="s">
        <v>845</v>
      </c>
      <c r="Q149" t="s">
        <v>845</v>
      </c>
      <c r="R149" s="55">
        <v>261719.65</v>
      </c>
    </row>
    <row r="150" spans="1:18" x14ac:dyDescent="0.25">
      <c r="A150">
        <v>325670</v>
      </c>
      <c r="B150" t="s">
        <v>399</v>
      </c>
      <c r="C150" s="55">
        <v>227169.04</v>
      </c>
      <c r="D150" s="55">
        <v>260401.57</v>
      </c>
      <c r="F150" s="55">
        <v>227169.04</v>
      </c>
      <c r="H150" t="s">
        <v>845</v>
      </c>
      <c r="I150" t="s">
        <v>845</v>
      </c>
      <c r="J150" t="s">
        <v>860</v>
      </c>
      <c r="K150" t="s">
        <v>90</v>
      </c>
      <c r="L150" t="s">
        <v>238</v>
      </c>
      <c r="P150" t="s">
        <v>845</v>
      </c>
      <c r="Q150" s="55">
        <v>260401.57</v>
      </c>
      <c r="R150" t="s">
        <v>845</v>
      </c>
    </row>
    <row r="151" spans="1:18" x14ac:dyDescent="0.25">
      <c r="A151">
        <v>26393</v>
      </c>
      <c r="B151" t="s">
        <v>400</v>
      </c>
      <c r="C151" s="55">
        <v>223893.68</v>
      </c>
      <c r="D151" s="55">
        <v>259716.66</v>
      </c>
      <c r="E151" s="55">
        <v>223893.68</v>
      </c>
      <c r="H151" t="s">
        <v>863</v>
      </c>
      <c r="I151" t="s">
        <v>845</v>
      </c>
      <c r="J151" t="s">
        <v>847</v>
      </c>
      <c r="K151" t="s">
        <v>82</v>
      </c>
      <c r="L151" t="s">
        <v>293</v>
      </c>
      <c r="P151" s="55">
        <v>259716.66</v>
      </c>
      <c r="Q151" t="s">
        <v>845</v>
      </c>
      <c r="R151" t="s">
        <v>845</v>
      </c>
    </row>
    <row r="152" spans="1:18" x14ac:dyDescent="0.25">
      <c r="A152">
        <v>221226</v>
      </c>
      <c r="B152" t="s">
        <v>404</v>
      </c>
      <c r="C152" s="55">
        <v>258217.36</v>
      </c>
      <c r="D152" s="55">
        <v>258217.37</v>
      </c>
      <c r="F152" s="55">
        <v>258217.36</v>
      </c>
      <c r="H152" t="s">
        <v>845</v>
      </c>
      <c r="I152" t="s">
        <v>845</v>
      </c>
      <c r="J152" t="s">
        <v>860</v>
      </c>
      <c r="K152" t="s">
        <v>90</v>
      </c>
      <c r="L152" t="s">
        <v>73</v>
      </c>
      <c r="M152" s="55">
        <v>258217.36</v>
      </c>
      <c r="N152" s="55">
        <v>258217.36</v>
      </c>
      <c r="P152" t="s">
        <v>845</v>
      </c>
      <c r="Q152" t="s">
        <v>845</v>
      </c>
      <c r="R152" s="55">
        <v>258217.37</v>
      </c>
    </row>
    <row r="153" spans="1:18" x14ac:dyDescent="0.25">
      <c r="A153">
        <v>8613</v>
      </c>
      <c r="B153" t="s">
        <v>405</v>
      </c>
      <c r="C153" s="55">
        <v>222084.41</v>
      </c>
      <c r="D153" s="55">
        <v>257617.91</v>
      </c>
      <c r="E153" s="55">
        <v>182046.48</v>
      </c>
      <c r="G153" s="55">
        <v>40037.93</v>
      </c>
      <c r="H153" t="s">
        <v>845</v>
      </c>
      <c r="I153" t="s">
        <v>845</v>
      </c>
      <c r="J153" t="s">
        <v>847</v>
      </c>
      <c r="K153" t="s">
        <v>82</v>
      </c>
      <c r="L153" t="s">
        <v>81</v>
      </c>
      <c r="M153" s="55">
        <v>182046.48</v>
      </c>
      <c r="N153" s="55">
        <v>211173.92</v>
      </c>
      <c r="P153" t="s">
        <v>845</v>
      </c>
      <c r="Q153" t="s">
        <v>845</v>
      </c>
      <c r="R153" s="55">
        <v>257617.91</v>
      </c>
    </row>
    <row r="154" spans="1:18" x14ac:dyDescent="0.25">
      <c r="A154">
        <v>16636</v>
      </c>
      <c r="B154" t="s">
        <v>407</v>
      </c>
      <c r="C154" s="55">
        <v>257030.58</v>
      </c>
      <c r="D154" s="55">
        <v>257166.7</v>
      </c>
      <c r="F154" s="55">
        <v>257030.58</v>
      </c>
      <c r="H154" t="s">
        <v>845</v>
      </c>
      <c r="I154" t="s">
        <v>845</v>
      </c>
      <c r="J154" t="s">
        <v>860</v>
      </c>
      <c r="K154" t="s">
        <v>90</v>
      </c>
      <c r="L154" t="s">
        <v>73</v>
      </c>
      <c r="M154" s="55">
        <v>257030.58</v>
      </c>
      <c r="N154" s="55">
        <v>257166.7</v>
      </c>
      <c r="P154" t="s">
        <v>845</v>
      </c>
      <c r="Q154" t="s">
        <v>845</v>
      </c>
      <c r="R154" s="55">
        <v>257166.7</v>
      </c>
    </row>
    <row r="155" spans="1:18" x14ac:dyDescent="0.25">
      <c r="A155">
        <v>318980</v>
      </c>
      <c r="B155" t="s">
        <v>408</v>
      </c>
      <c r="C155" s="55">
        <v>211547.92</v>
      </c>
      <c r="D155" s="55">
        <v>245395.5</v>
      </c>
      <c r="F155" s="55">
        <v>211547.92</v>
      </c>
      <c r="H155" t="s">
        <v>845</v>
      </c>
      <c r="I155" t="s">
        <v>845</v>
      </c>
      <c r="J155" t="s">
        <v>860</v>
      </c>
      <c r="K155" t="s">
        <v>90</v>
      </c>
      <c r="L155" t="s">
        <v>73</v>
      </c>
      <c r="M155" s="55">
        <v>211547.92</v>
      </c>
      <c r="N155" s="55">
        <v>245395.53</v>
      </c>
      <c r="P155" t="s">
        <v>845</v>
      </c>
      <c r="Q155" t="s">
        <v>845</v>
      </c>
      <c r="R155" s="55">
        <v>245395.5</v>
      </c>
    </row>
    <row r="156" spans="1:18" x14ac:dyDescent="0.25">
      <c r="A156">
        <v>398289</v>
      </c>
      <c r="B156" t="s">
        <v>409</v>
      </c>
      <c r="C156" s="55">
        <v>209333.76000000001</v>
      </c>
      <c r="D156" s="55">
        <v>242827.16</v>
      </c>
      <c r="F156" s="55">
        <v>209333.76000000001</v>
      </c>
      <c r="H156" t="s">
        <v>845</v>
      </c>
      <c r="I156" t="s">
        <v>845</v>
      </c>
      <c r="J156" t="s">
        <v>860</v>
      </c>
      <c r="K156" t="s">
        <v>90</v>
      </c>
      <c r="L156" t="s">
        <v>73</v>
      </c>
      <c r="M156" s="55">
        <v>209333.76000000001</v>
      </c>
      <c r="N156" s="55">
        <v>242827.16</v>
      </c>
      <c r="P156" t="s">
        <v>845</v>
      </c>
      <c r="Q156" t="s">
        <v>845</v>
      </c>
      <c r="R156" s="55">
        <v>242827.15</v>
      </c>
    </row>
    <row r="157" spans="1:18" x14ac:dyDescent="0.25">
      <c r="A157">
        <v>9943</v>
      </c>
      <c r="B157" t="s">
        <v>410</v>
      </c>
      <c r="C157" s="55">
        <v>232617.77</v>
      </c>
      <c r="D157" s="55">
        <v>240562.73</v>
      </c>
      <c r="F157" s="55">
        <v>232617.77</v>
      </c>
      <c r="H157" t="s">
        <v>845</v>
      </c>
      <c r="I157" t="s">
        <v>845</v>
      </c>
      <c r="J157" t="s">
        <v>860</v>
      </c>
      <c r="K157" t="s">
        <v>90</v>
      </c>
      <c r="L157" t="s">
        <v>238</v>
      </c>
      <c r="P157" s="55">
        <v>240562.74</v>
      </c>
      <c r="Q157" t="s">
        <v>845</v>
      </c>
      <c r="R157" t="s">
        <v>845</v>
      </c>
    </row>
    <row r="158" spans="1:18" x14ac:dyDescent="0.25">
      <c r="A158">
        <v>300210</v>
      </c>
      <c r="B158" t="s">
        <v>411</v>
      </c>
      <c r="C158" s="55">
        <v>203401.21</v>
      </c>
      <c r="D158" s="55">
        <v>235945.4</v>
      </c>
      <c r="F158" s="55">
        <v>203401.21</v>
      </c>
      <c r="H158" t="s">
        <v>845</v>
      </c>
      <c r="I158" t="s">
        <v>845</v>
      </c>
      <c r="J158" t="s">
        <v>860</v>
      </c>
      <c r="K158" t="s">
        <v>90</v>
      </c>
      <c r="L158" t="s">
        <v>73</v>
      </c>
      <c r="M158" s="55">
        <v>203401.21</v>
      </c>
      <c r="N158" s="55">
        <v>235945.4</v>
      </c>
      <c r="P158" t="s">
        <v>845</v>
      </c>
      <c r="Q158" t="s">
        <v>845</v>
      </c>
      <c r="R158" s="55">
        <v>235945.4</v>
      </c>
    </row>
    <row r="159" spans="1:18" x14ac:dyDescent="0.25">
      <c r="A159">
        <v>319335</v>
      </c>
      <c r="B159" t="s">
        <v>412</v>
      </c>
      <c r="C159" s="55">
        <v>203208.97</v>
      </c>
      <c r="D159" s="55">
        <v>235722.38</v>
      </c>
      <c r="F159" s="55">
        <v>203208.97</v>
      </c>
      <c r="H159" t="s">
        <v>845</v>
      </c>
      <c r="I159" t="s">
        <v>845</v>
      </c>
      <c r="J159" t="s">
        <v>860</v>
      </c>
      <c r="K159" t="s">
        <v>90</v>
      </c>
      <c r="L159" t="s">
        <v>238</v>
      </c>
      <c r="P159" s="55">
        <v>235722.38</v>
      </c>
      <c r="Q159" t="s">
        <v>845</v>
      </c>
      <c r="R159" t="s">
        <v>845</v>
      </c>
    </row>
    <row r="160" spans="1:18" x14ac:dyDescent="0.25">
      <c r="A160">
        <v>22666</v>
      </c>
      <c r="B160" t="s">
        <v>413</v>
      </c>
      <c r="C160" s="55">
        <v>202342.81</v>
      </c>
      <c r="D160" s="55">
        <v>234717.6</v>
      </c>
      <c r="F160" s="55">
        <v>202342.81</v>
      </c>
      <c r="H160" t="s">
        <v>845</v>
      </c>
      <c r="I160" t="s">
        <v>845</v>
      </c>
      <c r="J160" t="s">
        <v>847</v>
      </c>
      <c r="K160" t="s">
        <v>75</v>
      </c>
      <c r="L160" t="s">
        <v>73</v>
      </c>
      <c r="M160" s="55">
        <v>202342.81</v>
      </c>
      <c r="N160" s="55">
        <v>234717.66</v>
      </c>
      <c r="P160" t="s">
        <v>845</v>
      </c>
      <c r="Q160" t="s">
        <v>845</v>
      </c>
      <c r="R160" s="55">
        <v>234717.6</v>
      </c>
    </row>
    <row r="161" spans="1:18" x14ac:dyDescent="0.25">
      <c r="A161">
        <v>308651</v>
      </c>
      <c r="B161" t="s">
        <v>415</v>
      </c>
      <c r="C161" s="55">
        <v>232163.33</v>
      </c>
      <c r="D161" s="55">
        <v>232163.33</v>
      </c>
      <c r="F161" s="55">
        <v>232163.33</v>
      </c>
      <c r="H161" t="s">
        <v>845</v>
      </c>
      <c r="I161" t="s">
        <v>845</v>
      </c>
      <c r="J161" t="s">
        <v>860</v>
      </c>
      <c r="K161" t="s">
        <v>90</v>
      </c>
      <c r="L161" t="s">
        <v>73</v>
      </c>
      <c r="M161" s="55">
        <v>232163.33</v>
      </c>
      <c r="N161" s="55">
        <v>232163.33</v>
      </c>
      <c r="P161" t="s">
        <v>845</v>
      </c>
      <c r="Q161" t="s">
        <v>845</v>
      </c>
      <c r="R161" s="55">
        <v>232163.33</v>
      </c>
    </row>
    <row r="162" spans="1:18" x14ac:dyDescent="0.25">
      <c r="A162">
        <v>9264</v>
      </c>
      <c r="B162" t="s">
        <v>416</v>
      </c>
      <c r="C162" s="55">
        <v>182778.69</v>
      </c>
      <c r="D162" s="55">
        <v>232030.4</v>
      </c>
      <c r="F162" s="55">
        <v>182778.69</v>
      </c>
      <c r="H162" t="s">
        <v>845</v>
      </c>
      <c r="I162" t="s">
        <v>845</v>
      </c>
      <c r="J162" t="s">
        <v>847</v>
      </c>
      <c r="K162" t="s">
        <v>75</v>
      </c>
      <c r="L162" t="s">
        <v>238</v>
      </c>
      <c r="P162" t="s">
        <v>845</v>
      </c>
      <c r="Q162" s="55">
        <v>232030.4</v>
      </c>
      <c r="R162" t="s">
        <v>845</v>
      </c>
    </row>
    <row r="163" spans="1:18" x14ac:dyDescent="0.25">
      <c r="A163">
        <v>13773</v>
      </c>
      <c r="B163" t="s">
        <v>418</v>
      </c>
      <c r="C163" s="55">
        <v>199289</v>
      </c>
      <c r="D163" s="55">
        <v>231175.24</v>
      </c>
      <c r="F163" s="55">
        <v>199289</v>
      </c>
      <c r="H163" t="s">
        <v>845</v>
      </c>
      <c r="I163" t="s">
        <v>845</v>
      </c>
      <c r="J163" t="s">
        <v>860</v>
      </c>
      <c r="K163" t="s">
        <v>90</v>
      </c>
      <c r="L163" t="s">
        <v>73</v>
      </c>
      <c r="M163" s="55">
        <v>199289</v>
      </c>
      <c r="N163" s="55">
        <v>231175.24</v>
      </c>
      <c r="P163" t="s">
        <v>845</v>
      </c>
      <c r="Q163" t="s">
        <v>845</v>
      </c>
      <c r="R163" s="55">
        <v>231175.24</v>
      </c>
    </row>
    <row r="164" spans="1:18" x14ac:dyDescent="0.25">
      <c r="A164">
        <v>397315</v>
      </c>
      <c r="B164" t="s">
        <v>420</v>
      </c>
      <c r="C164" s="55">
        <v>228770.41</v>
      </c>
      <c r="D164" s="55">
        <v>230771.11</v>
      </c>
      <c r="F164" s="55">
        <v>228770.41</v>
      </c>
      <c r="H164" t="s">
        <v>845</v>
      </c>
      <c r="I164" t="s">
        <v>845</v>
      </c>
      <c r="J164" t="s">
        <v>860</v>
      </c>
      <c r="K164" t="s">
        <v>90</v>
      </c>
      <c r="L164" t="s">
        <v>73</v>
      </c>
      <c r="M164" s="55">
        <v>228770.41</v>
      </c>
      <c r="N164" s="55">
        <v>230771.11</v>
      </c>
      <c r="P164" t="s">
        <v>845</v>
      </c>
      <c r="Q164" t="s">
        <v>845</v>
      </c>
      <c r="R164" s="55">
        <v>230771.13</v>
      </c>
    </row>
    <row r="165" spans="1:18" x14ac:dyDescent="0.25">
      <c r="A165">
        <v>12560</v>
      </c>
      <c r="B165" t="s">
        <v>421</v>
      </c>
      <c r="C165" s="55">
        <v>195833.08</v>
      </c>
      <c r="D165" s="55">
        <v>227166.32</v>
      </c>
      <c r="F165" s="55">
        <v>195833.08</v>
      </c>
      <c r="H165" t="s">
        <v>845</v>
      </c>
      <c r="I165" t="s">
        <v>845</v>
      </c>
      <c r="J165" t="s">
        <v>860</v>
      </c>
      <c r="K165" t="s">
        <v>90</v>
      </c>
      <c r="L165" t="s">
        <v>238</v>
      </c>
      <c r="P165" t="s">
        <v>845</v>
      </c>
      <c r="Q165" s="55">
        <v>227166.32</v>
      </c>
      <c r="R165" t="s">
        <v>845</v>
      </c>
    </row>
    <row r="166" spans="1:18" x14ac:dyDescent="0.25">
      <c r="A166">
        <v>318493</v>
      </c>
      <c r="B166" t="s">
        <v>422</v>
      </c>
      <c r="C166" s="55">
        <v>195274.96</v>
      </c>
      <c r="D166" s="55">
        <v>226518.94</v>
      </c>
      <c r="F166" s="55">
        <v>195274.96</v>
      </c>
      <c r="H166" t="s">
        <v>845</v>
      </c>
      <c r="I166" t="s">
        <v>845</v>
      </c>
      <c r="J166" t="s">
        <v>860</v>
      </c>
      <c r="K166" t="s">
        <v>90</v>
      </c>
      <c r="L166" t="s">
        <v>238</v>
      </c>
      <c r="P166" s="55">
        <v>226518.94</v>
      </c>
      <c r="Q166" t="s">
        <v>845</v>
      </c>
      <c r="R166" t="s">
        <v>845</v>
      </c>
    </row>
    <row r="167" spans="1:18" x14ac:dyDescent="0.25">
      <c r="A167">
        <v>8684</v>
      </c>
      <c r="B167" t="s">
        <v>423</v>
      </c>
      <c r="C167" s="55">
        <v>191150.92</v>
      </c>
      <c r="D167" s="55">
        <v>221735.11</v>
      </c>
      <c r="F167" s="55">
        <v>191150.92</v>
      </c>
      <c r="H167" t="s">
        <v>845</v>
      </c>
      <c r="I167" t="s">
        <v>845</v>
      </c>
      <c r="J167" t="s">
        <v>860</v>
      </c>
      <c r="K167" t="s">
        <v>90</v>
      </c>
      <c r="L167" t="s">
        <v>73</v>
      </c>
      <c r="M167" s="55">
        <v>191150.92</v>
      </c>
      <c r="N167" s="55">
        <v>221735.06</v>
      </c>
      <c r="P167" t="s">
        <v>845</v>
      </c>
      <c r="Q167" t="s">
        <v>845</v>
      </c>
      <c r="R167" s="55">
        <v>221735.12</v>
      </c>
    </row>
    <row r="168" spans="1:18" x14ac:dyDescent="0.25">
      <c r="A168">
        <v>11077</v>
      </c>
      <c r="B168" t="s">
        <v>424</v>
      </c>
      <c r="C168" s="55">
        <v>189864.62</v>
      </c>
      <c r="D168" s="55">
        <v>220242.97</v>
      </c>
      <c r="F168" s="55">
        <v>189864.62</v>
      </c>
      <c r="H168" t="s">
        <v>845</v>
      </c>
      <c r="I168" t="s">
        <v>845</v>
      </c>
      <c r="J168" t="s">
        <v>860</v>
      </c>
      <c r="K168" t="s">
        <v>90</v>
      </c>
      <c r="L168" t="s">
        <v>238</v>
      </c>
      <c r="P168" s="55">
        <v>220242.97</v>
      </c>
      <c r="Q168" t="s">
        <v>845</v>
      </c>
      <c r="R168" t="s">
        <v>845</v>
      </c>
    </row>
    <row r="169" spans="1:18" x14ac:dyDescent="0.25">
      <c r="A169">
        <v>311159</v>
      </c>
      <c r="B169" t="s">
        <v>425</v>
      </c>
      <c r="C169" s="55">
        <v>189068.27</v>
      </c>
      <c r="D169" s="55">
        <v>219055.65</v>
      </c>
      <c r="F169" s="55">
        <v>189068.27</v>
      </c>
      <c r="H169" t="s">
        <v>845</v>
      </c>
      <c r="I169" t="s">
        <v>845</v>
      </c>
      <c r="J169" t="s">
        <v>847</v>
      </c>
      <c r="K169" t="s">
        <v>75</v>
      </c>
      <c r="L169" t="s">
        <v>73</v>
      </c>
      <c r="M169" s="55">
        <v>189068.27</v>
      </c>
      <c r="N169" s="55">
        <v>219055.64</v>
      </c>
      <c r="P169" t="s">
        <v>845</v>
      </c>
      <c r="Q169" t="s">
        <v>845</v>
      </c>
      <c r="R169" s="55">
        <v>219055.65</v>
      </c>
    </row>
    <row r="170" spans="1:18" x14ac:dyDescent="0.25">
      <c r="A170">
        <v>384552</v>
      </c>
      <c r="B170" t="s">
        <v>233</v>
      </c>
      <c r="C170" s="55">
        <v>188228.02</v>
      </c>
      <c r="D170" s="55">
        <v>218344.48</v>
      </c>
      <c r="F170" s="55">
        <v>188228.02</v>
      </c>
      <c r="H170" t="s">
        <v>845</v>
      </c>
      <c r="I170" t="s">
        <v>845</v>
      </c>
      <c r="J170" t="s">
        <v>860</v>
      </c>
      <c r="K170" t="s">
        <v>90</v>
      </c>
      <c r="L170" t="s">
        <v>73</v>
      </c>
      <c r="M170" s="55">
        <v>188228.02</v>
      </c>
      <c r="N170" s="55">
        <v>218344.51</v>
      </c>
      <c r="P170" t="s">
        <v>845</v>
      </c>
      <c r="Q170" t="s">
        <v>845</v>
      </c>
      <c r="R170" s="55">
        <v>218344.48</v>
      </c>
    </row>
    <row r="171" spans="1:18" x14ac:dyDescent="0.25">
      <c r="A171">
        <v>307900</v>
      </c>
      <c r="B171" t="s">
        <v>429</v>
      </c>
      <c r="C171" s="55">
        <v>186768.94</v>
      </c>
      <c r="D171" s="55">
        <v>216651.96</v>
      </c>
      <c r="F171" s="55">
        <v>186768.94</v>
      </c>
      <c r="H171" t="s">
        <v>845</v>
      </c>
      <c r="I171" t="s">
        <v>845</v>
      </c>
      <c r="J171" t="s">
        <v>860</v>
      </c>
      <c r="K171" t="s">
        <v>90</v>
      </c>
      <c r="L171" t="s">
        <v>73</v>
      </c>
      <c r="M171" s="55">
        <v>186768.94</v>
      </c>
      <c r="N171" s="55">
        <v>216651.97</v>
      </c>
      <c r="P171" t="s">
        <v>845</v>
      </c>
      <c r="Q171" t="s">
        <v>845</v>
      </c>
      <c r="R171" s="55">
        <v>216651.96</v>
      </c>
    </row>
    <row r="172" spans="1:18" x14ac:dyDescent="0.25">
      <c r="A172">
        <v>229732</v>
      </c>
      <c r="B172" t="s">
        <v>430</v>
      </c>
      <c r="C172" s="55">
        <v>209443.38</v>
      </c>
      <c r="D172" s="55">
        <v>215291.55</v>
      </c>
      <c r="F172" s="55">
        <v>209443.38</v>
      </c>
      <c r="H172" t="s">
        <v>845</v>
      </c>
      <c r="I172" t="s">
        <v>845</v>
      </c>
      <c r="J172" t="s">
        <v>860</v>
      </c>
      <c r="K172" t="s">
        <v>90</v>
      </c>
      <c r="L172" t="s">
        <v>238</v>
      </c>
      <c r="P172" s="55">
        <v>215291.55</v>
      </c>
      <c r="Q172" t="s">
        <v>845</v>
      </c>
      <c r="R172" t="s">
        <v>845</v>
      </c>
    </row>
    <row r="173" spans="1:18" x14ac:dyDescent="0.25">
      <c r="A173">
        <v>206466</v>
      </c>
      <c r="B173" t="s">
        <v>432</v>
      </c>
      <c r="C173" s="55">
        <v>184141.24</v>
      </c>
      <c r="D173" s="55">
        <v>213603.89</v>
      </c>
      <c r="F173" s="55">
        <v>184141.24</v>
      </c>
      <c r="H173" t="s">
        <v>845</v>
      </c>
      <c r="I173" t="s">
        <v>845</v>
      </c>
      <c r="J173" t="s">
        <v>860</v>
      </c>
      <c r="K173" t="s">
        <v>90</v>
      </c>
      <c r="L173" t="s">
        <v>73</v>
      </c>
      <c r="M173" s="55">
        <v>184141.24</v>
      </c>
      <c r="N173" s="55">
        <v>213603.84</v>
      </c>
      <c r="P173" t="s">
        <v>845</v>
      </c>
      <c r="Q173" t="s">
        <v>845</v>
      </c>
      <c r="R173" s="55">
        <v>213603.89</v>
      </c>
    </row>
    <row r="174" spans="1:18" x14ac:dyDescent="0.25">
      <c r="A174">
        <v>70664</v>
      </c>
      <c r="B174" t="s">
        <v>433</v>
      </c>
      <c r="C174" s="55">
        <v>183038.02</v>
      </c>
      <c r="D174" s="55">
        <v>212324.08</v>
      </c>
      <c r="F174" s="55">
        <v>183038.02</v>
      </c>
      <c r="H174" t="s">
        <v>845</v>
      </c>
      <c r="I174" t="s">
        <v>845</v>
      </c>
      <c r="J174" t="s">
        <v>860</v>
      </c>
      <c r="K174" t="s">
        <v>90</v>
      </c>
      <c r="L174" t="s">
        <v>238</v>
      </c>
      <c r="P174" s="55">
        <v>212324.08</v>
      </c>
      <c r="Q174" t="s">
        <v>845</v>
      </c>
      <c r="R174" t="s">
        <v>845</v>
      </c>
    </row>
    <row r="175" spans="1:18" x14ac:dyDescent="0.25">
      <c r="A175">
        <v>333336</v>
      </c>
      <c r="B175" t="s">
        <v>434</v>
      </c>
      <c r="C175" s="55">
        <v>180561.55</v>
      </c>
      <c r="D175" s="55">
        <v>209451.39</v>
      </c>
      <c r="F175" s="55">
        <v>180561.55</v>
      </c>
      <c r="H175" t="s">
        <v>845</v>
      </c>
      <c r="I175" t="s">
        <v>845</v>
      </c>
      <c r="J175" t="s">
        <v>860</v>
      </c>
      <c r="K175" t="s">
        <v>90</v>
      </c>
      <c r="L175" t="s">
        <v>73</v>
      </c>
      <c r="M175" s="55">
        <v>180561.55</v>
      </c>
      <c r="N175" s="55">
        <v>209451.4</v>
      </c>
      <c r="P175" t="s">
        <v>845</v>
      </c>
      <c r="Q175" t="s">
        <v>845</v>
      </c>
      <c r="R175" s="55">
        <v>209451.39</v>
      </c>
    </row>
    <row r="176" spans="1:18" x14ac:dyDescent="0.25">
      <c r="A176">
        <v>3860</v>
      </c>
      <c r="B176" t="s">
        <v>435</v>
      </c>
      <c r="C176" s="55">
        <v>208872.34</v>
      </c>
      <c r="D176" s="55">
        <v>208872.34</v>
      </c>
      <c r="F176" s="55">
        <v>208872.34</v>
      </c>
      <c r="H176" t="s">
        <v>845</v>
      </c>
      <c r="I176" t="s">
        <v>845</v>
      </c>
      <c r="J176" t="s">
        <v>860</v>
      </c>
      <c r="K176" t="s">
        <v>90</v>
      </c>
      <c r="L176" t="s">
        <v>238</v>
      </c>
      <c r="P176" s="55">
        <v>208872.34</v>
      </c>
      <c r="Q176" t="s">
        <v>845</v>
      </c>
      <c r="R176" t="s">
        <v>845</v>
      </c>
    </row>
    <row r="177" spans="1:18" x14ac:dyDescent="0.25">
      <c r="A177">
        <v>55004</v>
      </c>
      <c r="B177" t="s">
        <v>251</v>
      </c>
      <c r="C177" s="55">
        <v>177280.01</v>
      </c>
      <c r="D177" s="55">
        <v>205644.79</v>
      </c>
      <c r="F177" s="55">
        <v>177280.01</v>
      </c>
      <c r="H177" t="s">
        <v>845</v>
      </c>
      <c r="I177" t="s">
        <v>845</v>
      </c>
      <c r="J177" t="s">
        <v>860</v>
      </c>
      <c r="K177" t="s">
        <v>90</v>
      </c>
      <c r="L177" t="s">
        <v>238</v>
      </c>
      <c r="P177" s="55">
        <v>205644.79</v>
      </c>
      <c r="Q177" t="s">
        <v>845</v>
      </c>
      <c r="R177" t="s">
        <v>845</v>
      </c>
    </row>
    <row r="178" spans="1:18" x14ac:dyDescent="0.25">
      <c r="A178">
        <v>348557</v>
      </c>
      <c r="B178" t="s">
        <v>436</v>
      </c>
      <c r="C178" s="55">
        <v>174627.69</v>
      </c>
      <c r="D178" s="55">
        <v>202568.11</v>
      </c>
      <c r="F178" s="55">
        <v>174627.69</v>
      </c>
      <c r="H178" t="s">
        <v>845</v>
      </c>
      <c r="I178" t="s">
        <v>845</v>
      </c>
      <c r="J178" t="s">
        <v>847</v>
      </c>
      <c r="K178" t="s">
        <v>75</v>
      </c>
      <c r="L178" t="s">
        <v>73</v>
      </c>
      <c r="M178" s="55">
        <v>174627.69</v>
      </c>
      <c r="N178" s="55">
        <v>202568.12</v>
      </c>
      <c r="P178" t="s">
        <v>845</v>
      </c>
      <c r="Q178" t="s">
        <v>845</v>
      </c>
      <c r="R178" s="55">
        <v>202568.11</v>
      </c>
    </row>
    <row r="179" spans="1:18" x14ac:dyDescent="0.25">
      <c r="A179">
        <v>52670</v>
      </c>
      <c r="B179" t="s">
        <v>438</v>
      </c>
      <c r="C179" s="55">
        <v>173040.32</v>
      </c>
      <c r="D179" s="55">
        <v>200726.8</v>
      </c>
      <c r="F179" s="55">
        <v>173040.32</v>
      </c>
      <c r="G179" t="s">
        <v>845</v>
      </c>
      <c r="H179" t="s">
        <v>845</v>
      </c>
      <c r="I179" t="s">
        <v>845</v>
      </c>
      <c r="J179" t="s">
        <v>847</v>
      </c>
      <c r="K179" t="s">
        <v>60</v>
      </c>
      <c r="L179" t="s">
        <v>57</v>
      </c>
      <c r="P179" t="s">
        <v>845</v>
      </c>
      <c r="Q179" t="s">
        <v>845</v>
      </c>
      <c r="R179" s="55">
        <v>200726.8</v>
      </c>
    </row>
    <row r="180" spans="1:18" x14ac:dyDescent="0.25">
      <c r="A180">
        <v>17183</v>
      </c>
      <c r="B180" t="s">
        <v>441</v>
      </c>
      <c r="C180" s="55">
        <v>168591.6</v>
      </c>
      <c r="D180" s="55">
        <v>195566.3</v>
      </c>
      <c r="F180" s="55">
        <v>168591.6</v>
      </c>
      <c r="H180" t="s">
        <v>845</v>
      </c>
      <c r="I180" t="s">
        <v>845</v>
      </c>
      <c r="J180" t="s">
        <v>860</v>
      </c>
      <c r="K180" t="s">
        <v>90</v>
      </c>
      <c r="L180" t="s">
        <v>73</v>
      </c>
      <c r="M180" s="55">
        <v>168591.6</v>
      </c>
      <c r="N180" s="55">
        <v>195566.26</v>
      </c>
      <c r="P180" t="s">
        <v>845</v>
      </c>
      <c r="Q180" t="s">
        <v>845</v>
      </c>
      <c r="R180" s="55">
        <v>195566.3</v>
      </c>
    </row>
    <row r="181" spans="1:18" x14ac:dyDescent="0.25">
      <c r="A181">
        <v>9263</v>
      </c>
      <c r="B181" t="s">
        <v>442</v>
      </c>
      <c r="C181" s="55">
        <v>168036.18</v>
      </c>
      <c r="D181" s="55">
        <v>194921.96</v>
      </c>
      <c r="F181" s="55">
        <v>168036.18</v>
      </c>
      <c r="H181" t="s">
        <v>845</v>
      </c>
      <c r="I181" t="s">
        <v>845</v>
      </c>
      <c r="J181" t="s">
        <v>860</v>
      </c>
      <c r="K181" t="s">
        <v>90</v>
      </c>
      <c r="L181" t="s">
        <v>73</v>
      </c>
      <c r="M181" s="55">
        <v>168036.18</v>
      </c>
      <c r="N181" s="55">
        <v>194921.98</v>
      </c>
      <c r="P181" t="s">
        <v>845</v>
      </c>
      <c r="Q181" t="s">
        <v>845</v>
      </c>
      <c r="R181" s="55">
        <v>194921.96</v>
      </c>
    </row>
    <row r="182" spans="1:18" x14ac:dyDescent="0.25">
      <c r="A182">
        <v>885</v>
      </c>
      <c r="B182" t="s">
        <v>443</v>
      </c>
      <c r="C182" s="55">
        <v>162634</v>
      </c>
      <c r="D182" s="55">
        <v>188655.53</v>
      </c>
      <c r="F182" s="55">
        <v>162634</v>
      </c>
      <c r="H182" t="s">
        <v>845</v>
      </c>
      <c r="I182" t="s">
        <v>845</v>
      </c>
      <c r="J182" t="s">
        <v>860</v>
      </c>
      <c r="K182" t="s">
        <v>90</v>
      </c>
      <c r="L182" t="s">
        <v>73</v>
      </c>
      <c r="M182" s="55">
        <v>162634</v>
      </c>
      <c r="N182" s="55">
        <v>188655.46</v>
      </c>
      <c r="P182" t="s">
        <v>845</v>
      </c>
      <c r="Q182" t="s">
        <v>845</v>
      </c>
      <c r="R182" s="55">
        <v>188655.53</v>
      </c>
    </row>
    <row r="183" spans="1:18" x14ac:dyDescent="0.25">
      <c r="A183">
        <v>206417</v>
      </c>
      <c r="B183" t="s">
        <v>444</v>
      </c>
      <c r="C183" s="55">
        <v>186580.52</v>
      </c>
      <c r="D183" s="55">
        <v>186580.54</v>
      </c>
      <c r="F183" s="55">
        <v>186580.52</v>
      </c>
      <c r="H183" t="s">
        <v>845</v>
      </c>
      <c r="I183" t="s">
        <v>845</v>
      </c>
      <c r="J183" t="s">
        <v>860</v>
      </c>
      <c r="K183" t="s">
        <v>90</v>
      </c>
      <c r="L183" t="s">
        <v>238</v>
      </c>
      <c r="P183" s="55">
        <v>186580.54</v>
      </c>
      <c r="Q183" t="s">
        <v>845</v>
      </c>
      <c r="R183" t="s">
        <v>845</v>
      </c>
    </row>
    <row r="184" spans="1:18" x14ac:dyDescent="0.25">
      <c r="A184">
        <v>9506</v>
      </c>
      <c r="B184" t="s">
        <v>445</v>
      </c>
      <c r="C184" s="55">
        <v>186479.82</v>
      </c>
      <c r="D184" s="55">
        <v>186479.82</v>
      </c>
      <c r="F184" s="55">
        <v>186479.82</v>
      </c>
      <c r="H184" t="s">
        <v>845</v>
      </c>
      <c r="I184" t="s">
        <v>845</v>
      </c>
      <c r="J184" t="s">
        <v>860</v>
      </c>
      <c r="K184" t="s">
        <v>90</v>
      </c>
      <c r="L184" t="s">
        <v>238</v>
      </c>
      <c r="P184" s="55">
        <v>186479.82</v>
      </c>
      <c r="Q184" t="s">
        <v>845</v>
      </c>
      <c r="R184" t="s">
        <v>845</v>
      </c>
    </row>
    <row r="185" spans="1:18" x14ac:dyDescent="0.25">
      <c r="A185">
        <v>388801</v>
      </c>
      <c r="B185" t="s">
        <v>446</v>
      </c>
      <c r="C185" s="55">
        <v>156695</v>
      </c>
      <c r="D185" s="55">
        <v>181766.26</v>
      </c>
      <c r="F185" s="55">
        <v>156695</v>
      </c>
      <c r="H185" t="s">
        <v>845</v>
      </c>
      <c r="I185" t="s">
        <v>845</v>
      </c>
      <c r="J185" t="s">
        <v>860</v>
      </c>
      <c r="K185" t="s">
        <v>90</v>
      </c>
      <c r="L185" t="s">
        <v>73</v>
      </c>
      <c r="M185" s="55">
        <v>156695</v>
      </c>
      <c r="N185" s="55">
        <v>181766.2</v>
      </c>
      <c r="P185" t="s">
        <v>845</v>
      </c>
      <c r="Q185" t="s">
        <v>845</v>
      </c>
      <c r="R185" s="55">
        <v>181766.26</v>
      </c>
    </row>
    <row r="186" spans="1:18" x14ac:dyDescent="0.25">
      <c r="A186">
        <v>21844</v>
      </c>
      <c r="B186" t="s">
        <v>447</v>
      </c>
      <c r="C186" s="55">
        <v>180095.15</v>
      </c>
      <c r="D186" s="55">
        <v>180095.17</v>
      </c>
      <c r="F186" s="55">
        <v>180095.15</v>
      </c>
      <c r="H186" t="s">
        <v>845</v>
      </c>
      <c r="I186" t="s">
        <v>845</v>
      </c>
      <c r="J186" t="s">
        <v>860</v>
      </c>
      <c r="K186" t="s">
        <v>90</v>
      </c>
      <c r="L186" t="s">
        <v>73</v>
      </c>
      <c r="M186" s="55">
        <v>180095.15</v>
      </c>
      <c r="N186" s="55">
        <v>180095.15</v>
      </c>
      <c r="P186" t="s">
        <v>845</v>
      </c>
      <c r="Q186" t="s">
        <v>845</v>
      </c>
      <c r="R186" s="55">
        <v>180095.17</v>
      </c>
    </row>
    <row r="187" spans="1:18" x14ac:dyDescent="0.25">
      <c r="A187">
        <v>392183</v>
      </c>
      <c r="B187" t="s">
        <v>448</v>
      </c>
      <c r="C187" s="55">
        <v>152311.54</v>
      </c>
      <c r="D187" s="55">
        <v>176681.39</v>
      </c>
      <c r="F187" s="55">
        <v>152311.54</v>
      </c>
      <c r="H187" t="s">
        <v>845</v>
      </c>
      <c r="I187" t="s">
        <v>845</v>
      </c>
      <c r="J187" t="s">
        <v>860</v>
      </c>
      <c r="K187" t="s">
        <v>90</v>
      </c>
      <c r="L187" t="s">
        <v>238</v>
      </c>
      <c r="P187" s="55">
        <v>176681.39</v>
      </c>
      <c r="Q187" t="s">
        <v>845</v>
      </c>
      <c r="R187" t="s">
        <v>845</v>
      </c>
    </row>
    <row r="188" spans="1:18" x14ac:dyDescent="0.25">
      <c r="A188">
        <v>55814</v>
      </c>
      <c r="B188" t="s">
        <v>449</v>
      </c>
      <c r="C188" s="55">
        <v>171441.06</v>
      </c>
      <c r="D188" s="55">
        <v>173923.56</v>
      </c>
      <c r="F188" s="55">
        <v>171441.06</v>
      </c>
      <c r="H188" t="s">
        <v>845</v>
      </c>
      <c r="I188" t="s">
        <v>845</v>
      </c>
      <c r="J188" t="s">
        <v>860</v>
      </c>
      <c r="K188" t="s">
        <v>90</v>
      </c>
      <c r="L188" t="s">
        <v>238</v>
      </c>
      <c r="P188" s="55">
        <v>173923.56</v>
      </c>
      <c r="Q188" t="s">
        <v>845</v>
      </c>
      <c r="R188" t="s">
        <v>845</v>
      </c>
    </row>
    <row r="189" spans="1:18" x14ac:dyDescent="0.25">
      <c r="A189">
        <v>82875</v>
      </c>
      <c r="B189" t="s">
        <v>450</v>
      </c>
      <c r="C189" s="55">
        <v>162255.22</v>
      </c>
      <c r="D189" s="55">
        <v>162255.22</v>
      </c>
      <c r="F189" s="55">
        <v>162255.22</v>
      </c>
      <c r="H189" t="s">
        <v>845</v>
      </c>
      <c r="I189" t="s">
        <v>845</v>
      </c>
      <c r="J189" t="s">
        <v>860</v>
      </c>
      <c r="K189" t="s">
        <v>90</v>
      </c>
      <c r="L189" t="s">
        <v>73</v>
      </c>
      <c r="M189" s="55">
        <v>162255.22</v>
      </c>
      <c r="N189" s="55">
        <v>162255.22</v>
      </c>
      <c r="P189" t="s">
        <v>845</v>
      </c>
      <c r="Q189" t="s">
        <v>845</v>
      </c>
      <c r="R189" s="55">
        <v>162255.25</v>
      </c>
    </row>
    <row r="190" spans="1:18" x14ac:dyDescent="0.25">
      <c r="A190">
        <v>16433</v>
      </c>
      <c r="B190" t="s">
        <v>451</v>
      </c>
      <c r="C190" s="55">
        <v>137443.82999999999</v>
      </c>
      <c r="D190" s="55">
        <v>159434.88</v>
      </c>
      <c r="F190" s="55">
        <v>137443.82999999999</v>
      </c>
      <c r="H190" t="s">
        <v>845</v>
      </c>
      <c r="I190" t="s">
        <v>845</v>
      </c>
      <c r="J190" t="s">
        <v>860</v>
      </c>
      <c r="K190" t="s">
        <v>90</v>
      </c>
      <c r="L190" t="s">
        <v>73</v>
      </c>
      <c r="M190" s="55">
        <v>137443.82999999999</v>
      </c>
      <c r="N190" s="55">
        <v>159434.85999999999</v>
      </c>
      <c r="P190" t="s">
        <v>845</v>
      </c>
      <c r="Q190" t="s">
        <v>845</v>
      </c>
      <c r="R190" s="55">
        <v>159434.88</v>
      </c>
    </row>
    <row r="191" spans="1:18" x14ac:dyDescent="0.25">
      <c r="A191">
        <v>8939</v>
      </c>
      <c r="B191" t="s">
        <v>452</v>
      </c>
      <c r="C191" s="55">
        <v>155960.34</v>
      </c>
      <c r="D191" s="55">
        <v>155960.34</v>
      </c>
      <c r="F191" s="55">
        <v>130896.48</v>
      </c>
      <c r="G191" s="55">
        <v>25063.86</v>
      </c>
      <c r="H191" t="s">
        <v>845</v>
      </c>
      <c r="I191" t="s">
        <v>845</v>
      </c>
      <c r="J191" t="s">
        <v>847</v>
      </c>
      <c r="K191" t="s">
        <v>75</v>
      </c>
      <c r="L191" t="s">
        <v>73</v>
      </c>
      <c r="M191" s="55">
        <v>130896.48</v>
      </c>
      <c r="N191" s="55">
        <v>130896.48</v>
      </c>
      <c r="P191" t="s">
        <v>845</v>
      </c>
      <c r="Q191" t="s">
        <v>845</v>
      </c>
      <c r="R191" s="55">
        <v>155960.34</v>
      </c>
    </row>
    <row r="192" spans="1:18" x14ac:dyDescent="0.25">
      <c r="A192">
        <v>53306</v>
      </c>
      <c r="B192" t="s">
        <v>456</v>
      </c>
      <c r="C192" s="55">
        <v>153239.51</v>
      </c>
      <c r="D192" s="55">
        <v>153239.51</v>
      </c>
      <c r="F192" s="55">
        <v>153239.51</v>
      </c>
      <c r="H192" t="s">
        <v>845</v>
      </c>
      <c r="I192" t="s">
        <v>845</v>
      </c>
      <c r="J192" t="s">
        <v>860</v>
      </c>
      <c r="K192" t="s">
        <v>90</v>
      </c>
      <c r="L192" t="s">
        <v>238</v>
      </c>
      <c r="P192" s="55">
        <v>153239.51</v>
      </c>
      <c r="Q192" t="s">
        <v>845</v>
      </c>
      <c r="R192" t="s">
        <v>845</v>
      </c>
    </row>
    <row r="193" spans="1:18" x14ac:dyDescent="0.25">
      <c r="A193">
        <v>97741</v>
      </c>
      <c r="B193" t="s">
        <v>457</v>
      </c>
      <c r="C193" s="55">
        <v>150218.13</v>
      </c>
      <c r="D193" s="55">
        <v>150218.13</v>
      </c>
      <c r="F193" s="55">
        <v>150218.13</v>
      </c>
      <c r="H193" t="s">
        <v>845</v>
      </c>
      <c r="I193" t="s">
        <v>845</v>
      </c>
      <c r="J193" t="s">
        <v>860</v>
      </c>
      <c r="K193" t="s">
        <v>90</v>
      </c>
      <c r="L193" t="s">
        <v>73</v>
      </c>
      <c r="M193" s="55">
        <v>150218.13</v>
      </c>
      <c r="N193" s="55">
        <v>150218.13</v>
      </c>
      <c r="P193" t="s">
        <v>845</v>
      </c>
      <c r="Q193" t="s">
        <v>845</v>
      </c>
      <c r="R193" s="55">
        <v>150218.13</v>
      </c>
    </row>
    <row r="194" spans="1:18" x14ac:dyDescent="0.25">
      <c r="A194">
        <v>392092</v>
      </c>
      <c r="B194" t="s">
        <v>458</v>
      </c>
      <c r="C194" s="55">
        <v>149810.21</v>
      </c>
      <c r="D194" s="55">
        <v>149810.21</v>
      </c>
      <c r="F194" s="55">
        <v>149810.21</v>
      </c>
      <c r="H194" t="s">
        <v>845</v>
      </c>
      <c r="I194" t="s">
        <v>845</v>
      </c>
      <c r="J194" t="s">
        <v>860</v>
      </c>
      <c r="K194" t="s">
        <v>90</v>
      </c>
      <c r="L194" t="s">
        <v>238</v>
      </c>
      <c r="P194" s="55">
        <v>149810.21</v>
      </c>
      <c r="Q194" t="s">
        <v>845</v>
      </c>
      <c r="R194" t="s">
        <v>845</v>
      </c>
    </row>
    <row r="195" spans="1:18" x14ac:dyDescent="0.25">
      <c r="A195">
        <v>8859</v>
      </c>
      <c r="B195" t="s">
        <v>459</v>
      </c>
      <c r="C195" s="55">
        <v>128845.09</v>
      </c>
      <c r="D195" s="55">
        <v>149460.26999999999</v>
      </c>
      <c r="F195" s="55">
        <v>128845.09</v>
      </c>
      <c r="H195" t="s">
        <v>845</v>
      </c>
      <c r="I195" t="s">
        <v>845</v>
      </c>
      <c r="J195" t="s">
        <v>860</v>
      </c>
      <c r="K195" t="s">
        <v>90</v>
      </c>
      <c r="L195" t="s">
        <v>73</v>
      </c>
      <c r="M195" s="55">
        <v>128845.09</v>
      </c>
      <c r="N195" s="55">
        <v>149460.29999999999</v>
      </c>
      <c r="P195" t="s">
        <v>845</v>
      </c>
      <c r="Q195" t="s">
        <v>845</v>
      </c>
      <c r="R195" s="55">
        <v>149460.26999999999</v>
      </c>
    </row>
    <row r="196" spans="1:18" x14ac:dyDescent="0.25">
      <c r="A196">
        <v>96610</v>
      </c>
      <c r="B196" t="s">
        <v>460</v>
      </c>
      <c r="C196" s="55">
        <v>144960.20000000001</v>
      </c>
      <c r="D196" s="55">
        <v>148638.96</v>
      </c>
      <c r="F196" s="55">
        <v>144960.20000000001</v>
      </c>
      <c r="H196" t="s">
        <v>845</v>
      </c>
      <c r="I196" t="s">
        <v>845</v>
      </c>
      <c r="J196" t="s">
        <v>860</v>
      </c>
      <c r="K196" t="s">
        <v>90</v>
      </c>
      <c r="L196" t="s">
        <v>238</v>
      </c>
      <c r="P196" s="55">
        <v>148638.96</v>
      </c>
      <c r="Q196" t="s">
        <v>845</v>
      </c>
      <c r="R196" t="s">
        <v>845</v>
      </c>
    </row>
    <row r="197" spans="1:18" x14ac:dyDescent="0.25">
      <c r="A197">
        <v>210369</v>
      </c>
      <c r="B197" t="s">
        <v>461</v>
      </c>
      <c r="C197" s="55">
        <v>147408.97</v>
      </c>
      <c r="D197" s="55">
        <v>147408.97</v>
      </c>
      <c r="E197" s="55">
        <v>41111.97</v>
      </c>
      <c r="G197" s="55">
        <v>106297</v>
      </c>
      <c r="H197" t="s">
        <v>845</v>
      </c>
      <c r="I197" t="s">
        <v>845</v>
      </c>
      <c r="J197" t="s">
        <v>847</v>
      </c>
      <c r="K197" t="s">
        <v>82</v>
      </c>
      <c r="L197" t="s">
        <v>81</v>
      </c>
      <c r="M197" s="55">
        <v>41111.97</v>
      </c>
      <c r="N197" s="55">
        <v>41111.97</v>
      </c>
      <c r="P197" t="s">
        <v>845</v>
      </c>
      <c r="Q197" t="s">
        <v>845</v>
      </c>
      <c r="R197" s="55">
        <v>147408.97</v>
      </c>
    </row>
    <row r="198" spans="1:18" x14ac:dyDescent="0.25">
      <c r="A198">
        <v>11619</v>
      </c>
      <c r="B198" t="s">
        <v>463</v>
      </c>
      <c r="C198" s="55">
        <v>99462.85</v>
      </c>
      <c r="D198" s="55">
        <v>145951.79999999999</v>
      </c>
      <c r="F198" s="55">
        <v>99462.85</v>
      </c>
      <c r="H198" t="s">
        <v>845</v>
      </c>
      <c r="I198" t="s">
        <v>845</v>
      </c>
      <c r="J198" t="s">
        <v>860</v>
      </c>
      <c r="K198" t="s">
        <v>90</v>
      </c>
      <c r="L198" t="s">
        <v>238</v>
      </c>
      <c r="P198" t="s">
        <v>845</v>
      </c>
      <c r="Q198" s="55">
        <v>145951.79999999999</v>
      </c>
      <c r="R198" t="s">
        <v>845</v>
      </c>
    </row>
    <row r="199" spans="1:18" x14ac:dyDescent="0.25">
      <c r="A199">
        <v>5614</v>
      </c>
      <c r="B199" t="s">
        <v>464</v>
      </c>
      <c r="C199" s="55">
        <v>123518.3</v>
      </c>
      <c r="D199" s="55">
        <v>143281.24</v>
      </c>
      <c r="F199" s="55">
        <v>123518.3</v>
      </c>
      <c r="H199" t="s">
        <v>845</v>
      </c>
      <c r="I199" t="s">
        <v>845</v>
      </c>
      <c r="J199" t="s">
        <v>860</v>
      </c>
      <c r="K199" t="s">
        <v>90</v>
      </c>
      <c r="L199" t="s">
        <v>73</v>
      </c>
      <c r="M199" s="55">
        <v>123518.3</v>
      </c>
      <c r="N199" s="55">
        <v>143281.23000000001</v>
      </c>
      <c r="P199" t="s">
        <v>845</v>
      </c>
      <c r="Q199" t="s">
        <v>845</v>
      </c>
      <c r="R199" s="55">
        <v>143281.24</v>
      </c>
    </row>
    <row r="200" spans="1:18" x14ac:dyDescent="0.25">
      <c r="A200">
        <v>21356</v>
      </c>
      <c r="B200" t="s">
        <v>249</v>
      </c>
      <c r="C200" s="55">
        <v>141485.32999999999</v>
      </c>
      <c r="D200" s="55">
        <v>141485.32999999999</v>
      </c>
      <c r="F200" s="55">
        <v>141485.32999999999</v>
      </c>
      <c r="H200" t="s">
        <v>845</v>
      </c>
      <c r="I200" t="s">
        <v>845</v>
      </c>
      <c r="J200" t="s">
        <v>860</v>
      </c>
      <c r="K200" t="s">
        <v>90</v>
      </c>
      <c r="L200" t="s">
        <v>73</v>
      </c>
      <c r="M200" s="55">
        <v>141485.32999999999</v>
      </c>
      <c r="N200" s="55">
        <v>141485.32999999999</v>
      </c>
      <c r="P200" t="s">
        <v>845</v>
      </c>
      <c r="Q200" t="s">
        <v>845</v>
      </c>
      <c r="R200" s="55">
        <v>141485.32999999999</v>
      </c>
    </row>
    <row r="201" spans="1:18" x14ac:dyDescent="0.25">
      <c r="A201">
        <v>23597</v>
      </c>
      <c r="B201" t="s">
        <v>465</v>
      </c>
      <c r="C201" s="55">
        <v>120674.91</v>
      </c>
      <c r="D201" s="55">
        <v>139982.89000000001</v>
      </c>
      <c r="F201" s="55">
        <v>120674.91</v>
      </c>
      <c r="H201" t="s">
        <v>845</v>
      </c>
      <c r="I201" t="s">
        <v>845</v>
      </c>
      <c r="J201" t="s">
        <v>847</v>
      </c>
      <c r="K201" t="s">
        <v>75</v>
      </c>
      <c r="L201" t="s">
        <v>73</v>
      </c>
      <c r="M201" s="55">
        <v>120674.91</v>
      </c>
      <c r="N201" s="55">
        <v>139982.89000000001</v>
      </c>
      <c r="P201" t="s">
        <v>845</v>
      </c>
      <c r="Q201" t="s">
        <v>845</v>
      </c>
      <c r="R201" s="55">
        <v>139982.89000000001</v>
      </c>
    </row>
    <row r="202" spans="1:18" x14ac:dyDescent="0.25">
      <c r="A202">
        <v>321786</v>
      </c>
      <c r="B202" t="s">
        <v>469</v>
      </c>
      <c r="C202" s="55">
        <v>119250.73</v>
      </c>
      <c r="D202" s="55">
        <v>138330.9</v>
      </c>
      <c r="F202" s="55">
        <v>119250.73</v>
      </c>
      <c r="H202" t="s">
        <v>845</v>
      </c>
      <c r="I202" t="s">
        <v>845</v>
      </c>
      <c r="J202" t="s">
        <v>860</v>
      </c>
      <c r="K202" t="s">
        <v>90</v>
      </c>
      <c r="L202" t="s">
        <v>73</v>
      </c>
      <c r="M202" s="55">
        <v>119250.73</v>
      </c>
      <c r="N202" s="55">
        <v>138330.85</v>
      </c>
      <c r="P202" t="s">
        <v>845</v>
      </c>
      <c r="Q202" t="s">
        <v>845</v>
      </c>
      <c r="R202" s="55">
        <v>138330.9</v>
      </c>
    </row>
    <row r="203" spans="1:18" x14ac:dyDescent="0.25">
      <c r="A203">
        <v>321729</v>
      </c>
      <c r="B203" t="s">
        <v>470</v>
      </c>
      <c r="C203" s="55">
        <v>119022.21</v>
      </c>
      <c r="D203" s="55">
        <v>138065.76</v>
      </c>
      <c r="F203" s="55">
        <v>119022.21</v>
      </c>
      <c r="H203" t="s">
        <v>845</v>
      </c>
      <c r="I203" t="s">
        <v>845</v>
      </c>
      <c r="J203" t="s">
        <v>860</v>
      </c>
      <c r="K203" t="s">
        <v>90</v>
      </c>
      <c r="L203" t="s">
        <v>238</v>
      </c>
      <c r="P203" s="55">
        <v>138065.76</v>
      </c>
      <c r="Q203" t="s">
        <v>845</v>
      </c>
      <c r="R203" t="s">
        <v>845</v>
      </c>
    </row>
    <row r="204" spans="1:18" x14ac:dyDescent="0.25">
      <c r="A204">
        <v>21889</v>
      </c>
      <c r="B204" t="s">
        <v>471</v>
      </c>
      <c r="C204" s="55">
        <v>137171.98000000001</v>
      </c>
      <c r="D204" s="55">
        <v>137171.99</v>
      </c>
      <c r="F204" s="55">
        <v>137171.98000000001</v>
      </c>
      <c r="H204" t="s">
        <v>845</v>
      </c>
      <c r="I204" t="s">
        <v>845</v>
      </c>
      <c r="J204" t="s">
        <v>860</v>
      </c>
      <c r="K204" t="s">
        <v>90</v>
      </c>
      <c r="L204" t="s">
        <v>73</v>
      </c>
      <c r="M204" s="55">
        <v>137171.98000000001</v>
      </c>
      <c r="N204" s="55">
        <v>137171.98000000001</v>
      </c>
      <c r="P204" t="s">
        <v>845</v>
      </c>
      <c r="Q204" t="s">
        <v>845</v>
      </c>
      <c r="R204" s="55">
        <v>137171.99</v>
      </c>
    </row>
    <row r="205" spans="1:18" x14ac:dyDescent="0.25">
      <c r="A205">
        <v>22065</v>
      </c>
      <c r="B205" t="s">
        <v>472</v>
      </c>
      <c r="C205" s="55">
        <v>117177</v>
      </c>
      <c r="D205" s="55">
        <v>135925.35</v>
      </c>
      <c r="F205" s="55">
        <v>117177</v>
      </c>
      <c r="H205" t="s">
        <v>845</v>
      </c>
      <c r="I205" t="s">
        <v>845</v>
      </c>
      <c r="J205" t="s">
        <v>860</v>
      </c>
      <c r="K205" t="s">
        <v>90</v>
      </c>
      <c r="L205" t="s">
        <v>73</v>
      </c>
      <c r="M205" s="55">
        <v>117177</v>
      </c>
      <c r="N205" s="55">
        <v>135925.32</v>
      </c>
      <c r="P205" t="s">
        <v>845</v>
      </c>
      <c r="Q205" t="s">
        <v>845</v>
      </c>
      <c r="R205" s="55">
        <v>135925.35</v>
      </c>
    </row>
    <row r="206" spans="1:18" x14ac:dyDescent="0.25">
      <c r="A206">
        <v>52035</v>
      </c>
      <c r="B206" t="s">
        <v>473</v>
      </c>
      <c r="C206" s="55">
        <v>117107.44</v>
      </c>
      <c r="D206" s="55">
        <v>135844.63</v>
      </c>
      <c r="F206" s="55">
        <v>117107.44</v>
      </c>
      <c r="H206" t="s">
        <v>845</v>
      </c>
      <c r="I206" t="s">
        <v>845</v>
      </c>
      <c r="J206" t="s">
        <v>847</v>
      </c>
      <c r="K206" t="s">
        <v>75</v>
      </c>
      <c r="L206" t="s">
        <v>73</v>
      </c>
      <c r="M206" s="55">
        <v>117107.44</v>
      </c>
      <c r="N206" s="55">
        <v>135844.63</v>
      </c>
      <c r="P206" t="s">
        <v>845</v>
      </c>
      <c r="Q206" t="s">
        <v>845</v>
      </c>
      <c r="R206" s="55">
        <v>135844.63</v>
      </c>
    </row>
    <row r="207" spans="1:18" x14ac:dyDescent="0.25">
      <c r="A207">
        <v>3773</v>
      </c>
      <c r="B207" t="s">
        <v>475</v>
      </c>
      <c r="C207" s="55">
        <v>135366.13</v>
      </c>
      <c r="D207" s="55">
        <v>135366.13</v>
      </c>
      <c r="F207" s="55">
        <v>135366.13</v>
      </c>
      <c r="H207" t="s">
        <v>845</v>
      </c>
      <c r="I207" t="s">
        <v>845</v>
      </c>
      <c r="J207" t="s">
        <v>860</v>
      </c>
      <c r="K207" t="s">
        <v>90</v>
      </c>
      <c r="L207" t="s">
        <v>238</v>
      </c>
      <c r="P207" s="55">
        <v>135366.13</v>
      </c>
      <c r="Q207" t="s">
        <v>845</v>
      </c>
      <c r="R207" t="s">
        <v>845</v>
      </c>
    </row>
    <row r="208" spans="1:18" x14ac:dyDescent="0.25">
      <c r="A208">
        <v>20016</v>
      </c>
      <c r="B208" t="s">
        <v>476</v>
      </c>
      <c r="C208" s="55">
        <v>110799.72</v>
      </c>
      <c r="D208" s="55">
        <v>128527.67</v>
      </c>
      <c r="F208" s="55">
        <v>110799.72</v>
      </c>
      <c r="H208" t="s">
        <v>845</v>
      </c>
      <c r="I208" t="s">
        <v>845</v>
      </c>
      <c r="J208" t="s">
        <v>860</v>
      </c>
      <c r="K208" t="s">
        <v>90</v>
      </c>
      <c r="L208" t="s">
        <v>73</v>
      </c>
      <c r="M208" s="55">
        <v>110799.72</v>
      </c>
      <c r="N208" s="55">
        <v>128527.67999999999</v>
      </c>
    </row>
    <row r="209" spans="1:18" x14ac:dyDescent="0.25">
      <c r="A209">
        <v>191</v>
      </c>
      <c r="B209" t="s">
        <v>477</v>
      </c>
      <c r="C209" s="55">
        <v>117991.05</v>
      </c>
      <c r="D209" s="55">
        <v>127430.3</v>
      </c>
      <c r="F209" s="55">
        <v>117991.05</v>
      </c>
      <c r="H209" t="s">
        <v>845</v>
      </c>
      <c r="I209" t="s">
        <v>845</v>
      </c>
      <c r="J209" t="s">
        <v>860</v>
      </c>
      <c r="K209" t="s">
        <v>90</v>
      </c>
      <c r="L209" t="s">
        <v>238</v>
      </c>
      <c r="P209" t="s">
        <v>845</v>
      </c>
      <c r="Q209" s="55">
        <v>127430.3</v>
      </c>
      <c r="R209" t="s">
        <v>845</v>
      </c>
    </row>
    <row r="210" spans="1:18" x14ac:dyDescent="0.25">
      <c r="A210">
        <v>64345</v>
      </c>
      <c r="B210" t="s">
        <v>478</v>
      </c>
      <c r="C210" s="55">
        <v>107984.72</v>
      </c>
      <c r="D210" s="55">
        <v>125262.25</v>
      </c>
      <c r="F210" s="55">
        <v>107984.72</v>
      </c>
      <c r="H210" t="s">
        <v>845</v>
      </c>
      <c r="I210" t="s">
        <v>845</v>
      </c>
      <c r="J210" t="s">
        <v>860</v>
      </c>
      <c r="K210" t="s">
        <v>90</v>
      </c>
      <c r="L210" t="s">
        <v>238</v>
      </c>
      <c r="P210" s="55">
        <v>125262.25</v>
      </c>
      <c r="Q210" t="s">
        <v>845</v>
      </c>
      <c r="R210" t="s">
        <v>845</v>
      </c>
    </row>
    <row r="211" spans="1:18" x14ac:dyDescent="0.25">
      <c r="A211">
        <v>89540</v>
      </c>
      <c r="B211" t="s">
        <v>479</v>
      </c>
      <c r="C211" s="55">
        <v>123613.79</v>
      </c>
      <c r="D211" s="55">
        <v>123613.79</v>
      </c>
      <c r="F211" s="55">
        <v>123613.79</v>
      </c>
      <c r="H211" t="s">
        <v>845</v>
      </c>
      <c r="I211" t="s">
        <v>845</v>
      </c>
      <c r="J211" t="s">
        <v>860</v>
      </c>
      <c r="K211" t="s">
        <v>90</v>
      </c>
      <c r="L211" t="s">
        <v>73</v>
      </c>
      <c r="M211" s="55">
        <v>123613.79</v>
      </c>
      <c r="N211" s="55">
        <v>123613.79</v>
      </c>
      <c r="P211" t="s">
        <v>845</v>
      </c>
      <c r="Q211" t="s">
        <v>845</v>
      </c>
      <c r="R211" s="55">
        <v>123613.79</v>
      </c>
    </row>
    <row r="212" spans="1:18" x14ac:dyDescent="0.25">
      <c r="A212">
        <v>309468</v>
      </c>
      <c r="B212" t="s">
        <v>480</v>
      </c>
      <c r="C212" s="55">
        <v>103050.21</v>
      </c>
      <c r="D212" s="55">
        <v>119538.18</v>
      </c>
      <c r="F212" s="55">
        <v>103050.21</v>
      </c>
      <c r="H212" t="s">
        <v>845</v>
      </c>
      <c r="I212" t="s">
        <v>845</v>
      </c>
      <c r="J212" t="s">
        <v>860</v>
      </c>
      <c r="K212" t="s">
        <v>90</v>
      </c>
      <c r="L212" t="s">
        <v>238</v>
      </c>
      <c r="P212" s="55">
        <v>119538.18</v>
      </c>
      <c r="Q212" t="s">
        <v>845</v>
      </c>
      <c r="R212" t="s">
        <v>845</v>
      </c>
    </row>
    <row r="213" spans="1:18" x14ac:dyDescent="0.25">
      <c r="A213">
        <v>22053</v>
      </c>
      <c r="B213" t="s">
        <v>481</v>
      </c>
      <c r="C213" s="55">
        <v>117337.47</v>
      </c>
      <c r="D213" s="55">
        <v>117590.74</v>
      </c>
      <c r="F213" s="55">
        <v>117337.47</v>
      </c>
      <c r="H213" t="s">
        <v>845</v>
      </c>
      <c r="I213" t="s">
        <v>845</v>
      </c>
      <c r="J213" t="s">
        <v>860</v>
      </c>
      <c r="K213" t="s">
        <v>90</v>
      </c>
      <c r="L213" t="s">
        <v>73</v>
      </c>
      <c r="M213" s="55">
        <v>117337.47</v>
      </c>
      <c r="N213" s="55">
        <v>117590.74</v>
      </c>
      <c r="P213" t="s">
        <v>845</v>
      </c>
      <c r="Q213" t="s">
        <v>845</v>
      </c>
      <c r="R213" s="55">
        <v>117590.74</v>
      </c>
    </row>
    <row r="214" spans="1:18" x14ac:dyDescent="0.25">
      <c r="A214">
        <v>303895</v>
      </c>
      <c r="B214" t="s">
        <v>301</v>
      </c>
      <c r="C214" s="55">
        <v>115380.78</v>
      </c>
      <c r="D214" s="55">
        <v>115380.78</v>
      </c>
      <c r="F214" s="55">
        <v>115380.78</v>
      </c>
      <c r="H214" t="s">
        <v>845</v>
      </c>
      <c r="I214" t="s">
        <v>845</v>
      </c>
      <c r="J214" t="s">
        <v>860</v>
      </c>
      <c r="K214" t="s">
        <v>90</v>
      </c>
      <c r="L214" t="s">
        <v>238</v>
      </c>
      <c r="P214" s="55">
        <v>115380.78</v>
      </c>
      <c r="Q214" t="s">
        <v>845</v>
      </c>
      <c r="R214" t="s">
        <v>845</v>
      </c>
    </row>
    <row r="215" spans="1:18" x14ac:dyDescent="0.25">
      <c r="A215">
        <v>6470</v>
      </c>
      <c r="B215" t="s">
        <v>482</v>
      </c>
      <c r="C215" s="55">
        <v>115000.26</v>
      </c>
      <c r="D215" s="55">
        <v>115000.26</v>
      </c>
      <c r="F215" s="55">
        <v>115000.26</v>
      </c>
      <c r="H215" t="s">
        <v>845</v>
      </c>
      <c r="I215" t="s">
        <v>845</v>
      </c>
      <c r="J215" t="s">
        <v>860</v>
      </c>
      <c r="K215" t="s">
        <v>90</v>
      </c>
      <c r="L215" t="s">
        <v>238</v>
      </c>
      <c r="P215" s="55">
        <v>115000.26</v>
      </c>
      <c r="Q215" t="s">
        <v>845</v>
      </c>
      <c r="R215" t="s">
        <v>845</v>
      </c>
    </row>
    <row r="216" spans="1:18" x14ac:dyDescent="0.25">
      <c r="A216">
        <v>61846</v>
      </c>
      <c r="B216" t="s">
        <v>483</v>
      </c>
      <c r="C216" s="55">
        <v>114220.96</v>
      </c>
      <c r="D216" s="55">
        <v>114220.97</v>
      </c>
      <c r="F216" s="55">
        <v>114220.96</v>
      </c>
      <c r="H216" t="s">
        <v>845</v>
      </c>
      <c r="I216" t="s">
        <v>845</v>
      </c>
      <c r="J216" t="s">
        <v>847</v>
      </c>
      <c r="K216" t="s">
        <v>133</v>
      </c>
      <c r="L216" t="s">
        <v>57</v>
      </c>
      <c r="P216" t="s">
        <v>845</v>
      </c>
      <c r="Q216" t="s">
        <v>845</v>
      </c>
      <c r="R216" s="55">
        <v>114220.97</v>
      </c>
    </row>
    <row r="217" spans="1:18" x14ac:dyDescent="0.25">
      <c r="A217">
        <v>30494</v>
      </c>
      <c r="B217" t="s">
        <v>487</v>
      </c>
      <c r="C217" s="55">
        <v>92494.94</v>
      </c>
      <c r="D217" s="55">
        <v>107294.16</v>
      </c>
      <c r="F217" s="55">
        <v>92494.94</v>
      </c>
      <c r="H217" t="s">
        <v>845</v>
      </c>
      <c r="I217" t="s">
        <v>845</v>
      </c>
      <c r="J217" t="s">
        <v>847</v>
      </c>
      <c r="K217" t="s">
        <v>75</v>
      </c>
      <c r="L217" t="s">
        <v>73</v>
      </c>
      <c r="M217" s="55">
        <v>92494.94</v>
      </c>
      <c r="N217" s="55">
        <v>107294.13</v>
      </c>
      <c r="P217" t="s">
        <v>845</v>
      </c>
      <c r="Q217" t="s">
        <v>845</v>
      </c>
      <c r="R217" s="55">
        <v>107294.16</v>
      </c>
    </row>
    <row r="218" spans="1:18" x14ac:dyDescent="0.25">
      <c r="A218">
        <v>92767</v>
      </c>
      <c r="B218" t="s">
        <v>489</v>
      </c>
      <c r="C218" s="55">
        <v>94270.42</v>
      </c>
      <c r="D218" s="55">
        <v>106491.75</v>
      </c>
      <c r="E218" s="55">
        <v>76544.37</v>
      </c>
      <c r="F218" s="55">
        <v>17726.05</v>
      </c>
      <c r="H218" t="s">
        <v>845</v>
      </c>
      <c r="I218" t="s">
        <v>845</v>
      </c>
      <c r="J218" t="s">
        <v>847</v>
      </c>
      <c r="K218" t="s">
        <v>75</v>
      </c>
      <c r="L218" t="s">
        <v>73</v>
      </c>
      <c r="M218" s="55">
        <v>94270.42</v>
      </c>
      <c r="N218" s="55">
        <v>106491.93</v>
      </c>
      <c r="P218" t="s">
        <v>845</v>
      </c>
      <c r="Q218" t="s">
        <v>845</v>
      </c>
      <c r="R218" s="55">
        <v>106491.75</v>
      </c>
    </row>
    <row r="219" spans="1:18" x14ac:dyDescent="0.25">
      <c r="A219">
        <v>77974</v>
      </c>
      <c r="B219" t="s">
        <v>493</v>
      </c>
      <c r="C219" s="55">
        <v>91224.53</v>
      </c>
      <c r="D219" s="55">
        <v>105820.43</v>
      </c>
      <c r="E219" s="55">
        <v>3088.92</v>
      </c>
      <c r="F219" s="55">
        <v>88135.6</v>
      </c>
      <c r="H219" t="s">
        <v>845</v>
      </c>
      <c r="I219" t="s">
        <v>845</v>
      </c>
      <c r="J219" t="s">
        <v>847</v>
      </c>
      <c r="K219" t="s">
        <v>75</v>
      </c>
      <c r="L219" t="s">
        <v>73</v>
      </c>
      <c r="M219" s="55">
        <v>91224.52</v>
      </c>
      <c r="N219" s="55">
        <v>105820.42</v>
      </c>
      <c r="P219" t="s">
        <v>845</v>
      </c>
      <c r="Q219" t="s">
        <v>845</v>
      </c>
      <c r="R219" s="55">
        <v>105820.43</v>
      </c>
    </row>
    <row r="220" spans="1:18" x14ac:dyDescent="0.25">
      <c r="A220">
        <v>9275</v>
      </c>
      <c r="B220" t="s">
        <v>497</v>
      </c>
      <c r="C220" s="55">
        <v>87926.1</v>
      </c>
      <c r="D220" s="55">
        <v>101994.25</v>
      </c>
      <c r="F220" s="55">
        <v>87926.1</v>
      </c>
      <c r="H220" t="s">
        <v>845</v>
      </c>
      <c r="I220" t="s">
        <v>845</v>
      </c>
      <c r="J220" t="s">
        <v>860</v>
      </c>
      <c r="K220" t="s">
        <v>90</v>
      </c>
      <c r="L220" t="s">
        <v>73</v>
      </c>
      <c r="M220" s="55">
        <v>87926.1</v>
      </c>
      <c r="N220" s="55">
        <v>101994.3</v>
      </c>
      <c r="P220" t="s">
        <v>845</v>
      </c>
      <c r="Q220" t="s">
        <v>845</v>
      </c>
      <c r="R220" s="55">
        <v>101994.25</v>
      </c>
    </row>
    <row r="221" spans="1:18" x14ac:dyDescent="0.25">
      <c r="A221">
        <v>453</v>
      </c>
      <c r="B221" t="s">
        <v>498</v>
      </c>
      <c r="C221" s="55">
        <v>69219.679999999993</v>
      </c>
      <c r="D221" s="55">
        <v>101572.96</v>
      </c>
      <c r="F221" s="55">
        <v>69219.679999999993</v>
      </c>
      <c r="H221" t="s">
        <v>845</v>
      </c>
      <c r="I221" t="s">
        <v>845</v>
      </c>
      <c r="J221" t="s">
        <v>860</v>
      </c>
      <c r="K221" t="s">
        <v>90</v>
      </c>
      <c r="L221" t="s">
        <v>73</v>
      </c>
      <c r="M221" s="55">
        <v>69219.679999999993</v>
      </c>
      <c r="N221" s="55">
        <v>101572.97</v>
      </c>
      <c r="P221" t="s">
        <v>845</v>
      </c>
      <c r="Q221" t="s">
        <v>845</v>
      </c>
      <c r="R221" s="55">
        <v>101572.96</v>
      </c>
    </row>
    <row r="222" spans="1:18" x14ac:dyDescent="0.25">
      <c r="A222">
        <v>21986</v>
      </c>
      <c r="B222" t="s">
        <v>499</v>
      </c>
      <c r="C222" s="55">
        <v>87351.74</v>
      </c>
      <c r="D222" s="55">
        <v>101328.02</v>
      </c>
      <c r="F222" s="55">
        <v>87351.74</v>
      </c>
      <c r="H222" t="s">
        <v>845</v>
      </c>
      <c r="I222" t="s">
        <v>845</v>
      </c>
      <c r="J222" t="s">
        <v>860</v>
      </c>
      <c r="K222" t="s">
        <v>90</v>
      </c>
      <c r="L222" t="s">
        <v>238</v>
      </c>
      <c r="P222" s="55">
        <v>101328.02</v>
      </c>
      <c r="Q222" t="s">
        <v>845</v>
      </c>
      <c r="R222" t="s">
        <v>845</v>
      </c>
    </row>
    <row r="223" spans="1:18" x14ac:dyDescent="0.25">
      <c r="A223">
        <v>21778</v>
      </c>
      <c r="B223" t="s">
        <v>500</v>
      </c>
      <c r="C223" s="55">
        <v>86649.97</v>
      </c>
      <c r="D223" s="55">
        <v>100514</v>
      </c>
      <c r="F223" s="55">
        <v>86649.97</v>
      </c>
      <c r="H223" t="s">
        <v>845</v>
      </c>
      <c r="I223" t="s">
        <v>845</v>
      </c>
      <c r="J223" t="s">
        <v>860</v>
      </c>
      <c r="K223" t="s">
        <v>90</v>
      </c>
      <c r="L223" t="s">
        <v>73</v>
      </c>
      <c r="M223" s="55">
        <v>86649.97</v>
      </c>
      <c r="N223" s="55">
        <v>100513.99</v>
      </c>
      <c r="P223" t="s">
        <v>845</v>
      </c>
      <c r="Q223" t="s">
        <v>845</v>
      </c>
      <c r="R223" s="55">
        <v>100514</v>
      </c>
    </row>
    <row r="224" spans="1:18" x14ac:dyDescent="0.25">
      <c r="A224">
        <v>9957</v>
      </c>
      <c r="B224" t="s">
        <v>501</v>
      </c>
      <c r="C224" s="55">
        <v>86059.71</v>
      </c>
      <c r="D224" s="55">
        <v>99829.22</v>
      </c>
      <c r="F224" s="55">
        <v>86059.71</v>
      </c>
      <c r="H224" t="s">
        <v>845</v>
      </c>
      <c r="I224" t="s">
        <v>845</v>
      </c>
      <c r="J224" t="s">
        <v>860</v>
      </c>
      <c r="K224" t="s">
        <v>90</v>
      </c>
      <c r="L224" t="s">
        <v>238</v>
      </c>
      <c r="P224" s="55">
        <v>99829.22</v>
      </c>
      <c r="Q224" t="s">
        <v>845</v>
      </c>
      <c r="R224" t="s">
        <v>845</v>
      </c>
    </row>
    <row r="225" spans="1:18" x14ac:dyDescent="0.25">
      <c r="A225">
        <v>90159</v>
      </c>
      <c r="B225" t="s">
        <v>502</v>
      </c>
      <c r="C225" s="55">
        <v>85608.87</v>
      </c>
      <c r="D225" s="55">
        <v>99306.33</v>
      </c>
      <c r="F225" s="55">
        <v>85608.87</v>
      </c>
      <c r="H225" t="s">
        <v>845</v>
      </c>
      <c r="I225" t="s">
        <v>845</v>
      </c>
      <c r="J225" t="s">
        <v>860</v>
      </c>
      <c r="K225" t="s">
        <v>90</v>
      </c>
      <c r="L225" t="s">
        <v>238</v>
      </c>
      <c r="P225" s="55">
        <v>99306.33</v>
      </c>
      <c r="Q225" t="s">
        <v>845</v>
      </c>
      <c r="R225" t="s">
        <v>845</v>
      </c>
    </row>
    <row r="226" spans="1:18" x14ac:dyDescent="0.25">
      <c r="A226">
        <v>90258</v>
      </c>
      <c r="B226" t="s">
        <v>106</v>
      </c>
      <c r="C226" s="55">
        <v>89677.440000000002</v>
      </c>
      <c r="D226" s="55">
        <v>96696.02</v>
      </c>
      <c r="E226" s="55">
        <v>77811.44</v>
      </c>
      <c r="G226" s="55">
        <v>11866</v>
      </c>
      <c r="H226" t="s">
        <v>845</v>
      </c>
      <c r="I226" t="s">
        <v>845</v>
      </c>
      <c r="J226" t="s">
        <v>847</v>
      </c>
      <c r="K226" t="s">
        <v>82</v>
      </c>
      <c r="L226" t="s">
        <v>81</v>
      </c>
      <c r="M226" s="55">
        <v>77811.44</v>
      </c>
      <c r="N226" s="55">
        <v>83880.44</v>
      </c>
      <c r="P226" t="s">
        <v>845</v>
      </c>
      <c r="Q226" t="s">
        <v>845</v>
      </c>
      <c r="R226" s="55">
        <v>96696.02</v>
      </c>
    </row>
    <row r="227" spans="1:18" x14ac:dyDescent="0.25">
      <c r="A227">
        <v>23431</v>
      </c>
      <c r="B227" t="s">
        <v>504</v>
      </c>
      <c r="C227" s="55">
        <v>83138.39</v>
      </c>
      <c r="D227" s="55">
        <v>96440.54</v>
      </c>
      <c r="F227" s="55">
        <v>83138.39</v>
      </c>
      <c r="H227" t="s">
        <v>845</v>
      </c>
      <c r="I227" t="s">
        <v>845</v>
      </c>
      <c r="J227" t="s">
        <v>860</v>
      </c>
      <c r="K227" t="s">
        <v>90</v>
      </c>
      <c r="L227" t="s">
        <v>73</v>
      </c>
      <c r="M227" s="55">
        <v>83138.39</v>
      </c>
      <c r="N227" s="55">
        <v>96440.53</v>
      </c>
      <c r="P227" t="s">
        <v>845</v>
      </c>
      <c r="Q227" t="s">
        <v>845</v>
      </c>
      <c r="R227" s="55">
        <v>96440.54</v>
      </c>
    </row>
    <row r="228" spans="1:18" x14ac:dyDescent="0.25">
      <c r="A228">
        <v>304329</v>
      </c>
      <c r="B228" t="s">
        <v>505</v>
      </c>
      <c r="C228" s="55">
        <v>80702.289999999994</v>
      </c>
      <c r="D228" s="55">
        <v>93614.720000000001</v>
      </c>
      <c r="F228" s="55">
        <v>80702.289999999994</v>
      </c>
      <c r="H228" t="s">
        <v>845</v>
      </c>
      <c r="I228" t="s">
        <v>845</v>
      </c>
      <c r="J228" t="s">
        <v>860</v>
      </c>
      <c r="K228" t="s">
        <v>90</v>
      </c>
      <c r="L228" t="s">
        <v>73</v>
      </c>
      <c r="M228" s="55">
        <v>80702.289999999994</v>
      </c>
      <c r="N228" s="55">
        <v>93614.66</v>
      </c>
      <c r="P228" t="s">
        <v>845</v>
      </c>
      <c r="Q228" t="s">
        <v>845</v>
      </c>
      <c r="R228" s="55">
        <v>93614.720000000001</v>
      </c>
    </row>
    <row r="229" spans="1:18" x14ac:dyDescent="0.25">
      <c r="A229">
        <v>25528</v>
      </c>
      <c r="B229" t="s">
        <v>506</v>
      </c>
      <c r="C229" s="55">
        <v>90711.039999999994</v>
      </c>
      <c r="D229" s="55">
        <v>90742.62</v>
      </c>
      <c r="F229" s="55">
        <v>90711.039999999994</v>
      </c>
      <c r="H229" t="s">
        <v>845</v>
      </c>
      <c r="I229" t="s">
        <v>845</v>
      </c>
      <c r="J229" t="s">
        <v>860</v>
      </c>
      <c r="K229" t="s">
        <v>90</v>
      </c>
      <c r="L229" t="s">
        <v>73</v>
      </c>
      <c r="M229" s="55">
        <v>90711.039999999994</v>
      </c>
      <c r="N229" s="55">
        <v>90742.62</v>
      </c>
      <c r="P229" t="s">
        <v>845</v>
      </c>
      <c r="Q229" t="s">
        <v>845</v>
      </c>
      <c r="R229" s="55">
        <v>90742.62</v>
      </c>
    </row>
    <row r="230" spans="1:18" x14ac:dyDescent="0.25">
      <c r="A230">
        <v>24836</v>
      </c>
      <c r="B230" t="s">
        <v>507</v>
      </c>
      <c r="C230" s="55">
        <v>78494.070000000007</v>
      </c>
      <c r="D230" s="55">
        <v>85694.48</v>
      </c>
      <c r="F230" s="55">
        <v>78494.070000000007</v>
      </c>
      <c r="H230" t="s">
        <v>845</v>
      </c>
      <c r="I230" t="s">
        <v>845</v>
      </c>
      <c r="J230" t="s">
        <v>860</v>
      </c>
      <c r="K230" t="s">
        <v>90</v>
      </c>
      <c r="L230" t="s">
        <v>73</v>
      </c>
      <c r="M230" s="55">
        <v>78494.070000000007</v>
      </c>
      <c r="N230" s="55">
        <v>85694.48</v>
      </c>
      <c r="P230" t="s">
        <v>845</v>
      </c>
      <c r="Q230" t="s">
        <v>845</v>
      </c>
      <c r="R230" s="55">
        <v>85694.48</v>
      </c>
    </row>
    <row r="231" spans="1:18" x14ac:dyDescent="0.25">
      <c r="A231">
        <v>3160</v>
      </c>
      <c r="B231" t="s">
        <v>508</v>
      </c>
      <c r="C231" s="55">
        <v>83169.929999999993</v>
      </c>
      <c r="D231" s="55">
        <v>83169.929999999993</v>
      </c>
      <c r="F231" s="55">
        <v>83169.929999999993</v>
      </c>
      <c r="H231" t="s">
        <v>845</v>
      </c>
      <c r="I231" t="s">
        <v>845</v>
      </c>
      <c r="J231" t="s">
        <v>847</v>
      </c>
      <c r="K231" t="s">
        <v>133</v>
      </c>
      <c r="L231" t="s">
        <v>57</v>
      </c>
      <c r="P231" t="s">
        <v>845</v>
      </c>
      <c r="Q231" t="s">
        <v>845</v>
      </c>
      <c r="R231" s="55">
        <v>83169.929999999993</v>
      </c>
    </row>
    <row r="232" spans="1:18" x14ac:dyDescent="0.25">
      <c r="A232">
        <v>20623</v>
      </c>
      <c r="B232" t="s">
        <v>511</v>
      </c>
      <c r="C232" s="55">
        <v>81605.09</v>
      </c>
      <c r="D232" s="55">
        <v>81605.09</v>
      </c>
      <c r="F232" s="55">
        <v>81605.09</v>
      </c>
      <c r="H232" t="s">
        <v>845</v>
      </c>
      <c r="I232" t="s">
        <v>845</v>
      </c>
      <c r="J232" t="s">
        <v>860</v>
      </c>
      <c r="K232" t="s">
        <v>90</v>
      </c>
      <c r="L232" t="s">
        <v>238</v>
      </c>
      <c r="P232" s="55">
        <v>81605.09</v>
      </c>
      <c r="Q232" t="s">
        <v>845</v>
      </c>
      <c r="R232" t="s">
        <v>845</v>
      </c>
    </row>
    <row r="233" spans="1:18" x14ac:dyDescent="0.25">
      <c r="A233">
        <v>335307</v>
      </c>
      <c r="B233" t="s">
        <v>512</v>
      </c>
      <c r="C233" s="55">
        <v>79689.460000000006</v>
      </c>
      <c r="D233" s="55">
        <v>79689.460000000006</v>
      </c>
      <c r="F233" s="55">
        <v>79689.460000000006</v>
      </c>
      <c r="H233" t="s">
        <v>845</v>
      </c>
      <c r="I233" t="s">
        <v>845</v>
      </c>
      <c r="J233" t="s">
        <v>860</v>
      </c>
      <c r="K233" t="s">
        <v>90</v>
      </c>
      <c r="L233" t="s">
        <v>238</v>
      </c>
      <c r="P233" t="s">
        <v>845</v>
      </c>
      <c r="Q233" s="55">
        <v>79689.460000000006</v>
      </c>
      <c r="R233" t="s">
        <v>845</v>
      </c>
    </row>
    <row r="234" spans="1:18" x14ac:dyDescent="0.25">
      <c r="A234">
        <v>79582</v>
      </c>
      <c r="B234" t="s">
        <v>513</v>
      </c>
      <c r="C234" s="55">
        <v>68060.25</v>
      </c>
      <c r="D234" s="55">
        <v>78949.899999999994</v>
      </c>
      <c r="F234" s="55">
        <v>68060.25</v>
      </c>
      <c r="H234" t="s">
        <v>845</v>
      </c>
      <c r="I234" t="s">
        <v>845</v>
      </c>
      <c r="J234" t="s">
        <v>860</v>
      </c>
      <c r="K234" t="s">
        <v>90</v>
      </c>
      <c r="L234" t="s">
        <v>73</v>
      </c>
      <c r="M234" s="55">
        <v>68060.25</v>
      </c>
      <c r="N234" s="55">
        <v>78949.919999999998</v>
      </c>
      <c r="P234" t="s">
        <v>845</v>
      </c>
      <c r="Q234" t="s">
        <v>845</v>
      </c>
      <c r="R234" s="55">
        <v>78949.899999999994</v>
      </c>
    </row>
    <row r="235" spans="1:18" x14ac:dyDescent="0.25">
      <c r="A235">
        <v>14296</v>
      </c>
      <c r="B235" t="s">
        <v>514</v>
      </c>
      <c r="C235" s="55">
        <v>77554.720000000001</v>
      </c>
      <c r="D235" s="55">
        <v>77554.720000000001</v>
      </c>
      <c r="F235" s="55">
        <v>77554.720000000001</v>
      </c>
      <c r="H235" t="s">
        <v>845</v>
      </c>
      <c r="I235" t="s">
        <v>845</v>
      </c>
      <c r="J235" t="s">
        <v>860</v>
      </c>
      <c r="K235" t="s">
        <v>90</v>
      </c>
      <c r="L235" t="s">
        <v>238</v>
      </c>
      <c r="P235" s="55">
        <v>77554.720000000001</v>
      </c>
      <c r="Q235" t="s">
        <v>845</v>
      </c>
      <c r="R235" t="s">
        <v>845</v>
      </c>
    </row>
    <row r="236" spans="1:18" x14ac:dyDescent="0.25">
      <c r="A236">
        <v>90647</v>
      </c>
      <c r="B236" t="s">
        <v>515</v>
      </c>
      <c r="C236" s="55">
        <v>66410.880000000005</v>
      </c>
      <c r="D236" s="55">
        <v>77036.62</v>
      </c>
      <c r="F236" s="55">
        <v>66410.880000000005</v>
      </c>
      <c r="H236" t="s">
        <v>845</v>
      </c>
      <c r="I236" t="s">
        <v>845</v>
      </c>
      <c r="J236" t="s">
        <v>860</v>
      </c>
      <c r="K236" t="s">
        <v>90</v>
      </c>
      <c r="L236" t="s">
        <v>238</v>
      </c>
      <c r="P236" s="55">
        <v>77036.62</v>
      </c>
      <c r="Q236" t="s">
        <v>845</v>
      </c>
      <c r="R236" t="s">
        <v>845</v>
      </c>
    </row>
    <row r="237" spans="1:18" x14ac:dyDescent="0.25">
      <c r="A237">
        <v>64881</v>
      </c>
      <c r="B237" t="s">
        <v>516</v>
      </c>
      <c r="C237" s="55">
        <v>74705.08</v>
      </c>
      <c r="D237" s="55">
        <v>75638.97</v>
      </c>
      <c r="F237" s="55">
        <v>74705.08</v>
      </c>
      <c r="H237" t="s">
        <v>845</v>
      </c>
      <c r="I237" t="s">
        <v>845</v>
      </c>
      <c r="J237" t="s">
        <v>860</v>
      </c>
      <c r="K237" t="s">
        <v>90</v>
      </c>
      <c r="L237" t="s">
        <v>73</v>
      </c>
      <c r="M237" s="55">
        <v>74705.08</v>
      </c>
      <c r="N237" s="55">
        <v>75638.97</v>
      </c>
      <c r="P237" t="s">
        <v>845</v>
      </c>
      <c r="Q237" t="s">
        <v>845</v>
      </c>
      <c r="R237" s="55">
        <v>75638.97</v>
      </c>
    </row>
    <row r="238" spans="1:18" x14ac:dyDescent="0.25">
      <c r="A238">
        <v>25957</v>
      </c>
      <c r="B238" t="s">
        <v>517</v>
      </c>
      <c r="C238" s="55">
        <v>64419.91</v>
      </c>
      <c r="D238" s="55">
        <v>74727.14</v>
      </c>
      <c r="F238" s="55">
        <v>64419.91</v>
      </c>
      <c r="H238" t="s">
        <v>845</v>
      </c>
      <c r="I238" t="s">
        <v>845</v>
      </c>
      <c r="J238" t="s">
        <v>860</v>
      </c>
      <c r="K238" t="s">
        <v>90</v>
      </c>
      <c r="L238" t="s">
        <v>73</v>
      </c>
      <c r="M238" s="55">
        <v>64419.91</v>
      </c>
      <c r="N238" s="55">
        <v>74727.149999999994</v>
      </c>
      <c r="P238" t="s">
        <v>845</v>
      </c>
      <c r="Q238" t="s">
        <v>845</v>
      </c>
      <c r="R238" s="55">
        <v>74727.14</v>
      </c>
    </row>
    <row r="239" spans="1:18" x14ac:dyDescent="0.25">
      <c r="A239">
        <v>394510</v>
      </c>
      <c r="B239" t="s">
        <v>518</v>
      </c>
      <c r="C239" s="55">
        <v>73725.56</v>
      </c>
      <c r="D239" s="55">
        <v>73725.56</v>
      </c>
      <c r="F239" s="55">
        <v>73725.56</v>
      </c>
      <c r="H239" t="s">
        <v>845</v>
      </c>
      <c r="I239" t="s">
        <v>845</v>
      </c>
      <c r="J239" t="s">
        <v>860</v>
      </c>
      <c r="K239" t="s">
        <v>90</v>
      </c>
      <c r="L239" t="s">
        <v>238</v>
      </c>
      <c r="P239" s="55">
        <v>73725.56</v>
      </c>
      <c r="Q239" t="s">
        <v>845</v>
      </c>
      <c r="R239" t="s">
        <v>845</v>
      </c>
    </row>
    <row r="240" spans="1:18" x14ac:dyDescent="0.25">
      <c r="A240">
        <v>374645</v>
      </c>
      <c r="B240" t="s">
        <v>519</v>
      </c>
      <c r="C240" s="55">
        <v>42074.15</v>
      </c>
      <c r="D240" s="55">
        <v>72067.73</v>
      </c>
      <c r="F240" s="55">
        <v>42074.15</v>
      </c>
      <c r="H240" t="s">
        <v>845</v>
      </c>
      <c r="I240" t="s">
        <v>845</v>
      </c>
      <c r="J240" t="s">
        <v>847</v>
      </c>
      <c r="K240" t="s">
        <v>75</v>
      </c>
      <c r="L240" t="s">
        <v>73</v>
      </c>
      <c r="M240" s="55">
        <v>42074.15</v>
      </c>
      <c r="N240" s="55">
        <v>72067.72</v>
      </c>
      <c r="P240" t="s">
        <v>845</v>
      </c>
      <c r="Q240" t="s">
        <v>845</v>
      </c>
      <c r="R240" s="55">
        <v>72067.73</v>
      </c>
    </row>
    <row r="241" spans="1:18" x14ac:dyDescent="0.25">
      <c r="A241">
        <v>40089</v>
      </c>
      <c r="B241" t="s">
        <v>522</v>
      </c>
      <c r="C241" s="55">
        <v>61997.84</v>
      </c>
      <c r="D241" s="55">
        <v>71917.47</v>
      </c>
      <c r="F241" s="55">
        <v>61997.84</v>
      </c>
      <c r="H241" t="s">
        <v>845</v>
      </c>
      <c r="I241" t="s">
        <v>845</v>
      </c>
      <c r="J241" t="s">
        <v>860</v>
      </c>
      <c r="K241" t="s">
        <v>90</v>
      </c>
      <c r="L241" t="s">
        <v>238</v>
      </c>
      <c r="P241" s="55">
        <v>71917.47</v>
      </c>
      <c r="Q241" t="s">
        <v>845</v>
      </c>
      <c r="R241" t="s">
        <v>845</v>
      </c>
    </row>
    <row r="242" spans="1:18" x14ac:dyDescent="0.25">
      <c r="A242">
        <v>20456</v>
      </c>
      <c r="B242" t="s">
        <v>523</v>
      </c>
      <c r="C242" s="55">
        <v>71609.14</v>
      </c>
      <c r="D242" s="55">
        <v>71609.14</v>
      </c>
      <c r="F242" s="55">
        <v>71609.14</v>
      </c>
      <c r="H242" t="s">
        <v>845</v>
      </c>
      <c r="I242" t="s">
        <v>845</v>
      </c>
      <c r="J242" t="s">
        <v>860</v>
      </c>
      <c r="K242" t="s">
        <v>90</v>
      </c>
      <c r="L242" t="s">
        <v>238</v>
      </c>
      <c r="P242" t="s">
        <v>845</v>
      </c>
      <c r="Q242" s="55">
        <v>71609.14</v>
      </c>
      <c r="R242" t="s">
        <v>845</v>
      </c>
    </row>
    <row r="243" spans="1:18" x14ac:dyDescent="0.25">
      <c r="A243">
        <v>395053</v>
      </c>
      <c r="B243" t="s">
        <v>524</v>
      </c>
      <c r="C243" s="55">
        <v>61580.15</v>
      </c>
      <c r="D243" s="55">
        <v>71432.97</v>
      </c>
      <c r="F243" s="55">
        <v>61580.15</v>
      </c>
      <c r="H243" t="s">
        <v>845</v>
      </c>
      <c r="I243" t="s">
        <v>845</v>
      </c>
      <c r="J243" t="s">
        <v>860</v>
      </c>
      <c r="K243" t="s">
        <v>90</v>
      </c>
      <c r="L243" t="s">
        <v>238</v>
      </c>
      <c r="P243" t="s">
        <v>845</v>
      </c>
      <c r="Q243" s="55">
        <v>71432.97</v>
      </c>
      <c r="R243" t="s">
        <v>845</v>
      </c>
    </row>
    <row r="244" spans="1:18" x14ac:dyDescent="0.25">
      <c r="A244">
        <v>7034</v>
      </c>
      <c r="B244" t="s">
        <v>525</v>
      </c>
      <c r="C244" s="55">
        <v>66327.55</v>
      </c>
      <c r="D244" s="55">
        <v>71318.06</v>
      </c>
      <c r="F244" s="55">
        <v>66327.55</v>
      </c>
      <c r="H244" t="s">
        <v>845</v>
      </c>
      <c r="I244" t="s">
        <v>845</v>
      </c>
      <c r="J244" t="s">
        <v>860</v>
      </c>
      <c r="K244" t="s">
        <v>90</v>
      </c>
      <c r="L244" t="s">
        <v>238</v>
      </c>
      <c r="P244" s="55">
        <v>71318.06</v>
      </c>
      <c r="Q244" t="s">
        <v>845</v>
      </c>
      <c r="R244" t="s">
        <v>845</v>
      </c>
    </row>
    <row r="245" spans="1:18" x14ac:dyDescent="0.25">
      <c r="A245">
        <v>22605</v>
      </c>
      <c r="B245" t="s">
        <v>526</v>
      </c>
      <c r="C245" s="55">
        <v>71036.679999999993</v>
      </c>
      <c r="D245" s="55">
        <v>71036.679999999993</v>
      </c>
      <c r="F245" s="55">
        <v>71036.679999999993</v>
      </c>
      <c r="H245" t="s">
        <v>845</v>
      </c>
      <c r="I245" t="s">
        <v>845</v>
      </c>
      <c r="J245" t="s">
        <v>847</v>
      </c>
      <c r="K245" t="s">
        <v>75</v>
      </c>
      <c r="L245" t="s">
        <v>73</v>
      </c>
      <c r="M245" s="55">
        <v>71036.679999999993</v>
      </c>
      <c r="N245" s="55">
        <v>71036.679999999993</v>
      </c>
      <c r="P245" t="s">
        <v>845</v>
      </c>
      <c r="Q245" t="s">
        <v>845</v>
      </c>
      <c r="R245" s="55">
        <v>71036.679999999993</v>
      </c>
    </row>
    <row r="246" spans="1:18" x14ac:dyDescent="0.25">
      <c r="A246">
        <v>79681</v>
      </c>
      <c r="B246" t="s">
        <v>529</v>
      </c>
      <c r="C246" s="55">
        <v>47909.67</v>
      </c>
      <c r="D246" s="55">
        <v>70803.25</v>
      </c>
      <c r="F246" s="55">
        <v>47909.67</v>
      </c>
      <c r="H246" t="s">
        <v>845</v>
      </c>
      <c r="I246" t="s">
        <v>845</v>
      </c>
      <c r="J246" t="s">
        <v>860</v>
      </c>
      <c r="K246" t="s">
        <v>90</v>
      </c>
      <c r="L246" t="s">
        <v>73</v>
      </c>
      <c r="M246" s="55">
        <v>47909.67</v>
      </c>
      <c r="N246" s="55">
        <v>70803.25</v>
      </c>
      <c r="P246" t="s">
        <v>845</v>
      </c>
      <c r="Q246" t="s">
        <v>845</v>
      </c>
      <c r="R246" s="55">
        <v>70803.25</v>
      </c>
    </row>
    <row r="247" spans="1:18" x14ac:dyDescent="0.25">
      <c r="A247">
        <v>397521</v>
      </c>
      <c r="B247" t="s">
        <v>530</v>
      </c>
      <c r="C247" s="55">
        <v>60327.02</v>
      </c>
      <c r="D247" s="55">
        <v>69979.350000000006</v>
      </c>
      <c r="F247" s="55">
        <v>60327.02</v>
      </c>
      <c r="H247" t="s">
        <v>845</v>
      </c>
      <c r="I247" t="s">
        <v>845</v>
      </c>
      <c r="J247" t="s">
        <v>860</v>
      </c>
      <c r="K247" t="s">
        <v>90</v>
      </c>
      <c r="L247" t="s">
        <v>73</v>
      </c>
      <c r="M247" s="55">
        <v>60327.02</v>
      </c>
      <c r="N247" s="55">
        <v>69979.34</v>
      </c>
      <c r="P247" t="s">
        <v>845</v>
      </c>
      <c r="Q247" t="s">
        <v>845</v>
      </c>
      <c r="R247" s="55">
        <v>69979.350000000006</v>
      </c>
    </row>
    <row r="248" spans="1:18" x14ac:dyDescent="0.25">
      <c r="A248">
        <v>18614</v>
      </c>
      <c r="B248" t="s">
        <v>531</v>
      </c>
      <c r="C248" s="55">
        <v>58643.59</v>
      </c>
      <c r="D248" s="55">
        <v>68026.570000000007</v>
      </c>
      <c r="F248" s="55">
        <v>58643.59</v>
      </c>
      <c r="H248" t="s">
        <v>845</v>
      </c>
      <c r="I248" t="s">
        <v>845</v>
      </c>
      <c r="J248" t="s">
        <v>860</v>
      </c>
      <c r="K248" t="s">
        <v>90</v>
      </c>
      <c r="L248" t="s">
        <v>238</v>
      </c>
      <c r="P248" s="55">
        <v>68026.570000000007</v>
      </c>
      <c r="Q248" t="s">
        <v>845</v>
      </c>
      <c r="R248" t="s">
        <v>845</v>
      </c>
    </row>
    <row r="249" spans="1:18" x14ac:dyDescent="0.25">
      <c r="A249">
        <v>390518</v>
      </c>
      <c r="B249" t="s">
        <v>532</v>
      </c>
      <c r="C249" s="55">
        <v>59065.53</v>
      </c>
      <c r="D249" s="55">
        <v>68022.259999999995</v>
      </c>
      <c r="F249" s="55">
        <v>59065.53</v>
      </c>
      <c r="H249" t="s">
        <v>845</v>
      </c>
      <c r="I249" t="s">
        <v>845</v>
      </c>
      <c r="J249" t="s">
        <v>860</v>
      </c>
      <c r="K249" t="s">
        <v>90</v>
      </c>
      <c r="L249" t="s">
        <v>73</v>
      </c>
      <c r="M249" s="55">
        <v>59065.53</v>
      </c>
      <c r="N249" s="55">
        <v>68022.23</v>
      </c>
      <c r="P249" t="s">
        <v>845</v>
      </c>
      <c r="Q249" t="s">
        <v>845</v>
      </c>
      <c r="R249" s="55">
        <v>68022.259999999995</v>
      </c>
    </row>
    <row r="250" spans="1:18" x14ac:dyDescent="0.25">
      <c r="A250">
        <v>20780</v>
      </c>
      <c r="B250" t="s">
        <v>533</v>
      </c>
      <c r="C250" s="55">
        <v>58078.51</v>
      </c>
      <c r="D250" s="55">
        <v>67371.08</v>
      </c>
      <c r="F250" s="55">
        <v>58078.51</v>
      </c>
      <c r="H250" t="s">
        <v>845</v>
      </c>
      <c r="I250" t="s">
        <v>845</v>
      </c>
      <c r="J250" t="s">
        <v>860</v>
      </c>
      <c r="K250" t="s">
        <v>90</v>
      </c>
      <c r="L250" t="s">
        <v>73</v>
      </c>
      <c r="M250" s="55">
        <v>58078.51</v>
      </c>
      <c r="N250" s="55">
        <v>67371.070000000007</v>
      </c>
      <c r="P250" t="s">
        <v>845</v>
      </c>
      <c r="Q250" t="s">
        <v>845</v>
      </c>
      <c r="R250" s="55">
        <v>67371.08</v>
      </c>
    </row>
    <row r="251" spans="1:18" x14ac:dyDescent="0.25">
      <c r="A251">
        <v>22225</v>
      </c>
      <c r="B251" t="s">
        <v>534</v>
      </c>
      <c r="C251" s="55">
        <v>57869.599999999999</v>
      </c>
      <c r="D251" s="55">
        <v>67128.740000000005</v>
      </c>
      <c r="F251" s="55">
        <v>57869.599999999999</v>
      </c>
      <c r="H251" t="s">
        <v>845</v>
      </c>
      <c r="I251" t="s">
        <v>845</v>
      </c>
      <c r="J251" t="s">
        <v>860</v>
      </c>
      <c r="K251" t="s">
        <v>90</v>
      </c>
      <c r="L251" t="s">
        <v>73</v>
      </c>
      <c r="M251" s="55">
        <v>57869.599999999999</v>
      </c>
      <c r="N251" s="55">
        <v>67128.740000000005</v>
      </c>
      <c r="P251" t="s">
        <v>845</v>
      </c>
      <c r="Q251" t="s">
        <v>845</v>
      </c>
      <c r="R251" s="55">
        <v>67128.740000000005</v>
      </c>
    </row>
    <row r="252" spans="1:18" x14ac:dyDescent="0.25">
      <c r="A252">
        <v>4502</v>
      </c>
      <c r="B252" t="s">
        <v>350</v>
      </c>
      <c r="C252" s="55">
        <v>61958.3</v>
      </c>
      <c r="D252" s="55">
        <v>66914.960000000006</v>
      </c>
      <c r="F252" s="55">
        <v>61958.3</v>
      </c>
      <c r="H252" t="s">
        <v>845</v>
      </c>
      <c r="I252" t="s">
        <v>845</v>
      </c>
      <c r="J252" t="s">
        <v>860</v>
      </c>
      <c r="K252" t="s">
        <v>90</v>
      </c>
      <c r="L252" t="s">
        <v>73</v>
      </c>
      <c r="M252" s="55">
        <v>61958.3</v>
      </c>
      <c r="N252" s="55">
        <v>66914.960000000006</v>
      </c>
      <c r="P252" t="s">
        <v>845</v>
      </c>
      <c r="Q252" t="s">
        <v>845</v>
      </c>
      <c r="R252" s="55">
        <v>66914.960000000006</v>
      </c>
    </row>
    <row r="253" spans="1:18" x14ac:dyDescent="0.25">
      <c r="A253">
        <v>466</v>
      </c>
      <c r="B253" t="s">
        <v>535</v>
      </c>
      <c r="C253" s="55">
        <v>56988.76</v>
      </c>
      <c r="D253" s="55">
        <v>66107.05</v>
      </c>
      <c r="F253" s="55">
        <v>56988.76</v>
      </c>
      <c r="H253" t="s">
        <v>845</v>
      </c>
      <c r="I253" t="s">
        <v>845</v>
      </c>
      <c r="J253" t="s">
        <v>860</v>
      </c>
      <c r="K253" t="s">
        <v>90</v>
      </c>
      <c r="L253" t="s">
        <v>238</v>
      </c>
      <c r="P253" s="55">
        <v>66107.05</v>
      </c>
      <c r="Q253" t="s">
        <v>845</v>
      </c>
      <c r="R253" t="s">
        <v>845</v>
      </c>
    </row>
    <row r="254" spans="1:18" x14ac:dyDescent="0.25">
      <c r="A254">
        <v>322602</v>
      </c>
      <c r="B254" t="s">
        <v>536</v>
      </c>
      <c r="C254" s="55">
        <v>56335.360000000001</v>
      </c>
      <c r="D254" s="55">
        <v>65349.07</v>
      </c>
      <c r="F254" s="55">
        <v>56335.360000000001</v>
      </c>
      <c r="H254" t="s">
        <v>845</v>
      </c>
      <c r="I254" t="s">
        <v>845</v>
      </c>
      <c r="J254" t="s">
        <v>847</v>
      </c>
      <c r="K254" t="s">
        <v>75</v>
      </c>
      <c r="L254" t="s">
        <v>73</v>
      </c>
      <c r="M254" s="55">
        <v>56335.360000000001</v>
      </c>
      <c r="N254" s="55">
        <v>65349.07</v>
      </c>
      <c r="P254" t="s">
        <v>845</v>
      </c>
      <c r="Q254" t="s">
        <v>845</v>
      </c>
      <c r="R254" s="55">
        <v>65349.07</v>
      </c>
    </row>
    <row r="255" spans="1:18" x14ac:dyDescent="0.25">
      <c r="A255">
        <v>12229</v>
      </c>
      <c r="B255" t="s">
        <v>537</v>
      </c>
      <c r="C255" s="55">
        <v>61186.02</v>
      </c>
      <c r="D255" s="55">
        <v>65016.55</v>
      </c>
      <c r="F255" s="55">
        <v>61186.02</v>
      </c>
      <c r="H255" t="s">
        <v>845</v>
      </c>
      <c r="I255" t="s">
        <v>845</v>
      </c>
      <c r="J255" t="s">
        <v>847</v>
      </c>
      <c r="K255" t="s">
        <v>133</v>
      </c>
      <c r="L255" t="s">
        <v>57</v>
      </c>
      <c r="P255" t="s">
        <v>845</v>
      </c>
      <c r="Q255" t="s">
        <v>845</v>
      </c>
      <c r="R255" s="55">
        <v>65016.55</v>
      </c>
    </row>
    <row r="256" spans="1:18" x14ac:dyDescent="0.25">
      <c r="A256">
        <v>314161</v>
      </c>
      <c r="B256" t="s">
        <v>540</v>
      </c>
      <c r="C256" s="55">
        <v>55935.38</v>
      </c>
      <c r="D256" s="55">
        <v>64885.01</v>
      </c>
      <c r="F256" s="55">
        <v>55935.38</v>
      </c>
      <c r="H256" t="s">
        <v>845</v>
      </c>
      <c r="I256" t="s">
        <v>845</v>
      </c>
      <c r="J256" t="s">
        <v>860</v>
      </c>
      <c r="K256" t="s">
        <v>90</v>
      </c>
      <c r="L256" t="s">
        <v>238</v>
      </c>
      <c r="P256" t="s">
        <v>845</v>
      </c>
      <c r="Q256" s="55">
        <v>64885.01</v>
      </c>
      <c r="R256" t="s">
        <v>845</v>
      </c>
    </row>
    <row r="257" spans="1:18" x14ac:dyDescent="0.25">
      <c r="A257">
        <v>11601</v>
      </c>
      <c r="B257" t="s">
        <v>541</v>
      </c>
      <c r="C257" s="55">
        <v>53386.05</v>
      </c>
      <c r="D257" s="55">
        <v>61927.82</v>
      </c>
      <c r="F257" s="55">
        <v>53386.05</v>
      </c>
      <c r="H257" t="s">
        <v>845</v>
      </c>
      <c r="I257" t="s">
        <v>845</v>
      </c>
      <c r="J257" t="s">
        <v>860</v>
      </c>
      <c r="K257" t="s">
        <v>90</v>
      </c>
      <c r="L257" t="s">
        <v>73</v>
      </c>
      <c r="M257" s="55">
        <v>53386.05</v>
      </c>
      <c r="N257" s="55">
        <v>61927.82</v>
      </c>
      <c r="P257" t="s">
        <v>845</v>
      </c>
      <c r="Q257" t="s">
        <v>845</v>
      </c>
      <c r="R257" s="55">
        <v>61927.82</v>
      </c>
    </row>
    <row r="258" spans="1:18" x14ac:dyDescent="0.25">
      <c r="A258">
        <v>9580</v>
      </c>
      <c r="B258" t="s">
        <v>542</v>
      </c>
      <c r="C258" s="55">
        <v>52171.88</v>
      </c>
      <c r="D258" s="55">
        <v>60519.38</v>
      </c>
      <c r="F258" s="55">
        <v>52171.88</v>
      </c>
      <c r="H258" t="s">
        <v>845</v>
      </c>
      <c r="I258" t="s">
        <v>845</v>
      </c>
      <c r="J258" t="s">
        <v>860</v>
      </c>
      <c r="K258" t="s">
        <v>90</v>
      </c>
      <c r="L258" t="s">
        <v>73</v>
      </c>
      <c r="M258" s="55">
        <v>52171.88</v>
      </c>
      <c r="N258" s="55">
        <v>60519.360000000001</v>
      </c>
      <c r="P258" t="s">
        <v>845</v>
      </c>
      <c r="Q258" t="s">
        <v>845</v>
      </c>
      <c r="R258" s="55">
        <v>60519.38</v>
      </c>
    </row>
    <row r="259" spans="1:18" x14ac:dyDescent="0.25">
      <c r="A259">
        <v>7325</v>
      </c>
      <c r="B259" t="s">
        <v>543</v>
      </c>
      <c r="C259" s="55">
        <v>48276.86</v>
      </c>
      <c r="D259" s="55">
        <v>56001.18</v>
      </c>
      <c r="F259" s="55">
        <v>48276.86</v>
      </c>
      <c r="H259" t="s">
        <v>845</v>
      </c>
      <c r="I259" t="s">
        <v>845</v>
      </c>
      <c r="J259" t="s">
        <v>860</v>
      </c>
      <c r="K259" t="s">
        <v>90</v>
      </c>
      <c r="L259" t="s">
        <v>238</v>
      </c>
      <c r="P259" s="55">
        <v>56001.18</v>
      </c>
      <c r="Q259" t="s">
        <v>845</v>
      </c>
      <c r="R259" t="s">
        <v>845</v>
      </c>
    </row>
    <row r="260" spans="1:18" x14ac:dyDescent="0.25">
      <c r="A260">
        <v>24687</v>
      </c>
      <c r="B260" t="s">
        <v>544</v>
      </c>
      <c r="C260" s="55">
        <v>46715.040000000001</v>
      </c>
      <c r="D260" s="55">
        <v>54189.45</v>
      </c>
      <c r="F260" s="55">
        <v>46715.040000000001</v>
      </c>
      <c r="H260" t="s">
        <v>845</v>
      </c>
      <c r="I260" t="s">
        <v>845</v>
      </c>
      <c r="J260" t="s">
        <v>847</v>
      </c>
      <c r="K260" t="s">
        <v>75</v>
      </c>
      <c r="L260" t="s">
        <v>73</v>
      </c>
      <c r="M260" s="55">
        <v>46715.040000000001</v>
      </c>
      <c r="N260" s="55">
        <v>54189.45</v>
      </c>
      <c r="P260" t="s">
        <v>845</v>
      </c>
      <c r="Q260" t="s">
        <v>845</v>
      </c>
      <c r="R260" s="55">
        <v>54189.45</v>
      </c>
    </row>
    <row r="261" spans="1:18" x14ac:dyDescent="0.25">
      <c r="A261">
        <v>307017</v>
      </c>
      <c r="B261" t="s">
        <v>545</v>
      </c>
      <c r="C261" s="55">
        <v>54040.7</v>
      </c>
      <c r="D261" s="55">
        <v>54040.79</v>
      </c>
      <c r="F261" s="55">
        <v>54040.7</v>
      </c>
      <c r="H261" t="s">
        <v>845</v>
      </c>
      <c r="I261" t="s">
        <v>845</v>
      </c>
      <c r="J261" t="s">
        <v>860</v>
      </c>
      <c r="K261" t="s">
        <v>90</v>
      </c>
      <c r="L261" t="s">
        <v>238</v>
      </c>
      <c r="P261" s="55">
        <v>54040.79</v>
      </c>
      <c r="Q261" t="s">
        <v>845</v>
      </c>
      <c r="R261" t="s">
        <v>845</v>
      </c>
    </row>
    <row r="262" spans="1:18" x14ac:dyDescent="0.25">
      <c r="A262">
        <v>60681</v>
      </c>
      <c r="B262" t="s">
        <v>546</v>
      </c>
      <c r="C262" s="55">
        <v>45163.81</v>
      </c>
      <c r="D262" s="55">
        <v>52390.01</v>
      </c>
      <c r="F262" s="55">
        <v>45163.81</v>
      </c>
      <c r="H262" t="s">
        <v>845</v>
      </c>
      <c r="I262" t="s">
        <v>845</v>
      </c>
      <c r="J262" t="s">
        <v>860</v>
      </c>
      <c r="K262" t="s">
        <v>90</v>
      </c>
      <c r="L262" t="s">
        <v>73</v>
      </c>
      <c r="M262" s="55">
        <v>45163.81</v>
      </c>
      <c r="N262" s="55">
        <v>52390.05</v>
      </c>
      <c r="P262" t="s">
        <v>845</v>
      </c>
      <c r="Q262" t="s">
        <v>845</v>
      </c>
      <c r="R262" s="55">
        <v>52390.01</v>
      </c>
    </row>
    <row r="263" spans="1:18" x14ac:dyDescent="0.25">
      <c r="A263">
        <v>21157</v>
      </c>
      <c r="B263" t="s">
        <v>547</v>
      </c>
      <c r="C263" s="55">
        <v>44422.99</v>
      </c>
      <c r="D263" s="55">
        <v>51530.68</v>
      </c>
      <c r="F263" s="55">
        <v>44422.99</v>
      </c>
      <c r="H263" t="s">
        <v>845</v>
      </c>
      <c r="I263" t="s">
        <v>845</v>
      </c>
      <c r="J263" t="s">
        <v>860</v>
      </c>
      <c r="K263" t="s">
        <v>90</v>
      </c>
      <c r="L263" t="s">
        <v>238</v>
      </c>
      <c r="P263" s="55">
        <v>51530.68</v>
      </c>
      <c r="Q263" t="s">
        <v>845</v>
      </c>
      <c r="R263" t="s">
        <v>845</v>
      </c>
    </row>
    <row r="264" spans="1:18" x14ac:dyDescent="0.25">
      <c r="A264">
        <v>99861</v>
      </c>
      <c r="B264" t="s">
        <v>548</v>
      </c>
      <c r="C264" s="55">
        <v>50470.48</v>
      </c>
      <c r="D264" s="55">
        <v>50470.48</v>
      </c>
      <c r="F264" s="55">
        <v>50470.48</v>
      </c>
      <c r="H264" t="s">
        <v>845</v>
      </c>
      <c r="I264" t="s">
        <v>845</v>
      </c>
      <c r="J264" t="s">
        <v>860</v>
      </c>
      <c r="K264" t="s">
        <v>90</v>
      </c>
      <c r="L264" t="s">
        <v>238</v>
      </c>
      <c r="P264" s="55">
        <v>50470.48</v>
      </c>
      <c r="Q264" t="s">
        <v>845</v>
      </c>
      <c r="R264" t="s">
        <v>845</v>
      </c>
    </row>
    <row r="265" spans="1:18" x14ac:dyDescent="0.25">
      <c r="A265">
        <v>20859</v>
      </c>
      <c r="B265" t="s">
        <v>549</v>
      </c>
      <c r="C265" s="55">
        <v>43281.33</v>
      </c>
      <c r="D265" s="55">
        <v>50206.34</v>
      </c>
      <c r="F265" s="55">
        <v>43281.33</v>
      </c>
      <c r="H265" t="s">
        <v>845</v>
      </c>
      <c r="I265" t="s">
        <v>845</v>
      </c>
      <c r="J265" t="s">
        <v>860</v>
      </c>
      <c r="K265" t="s">
        <v>90</v>
      </c>
      <c r="L265" t="s">
        <v>73</v>
      </c>
      <c r="M265" s="55">
        <v>43281.33</v>
      </c>
      <c r="N265" s="55">
        <v>50206.34</v>
      </c>
      <c r="P265" t="s">
        <v>845</v>
      </c>
      <c r="Q265" t="s">
        <v>845</v>
      </c>
      <c r="R265" s="55">
        <v>50206.34</v>
      </c>
    </row>
    <row r="266" spans="1:18" x14ac:dyDescent="0.25">
      <c r="A266">
        <v>28241</v>
      </c>
      <c r="B266" t="s">
        <v>550</v>
      </c>
      <c r="C266" s="55">
        <v>40821.93</v>
      </c>
      <c r="D266" s="55">
        <v>49264.26</v>
      </c>
      <c r="F266" s="55">
        <v>40821.93</v>
      </c>
      <c r="H266" t="s">
        <v>845</v>
      </c>
      <c r="I266" t="s">
        <v>845</v>
      </c>
      <c r="J266" t="s">
        <v>860</v>
      </c>
      <c r="K266" t="s">
        <v>90</v>
      </c>
      <c r="L266" t="s">
        <v>238</v>
      </c>
      <c r="P266" s="55">
        <v>49264.26</v>
      </c>
      <c r="Q266" t="s">
        <v>845</v>
      </c>
      <c r="R266" t="s">
        <v>845</v>
      </c>
    </row>
    <row r="267" spans="1:18" x14ac:dyDescent="0.25">
      <c r="A267">
        <v>20539</v>
      </c>
      <c r="B267" t="s">
        <v>551</v>
      </c>
      <c r="C267" s="55">
        <v>41943.96</v>
      </c>
      <c r="D267" s="55">
        <v>48654.99</v>
      </c>
      <c r="F267" s="55">
        <v>41943.96</v>
      </c>
      <c r="H267" t="s">
        <v>845</v>
      </c>
      <c r="I267" t="s">
        <v>845</v>
      </c>
      <c r="J267" t="s">
        <v>847</v>
      </c>
      <c r="K267" t="s">
        <v>133</v>
      </c>
      <c r="L267" t="s">
        <v>57</v>
      </c>
      <c r="P267" t="s">
        <v>845</v>
      </c>
      <c r="Q267" t="s">
        <v>845</v>
      </c>
      <c r="R267" s="55">
        <v>48654.99</v>
      </c>
    </row>
    <row r="268" spans="1:18" x14ac:dyDescent="0.25">
      <c r="A268">
        <v>314567</v>
      </c>
      <c r="B268" t="s">
        <v>553</v>
      </c>
      <c r="C268" s="55">
        <v>39378.300000000003</v>
      </c>
      <c r="D268" s="55">
        <v>45678.86</v>
      </c>
      <c r="F268" s="55">
        <v>39378.300000000003</v>
      </c>
      <c r="H268" t="s">
        <v>845</v>
      </c>
      <c r="I268" t="s">
        <v>845</v>
      </c>
      <c r="J268" t="s">
        <v>847</v>
      </c>
      <c r="K268" t="s">
        <v>75</v>
      </c>
      <c r="L268" t="s">
        <v>73</v>
      </c>
      <c r="M268" s="55">
        <v>39378.300000000003</v>
      </c>
      <c r="N268" s="55">
        <v>45678.83</v>
      </c>
      <c r="P268" t="s">
        <v>845</v>
      </c>
      <c r="Q268" t="s">
        <v>845</v>
      </c>
      <c r="R268" s="55">
        <v>45678.86</v>
      </c>
    </row>
    <row r="269" spans="1:18" x14ac:dyDescent="0.25">
      <c r="A269">
        <v>381202</v>
      </c>
      <c r="B269" t="s">
        <v>556</v>
      </c>
      <c r="C269" s="55">
        <v>39519.82</v>
      </c>
      <c r="D269" s="55">
        <v>42681.38</v>
      </c>
      <c r="F269" s="55">
        <v>39519.82</v>
      </c>
      <c r="H269" t="s">
        <v>845</v>
      </c>
      <c r="I269" t="s">
        <v>845</v>
      </c>
      <c r="J269" t="s">
        <v>860</v>
      </c>
      <c r="K269" t="s">
        <v>90</v>
      </c>
      <c r="L269" t="s">
        <v>238</v>
      </c>
      <c r="P269" s="55">
        <v>42681.38</v>
      </c>
      <c r="Q269" t="s">
        <v>845</v>
      </c>
      <c r="R269" t="s">
        <v>845</v>
      </c>
    </row>
    <row r="270" spans="1:18" x14ac:dyDescent="0.25">
      <c r="A270">
        <v>87270</v>
      </c>
      <c r="B270" t="s">
        <v>557</v>
      </c>
      <c r="C270" s="55">
        <v>36399.94</v>
      </c>
      <c r="D270" s="55">
        <v>42223.89</v>
      </c>
      <c r="F270" s="55">
        <v>36399.94</v>
      </c>
      <c r="H270" t="s">
        <v>845</v>
      </c>
      <c r="I270" t="s">
        <v>845</v>
      </c>
      <c r="J270" t="s">
        <v>860</v>
      </c>
      <c r="K270" t="s">
        <v>90</v>
      </c>
      <c r="L270" t="s">
        <v>238</v>
      </c>
      <c r="P270" s="55">
        <v>42223.89</v>
      </c>
      <c r="Q270" t="s">
        <v>845</v>
      </c>
      <c r="R270" t="s">
        <v>845</v>
      </c>
    </row>
    <row r="271" spans="1:18" x14ac:dyDescent="0.25">
      <c r="A271">
        <v>301531</v>
      </c>
      <c r="B271" t="s">
        <v>558</v>
      </c>
      <c r="C271" s="55">
        <v>38012.699999999997</v>
      </c>
      <c r="D271" s="55">
        <v>40396.53</v>
      </c>
      <c r="F271" s="55">
        <v>38012.699999999997</v>
      </c>
      <c r="H271" t="s">
        <v>845</v>
      </c>
      <c r="I271" t="s">
        <v>845</v>
      </c>
      <c r="J271" t="s">
        <v>860</v>
      </c>
      <c r="K271" t="s">
        <v>90</v>
      </c>
      <c r="L271" t="s">
        <v>238</v>
      </c>
      <c r="P271" s="55">
        <v>40396.53</v>
      </c>
      <c r="Q271" t="s">
        <v>845</v>
      </c>
      <c r="R271" t="s">
        <v>845</v>
      </c>
    </row>
    <row r="272" spans="1:18" x14ac:dyDescent="0.25">
      <c r="A272">
        <v>80853</v>
      </c>
      <c r="B272" t="s">
        <v>559</v>
      </c>
      <c r="C272" s="55">
        <v>39947.79</v>
      </c>
      <c r="D272" s="55">
        <v>39947.79</v>
      </c>
      <c r="F272" s="55">
        <v>39947.79</v>
      </c>
      <c r="H272" t="s">
        <v>845</v>
      </c>
      <c r="I272" t="s">
        <v>845</v>
      </c>
      <c r="J272" t="s">
        <v>860</v>
      </c>
      <c r="K272" t="s">
        <v>90</v>
      </c>
      <c r="L272" t="s">
        <v>238</v>
      </c>
      <c r="P272" s="55">
        <v>39947.79</v>
      </c>
      <c r="Q272" t="s">
        <v>845</v>
      </c>
      <c r="R272" t="s">
        <v>845</v>
      </c>
    </row>
    <row r="273" spans="1:18" x14ac:dyDescent="0.25">
      <c r="A273">
        <v>59493</v>
      </c>
      <c r="B273" t="s">
        <v>560</v>
      </c>
      <c r="C273" s="55">
        <v>33824.94</v>
      </c>
      <c r="D273" s="55">
        <v>39236.92</v>
      </c>
      <c r="F273" s="55">
        <v>33824.94</v>
      </c>
      <c r="H273" t="s">
        <v>845</v>
      </c>
      <c r="I273" t="s">
        <v>845</v>
      </c>
      <c r="J273" t="s">
        <v>860</v>
      </c>
      <c r="K273" t="s">
        <v>90</v>
      </c>
      <c r="L273" t="s">
        <v>238</v>
      </c>
      <c r="P273" s="55">
        <v>39236.92</v>
      </c>
      <c r="Q273" t="s">
        <v>845</v>
      </c>
      <c r="R273" t="s">
        <v>845</v>
      </c>
    </row>
    <row r="274" spans="1:18" x14ac:dyDescent="0.25">
      <c r="A274">
        <v>27011</v>
      </c>
      <c r="B274" t="s">
        <v>561</v>
      </c>
      <c r="C274" s="55">
        <v>36169.81</v>
      </c>
      <c r="D274" s="55">
        <v>39063.4</v>
      </c>
      <c r="F274" s="55">
        <v>36169.81</v>
      </c>
      <c r="H274" t="s">
        <v>845</v>
      </c>
      <c r="I274" t="s">
        <v>845</v>
      </c>
      <c r="J274" t="s">
        <v>860</v>
      </c>
      <c r="K274" t="s">
        <v>90</v>
      </c>
      <c r="L274" t="s">
        <v>238</v>
      </c>
      <c r="P274" s="55">
        <v>39063.4</v>
      </c>
      <c r="Q274" t="s">
        <v>845</v>
      </c>
      <c r="R274" t="s">
        <v>845</v>
      </c>
    </row>
    <row r="275" spans="1:18" x14ac:dyDescent="0.25">
      <c r="A275">
        <v>20777</v>
      </c>
      <c r="B275" t="s">
        <v>562</v>
      </c>
      <c r="C275" s="55">
        <v>33538.1</v>
      </c>
      <c r="D275" s="55">
        <v>38904.239999999998</v>
      </c>
      <c r="F275" s="55">
        <v>33538.1</v>
      </c>
      <c r="H275" t="s">
        <v>845</v>
      </c>
      <c r="I275" t="s">
        <v>845</v>
      </c>
      <c r="J275" t="s">
        <v>860</v>
      </c>
      <c r="K275" t="s">
        <v>90</v>
      </c>
      <c r="L275" t="s">
        <v>73</v>
      </c>
      <c r="M275" s="55">
        <v>33538.1</v>
      </c>
      <c r="N275" s="55">
        <v>38904.199999999997</v>
      </c>
      <c r="P275" t="s">
        <v>845</v>
      </c>
      <c r="Q275" t="s">
        <v>845</v>
      </c>
      <c r="R275" s="55">
        <v>38904.239999999998</v>
      </c>
    </row>
    <row r="276" spans="1:18" x14ac:dyDescent="0.25">
      <c r="A276">
        <v>1398</v>
      </c>
      <c r="B276" t="s">
        <v>563</v>
      </c>
      <c r="C276" s="55">
        <v>33512.42</v>
      </c>
      <c r="D276" s="55">
        <v>38874.42</v>
      </c>
      <c r="F276" s="55">
        <v>33512.42</v>
      </c>
      <c r="H276" t="s">
        <v>845</v>
      </c>
      <c r="I276" t="s">
        <v>845</v>
      </c>
      <c r="J276" t="s">
        <v>860</v>
      </c>
      <c r="K276" t="s">
        <v>90</v>
      </c>
      <c r="L276" t="s">
        <v>238</v>
      </c>
      <c r="P276" s="55">
        <v>38874.42</v>
      </c>
      <c r="Q276" t="s">
        <v>845</v>
      </c>
      <c r="R276" t="s">
        <v>845</v>
      </c>
    </row>
    <row r="277" spans="1:18" x14ac:dyDescent="0.25">
      <c r="A277">
        <v>66951</v>
      </c>
      <c r="B277" t="s">
        <v>564</v>
      </c>
      <c r="C277" s="55">
        <v>38217.03</v>
      </c>
      <c r="D277" s="55">
        <v>38217.040000000001</v>
      </c>
      <c r="F277" s="55">
        <v>38217.03</v>
      </c>
      <c r="H277" t="s">
        <v>845</v>
      </c>
      <c r="I277" t="s">
        <v>845</v>
      </c>
      <c r="J277" t="s">
        <v>860</v>
      </c>
      <c r="K277" t="s">
        <v>90</v>
      </c>
      <c r="L277" t="s">
        <v>238</v>
      </c>
      <c r="P277" s="55">
        <v>38217.040000000001</v>
      </c>
      <c r="Q277" t="s">
        <v>845</v>
      </c>
      <c r="R277" t="s">
        <v>845</v>
      </c>
    </row>
    <row r="278" spans="1:18" x14ac:dyDescent="0.25">
      <c r="A278">
        <v>337956</v>
      </c>
      <c r="B278" t="s">
        <v>565</v>
      </c>
      <c r="C278" s="55">
        <v>36620.53</v>
      </c>
      <c r="D278" s="55">
        <v>36861.230000000003</v>
      </c>
      <c r="F278" s="55">
        <v>36620.53</v>
      </c>
      <c r="H278" t="s">
        <v>845</v>
      </c>
      <c r="I278" t="s">
        <v>845</v>
      </c>
      <c r="J278" t="s">
        <v>860</v>
      </c>
      <c r="K278" t="s">
        <v>90</v>
      </c>
      <c r="L278" t="s">
        <v>238</v>
      </c>
      <c r="P278" s="55">
        <v>36861.230000000003</v>
      </c>
      <c r="Q278" t="s">
        <v>845</v>
      </c>
      <c r="R278" t="s">
        <v>845</v>
      </c>
    </row>
    <row r="279" spans="1:18" x14ac:dyDescent="0.25">
      <c r="A279">
        <v>391961</v>
      </c>
      <c r="B279" t="s">
        <v>566</v>
      </c>
      <c r="C279" s="55">
        <v>31621.77</v>
      </c>
      <c r="D279" s="55">
        <v>36681.26</v>
      </c>
      <c r="F279" s="55">
        <v>31621.77</v>
      </c>
      <c r="H279" t="s">
        <v>845</v>
      </c>
      <c r="I279" t="s">
        <v>845</v>
      </c>
      <c r="J279" t="s">
        <v>860</v>
      </c>
      <c r="K279" t="s">
        <v>90</v>
      </c>
      <c r="L279" t="s">
        <v>238</v>
      </c>
      <c r="P279" t="s">
        <v>845</v>
      </c>
      <c r="Q279" s="55">
        <v>36681.26</v>
      </c>
      <c r="R279" t="s">
        <v>845</v>
      </c>
    </row>
    <row r="280" spans="1:18" x14ac:dyDescent="0.25">
      <c r="A280">
        <v>56051</v>
      </c>
      <c r="B280" t="s">
        <v>567</v>
      </c>
      <c r="C280" s="55">
        <v>31564.75</v>
      </c>
      <c r="D280" s="55">
        <v>36615.14</v>
      </c>
      <c r="F280" s="55">
        <v>31564.75</v>
      </c>
      <c r="H280" t="s">
        <v>845</v>
      </c>
      <c r="I280" t="s">
        <v>845</v>
      </c>
      <c r="J280" t="s">
        <v>860</v>
      </c>
      <c r="K280" t="s">
        <v>90</v>
      </c>
      <c r="L280" t="s">
        <v>73</v>
      </c>
      <c r="M280" s="55">
        <v>31564.75</v>
      </c>
      <c r="N280" s="55">
        <v>36615.11</v>
      </c>
      <c r="P280" t="s">
        <v>845</v>
      </c>
      <c r="Q280" t="s">
        <v>845</v>
      </c>
      <c r="R280" s="55">
        <v>36615.14</v>
      </c>
    </row>
    <row r="281" spans="1:18" x14ac:dyDescent="0.25">
      <c r="A281">
        <v>86199</v>
      </c>
      <c r="B281" t="s">
        <v>568</v>
      </c>
      <c r="C281" s="55">
        <v>32669.47</v>
      </c>
      <c r="D281" s="55">
        <v>35283.040000000001</v>
      </c>
      <c r="F281" s="55">
        <v>32669.47</v>
      </c>
      <c r="H281" t="s">
        <v>845</v>
      </c>
      <c r="I281" t="s">
        <v>845</v>
      </c>
      <c r="J281" t="s">
        <v>860</v>
      </c>
      <c r="K281" t="s">
        <v>90</v>
      </c>
      <c r="L281" t="s">
        <v>238</v>
      </c>
      <c r="P281" s="55">
        <v>35283.040000000001</v>
      </c>
      <c r="Q281" t="s">
        <v>845</v>
      </c>
      <c r="R281" t="s">
        <v>845</v>
      </c>
    </row>
    <row r="282" spans="1:18" x14ac:dyDescent="0.25">
      <c r="A282">
        <v>50989</v>
      </c>
      <c r="B282" t="s">
        <v>569</v>
      </c>
      <c r="C282" s="55">
        <v>35242.769999999997</v>
      </c>
      <c r="D282" s="55">
        <v>35242.769999999997</v>
      </c>
      <c r="F282" s="55">
        <v>35242.769999999997</v>
      </c>
      <c r="H282" t="s">
        <v>845</v>
      </c>
      <c r="I282" t="s">
        <v>845</v>
      </c>
      <c r="J282" t="s">
        <v>860</v>
      </c>
      <c r="K282" t="s">
        <v>90</v>
      </c>
      <c r="L282" t="s">
        <v>238</v>
      </c>
      <c r="P282" s="55">
        <v>35242.769999999997</v>
      </c>
      <c r="Q282" t="s">
        <v>845</v>
      </c>
      <c r="R282" t="s">
        <v>845</v>
      </c>
    </row>
    <row r="283" spans="1:18" x14ac:dyDescent="0.25">
      <c r="A283">
        <v>64840</v>
      </c>
      <c r="B283" t="s">
        <v>570</v>
      </c>
      <c r="C283" s="55">
        <v>34871.72</v>
      </c>
      <c r="D283" s="55">
        <v>34871.72</v>
      </c>
      <c r="F283" s="55">
        <v>34871.72</v>
      </c>
      <c r="H283" t="s">
        <v>845</v>
      </c>
      <c r="I283" t="s">
        <v>845</v>
      </c>
      <c r="J283" t="s">
        <v>860</v>
      </c>
      <c r="K283" t="s">
        <v>90</v>
      </c>
      <c r="L283" t="s">
        <v>238</v>
      </c>
      <c r="P283" s="55">
        <v>34871.72</v>
      </c>
      <c r="Q283" t="s">
        <v>845</v>
      </c>
      <c r="R283" t="s">
        <v>845</v>
      </c>
    </row>
    <row r="284" spans="1:18" x14ac:dyDescent="0.25">
      <c r="A284">
        <v>327460</v>
      </c>
      <c r="B284" t="s">
        <v>571</v>
      </c>
      <c r="C284" s="55">
        <v>32237.78</v>
      </c>
      <c r="D284" s="55">
        <v>34660.14</v>
      </c>
      <c r="F284" s="55">
        <v>32237.78</v>
      </c>
      <c r="H284" t="s">
        <v>845</v>
      </c>
      <c r="I284" t="s">
        <v>845</v>
      </c>
      <c r="J284" t="s">
        <v>860</v>
      </c>
      <c r="K284" t="s">
        <v>90</v>
      </c>
      <c r="L284" t="s">
        <v>238</v>
      </c>
      <c r="P284" s="55">
        <v>34660.14</v>
      </c>
      <c r="Q284" t="s">
        <v>845</v>
      </c>
      <c r="R284" t="s">
        <v>845</v>
      </c>
    </row>
    <row r="285" spans="1:18" x14ac:dyDescent="0.25">
      <c r="A285">
        <v>302786</v>
      </c>
      <c r="B285" t="s">
        <v>572</v>
      </c>
      <c r="C285" s="55">
        <v>28391.040000000001</v>
      </c>
      <c r="D285" s="55">
        <v>32933.56</v>
      </c>
      <c r="F285" s="55">
        <v>28391.040000000001</v>
      </c>
      <c r="H285" t="s">
        <v>845</v>
      </c>
      <c r="I285" t="s">
        <v>845</v>
      </c>
      <c r="J285" t="s">
        <v>860</v>
      </c>
      <c r="K285" t="s">
        <v>90</v>
      </c>
      <c r="L285" t="s">
        <v>73</v>
      </c>
      <c r="M285" s="55">
        <v>28391.040000000001</v>
      </c>
      <c r="N285" s="55">
        <v>32933.56</v>
      </c>
      <c r="P285" t="s">
        <v>845</v>
      </c>
      <c r="Q285" t="s">
        <v>845</v>
      </c>
      <c r="R285" s="55">
        <v>32933.56</v>
      </c>
    </row>
    <row r="286" spans="1:18" x14ac:dyDescent="0.25">
      <c r="A286">
        <v>6052</v>
      </c>
      <c r="B286" t="s">
        <v>573</v>
      </c>
      <c r="C286" s="55">
        <v>28210.66</v>
      </c>
      <c r="D286" s="55">
        <v>32724.37</v>
      </c>
      <c r="F286" s="55">
        <v>28210.66</v>
      </c>
      <c r="H286" t="s">
        <v>845</v>
      </c>
      <c r="I286" t="s">
        <v>845</v>
      </c>
      <c r="J286" t="s">
        <v>860</v>
      </c>
      <c r="K286" t="s">
        <v>90</v>
      </c>
      <c r="L286" t="s">
        <v>73</v>
      </c>
      <c r="M286" s="55">
        <v>28210.66</v>
      </c>
      <c r="N286" s="55">
        <v>32724.37</v>
      </c>
      <c r="P286" t="s">
        <v>845</v>
      </c>
      <c r="Q286" t="s">
        <v>845</v>
      </c>
      <c r="R286" s="55">
        <v>32724.37</v>
      </c>
    </row>
    <row r="287" spans="1:18" x14ac:dyDescent="0.25">
      <c r="A287">
        <v>36137</v>
      </c>
      <c r="B287" t="s">
        <v>574</v>
      </c>
      <c r="C287" s="55">
        <v>28106.13</v>
      </c>
      <c r="D287" s="55">
        <v>32603.11</v>
      </c>
      <c r="F287" s="55">
        <v>28106.13</v>
      </c>
      <c r="H287" t="s">
        <v>845</v>
      </c>
      <c r="I287" t="s">
        <v>845</v>
      </c>
      <c r="J287" t="s">
        <v>847</v>
      </c>
      <c r="K287" t="s">
        <v>75</v>
      </c>
      <c r="L287" t="s">
        <v>73</v>
      </c>
      <c r="M287" s="55">
        <v>28106.13</v>
      </c>
      <c r="N287" s="55">
        <v>32603.11</v>
      </c>
      <c r="P287" t="s">
        <v>845</v>
      </c>
      <c r="Q287" t="s">
        <v>845</v>
      </c>
      <c r="R287" s="55">
        <v>32603.11</v>
      </c>
    </row>
    <row r="288" spans="1:18" x14ac:dyDescent="0.25">
      <c r="A288">
        <v>87221</v>
      </c>
      <c r="B288" t="s">
        <v>577</v>
      </c>
      <c r="C288" s="55">
        <v>27339.61</v>
      </c>
      <c r="D288" s="55">
        <v>31713.95</v>
      </c>
      <c r="F288" s="55">
        <v>27339.61</v>
      </c>
      <c r="H288" t="s">
        <v>845</v>
      </c>
      <c r="I288" t="s">
        <v>845</v>
      </c>
      <c r="J288" t="s">
        <v>860</v>
      </c>
      <c r="K288" t="s">
        <v>90</v>
      </c>
      <c r="L288" t="s">
        <v>238</v>
      </c>
      <c r="P288" s="55">
        <v>31713.95</v>
      </c>
      <c r="Q288" t="s">
        <v>845</v>
      </c>
      <c r="R288" t="s">
        <v>845</v>
      </c>
    </row>
    <row r="289" spans="1:18" x14ac:dyDescent="0.25">
      <c r="A289">
        <v>381970</v>
      </c>
      <c r="B289" t="s">
        <v>578</v>
      </c>
      <c r="C289" s="55">
        <v>26976.6</v>
      </c>
      <c r="D289" s="55">
        <v>31292.86</v>
      </c>
      <c r="F289" s="55">
        <v>26976.6</v>
      </c>
      <c r="H289" t="s">
        <v>845</v>
      </c>
      <c r="I289" t="s">
        <v>845</v>
      </c>
      <c r="J289" t="s">
        <v>860</v>
      </c>
      <c r="K289" t="s">
        <v>90</v>
      </c>
      <c r="L289" t="s">
        <v>73</v>
      </c>
      <c r="M289" s="55">
        <v>26976.6</v>
      </c>
      <c r="N289" s="55">
        <v>31292.86</v>
      </c>
      <c r="P289" t="s">
        <v>845</v>
      </c>
      <c r="Q289" t="s">
        <v>845</v>
      </c>
      <c r="R289" s="55">
        <v>31292.86</v>
      </c>
    </row>
    <row r="290" spans="1:18" x14ac:dyDescent="0.25">
      <c r="A290">
        <v>10948</v>
      </c>
      <c r="B290" t="s">
        <v>579</v>
      </c>
      <c r="C290" s="55">
        <v>31239.35</v>
      </c>
      <c r="D290" s="55">
        <v>31239.35</v>
      </c>
      <c r="F290" s="55">
        <v>31239.35</v>
      </c>
      <c r="H290" t="s">
        <v>845</v>
      </c>
      <c r="I290" t="s">
        <v>845</v>
      </c>
      <c r="J290" t="s">
        <v>860</v>
      </c>
      <c r="K290" t="s">
        <v>90</v>
      </c>
      <c r="L290" t="s">
        <v>73</v>
      </c>
      <c r="M290" s="55">
        <v>31239.35</v>
      </c>
      <c r="N290" s="55">
        <v>31239.35</v>
      </c>
      <c r="P290" t="s">
        <v>845</v>
      </c>
      <c r="Q290" t="s">
        <v>845</v>
      </c>
      <c r="R290" s="55">
        <v>31239.35</v>
      </c>
    </row>
    <row r="291" spans="1:18" x14ac:dyDescent="0.25">
      <c r="A291">
        <v>487</v>
      </c>
      <c r="B291" t="s">
        <v>580</v>
      </c>
      <c r="C291" s="55">
        <v>26469.77</v>
      </c>
      <c r="D291" s="55">
        <v>30704.93</v>
      </c>
      <c r="F291" s="55">
        <v>26469.77</v>
      </c>
      <c r="H291" t="s">
        <v>845</v>
      </c>
      <c r="I291" t="s">
        <v>845</v>
      </c>
      <c r="J291" t="s">
        <v>860</v>
      </c>
      <c r="K291" t="s">
        <v>90</v>
      </c>
      <c r="L291" t="s">
        <v>238</v>
      </c>
      <c r="P291" s="55">
        <v>30704.93</v>
      </c>
      <c r="Q291" t="s">
        <v>845</v>
      </c>
      <c r="R291" t="s">
        <v>845</v>
      </c>
    </row>
    <row r="292" spans="1:18" x14ac:dyDescent="0.25">
      <c r="A292">
        <v>226092</v>
      </c>
      <c r="B292" t="s">
        <v>581</v>
      </c>
      <c r="C292" s="55">
        <v>20819.23</v>
      </c>
      <c r="D292" s="55">
        <v>30550.16</v>
      </c>
      <c r="F292" s="55">
        <v>20819.23</v>
      </c>
      <c r="H292" t="s">
        <v>845</v>
      </c>
      <c r="I292" t="s">
        <v>845</v>
      </c>
      <c r="J292" t="s">
        <v>860</v>
      </c>
      <c r="K292" t="s">
        <v>90</v>
      </c>
      <c r="L292" t="s">
        <v>73</v>
      </c>
      <c r="M292" s="55">
        <v>20819.23</v>
      </c>
      <c r="N292" s="55">
        <v>30550.14</v>
      </c>
      <c r="P292" t="s">
        <v>845</v>
      </c>
      <c r="Q292" t="s">
        <v>845</v>
      </c>
      <c r="R292" s="55">
        <v>30550.16</v>
      </c>
    </row>
    <row r="293" spans="1:18" x14ac:dyDescent="0.25">
      <c r="A293">
        <v>391011</v>
      </c>
      <c r="B293" t="s">
        <v>582</v>
      </c>
      <c r="C293" s="55">
        <v>25199.73</v>
      </c>
      <c r="D293" s="55">
        <v>29231.7</v>
      </c>
      <c r="F293" s="55">
        <v>25199.73</v>
      </c>
      <c r="H293" t="s">
        <v>845</v>
      </c>
      <c r="I293" t="s">
        <v>845</v>
      </c>
      <c r="J293" t="s">
        <v>860</v>
      </c>
      <c r="K293" t="s">
        <v>90</v>
      </c>
      <c r="L293" t="s">
        <v>73</v>
      </c>
      <c r="M293" s="55">
        <v>25199.73</v>
      </c>
      <c r="N293" s="55">
        <v>29231.69</v>
      </c>
      <c r="P293" t="s">
        <v>845</v>
      </c>
      <c r="Q293" t="s">
        <v>845</v>
      </c>
      <c r="R293" s="55">
        <v>29231.7</v>
      </c>
    </row>
    <row r="294" spans="1:18" x14ac:dyDescent="0.25">
      <c r="A294">
        <v>73528</v>
      </c>
      <c r="B294" t="s">
        <v>583</v>
      </c>
      <c r="C294" s="55">
        <v>25055.38</v>
      </c>
      <c r="D294" s="55">
        <v>29064.25</v>
      </c>
      <c r="F294" s="55">
        <v>25055.38</v>
      </c>
      <c r="H294" t="s">
        <v>845</v>
      </c>
      <c r="I294" t="s">
        <v>845</v>
      </c>
      <c r="J294" t="s">
        <v>860</v>
      </c>
      <c r="K294" t="s">
        <v>90</v>
      </c>
      <c r="L294" t="s">
        <v>73</v>
      </c>
      <c r="M294" s="55">
        <v>25055.38</v>
      </c>
      <c r="N294" s="55">
        <v>29064.25</v>
      </c>
      <c r="P294" t="s">
        <v>845</v>
      </c>
      <c r="Q294" t="s">
        <v>845</v>
      </c>
      <c r="R294" s="55">
        <v>29064.25</v>
      </c>
    </row>
    <row r="295" spans="1:18" x14ac:dyDescent="0.25">
      <c r="A295">
        <v>396234</v>
      </c>
      <c r="B295" t="s">
        <v>584</v>
      </c>
      <c r="C295" s="55">
        <v>24788.14</v>
      </c>
      <c r="D295" s="55">
        <v>28754.29</v>
      </c>
      <c r="F295" s="55">
        <v>24788.14</v>
      </c>
      <c r="H295" t="s">
        <v>845</v>
      </c>
      <c r="I295" t="s">
        <v>845</v>
      </c>
      <c r="J295" t="s">
        <v>860</v>
      </c>
      <c r="K295" t="s">
        <v>90</v>
      </c>
      <c r="L295" t="s">
        <v>238</v>
      </c>
      <c r="P295" t="s">
        <v>845</v>
      </c>
      <c r="Q295" s="55">
        <v>28754.29</v>
      </c>
      <c r="R295" t="s">
        <v>845</v>
      </c>
    </row>
    <row r="296" spans="1:18" x14ac:dyDescent="0.25">
      <c r="A296">
        <v>12246</v>
      </c>
      <c r="B296" t="s">
        <v>585</v>
      </c>
      <c r="C296" s="55">
        <v>28547.25</v>
      </c>
      <c r="D296" s="55">
        <v>28547.25</v>
      </c>
      <c r="F296" s="55">
        <v>28547.25</v>
      </c>
      <c r="H296" t="s">
        <v>845</v>
      </c>
      <c r="I296" t="s">
        <v>845</v>
      </c>
      <c r="J296" t="s">
        <v>860</v>
      </c>
      <c r="K296" t="s">
        <v>90</v>
      </c>
      <c r="L296" t="s">
        <v>238</v>
      </c>
      <c r="P296" s="55">
        <v>28547.25</v>
      </c>
      <c r="Q296" t="s">
        <v>845</v>
      </c>
      <c r="R296" t="s">
        <v>845</v>
      </c>
    </row>
    <row r="297" spans="1:18" x14ac:dyDescent="0.25">
      <c r="A297">
        <v>308721</v>
      </c>
      <c r="B297" t="s">
        <v>586</v>
      </c>
      <c r="C297" s="55">
        <v>23288.65</v>
      </c>
      <c r="D297" s="55">
        <v>26935.34</v>
      </c>
      <c r="F297" s="55">
        <v>23288.65</v>
      </c>
      <c r="H297" t="s">
        <v>845</v>
      </c>
      <c r="I297" t="s">
        <v>845</v>
      </c>
      <c r="J297" t="s">
        <v>860</v>
      </c>
      <c r="K297" t="s">
        <v>90</v>
      </c>
      <c r="L297" t="s">
        <v>73</v>
      </c>
      <c r="M297" s="55">
        <v>23288.65</v>
      </c>
      <c r="N297" s="55">
        <v>26935.360000000001</v>
      </c>
      <c r="P297" t="s">
        <v>845</v>
      </c>
      <c r="Q297" t="s">
        <v>845</v>
      </c>
      <c r="R297" s="55">
        <v>26935.34</v>
      </c>
    </row>
    <row r="298" spans="1:18" x14ac:dyDescent="0.25">
      <c r="A298">
        <v>4404</v>
      </c>
      <c r="B298" t="s">
        <v>587</v>
      </c>
      <c r="C298" s="55">
        <v>23186.02</v>
      </c>
      <c r="D298" s="55">
        <v>26895.94</v>
      </c>
      <c r="F298" s="55">
        <v>23186.02</v>
      </c>
      <c r="H298" t="s">
        <v>845</v>
      </c>
      <c r="I298" t="s">
        <v>845</v>
      </c>
      <c r="J298" t="s">
        <v>860</v>
      </c>
      <c r="K298" t="s">
        <v>90</v>
      </c>
      <c r="L298" t="s">
        <v>238</v>
      </c>
      <c r="P298" s="55">
        <v>14482.3</v>
      </c>
      <c r="Q298" t="s">
        <v>845</v>
      </c>
      <c r="R298" s="55">
        <v>12413.64</v>
      </c>
    </row>
    <row r="299" spans="1:18" x14ac:dyDescent="0.25">
      <c r="A299">
        <v>203749</v>
      </c>
      <c r="B299" t="s">
        <v>588</v>
      </c>
      <c r="C299" s="55">
        <v>22446.83</v>
      </c>
      <c r="D299" s="55">
        <v>26038.32</v>
      </c>
      <c r="F299" s="55">
        <v>22446.83</v>
      </c>
      <c r="H299" t="s">
        <v>845</v>
      </c>
      <c r="I299" t="s">
        <v>845</v>
      </c>
      <c r="J299" t="s">
        <v>860</v>
      </c>
      <c r="K299" t="s">
        <v>90</v>
      </c>
      <c r="L299" t="s">
        <v>238</v>
      </c>
      <c r="P299" s="55">
        <v>26038.32</v>
      </c>
      <c r="Q299" t="s">
        <v>845</v>
      </c>
      <c r="R299" t="s">
        <v>845</v>
      </c>
    </row>
    <row r="300" spans="1:18" x14ac:dyDescent="0.25">
      <c r="A300">
        <v>312017</v>
      </c>
      <c r="B300" t="s">
        <v>589</v>
      </c>
      <c r="C300" s="55">
        <v>25810.79</v>
      </c>
      <c r="D300" s="55">
        <v>25810.79</v>
      </c>
      <c r="F300" s="55">
        <v>25810.79</v>
      </c>
      <c r="H300" t="s">
        <v>845</v>
      </c>
      <c r="I300" t="s">
        <v>845</v>
      </c>
      <c r="J300" t="s">
        <v>860</v>
      </c>
      <c r="K300" t="s">
        <v>90</v>
      </c>
      <c r="L300" t="s">
        <v>238</v>
      </c>
      <c r="P300" s="55">
        <v>25810.79</v>
      </c>
      <c r="Q300" t="s">
        <v>845</v>
      </c>
      <c r="R300" t="s">
        <v>845</v>
      </c>
    </row>
    <row r="301" spans="1:18" x14ac:dyDescent="0.25">
      <c r="A301">
        <v>329763</v>
      </c>
      <c r="B301" t="s">
        <v>590</v>
      </c>
      <c r="C301" s="55">
        <v>22230.3</v>
      </c>
      <c r="D301" s="55">
        <v>25787.119999999999</v>
      </c>
      <c r="F301" s="55">
        <v>22230.3</v>
      </c>
      <c r="H301" t="s">
        <v>845</v>
      </c>
      <c r="I301" t="s">
        <v>845</v>
      </c>
      <c r="J301" t="s">
        <v>860</v>
      </c>
      <c r="K301" t="s">
        <v>90</v>
      </c>
      <c r="L301" t="s">
        <v>238</v>
      </c>
      <c r="P301" t="s">
        <v>845</v>
      </c>
      <c r="Q301" s="55">
        <v>25787.119999999999</v>
      </c>
      <c r="R301" t="s">
        <v>845</v>
      </c>
    </row>
    <row r="302" spans="1:18" x14ac:dyDescent="0.25">
      <c r="A302">
        <v>77933</v>
      </c>
      <c r="B302" t="s">
        <v>591</v>
      </c>
      <c r="C302" s="55">
        <v>22135.75</v>
      </c>
      <c r="D302" s="55">
        <v>25677.47</v>
      </c>
      <c r="F302" s="55">
        <v>22135.75</v>
      </c>
      <c r="H302" t="s">
        <v>845</v>
      </c>
      <c r="I302" t="s">
        <v>845</v>
      </c>
      <c r="J302" t="s">
        <v>847</v>
      </c>
      <c r="K302" t="s">
        <v>75</v>
      </c>
      <c r="L302" t="s">
        <v>73</v>
      </c>
      <c r="M302" s="55">
        <v>22135.75</v>
      </c>
      <c r="N302" s="55">
        <v>25677.47</v>
      </c>
      <c r="P302" t="s">
        <v>845</v>
      </c>
      <c r="Q302" t="s">
        <v>845</v>
      </c>
      <c r="R302" s="55">
        <v>25677.47</v>
      </c>
    </row>
    <row r="303" spans="1:18" x14ac:dyDescent="0.25">
      <c r="A303">
        <v>387779</v>
      </c>
      <c r="B303" t="s">
        <v>596</v>
      </c>
      <c r="C303" s="55">
        <v>21516.46</v>
      </c>
      <c r="D303" s="55">
        <v>24959.09</v>
      </c>
      <c r="F303" s="55">
        <v>21516.46</v>
      </c>
      <c r="H303" t="s">
        <v>845</v>
      </c>
      <c r="I303" t="s">
        <v>845</v>
      </c>
      <c r="J303" t="s">
        <v>860</v>
      </c>
      <c r="K303" t="s">
        <v>90</v>
      </c>
      <c r="L303" t="s">
        <v>73</v>
      </c>
      <c r="M303" s="55">
        <v>21516.46</v>
      </c>
      <c r="N303" s="55">
        <v>24959.09</v>
      </c>
      <c r="P303" t="s">
        <v>845</v>
      </c>
      <c r="Q303" t="s">
        <v>845</v>
      </c>
      <c r="R303" s="55">
        <v>24959.09</v>
      </c>
    </row>
    <row r="304" spans="1:18" x14ac:dyDescent="0.25">
      <c r="A304">
        <v>20845</v>
      </c>
      <c r="B304" t="s">
        <v>597</v>
      </c>
      <c r="C304" s="55">
        <v>21475.68</v>
      </c>
      <c r="D304" s="55">
        <v>24911.78</v>
      </c>
      <c r="F304" s="55">
        <v>21475.68</v>
      </c>
      <c r="H304" t="s">
        <v>845</v>
      </c>
      <c r="I304" t="s">
        <v>845</v>
      </c>
      <c r="J304" t="s">
        <v>860</v>
      </c>
      <c r="K304" t="s">
        <v>90</v>
      </c>
      <c r="L304" t="s">
        <v>73</v>
      </c>
      <c r="M304" s="55">
        <v>21475.68</v>
      </c>
      <c r="N304" s="55">
        <v>24911.79</v>
      </c>
      <c r="P304" t="s">
        <v>845</v>
      </c>
      <c r="Q304" t="s">
        <v>845</v>
      </c>
      <c r="R304" s="55">
        <v>24911.78</v>
      </c>
    </row>
    <row r="305" spans="1:18" x14ac:dyDescent="0.25">
      <c r="A305">
        <v>345983</v>
      </c>
      <c r="B305" t="s">
        <v>598</v>
      </c>
      <c r="C305" s="55">
        <v>24365.25</v>
      </c>
      <c r="D305" s="55">
        <v>24365.25</v>
      </c>
      <c r="F305" s="55">
        <v>24365.25</v>
      </c>
      <c r="H305" t="s">
        <v>845</v>
      </c>
      <c r="I305" t="s">
        <v>845</v>
      </c>
      <c r="J305" t="s">
        <v>860</v>
      </c>
      <c r="K305" t="s">
        <v>90</v>
      </c>
      <c r="L305" t="s">
        <v>238</v>
      </c>
      <c r="P305" s="55">
        <v>24365.25</v>
      </c>
      <c r="Q305" t="s">
        <v>845</v>
      </c>
      <c r="R305" t="s">
        <v>845</v>
      </c>
    </row>
    <row r="306" spans="1:18" x14ac:dyDescent="0.25">
      <c r="A306">
        <v>16200</v>
      </c>
      <c r="B306" t="s">
        <v>599</v>
      </c>
      <c r="C306" s="55">
        <v>23143.37</v>
      </c>
      <c r="D306" s="55">
        <v>23143.37</v>
      </c>
      <c r="F306" s="55">
        <v>23143.37</v>
      </c>
      <c r="H306" t="s">
        <v>845</v>
      </c>
      <c r="I306" t="s">
        <v>845</v>
      </c>
      <c r="J306" t="s">
        <v>860</v>
      </c>
      <c r="K306" t="s">
        <v>90</v>
      </c>
      <c r="L306" t="s">
        <v>238</v>
      </c>
      <c r="P306" s="55">
        <v>23143.37</v>
      </c>
      <c r="Q306" t="s">
        <v>845</v>
      </c>
      <c r="R306" t="s">
        <v>845</v>
      </c>
    </row>
    <row r="307" spans="1:18" x14ac:dyDescent="0.25">
      <c r="A307">
        <v>314807</v>
      </c>
      <c r="B307" t="s">
        <v>600</v>
      </c>
      <c r="C307" s="55">
        <v>19790.580000000002</v>
      </c>
      <c r="D307" s="55">
        <v>22957.07</v>
      </c>
      <c r="F307" s="55">
        <v>19790.580000000002</v>
      </c>
      <c r="H307" t="s">
        <v>845</v>
      </c>
      <c r="I307" t="s">
        <v>845</v>
      </c>
      <c r="J307" t="s">
        <v>860</v>
      </c>
      <c r="K307" t="s">
        <v>90</v>
      </c>
      <c r="L307" t="s">
        <v>73</v>
      </c>
      <c r="M307" s="55">
        <v>19790.580000000002</v>
      </c>
      <c r="N307" s="55">
        <v>22957.07</v>
      </c>
      <c r="P307" t="s">
        <v>845</v>
      </c>
      <c r="Q307" t="s">
        <v>845</v>
      </c>
      <c r="R307" s="55">
        <v>22957.07</v>
      </c>
    </row>
    <row r="308" spans="1:18" x14ac:dyDescent="0.25">
      <c r="A308">
        <v>385534</v>
      </c>
      <c r="B308" t="s">
        <v>601</v>
      </c>
      <c r="C308" s="55">
        <v>19153.810000000001</v>
      </c>
      <c r="D308" s="55">
        <v>22218.41</v>
      </c>
      <c r="F308" s="55">
        <v>19153.810000000001</v>
      </c>
      <c r="H308" t="s">
        <v>845</v>
      </c>
      <c r="I308" t="s">
        <v>845</v>
      </c>
      <c r="J308" t="s">
        <v>847</v>
      </c>
      <c r="K308" t="s">
        <v>75</v>
      </c>
      <c r="L308" t="s">
        <v>73</v>
      </c>
      <c r="M308" s="55">
        <v>19153.810000000001</v>
      </c>
      <c r="N308" s="55">
        <v>22218.43</v>
      </c>
      <c r="P308" t="s">
        <v>845</v>
      </c>
      <c r="Q308" t="s">
        <v>845</v>
      </c>
      <c r="R308" s="55">
        <v>22218.41</v>
      </c>
    </row>
    <row r="309" spans="1:18" x14ac:dyDescent="0.25">
      <c r="A309">
        <v>322206</v>
      </c>
      <c r="B309" t="s">
        <v>604</v>
      </c>
      <c r="C309" s="55">
        <v>18692.240000000002</v>
      </c>
      <c r="D309" s="55">
        <v>21682.9</v>
      </c>
      <c r="F309" s="55">
        <v>18692.240000000002</v>
      </c>
      <c r="H309" t="s">
        <v>845</v>
      </c>
      <c r="I309" t="s">
        <v>845</v>
      </c>
      <c r="J309" t="s">
        <v>860</v>
      </c>
      <c r="K309" t="s">
        <v>90</v>
      </c>
      <c r="L309" t="s">
        <v>73</v>
      </c>
      <c r="M309" s="55">
        <v>18692.240000000002</v>
      </c>
      <c r="N309" s="55">
        <v>21682.98</v>
      </c>
      <c r="P309" t="s">
        <v>845</v>
      </c>
      <c r="Q309" t="s">
        <v>845</v>
      </c>
      <c r="R309" s="55">
        <v>21682.9</v>
      </c>
    </row>
    <row r="310" spans="1:18" x14ac:dyDescent="0.25">
      <c r="A310">
        <v>101113</v>
      </c>
      <c r="B310" t="s">
        <v>605</v>
      </c>
      <c r="C310" s="55">
        <v>18530.669999999998</v>
      </c>
      <c r="D310" s="55">
        <v>21495.59</v>
      </c>
      <c r="F310" s="55">
        <v>18530.669999999998</v>
      </c>
      <c r="H310" t="s">
        <v>845</v>
      </c>
      <c r="I310" t="s">
        <v>845</v>
      </c>
      <c r="J310" t="s">
        <v>860</v>
      </c>
      <c r="K310" t="s">
        <v>90</v>
      </c>
      <c r="L310" t="s">
        <v>238</v>
      </c>
      <c r="P310" s="55">
        <v>21495.59</v>
      </c>
      <c r="Q310" t="s">
        <v>845</v>
      </c>
      <c r="R310" t="s">
        <v>845</v>
      </c>
    </row>
    <row r="311" spans="1:18" x14ac:dyDescent="0.25">
      <c r="A311">
        <v>227439</v>
      </c>
      <c r="B311" t="s">
        <v>606</v>
      </c>
      <c r="C311" s="55">
        <v>18004.03</v>
      </c>
      <c r="D311" s="55">
        <v>20884.68</v>
      </c>
      <c r="F311" s="55">
        <v>18004.03</v>
      </c>
      <c r="H311" t="s">
        <v>845</v>
      </c>
      <c r="I311" t="s">
        <v>845</v>
      </c>
      <c r="J311" t="s">
        <v>860</v>
      </c>
      <c r="K311" t="s">
        <v>90</v>
      </c>
      <c r="L311" t="s">
        <v>238</v>
      </c>
      <c r="P311" s="55">
        <v>20884.68</v>
      </c>
      <c r="Q311" t="s">
        <v>845</v>
      </c>
      <c r="R311" t="s">
        <v>845</v>
      </c>
    </row>
    <row r="312" spans="1:18" x14ac:dyDescent="0.25">
      <c r="A312">
        <v>1530</v>
      </c>
      <c r="B312" t="s">
        <v>607</v>
      </c>
      <c r="C312" s="55">
        <v>20017.240000000002</v>
      </c>
      <c r="D312" s="55">
        <v>20017.240000000002</v>
      </c>
      <c r="F312" s="55">
        <v>20017.240000000002</v>
      </c>
      <c r="H312" t="s">
        <v>845</v>
      </c>
      <c r="I312" t="s">
        <v>845</v>
      </c>
      <c r="J312" t="s">
        <v>860</v>
      </c>
      <c r="K312" t="s">
        <v>90</v>
      </c>
      <c r="L312" t="s">
        <v>238</v>
      </c>
      <c r="P312" s="55">
        <v>20017.240000000002</v>
      </c>
      <c r="Q312" t="s">
        <v>845</v>
      </c>
      <c r="R312" t="s">
        <v>845</v>
      </c>
    </row>
    <row r="313" spans="1:18" x14ac:dyDescent="0.25">
      <c r="A313">
        <v>309401</v>
      </c>
      <c r="B313" t="s">
        <v>608</v>
      </c>
      <c r="C313" s="55">
        <v>17148.759999999998</v>
      </c>
      <c r="D313" s="55">
        <v>19892.57</v>
      </c>
      <c r="F313" s="55">
        <v>17148.759999999998</v>
      </c>
      <c r="H313" t="s">
        <v>845</v>
      </c>
      <c r="I313" t="s">
        <v>845</v>
      </c>
      <c r="J313" t="s">
        <v>860</v>
      </c>
      <c r="K313" t="s">
        <v>90</v>
      </c>
      <c r="L313" t="s">
        <v>73</v>
      </c>
      <c r="M313" s="55">
        <v>17148.759999999998</v>
      </c>
      <c r="N313" s="55">
        <v>19892.560000000001</v>
      </c>
      <c r="P313" t="s">
        <v>845</v>
      </c>
      <c r="Q313" t="s">
        <v>845</v>
      </c>
      <c r="R313" s="55">
        <v>19892.57</v>
      </c>
    </row>
    <row r="314" spans="1:18" x14ac:dyDescent="0.25">
      <c r="A314">
        <v>388736</v>
      </c>
      <c r="B314" t="s">
        <v>609</v>
      </c>
      <c r="C314" s="55">
        <v>16761.09</v>
      </c>
      <c r="D314" s="55">
        <v>19442.87</v>
      </c>
      <c r="F314" s="55">
        <v>16761.09</v>
      </c>
      <c r="H314" t="s">
        <v>845</v>
      </c>
      <c r="I314" t="s">
        <v>845</v>
      </c>
      <c r="J314" t="s">
        <v>860</v>
      </c>
      <c r="K314" t="s">
        <v>90</v>
      </c>
      <c r="L314" t="s">
        <v>238</v>
      </c>
      <c r="P314" t="s">
        <v>845</v>
      </c>
      <c r="Q314" s="55">
        <v>19442.87</v>
      </c>
      <c r="R314" t="s">
        <v>845</v>
      </c>
    </row>
    <row r="315" spans="1:18" x14ac:dyDescent="0.25">
      <c r="A315">
        <v>77289</v>
      </c>
      <c r="B315" t="s">
        <v>610</v>
      </c>
      <c r="C315" s="55">
        <v>16492.91</v>
      </c>
      <c r="D315" s="55">
        <v>19131.77</v>
      </c>
      <c r="F315" s="55">
        <v>16492.91</v>
      </c>
      <c r="H315" t="s">
        <v>845</v>
      </c>
      <c r="I315" t="s">
        <v>845</v>
      </c>
      <c r="J315" t="s">
        <v>860</v>
      </c>
      <c r="K315" t="s">
        <v>90</v>
      </c>
      <c r="L315" t="s">
        <v>238</v>
      </c>
      <c r="P315" s="55">
        <v>19131.77</v>
      </c>
      <c r="Q315" t="s">
        <v>845</v>
      </c>
      <c r="R315" t="s">
        <v>845</v>
      </c>
    </row>
    <row r="316" spans="1:18" x14ac:dyDescent="0.25">
      <c r="A316">
        <v>4830</v>
      </c>
      <c r="B316" t="s">
        <v>611</v>
      </c>
      <c r="C316" s="55">
        <v>19128.419999999998</v>
      </c>
      <c r="D316" s="55">
        <v>19128.419999999998</v>
      </c>
      <c r="F316" s="55">
        <v>19128.419999999998</v>
      </c>
      <c r="H316" t="s">
        <v>845</v>
      </c>
      <c r="I316" t="s">
        <v>845</v>
      </c>
      <c r="J316" t="s">
        <v>860</v>
      </c>
      <c r="K316" t="s">
        <v>90</v>
      </c>
      <c r="L316" t="s">
        <v>238</v>
      </c>
      <c r="P316" s="55">
        <v>19128.419999999998</v>
      </c>
      <c r="Q316" t="s">
        <v>845</v>
      </c>
      <c r="R316" t="s">
        <v>845</v>
      </c>
    </row>
    <row r="317" spans="1:18" x14ac:dyDescent="0.25">
      <c r="A317">
        <v>15331</v>
      </c>
      <c r="B317" t="s">
        <v>612</v>
      </c>
      <c r="C317" s="55">
        <v>17942.349999999999</v>
      </c>
      <c r="D317" s="55">
        <v>18286.189999999999</v>
      </c>
      <c r="F317" s="55">
        <v>17942.349999999999</v>
      </c>
      <c r="H317" t="s">
        <v>845</v>
      </c>
      <c r="I317" t="s">
        <v>845</v>
      </c>
      <c r="J317" t="s">
        <v>860</v>
      </c>
      <c r="K317" t="s">
        <v>90</v>
      </c>
      <c r="L317" t="s">
        <v>238</v>
      </c>
      <c r="P317" s="55">
        <v>18286.189999999999</v>
      </c>
      <c r="Q317" t="s">
        <v>845</v>
      </c>
      <c r="R317" t="s">
        <v>845</v>
      </c>
    </row>
    <row r="318" spans="1:18" x14ac:dyDescent="0.25">
      <c r="A318">
        <v>666</v>
      </c>
      <c r="B318" t="s">
        <v>613</v>
      </c>
      <c r="C318" s="55">
        <v>15515.62</v>
      </c>
      <c r="D318" s="55">
        <v>17998.11</v>
      </c>
      <c r="F318" s="55">
        <v>15515.62</v>
      </c>
      <c r="H318" t="s">
        <v>845</v>
      </c>
      <c r="I318" t="s">
        <v>845</v>
      </c>
      <c r="J318" t="s">
        <v>860</v>
      </c>
      <c r="K318" t="s">
        <v>90</v>
      </c>
      <c r="L318" t="s">
        <v>73</v>
      </c>
      <c r="M318" s="55">
        <v>15515.62</v>
      </c>
      <c r="N318" s="55">
        <v>17998.12</v>
      </c>
      <c r="P318" t="s">
        <v>845</v>
      </c>
      <c r="Q318" t="s">
        <v>845</v>
      </c>
      <c r="R318" s="55">
        <v>17998.11</v>
      </c>
    </row>
    <row r="319" spans="1:18" x14ac:dyDescent="0.25">
      <c r="A319">
        <v>342493</v>
      </c>
      <c r="B319" t="s">
        <v>614</v>
      </c>
      <c r="C319" s="55">
        <v>15461.13</v>
      </c>
      <c r="D319" s="55">
        <v>17934.919999999998</v>
      </c>
      <c r="F319" s="55">
        <v>15461.13</v>
      </c>
      <c r="H319" t="s">
        <v>845</v>
      </c>
      <c r="I319" t="s">
        <v>845</v>
      </c>
      <c r="J319" t="s">
        <v>860</v>
      </c>
      <c r="K319" t="s">
        <v>90</v>
      </c>
      <c r="L319" t="s">
        <v>238</v>
      </c>
      <c r="P319" s="55">
        <v>17934.919999999998</v>
      </c>
      <c r="Q319" t="s">
        <v>845</v>
      </c>
      <c r="R319" t="s">
        <v>845</v>
      </c>
    </row>
    <row r="320" spans="1:18" x14ac:dyDescent="0.25">
      <c r="A320">
        <v>312082</v>
      </c>
      <c r="B320" t="s">
        <v>615</v>
      </c>
      <c r="C320" s="55">
        <v>15342.73</v>
      </c>
      <c r="D320" s="55">
        <v>17797.57</v>
      </c>
      <c r="F320" s="55">
        <v>14977.56</v>
      </c>
      <c r="G320">
        <v>365.17</v>
      </c>
      <c r="H320" t="s">
        <v>845</v>
      </c>
      <c r="I320" t="s">
        <v>845</v>
      </c>
      <c r="J320" t="s">
        <v>847</v>
      </c>
      <c r="K320" t="s">
        <v>133</v>
      </c>
      <c r="L320" t="s">
        <v>57</v>
      </c>
      <c r="P320" t="s">
        <v>845</v>
      </c>
      <c r="Q320" t="s">
        <v>845</v>
      </c>
      <c r="R320" s="55">
        <v>17797.57</v>
      </c>
    </row>
    <row r="321" spans="1:18" x14ac:dyDescent="0.25">
      <c r="A321">
        <v>385559</v>
      </c>
      <c r="B321" t="s">
        <v>619</v>
      </c>
      <c r="C321" s="55">
        <v>15129.05</v>
      </c>
      <c r="D321" s="55">
        <v>17549.689999999999</v>
      </c>
      <c r="E321" s="55">
        <v>15129.05</v>
      </c>
      <c r="F321" t="s">
        <v>845</v>
      </c>
      <c r="H321" t="s">
        <v>845</v>
      </c>
      <c r="I321" t="s">
        <v>845</v>
      </c>
      <c r="J321" t="s">
        <v>847</v>
      </c>
      <c r="K321" t="s">
        <v>82</v>
      </c>
      <c r="L321" t="s">
        <v>238</v>
      </c>
      <c r="P321" t="s">
        <v>845</v>
      </c>
      <c r="Q321" s="55">
        <v>17549.689999999999</v>
      </c>
      <c r="R321" t="s">
        <v>845</v>
      </c>
    </row>
    <row r="322" spans="1:18" x14ac:dyDescent="0.25">
      <c r="A322">
        <v>20870</v>
      </c>
      <c r="B322" t="s">
        <v>621</v>
      </c>
      <c r="C322" s="55">
        <v>15122.79</v>
      </c>
      <c r="D322" s="55">
        <v>17542.43</v>
      </c>
      <c r="F322" s="55">
        <v>15122.79</v>
      </c>
      <c r="H322" t="s">
        <v>845</v>
      </c>
      <c r="I322" t="s">
        <v>845</v>
      </c>
      <c r="J322" t="s">
        <v>860</v>
      </c>
      <c r="K322" t="s">
        <v>90</v>
      </c>
      <c r="L322" t="s">
        <v>238</v>
      </c>
      <c r="P322" s="55">
        <v>17542.43</v>
      </c>
      <c r="Q322" t="s">
        <v>845</v>
      </c>
      <c r="R322" t="s">
        <v>845</v>
      </c>
    </row>
    <row r="323" spans="1:18" x14ac:dyDescent="0.25">
      <c r="A323">
        <v>397547</v>
      </c>
      <c r="B323" t="s">
        <v>622</v>
      </c>
      <c r="C323" s="55">
        <v>15089.28</v>
      </c>
      <c r="D323" s="55">
        <v>17503.57</v>
      </c>
      <c r="F323" s="55">
        <v>15089.28</v>
      </c>
      <c r="H323" t="s">
        <v>845</v>
      </c>
      <c r="I323" t="s">
        <v>845</v>
      </c>
      <c r="J323" t="s">
        <v>860</v>
      </c>
      <c r="K323" t="s">
        <v>90</v>
      </c>
      <c r="L323" t="s">
        <v>73</v>
      </c>
      <c r="M323" s="55">
        <v>15089.28</v>
      </c>
      <c r="N323" s="55">
        <v>17503.560000000001</v>
      </c>
      <c r="P323" t="s">
        <v>845</v>
      </c>
      <c r="Q323" t="s">
        <v>845</v>
      </c>
      <c r="R323" s="55">
        <v>17503.57</v>
      </c>
    </row>
    <row r="324" spans="1:18" x14ac:dyDescent="0.25">
      <c r="A324">
        <v>391219</v>
      </c>
      <c r="B324" t="s">
        <v>623</v>
      </c>
      <c r="C324" s="55">
        <v>15086.31</v>
      </c>
      <c r="D324" s="55">
        <v>17500.13</v>
      </c>
      <c r="F324" s="55">
        <v>15086.31</v>
      </c>
      <c r="H324" t="s">
        <v>845</v>
      </c>
      <c r="I324" t="s">
        <v>845</v>
      </c>
      <c r="J324" t="s">
        <v>860</v>
      </c>
      <c r="K324" t="s">
        <v>90</v>
      </c>
      <c r="L324" t="s">
        <v>238</v>
      </c>
      <c r="P324" t="s">
        <v>845</v>
      </c>
      <c r="Q324" s="55">
        <v>17500.13</v>
      </c>
      <c r="R324" t="s">
        <v>845</v>
      </c>
    </row>
    <row r="325" spans="1:18" x14ac:dyDescent="0.25">
      <c r="A325">
        <v>339457</v>
      </c>
      <c r="B325" t="s">
        <v>624</v>
      </c>
      <c r="C325" s="55">
        <v>15067.04</v>
      </c>
      <c r="D325" s="55">
        <v>17477.759999999998</v>
      </c>
      <c r="F325" s="55">
        <v>15067.04</v>
      </c>
      <c r="H325" t="s">
        <v>845</v>
      </c>
      <c r="I325" t="s">
        <v>845</v>
      </c>
      <c r="J325" t="s">
        <v>847</v>
      </c>
      <c r="K325" t="s">
        <v>75</v>
      </c>
      <c r="L325" t="s">
        <v>73</v>
      </c>
      <c r="M325" s="55">
        <v>15067.04</v>
      </c>
      <c r="N325" s="55">
        <v>17477.77</v>
      </c>
      <c r="P325" t="s">
        <v>845</v>
      </c>
      <c r="Q325" t="s">
        <v>845</v>
      </c>
      <c r="R325" s="55">
        <v>17477.759999999998</v>
      </c>
    </row>
    <row r="326" spans="1:18" x14ac:dyDescent="0.25">
      <c r="A326">
        <v>384958</v>
      </c>
      <c r="B326" t="s">
        <v>627</v>
      </c>
      <c r="C326" s="55">
        <v>16903.07</v>
      </c>
      <c r="D326" s="55">
        <v>16903.07</v>
      </c>
      <c r="F326" s="55">
        <v>16903.07</v>
      </c>
      <c r="H326" t="s">
        <v>845</v>
      </c>
      <c r="I326" t="s">
        <v>845</v>
      </c>
      <c r="J326" t="s">
        <v>860</v>
      </c>
      <c r="K326" t="s">
        <v>90</v>
      </c>
      <c r="L326" t="s">
        <v>238</v>
      </c>
      <c r="P326" s="55">
        <v>16903.080000000002</v>
      </c>
      <c r="Q326" t="s">
        <v>845</v>
      </c>
      <c r="R326" t="s">
        <v>845</v>
      </c>
    </row>
    <row r="327" spans="1:18" x14ac:dyDescent="0.25">
      <c r="A327">
        <v>3566</v>
      </c>
      <c r="B327" t="s">
        <v>628</v>
      </c>
      <c r="C327" s="55">
        <v>16461.23</v>
      </c>
      <c r="D327" s="55">
        <v>16461.23</v>
      </c>
      <c r="F327" s="55">
        <v>16461.23</v>
      </c>
      <c r="H327" t="s">
        <v>845</v>
      </c>
      <c r="I327" t="s">
        <v>845</v>
      </c>
      <c r="J327" t="s">
        <v>860</v>
      </c>
      <c r="K327" t="s">
        <v>90</v>
      </c>
      <c r="L327" t="s">
        <v>238</v>
      </c>
      <c r="P327" s="55">
        <v>16461.23</v>
      </c>
      <c r="Q327" t="s">
        <v>845</v>
      </c>
      <c r="R327" t="s">
        <v>845</v>
      </c>
    </row>
    <row r="328" spans="1:18" x14ac:dyDescent="0.25">
      <c r="A328">
        <v>309807</v>
      </c>
      <c r="B328" t="s">
        <v>629</v>
      </c>
      <c r="C328" s="55">
        <v>12985.57</v>
      </c>
      <c r="D328" s="55">
        <v>15063.25</v>
      </c>
      <c r="F328" s="55">
        <v>12985.57</v>
      </c>
      <c r="H328" t="s">
        <v>845</v>
      </c>
      <c r="I328" t="s">
        <v>845</v>
      </c>
      <c r="J328" t="s">
        <v>860</v>
      </c>
      <c r="K328" t="s">
        <v>90</v>
      </c>
      <c r="L328" t="s">
        <v>73</v>
      </c>
      <c r="M328" s="55">
        <v>12985.57</v>
      </c>
      <c r="N328" s="55">
        <v>15063.26</v>
      </c>
      <c r="P328" t="s">
        <v>845</v>
      </c>
      <c r="Q328" t="s">
        <v>845</v>
      </c>
      <c r="R328" s="55">
        <v>15063.25</v>
      </c>
    </row>
    <row r="329" spans="1:18" x14ac:dyDescent="0.25">
      <c r="A329">
        <v>313908</v>
      </c>
      <c r="B329" t="s">
        <v>630</v>
      </c>
      <c r="C329" s="55">
        <v>12172.01</v>
      </c>
      <c r="D329" s="55">
        <v>14119.53</v>
      </c>
      <c r="F329" s="55">
        <v>12172.01</v>
      </c>
      <c r="H329" t="s">
        <v>845</v>
      </c>
      <c r="I329" t="s">
        <v>845</v>
      </c>
      <c r="J329" t="s">
        <v>860</v>
      </c>
      <c r="K329" t="s">
        <v>90</v>
      </c>
      <c r="L329" t="s">
        <v>238</v>
      </c>
      <c r="P329" s="55">
        <v>14119.53</v>
      </c>
      <c r="Q329" t="s">
        <v>845</v>
      </c>
      <c r="R329" t="s">
        <v>845</v>
      </c>
    </row>
    <row r="330" spans="1:18" x14ac:dyDescent="0.25">
      <c r="A330">
        <v>19398</v>
      </c>
      <c r="B330" t="s">
        <v>631</v>
      </c>
      <c r="C330" s="55">
        <v>11948.46</v>
      </c>
      <c r="D330" s="55">
        <v>13860.21</v>
      </c>
      <c r="F330" s="55">
        <v>11948.46</v>
      </c>
      <c r="H330" t="s">
        <v>845</v>
      </c>
      <c r="I330" t="s">
        <v>845</v>
      </c>
      <c r="J330" t="s">
        <v>860</v>
      </c>
      <c r="K330" t="s">
        <v>90</v>
      </c>
      <c r="L330" t="s">
        <v>73</v>
      </c>
      <c r="M330" s="55">
        <v>11948.46</v>
      </c>
      <c r="N330" s="55">
        <v>13860.21</v>
      </c>
    </row>
    <row r="331" spans="1:18" x14ac:dyDescent="0.25">
      <c r="A331">
        <v>61325</v>
      </c>
      <c r="B331" t="s">
        <v>632</v>
      </c>
      <c r="C331" s="55">
        <v>11774.92</v>
      </c>
      <c r="D331" s="55">
        <v>13658.9</v>
      </c>
      <c r="F331" s="55">
        <v>11774.92</v>
      </c>
      <c r="H331" t="s">
        <v>845</v>
      </c>
      <c r="I331" t="s">
        <v>845</v>
      </c>
      <c r="J331" t="s">
        <v>860</v>
      </c>
      <c r="K331" t="s">
        <v>90</v>
      </c>
      <c r="L331" t="s">
        <v>238</v>
      </c>
      <c r="P331" s="55">
        <v>13658.9</v>
      </c>
      <c r="Q331" t="s">
        <v>845</v>
      </c>
      <c r="R331" t="s">
        <v>845</v>
      </c>
    </row>
    <row r="332" spans="1:18" x14ac:dyDescent="0.25">
      <c r="A332">
        <v>40949</v>
      </c>
      <c r="B332" t="s">
        <v>633</v>
      </c>
      <c r="C332" s="55">
        <v>13514.79</v>
      </c>
      <c r="D332" s="55">
        <v>13514.79</v>
      </c>
      <c r="F332" s="55">
        <v>13514.79</v>
      </c>
      <c r="H332" t="s">
        <v>845</v>
      </c>
      <c r="I332" t="s">
        <v>845</v>
      </c>
      <c r="J332" t="s">
        <v>847</v>
      </c>
      <c r="K332" t="s">
        <v>133</v>
      </c>
      <c r="L332" t="s">
        <v>57</v>
      </c>
      <c r="P332" t="s">
        <v>845</v>
      </c>
      <c r="Q332" t="s">
        <v>845</v>
      </c>
      <c r="R332" s="55">
        <v>13514.79</v>
      </c>
    </row>
    <row r="333" spans="1:18" x14ac:dyDescent="0.25">
      <c r="A333">
        <v>380402</v>
      </c>
      <c r="B333" t="s">
        <v>637</v>
      </c>
      <c r="C333" s="55">
        <v>11838.24</v>
      </c>
      <c r="D333" s="55">
        <v>12785.3</v>
      </c>
      <c r="F333" s="55">
        <v>11838.24</v>
      </c>
      <c r="H333" t="s">
        <v>845</v>
      </c>
      <c r="I333" t="s">
        <v>845</v>
      </c>
      <c r="J333" t="s">
        <v>860</v>
      </c>
      <c r="K333" t="s">
        <v>90</v>
      </c>
      <c r="L333" t="s">
        <v>238</v>
      </c>
      <c r="P333" s="55">
        <v>12785.3</v>
      </c>
      <c r="Q333" t="s">
        <v>845</v>
      </c>
      <c r="R333" t="s">
        <v>845</v>
      </c>
    </row>
    <row r="334" spans="1:18" x14ac:dyDescent="0.25">
      <c r="A334">
        <v>21753</v>
      </c>
      <c r="B334" t="s">
        <v>638</v>
      </c>
      <c r="C334" s="55">
        <v>12620.7</v>
      </c>
      <c r="D334" s="55">
        <v>12620.7</v>
      </c>
      <c r="F334" s="55">
        <v>12620.7</v>
      </c>
      <c r="H334" t="s">
        <v>845</v>
      </c>
      <c r="I334" t="s">
        <v>845</v>
      </c>
      <c r="J334" t="s">
        <v>860</v>
      </c>
      <c r="K334" t="s">
        <v>90</v>
      </c>
      <c r="L334" t="s">
        <v>73</v>
      </c>
      <c r="M334" s="55">
        <v>12620.7</v>
      </c>
      <c r="N334" s="55">
        <v>12620.7</v>
      </c>
      <c r="P334" t="s">
        <v>845</v>
      </c>
      <c r="Q334" t="s">
        <v>845</v>
      </c>
      <c r="R334" s="55">
        <v>12620.7</v>
      </c>
    </row>
    <row r="335" spans="1:18" x14ac:dyDescent="0.25">
      <c r="A335">
        <v>342584</v>
      </c>
      <c r="B335" t="s">
        <v>639</v>
      </c>
      <c r="C335" s="55">
        <v>10197.85</v>
      </c>
      <c r="D335" s="55">
        <v>11829.5</v>
      </c>
      <c r="F335" s="55">
        <v>10197.85</v>
      </c>
      <c r="H335" t="s">
        <v>845</v>
      </c>
      <c r="I335" t="s">
        <v>845</v>
      </c>
      <c r="J335" t="s">
        <v>860</v>
      </c>
      <c r="K335" t="s">
        <v>90</v>
      </c>
      <c r="L335" t="s">
        <v>238</v>
      </c>
      <c r="P335" s="55">
        <v>11829.5</v>
      </c>
      <c r="Q335" t="s">
        <v>845</v>
      </c>
      <c r="R335" t="s">
        <v>845</v>
      </c>
    </row>
    <row r="336" spans="1:18" x14ac:dyDescent="0.25">
      <c r="A336">
        <v>383711</v>
      </c>
      <c r="B336" t="s">
        <v>640</v>
      </c>
      <c r="C336" s="55">
        <v>9288.86</v>
      </c>
      <c r="D336" s="55">
        <v>10775.07</v>
      </c>
      <c r="F336" s="55">
        <v>9288.86</v>
      </c>
      <c r="H336" t="s">
        <v>845</v>
      </c>
      <c r="I336" t="s">
        <v>845</v>
      </c>
      <c r="J336" t="s">
        <v>860</v>
      </c>
      <c r="K336" t="s">
        <v>90</v>
      </c>
      <c r="L336" t="s">
        <v>73</v>
      </c>
      <c r="M336" s="55">
        <v>9288.86</v>
      </c>
      <c r="N336" s="55">
        <v>10775.08</v>
      </c>
      <c r="P336" t="s">
        <v>845</v>
      </c>
      <c r="Q336" t="s">
        <v>845</v>
      </c>
      <c r="R336" s="55">
        <v>10775.07</v>
      </c>
    </row>
    <row r="337" spans="1:18" x14ac:dyDescent="0.25">
      <c r="A337">
        <v>38232</v>
      </c>
      <c r="B337" t="s">
        <v>641</v>
      </c>
      <c r="C337" s="55">
        <v>9975.3799999999992</v>
      </c>
      <c r="D337" s="55">
        <v>10773.41</v>
      </c>
      <c r="F337" s="55">
        <v>9975.3799999999992</v>
      </c>
      <c r="H337" t="s">
        <v>845</v>
      </c>
      <c r="I337" t="s">
        <v>845</v>
      </c>
      <c r="J337" t="s">
        <v>860</v>
      </c>
      <c r="K337" t="s">
        <v>90</v>
      </c>
      <c r="L337" t="s">
        <v>238</v>
      </c>
      <c r="P337" s="55">
        <v>10773.41</v>
      </c>
      <c r="Q337" t="s">
        <v>845</v>
      </c>
      <c r="R337" t="s">
        <v>845</v>
      </c>
    </row>
    <row r="338" spans="1:18" x14ac:dyDescent="0.25">
      <c r="A338">
        <v>394882</v>
      </c>
      <c r="B338" t="s">
        <v>642</v>
      </c>
      <c r="C338" s="55">
        <v>9123.4500000000007</v>
      </c>
      <c r="D338" s="55">
        <v>10583.2</v>
      </c>
      <c r="F338" s="55">
        <v>9123.4500000000007</v>
      </c>
      <c r="H338" t="s">
        <v>845</v>
      </c>
      <c r="I338" t="s">
        <v>845</v>
      </c>
      <c r="J338" t="s">
        <v>860</v>
      </c>
      <c r="K338" t="s">
        <v>90</v>
      </c>
      <c r="L338" t="s">
        <v>238</v>
      </c>
      <c r="P338" t="s">
        <v>845</v>
      </c>
      <c r="Q338" s="55">
        <v>10583.2</v>
      </c>
      <c r="R338" t="s">
        <v>845</v>
      </c>
    </row>
    <row r="339" spans="1:18" x14ac:dyDescent="0.25">
      <c r="A339">
        <v>85449</v>
      </c>
      <c r="B339" t="s">
        <v>643</v>
      </c>
      <c r="C339" s="55">
        <v>10004.75</v>
      </c>
      <c r="D339" s="55">
        <v>10004.75</v>
      </c>
      <c r="F339" s="55">
        <v>10004.75</v>
      </c>
      <c r="H339" t="s">
        <v>845</v>
      </c>
      <c r="I339" t="s">
        <v>845</v>
      </c>
      <c r="J339" t="s">
        <v>860</v>
      </c>
      <c r="K339" t="s">
        <v>90</v>
      </c>
      <c r="L339" t="s">
        <v>238</v>
      </c>
      <c r="P339" s="55">
        <v>10004.75</v>
      </c>
      <c r="Q339" t="s">
        <v>845</v>
      </c>
      <c r="R339" t="s">
        <v>845</v>
      </c>
    </row>
    <row r="340" spans="1:18" x14ac:dyDescent="0.25">
      <c r="A340">
        <v>390278</v>
      </c>
      <c r="B340" t="s">
        <v>644</v>
      </c>
      <c r="C340" s="55">
        <v>8514.67</v>
      </c>
      <c r="D340" s="55">
        <v>9877.02</v>
      </c>
      <c r="F340" s="55">
        <v>8514.67</v>
      </c>
      <c r="H340" t="s">
        <v>845</v>
      </c>
      <c r="I340" t="s">
        <v>845</v>
      </c>
      <c r="J340" t="s">
        <v>860</v>
      </c>
      <c r="K340" t="s">
        <v>90</v>
      </c>
      <c r="L340" t="s">
        <v>238</v>
      </c>
      <c r="P340" s="55">
        <v>9877.02</v>
      </c>
      <c r="Q340" t="s">
        <v>845</v>
      </c>
      <c r="R340" t="s">
        <v>845</v>
      </c>
    </row>
    <row r="341" spans="1:18" x14ac:dyDescent="0.25">
      <c r="A341">
        <v>40972</v>
      </c>
      <c r="B341" t="s">
        <v>645</v>
      </c>
      <c r="C341" s="55">
        <v>8422.17</v>
      </c>
      <c r="D341" s="55">
        <v>9769.7099999999991</v>
      </c>
      <c r="F341" s="55">
        <v>8422.17</v>
      </c>
      <c r="H341" t="s">
        <v>845</v>
      </c>
      <c r="I341" t="s">
        <v>845</v>
      </c>
      <c r="J341" t="s">
        <v>860</v>
      </c>
      <c r="K341" t="s">
        <v>90</v>
      </c>
      <c r="L341" t="s">
        <v>73</v>
      </c>
      <c r="M341" s="55">
        <v>8422.17</v>
      </c>
      <c r="N341" s="55">
        <v>9769.7099999999991</v>
      </c>
      <c r="P341" t="s">
        <v>845</v>
      </c>
      <c r="Q341" t="s">
        <v>845</v>
      </c>
      <c r="R341" s="55">
        <v>9769.7099999999991</v>
      </c>
    </row>
    <row r="342" spans="1:18" x14ac:dyDescent="0.25">
      <c r="A342">
        <v>390716</v>
      </c>
      <c r="B342" t="s">
        <v>646</v>
      </c>
      <c r="C342" s="55">
        <v>9651.4</v>
      </c>
      <c r="D342" s="55">
        <v>9675.9699999999993</v>
      </c>
      <c r="F342" s="55">
        <v>9651.4</v>
      </c>
      <c r="H342" t="s">
        <v>845</v>
      </c>
      <c r="I342" t="s">
        <v>845</v>
      </c>
      <c r="J342" t="s">
        <v>860</v>
      </c>
      <c r="K342" t="s">
        <v>90</v>
      </c>
      <c r="L342" t="s">
        <v>238</v>
      </c>
      <c r="P342" s="55">
        <v>9675.9699999999993</v>
      </c>
      <c r="Q342" t="s">
        <v>845</v>
      </c>
      <c r="R342" t="s">
        <v>845</v>
      </c>
    </row>
    <row r="343" spans="1:18" x14ac:dyDescent="0.25">
      <c r="A343">
        <v>9348</v>
      </c>
      <c r="B343" t="s">
        <v>647</v>
      </c>
      <c r="C343" s="55">
        <v>8220.14</v>
      </c>
      <c r="D343" s="55">
        <v>9535.35</v>
      </c>
      <c r="F343" s="55">
        <v>8220.14</v>
      </c>
      <c r="H343" t="s">
        <v>845</v>
      </c>
      <c r="I343" t="s">
        <v>845</v>
      </c>
      <c r="J343" t="s">
        <v>860</v>
      </c>
      <c r="K343" t="s">
        <v>90</v>
      </c>
      <c r="L343" t="s">
        <v>238</v>
      </c>
      <c r="P343" s="55">
        <v>9535.35</v>
      </c>
      <c r="Q343" t="s">
        <v>845</v>
      </c>
      <c r="R343" t="s">
        <v>845</v>
      </c>
    </row>
    <row r="344" spans="1:18" x14ac:dyDescent="0.25">
      <c r="A344">
        <v>6348</v>
      </c>
      <c r="B344" t="s">
        <v>648</v>
      </c>
      <c r="C344" s="55">
        <v>7929.86</v>
      </c>
      <c r="D344" s="55">
        <v>9198.64</v>
      </c>
      <c r="F344" s="55">
        <v>7929.86</v>
      </c>
      <c r="H344" t="s">
        <v>845</v>
      </c>
      <c r="I344" t="s">
        <v>845</v>
      </c>
      <c r="J344" t="s">
        <v>860</v>
      </c>
      <c r="K344" t="s">
        <v>90</v>
      </c>
      <c r="L344" t="s">
        <v>73</v>
      </c>
      <c r="M344" s="55">
        <v>7929.86</v>
      </c>
      <c r="N344" s="55">
        <v>9198.64</v>
      </c>
      <c r="P344" t="s">
        <v>845</v>
      </c>
      <c r="Q344" t="s">
        <v>845</v>
      </c>
      <c r="R344" s="55">
        <v>9198.64</v>
      </c>
    </row>
    <row r="345" spans="1:18" x14ac:dyDescent="0.25">
      <c r="A345">
        <v>327080</v>
      </c>
      <c r="B345" t="s">
        <v>649</v>
      </c>
      <c r="C345" s="55">
        <v>8467.02</v>
      </c>
      <c r="D345" s="55">
        <v>8467.02</v>
      </c>
      <c r="F345" s="55">
        <v>8467.02</v>
      </c>
      <c r="H345" t="s">
        <v>845</v>
      </c>
      <c r="I345" t="s">
        <v>845</v>
      </c>
      <c r="J345" t="s">
        <v>860</v>
      </c>
      <c r="K345" t="s">
        <v>90</v>
      </c>
      <c r="L345" t="s">
        <v>238</v>
      </c>
      <c r="P345" s="55">
        <v>8467.02</v>
      </c>
      <c r="Q345" t="s">
        <v>845</v>
      </c>
      <c r="R345" t="s">
        <v>845</v>
      </c>
    </row>
    <row r="346" spans="1:18" x14ac:dyDescent="0.25">
      <c r="A346">
        <v>9888</v>
      </c>
      <c r="B346" t="s">
        <v>650</v>
      </c>
      <c r="C346" s="55">
        <v>7596.38</v>
      </c>
      <c r="D346" s="55">
        <v>8230.1</v>
      </c>
      <c r="F346" s="55">
        <v>7596.38</v>
      </c>
      <c r="H346" t="s">
        <v>845</v>
      </c>
      <c r="I346" t="s">
        <v>845</v>
      </c>
      <c r="J346" t="s">
        <v>860</v>
      </c>
      <c r="K346" t="s">
        <v>90</v>
      </c>
      <c r="L346" t="s">
        <v>238</v>
      </c>
      <c r="P346" s="55">
        <v>8230.1</v>
      </c>
      <c r="Q346" t="s">
        <v>845</v>
      </c>
      <c r="R346" t="s">
        <v>845</v>
      </c>
    </row>
    <row r="347" spans="1:18" x14ac:dyDescent="0.25">
      <c r="A347">
        <v>93872</v>
      </c>
      <c r="B347" t="s">
        <v>651</v>
      </c>
      <c r="C347" s="55">
        <v>7799.25</v>
      </c>
      <c r="D347" s="55">
        <v>7830.76</v>
      </c>
      <c r="F347" s="55">
        <v>7799.25</v>
      </c>
      <c r="H347" t="s">
        <v>845</v>
      </c>
      <c r="I347" t="s">
        <v>845</v>
      </c>
      <c r="J347" t="s">
        <v>860</v>
      </c>
      <c r="K347" t="s">
        <v>90</v>
      </c>
      <c r="L347" t="s">
        <v>238</v>
      </c>
      <c r="P347" s="55">
        <v>7830.76</v>
      </c>
      <c r="Q347" t="s">
        <v>845</v>
      </c>
      <c r="R347" t="s">
        <v>845</v>
      </c>
    </row>
    <row r="348" spans="1:18" x14ac:dyDescent="0.25">
      <c r="A348">
        <v>74310</v>
      </c>
      <c r="B348" t="s">
        <v>652</v>
      </c>
      <c r="C348" s="55">
        <v>7116.38</v>
      </c>
      <c r="D348" s="55">
        <v>7116.38</v>
      </c>
      <c r="F348" s="55">
        <v>7116.38</v>
      </c>
      <c r="H348" t="s">
        <v>845</v>
      </c>
      <c r="I348" t="s">
        <v>845</v>
      </c>
      <c r="J348" t="s">
        <v>860</v>
      </c>
      <c r="K348" t="s">
        <v>90</v>
      </c>
      <c r="L348" t="s">
        <v>238</v>
      </c>
      <c r="P348" s="55">
        <v>7116.38</v>
      </c>
      <c r="Q348" t="s">
        <v>845</v>
      </c>
      <c r="R348" t="s">
        <v>845</v>
      </c>
    </row>
    <row r="349" spans="1:18" x14ac:dyDescent="0.25">
      <c r="A349">
        <v>11423</v>
      </c>
      <c r="B349" t="s">
        <v>653</v>
      </c>
      <c r="C349" s="55">
        <v>6635.91</v>
      </c>
      <c r="D349" s="55">
        <v>7069.99</v>
      </c>
      <c r="F349" s="55">
        <v>6635.91</v>
      </c>
      <c r="H349" t="s">
        <v>845</v>
      </c>
      <c r="I349" t="s">
        <v>845</v>
      </c>
      <c r="J349" t="s">
        <v>860</v>
      </c>
      <c r="K349" t="s">
        <v>90</v>
      </c>
      <c r="L349" t="s">
        <v>238</v>
      </c>
      <c r="P349" s="55">
        <v>7069.99</v>
      </c>
      <c r="Q349" t="s">
        <v>845</v>
      </c>
      <c r="R349" t="s">
        <v>845</v>
      </c>
    </row>
    <row r="350" spans="1:18" x14ac:dyDescent="0.25">
      <c r="A350">
        <v>8474</v>
      </c>
      <c r="B350" t="s">
        <v>654</v>
      </c>
      <c r="C350" s="55">
        <v>5831.79</v>
      </c>
      <c r="D350" s="55">
        <v>6764.87</v>
      </c>
      <c r="F350" s="55">
        <v>5831.79</v>
      </c>
      <c r="H350" t="s">
        <v>845</v>
      </c>
      <c r="I350" t="s">
        <v>845</v>
      </c>
      <c r="J350" t="s">
        <v>860</v>
      </c>
      <c r="K350" t="s">
        <v>90</v>
      </c>
      <c r="L350" t="s">
        <v>73</v>
      </c>
      <c r="M350" s="55">
        <v>5831.79</v>
      </c>
      <c r="N350" s="55">
        <v>6764.88</v>
      </c>
      <c r="P350" t="s">
        <v>845</v>
      </c>
      <c r="Q350" t="s">
        <v>845</v>
      </c>
      <c r="R350" s="55">
        <v>6764.87</v>
      </c>
    </row>
    <row r="351" spans="1:18" x14ac:dyDescent="0.25">
      <c r="A351">
        <v>3604</v>
      </c>
      <c r="B351" t="s">
        <v>452</v>
      </c>
      <c r="C351" s="55">
        <v>6694.96</v>
      </c>
      <c r="D351" s="55">
        <v>6694.96</v>
      </c>
      <c r="F351" s="55">
        <v>6694.96</v>
      </c>
      <c r="H351" t="s">
        <v>845</v>
      </c>
      <c r="I351" t="s">
        <v>845</v>
      </c>
      <c r="J351" t="s">
        <v>860</v>
      </c>
      <c r="K351" t="s">
        <v>90</v>
      </c>
      <c r="L351" t="s">
        <v>238</v>
      </c>
      <c r="P351" s="55">
        <v>6694.96</v>
      </c>
      <c r="Q351" t="s">
        <v>845</v>
      </c>
      <c r="R351" t="s">
        <v>845</v>
      </c>
    </row>
    <row r="352" spans="1:18" x14ac:dyDescent="0.25">
      <c r="A352">
        <v>89383</v>
      </c>
      <c r="B352" t="s">
        <v>656</v>
      </c>
      <c r="C352" s="55">
        <v>5761.76</v>
      </c>
      <c r="D352" s="55">
        <v>6683.64</v>
      </c>
      <c r="F352" s="55">
        <v>5761.76</v>
      </c>
      <c r="H352" t="s">
        <v>845</v>
      </c>
      <c r="I352" t="s">
        <v>845</v>
      </c>
      <c r="J352" t="s">
        <v>860</v>
      </c>
      <c r="K352" t="s">
        <v>90</v>
      </c>
      <c r="L352" t="s">
        <v>238</v>
      </c>
      <c r="P352" t="s">
        <v>845</v>
      </c>
      <c r="Q352" s="55">
        <v>6683.64</v>
      </c>
      <c r="R352" t="s">
        <v>845</v>
      </c>
    </row>
    <row r="353" spans="1:18" x14ac:dyDescent="0.25">
      <c r="A353">
        <v>1402</v>
      </c>
      <c r="B353" t="s">
        <v>657</v>
      </c>
      <c r="C353" s="55">
        <v>6572.83</v>
      </c>
      <c r="D353" s="55">
        <v>6577.01</v>
      </c>
      <c r="F353" s="55">
        <v>6572.83</v>
      </c>
      <c r="H353" t="s">
        <v>845</v>
      </c>
      <c r="I353" t="s">
        <v>845</v>
      </c>
      <c r="J353" t="s">
        <v>860</v>
      </c>
      <c r="K353" t="s">
        <v>90</v>
      </c>
      <c r="L353" t="s">
        <v>73</v>
      </c>
      <c r="M353" s="55">
        <v>6572.83</v>
      </c>
      <c r="N353" s="55">
        <v>6577.01</v>
      </c>
      <c r="P353" t="s">
        <v>845</v>
      </c>
      <c r="Q353" t="s">
        <v>845</v>
      </c>
      <c r="R353" s="55">
        <v>6577.01</v>
      </c>
    </row>
    <row r="354" spans="1:18" x14ac:dyDescent="0.25">
      <c r="A354">
        <v>40477</v>
      </c>
      <c r="B354" t="s">
        <v>658</v>
      </c>
      <c r="C354" s="55">
        <v>6574.83</v>
      </c>
      <c r="D354" s="55">
        <v>6574.83</v>
      </c>
      <c r="F354" s="55">
        <v>6574.83</v>
      </c>
      <c r="H354" t="s">
        <v>845</v>
      </c>
      <c r="I354" t="s">
        <v>845</v>
      </c>
      <c r="J354" t="s">
        <v>860</v>
      </c>
      <c r="K354" t="s">
        <v>90</v>
      </c>
      <c r="L354" t="s">
        <v>238</v>
      </c>
      <c r="P354" s="55">
        <v>6574.83</v>
      </c>
      <c r="Q354" t="s">
        <v>845</v>
      </c>
      <c r="R354" t="s">
        <v>845</v>
      </c>
    </row>
    <row r="355" spans="1:18" x14ac:dyDescent="0.25">
      <c r="A355">
        <v>13111</v>
      </c>
      <c r="B355" t="s">
        <v>659</v>
      </c>
      <c r="C355" s="55">
        <v>5628.22</v>
      </c>
      <c r="D355" s="55">
        <v>6528.73</v>
      </c>
      <c r="F355" s="55">
        <v>5628.22</v>
      </c>
      <c r="H355" t="s">
        <v>845</v>
      </c>
      <c r="I355" t="s">
        <v>845</v>
      </c>
      <c r="J355" t="s">
        <v>860</v>
      </c>
      <c r="K355" t="s">
        <v>90</v>
      </c>
      <c r="L355" t="s">
        <v>238</v>
      </c>
      <c r="P355" t="s">
        <v>845</v>
      </c>
      <c r="Q355" s="55">
        <v>6528.73</v>
      </c>
      <c r="R355" t="s">
        <v>845</v>
      </c>
    </row>
    <row r="356" spans="1:18" x14ac:dyDescent="0.25">
      <c r="A356">
        <v>17053</v>
      </c>
      <c r="B356" t="s">
        <v>660</v>
      </c>
      <c r="C356" s="55">
        <v>5956.76</v>
      </c>
      <c r="D356" s="55">
        <v>5956.76</v>
      </c>
      <c r="F356" s="55">
        <v>5956.76</v>
      </c>
      <c r="H356" t="s">
        <v>845</v>
      </c>
      <c r="I356" t="s">
        <v>845</v>
      </c>
      <c r="J356" t="s">
        <v>860</v>
      </c>
      <c r="K356" t="s">
        <v>90</v>
      </c>
      <c r="L356" t="s">
        <v>73</v>
      </c>
      <c r="M356" s="55">
        <v>5956.76</v>
      </c>
      <c r="N356" s="55">
        <v>5956.76</v>
      </c>
      <c r="P356" t="s">
        <v>845</v>
      </c>
      <c r="Q356" t="s">
        <v>845</v>
      </c>
      <c r="R356" s="55">
        <v>5956.76</v>
      </c>
    </row>
    <row r="357" spans="1:18" x14ac:dyDescent="0.25">
      <c r="A357">
        <v>329680</v>
      </c>
      <c r="B357" t="s">
        <v>661</v>
      </c>
      <c r="C357" s="55">
        <v>5097.16</v>
      </c>
      <c r="D357" s="55">
        <v>5912.7</v>
      </c>
      <c r="F357" s="55">
        <v>5097.16</v>
      </c>
      <c r="H357" t="s">
        <v>845</v>
      </c>
      <c r="I357" t="s">
        <v>845</v>
      </c>
      <c r="J357" t="s">
        <v>860</v>
      </c>
      <c r="K357" t="s">
        <v>90</v>
      </c>
      <c r="L357" t="s">
        <v>238</v>
      </c>
      <c r="P357" t="s">
        <v>845</v>
      </c>
      <c r="Q357" s="55">
        <v>5912.7</v>
      </c>
      <c r="R357" t="s">
        <v>845</v>
      </c>
    </row>
    <row r="358" spans="1:18" x14ac:dyDescent="0.25">
      <c r="A358">
        <v>16985</v>
      </c>
      <c r="B358" t="s">
        <v>662</v>
      </c>
      <c r="C358" s="55">
        <v>5028.8900000000003</v>
      </c>
      <c r="D358" s="55">
        <v>5833.5</v>
      </c>
      <c r="F358" s="55">
        <v>5028.8900000000003</v>
      </c>
      <c r="H358" t="s">
        <v>845</v>
      </c>
      <c r="I358" t="s">
        <v>845</v>
      </c>
      <c r="J358" t="s">
        <v>860</v>
      </c>
      <c r="K358" t="s">
        <v>90</v>
      </c>
      <c r="L358" t="s">
        <v>238</v>
      </c>
      <c r="P358" t="s">
        <v>845</v>
      </c>
      <c r="Q358" s="55">
        <v>5833.5</v>
      </c>
      <c r="R358" t="s">
        <v>845</v>
      </c>
    </row>
    <row r="359" spans="1:18" x14ac:dyDescent="0.25">
      <c r="A359">
        <v>21597</v>
      </c>
      <c r="B359" t="s">
        <v>663</v>
      </c>
      <c r="C359" s="55">
        <v>5730.7</v>
      </c>
      <c r="D359" s="55">
        <v>5730.7</v>
      </c>
      <c r="F359" s="55">
        <v>5730.7</v>
      </c>
      <c r="H359" t="s">
        <v>845</v>
      </c>
      <c r="I359" t="s">
        <v>845</v>
      </c>
      <c r="J359" t="s">
        <v>860</v>
      </c>
      <c r="K359" t="s">
        <v>90</v>
      </c>
      <c r="L359" t="s">
        <v>238</v>
      </c>
      <c r="P359" s="55">
        <v>5730.7</v>
      </c>
      <c r="Q359" t="s">
        <v>845</v>
      </c>
      <c r="R359" t="s">
        <v>845</v>
      </c>
    </row>
    <row r="360" spans="1:18" x14ac:dyDescent="0.25">
      <c r="A360">
        <v>62166</v>
      </c>
      <c r="B360" t="s">
        <v>664</v>
      </c>
      <c r="C360" s="55">
        <v>4911.18</v>
      </c>
      <c r="D360" s="55">
        <v>5696.98</v>
      </c>
      <c r="F360" s="55">
        <v>4911.18</v>
      </c>
      <c r="H360" t="s">
        <v>845</v>
      </c>
      <c r="I360" t="s">
        <v>845</v>
      </c>
      <c r="J360" t="s">
        <v>860</v>
      </c>
      <c r="K360" t="s">
        <v>90</v>
      </c>
      <c r="L360" t="s">
        <v>238</v>
      </c>
      <c r="P360" s="55">
        <v>5696.98</v>
      </c>
      <c r="Q360" t="s">
        <v>845</v>
      </c>
      <c r="R360" t="s">
        <v>845</v>
      </c>
    </row>
    <row r="361" spans="1:18" x14ac:dyDescent="0.25">
      <c r="A361">
        <v>92692</v>
      </c>
      <c r="B361" t="s">
        <v>665</v>
      </c>
      <c r="C361" s="55">
        <v>4872.4399999999996</v>
      </c>
      <c r="D361" s="55">
        <v>5652.03</v>
      </c>
      <c r="F361" s="55">
        <v>4872.4399999999996</v>
      </c>
      <c r="H361" t="s">
        <v>845</v>
      </c>
      <c r="I361" t="s">
        <v>845</v>
      </c>
      <c r="J361" t="s">
        <v>860</v>
      </c>
      <c r="K361" t="s">
        <v>90</v>
      </c>
      <c r="L361" t="s">
        <v>238</v>
      </c>
      <c r="P361" s="55">
        <v>5652.03</v>
      </c>
      <c r="Q361" t="s">
        <v>845</v>
      </c>
      <c r="R361" t="s">
        <v>845</v>
      </c>
    </row>
    <row r="362" spans="1:18" x14ac:dyDescent="0.25">
      <c r="A362">
        <v>35576</v>
      </c>
      <c r="B362" t="s">
        <v>666</v>
      </c>
      <c r="C362" s="55">
        <v>4648.28</v>
      </c>
      <c r="D362" s="55">
        <v>5392</v>
      </c>
      <c r="F362" s="55">
        <v>4648.28</v>
      </c>
      <c r="H362" t="s">
        <v>845</v>
      </c>
      <c r="I362" t="s">
        <v>845</v>
      </c>
      <c r="J362" t="s">
        <v>860</v>
      </c>
      <c r="K362" t="s">
        <v>90</v>
      </c>
      <c r="L362" t="s">
        <v>238</v>
      </c>
      <c r="P362" t="s">
        <v>845</v>
      </c>
      <c r="Q362" s="55">
        <v>5392</v>
      </c>
      <c r="R362" t="s">
        <v>845</v>
      </c>
    </row>
    <row r="363" spans="1:18" x14ac:dyDescent="0.25">
      <c r="A363">
        <v>20192</v>
      </c>
      <c r="B363" t="s">
        <v>667</v>
      </c>
      <c r="C363" s="55">
        <v>4606.03</v>
      </c>
      <c r="D363" s="55">
        <v>5343</v>
      </c>
      <c r="F363" s="55">
        <v>4606.03</v>
      </c>
      <c r="H363" t="s">
        <v>845</v>
      </c>
      <c r="I363" t="s">
        <v>845</v>
      </c>
      <c r="J363" t="s">
        <v>860</v>
      </c>
      <c r="K363" t="s">
        <v>90</v>
      </c>
      <c r="L363" t="s">
        <v>238</v>
      </c>
      <c r="P363" s="55">
        <v>5343</v>
      </c>
      <c r="Q363" t="s">
        <v>845</v>
      </c>
      <c r="R363" t="s">
        <v>845</v>
      </c>
    </row>
    <row r="364" spans="1:18" x14ac:dyDescent="0.25">
      <c r="A364">
        <v>97378</v>
      </c>
      <c r="B364" t="s">
        <v>668</v>
      </c>
      <c r="C364" s="55">
        <v>5007.76</v>
      </c>
      <c r="D364" s="55">
        <v>5007.76</v>
      </c>
      <c r="F364" s="55">
        <v>5007.76</v>
      </c>
      <c r="H364" t="s">
        <v>845</v>
      </c>
      <c r="I364" t="s">
        <v>845</v>
      </c>
      <c r="J364" t="s">
        <v>860</v>
      </c>
      <c r="K364" t="s">
        <v>90</v>
      </c>
      <c r="L364" t="s">
        <v>238</v>
      </c>
      <c r="P364" s="55">
        <v>5007.76</v>
      </c>
      <c r="Q364" t="s">
        <v>845</v>
      </c>
      <c r="R364" t="s">
        <v>845</v>
      </c>
    </row>
    <row r="365" spans="1:18" x14ac:dyDescent="0.25">
      <c r="A365">
        <v>395210</v>
      </c>
      <c r="B365" t="s">
        <v>669</v>
      </c>
      <c r="C365" s="55">
        <v>4835.9799999999996</v>
      </c>
      <c r="D365" s="55">
        <v>4835.9799999999996</v>
      </c>
      <c r="F365" s="55">
        <v>4835.9799999999996</v>
      </c>
      <c r="H365" t="s">
        <v>845</v>
      </c>
      <c r="I365" t="s">
        <v>845</v>
      </c>
      <c r="J365" t="s">
        <v>860</v>
      </c>
      <c r="K365" t="s">
        <v>90</v>
      </c>
      <c r="L365" t="s">
        <v>73</v>
      </c>
      <c r="M365" s="55">
        <v>4835.9799999999996</v>
      </c>
      <c r="N365" s="55">
        <v>4835.9799999999996</v>
      </c>
      <c r="P365" t="s">
        <v>845</v>
      </c>
      <c r="Q365" t="s">
        <v>845</v>
      </c>
      <c r="R365" s="55">
        <v>4835.9799999999996</v>
      </c>
    </row>
    <row r="366" spans="1:18" x14ac:dyDescent="0.25">
      <c r="A366">
        <v>799</v>
      </c>
      <c r="B366" t="s">
        <v>670</v>
      </c>
      <c r="C366" s="55">
        <v>3860.56</v>
      </c>
      <c r="D366" s="55">
        <v>4478.26</v>
      </c>
      <c r="F366" s="55">
        <v>3860.56</v>
      </c>
      <c r="H366" t="s">
        <v>845</v>
      </c>
      <c r="I366" t="s">
        <v>845</v>
      </c>
      <c r="J366" t="s">
        <v>860</v>
      </c>
      <c r="K366" t="s">
        <v>90</v>
      </c>
      <c r="L366" t="s">
        <v>73</v>
      </c>
      <c r="M366" s="55">
        <v>3860.56</v>
      </c>
      <c r="N366" s="55">
        <v>4478.25</v>
      </c>
      <c r="P366" t="s">
        <v>845</v>
      </c>
      <c r="Q366" t="s">
        <v>845</v>
      </c>
      <c r="R366" s="55">
        <v>4478.26</v>
      </c>
    </row>
    <row r="367" spans="1:18" x14ac:dyDescent="0.25">
      <c r="A367">
        <v>63255</v>
      </c>
      <c r="B367" t="s">
        <v>671</v>
      </c>
      <c r="C367" s="55">
        <v>4292.37</v>
      </c>
      <c r="D367" s="55">
        <v>4292.37</v>
      </c>
      <c r="F367" s="55">
        <v>4292.37</v>
      </c>
      <c r="H367" t="s">
        <v>845</v>
      </c>
      <c r="I367" t="s">
        <v>845</v>
      </c>
      <c r="J367" t="s">
        <v>860</v>
      </c>
      <c r="K367" t="s">
        <v>90</v>
      </c>
      <c r="L367" t="s">
        <v>238</v>
      </c>
      <c r="P367" t="s">
        <v>845</v>
      </c>
      <c r="Q367" s="55">
        <v>4292.37</v>
      </c>
      <c r="R367" t="s">
        <v>845</v>
      </c>
    </row>
    <row r="368" spans="1:18" x14ac:dyDescent="0.25">
      <c r="A368">
        <v>52449</v>
      </c>
      <c r="B368" t="s">
        <v>599</v>
      </c>
      <c r="C368" s="55">
        <v>4217.62</v>
      </c>
      <c r="D368" s="55">
        <v>4217.62</v>
      </c>
      <c r="F368" s="55">
        <v>4217.62</v>
      </c>
      <c r="H368" t="s">
        <v>845</v>
      </c>
      <c r="I368" t="s">
        <v>845</v>
      </c>
      <c r="J368" t="s">
        <v>860</v>
      </c>
      <c r="K368" t="s">
        <v>90</v>
      </c>
      <c r="L368" t="s">
        <v>238</v>
      </c>
      <c r="P368" t="s">
        <v>845</v>
      </c>
      <c r="Q368" s="55">
        <v>4217.62</v>
      </c>
      <c r="R368" t="s">
        <v>845</v>
      </c>
    </row>
    <row r="369" spans="1:18" x14ac:dyDescent="0.25">
      <c r="A369">
        <v>14535</v>
      </c>
      <c r="B369" t="s">
        <v>672</v>
      </c>
      <c r="C369" s="55">
        <v>3593.74</v>
      </c>
      <c r="D369" s="55">
        <v>4168.75</v>
      </c>
      <c r="F369" s="55">
        <v>3593.74</v>
      </c>
      <c r="H369" t="s">
        <v>845</v>
      </c>
      <c r="I369" t="s">
        <v>845</v>
      </c>
      <c r="J369" t="s">
        <v>860</v>
      </c>
      <c r="K369" t="s">
        <v>90</v>
      </c>
      <c r="L369" t="s">
        <v>238</v>
      </c>
      <c r="P369" s="55">
        <v>4168.75</v>
      </c>
      <c r="Q369" t="s">
        <v>845</v>
      </c>
      <c r="R369" t="s">
        <v>845</v>
      </c>
    </row>
    <row r="370" spans="1:18" x14ac:dyDescent="0.25">
      <c r="A370">
        <v>3570</v>
      </c>
      <c r="B370" t="s">
        <v>673</v>
      </c>
      <c r="C370" s="55">
        <v>3589.78</v>
      </c>
      <c r="D370" s="55">
        <v>4164.1400000000003</v>
      </c>
      <c r="F370" s="55">
        <v>3589.78</v>
      </c>
      <c r="H370" t="s">
        <v>845</v>
      </c>
      <c r="I370" t="s">
        <v>845</v>
      </c>
      <c r="J370" t="s">
        <v>860</v>
      </c>
      <c r="K370" t="s">
        <v>90</v>
      </c>
      <c r="L370" t="s">
        <v>238</v>
      </c>
      <c r="P370" s="55">
        <v>4164.1400000000003</v>
      </c>
      <c r="Q370" t="s">
        <v>845</v>
      </c>
      <c r="R370" t="s">
        <v>845</v>
      </c>
    </row>
    <row r="371" spans="1:18" x14ac:dyDescent="0.25">
      <c r="A371">
        <v>64311</v>
      </c>
      <c r="B371" t="s">
        <v>674</v>
      </c>
      <c r="C371" s="55">
        <v>3568.51</v>
      </c>
      <c r="D371" s="55">
        <v>4139.4799999999996</v>
      </c>
      <c r="F371" s="55">
        <v>3568.51</v>
      </c>
      <c r="H371" t="s">
        <v>845</v>
      </c>
      <c r="I371" t="s">
        <v>845</v>
      </c>
      <c r="J371" t="s">
        <v>860</v>
      </c>
      <c r="K371" t="s">
        <v>90</v>
      </c>
      <c r="L371" t="s">
        <v>238</v>
      </c>
      <c r="P371" s="55">
        <v>4139.4799999999996</v>
      </c>
      <c r="Q371" t="s">
        <v>845</v>
      </c>
      <c r="R371" t="s">
        <v>845</v>
      </c>
    </row>
    <row r="372" spans="1:18" x14ac:dyDescent="0.25">
      <c r="A372">
        <v>32821</v>
      </c>
      <c r="B372" t="s">
        <v>675</v>
      </c>
      <c r="C372" s="55">
        <v>3269.78</v>
      </c>
      <c r="D372" s="55">
        <v>3792.91</v>
      </c>
      <c r="F372" s="55">
        <v>3269.78</v>
      </c>
      <c r="H372" t="s">
        <v>845</v>
      </c>
      <c r="I372" t="s">
        <v>845</v>
      </c>
      <c r="J372" t="s">
        <v>860</v>
      </c>
      <c r="K372" t="s">
        <v>90</v>
      </c>
      <c r="L372" t="s">
        <v>238</v>
      </c>
      <c r="P372" s="55">
        <v>3792.91</v>
      </c>
      <c r="Q372" t="s">
        <v>845</v>
      </c>
      <c r="R372" t="s">
        <v>845</v>
      </c>
    </row>
    <row r="373" spans="1:18" x14ac:dyDescent="0.25">
      <c r="A373">
        <v>16807</v>
      </c>
      <c r="B373" t="s">
        <v>676</v>
      </c>
      <c r="C373" s="55">
        <v>3075.99</v>
      </c>
      <c r="D373" s="55">
        <v>3568.14</v>
      </c>
      <c r="F373" s="55">
        <v>3075.99</v>
      </c>
      <c r="H373" t="s">
        <v>845</v>
      </c>
      <c r="I373" t="s">
        <v>845</v>
      </c>
      <c r="J373" t="s">
        <v>860</v>
      </c>
      <c r="K373" t="s">
        <v>90</v>
      </c>
      <c r="L373" t="s">
        <v>238</v>
      </c>
      <c r="P373" s="55">
        <v>3568.14</v>
      </c>
      <c r="Q373" t="s">
        <v>845</v>
      </c>
      <c r="R373" t="s">
        <v>845</v>
      </c>
    </row>
    <row r="374" spans="1:18" x14ac:dyDescent="0.25">
      <c r="A374">
        <v>44206</v>
      </c>
      <c r="B374" t="s">
        <v>677</v>
      </c>
      <c r="C374" s="55">
        <v>3057.15</v>
      </c>
      <c r="D374" s="55">
        <v>3546.27</v>
      </c>
      <c r="F374" s="55">
        <v>3057.15</v>
      </c>
      <c r="H374" t="s">
        <v>845</v>
      </c>
      <c r="I374" t="s">
        <v>845</v>
      </c>
      <c r="J374" t="s">
        <v>860</v>
      </c>
      <c r="K374" t="s">
        <v>90</v>
      </c>
      <c r="L374" t="s">
        <v>73</v>
      </c>
      <c r="M374" s="55">
        <v>3057.15</v>
      </c>
      <c r="N374" s="55">
        <v>3546.28</v>
      </c>
      <c r="P374" t="s">
        <v>845</v>
      </c>
      <c r="Q374" t="s">
        <v>845</v>
      </c>
      <c r="R374" s="55">
        <v>3546.27</v>
      </c>
    </row>
    <row r="375" spans="1:18" x14ac:dyDescent="0.25">
      <c r="A375">
        <v>167</v>
      </c>
      <c r="B375" t="s">
        <v>678</v>
      </c>
      <c r="C375" s="55">
        <v>3474.76</v>
      </c>
      <c r="D375" s="55">
        <v>3522.28</v>
      </c>
      <c r="F375" s="55">
        <v>3474.76</v>
      </c>
      <c r="H375" t="s">
        <v>845</v>
      </c>
      <c r="I375" t="s">
        <v>845</v>
      </c>
      <c r="J375" t="s">
        <v>860</v>
      </c>
      <c r="K375" t="s">
        <v>90</v>
      </c>
      <c r="L375" t="s">
        <v>238</v>
      </c>
      <c r="P375" s="55">
        <v>3522.28</v>
      </c>
      <c r="Q375" t="s">
        <v>845</v>
      </c>
      <c r="R375" t="s">
        <v>845</v>
      </c>
    </row>
    <row r="376" spans="1:18" x14ac:dyDescent="0.25">
      <c r="A376">
        <v>10822</v>
      </c>
      <c r="B376" t="s">
        <v>679</v>
      </c>
      <c r="C376" s="55">
        <v>3018.43</v>
      </c>
      <c r="D376" s="55">
        <v>3501.37</v>
      </c>
      <c r="F376" s="55">
        <v>3018.43</v>
      </c>
      <c r="H376" t="s">
        <v>845</v>
      </c>
      <c r="I376" t="s">
        <v>845</v>
      </c>
      <c r="J376" t="s">
        <v>860</v>
      </c>
      <c r="K376" t="s">
        <v>90</v>
      </c>
      <c r="L376" t="s">
        <v>238</v>
      </c>
      <c r="P376" s="55">
        <v>3501.37</v>
      </c>
      <c r="Q376" t="s">
        <v>845</v>
      </c>
      <c r="R376" t="s">
        <v>845</v>
      </c>
    </row>
    <row r="377" spans="1:18" x14ac:dyDescent="0.25">
      <c r="A377">
        <v>319731</v>
      </c>
      <c r="B377" t="s">
        <v>680</v>
      </c>
      <c r="C377" s="55">
        <v>3447.76</v>
      </c>
      <c r="D377" s="55">
        <v>3447.76</v>
      </c>
      <c r="F377" s="55">
        <v>3447.76</v>
      </c>
      <c r="H377" t="s">
        <v>845</v>
      </c>
      <c r="I377" t="s">
        <v>845</v>
      </c>
      <c r="J377" t="s">
        <v>860</v>
      </c>
      <c r="K377" t="s">
        <v>90</v>
      </c>
      <c r="L377" t="s">
        <v>238</v>
      </c>
      <c r="P377" s="55">
        <v>3447.76</v>
      </c>
      <c r="Q377" t="s">
        <v>845</v>
      </c>
      <c r="R377" t="s">
        <v>845</v>
      </c>
    </row>
    <row r="378" spans="1:18" x14ac:dyDescent="0.25">
      <c r="A378">
        <v>11657</v>
      </c>
      <c r="B378" t="s">
        <v>681</v>
      </c>
      <c r="C378" s="55">
        <v>2729.23</v>
      </c>
      <c r="D378" s="55">
        <v>3165.9</v>
      </c>
      <c r="F378" s="55">
        <v>2729.23</v>
      </c>
      <c r="H378" t="s">
        <v>845</v>
      </c>
      <c r="I378" t="s">
        <v>845</v>
      </c>
      <c r="J378" t="s">
        <v>860</v>
      </c>
      <c r="K378" t="s">
        <v>90</v>
      </c>
      <c r="L378" t="s">
        <v>238</v>
      </c>
      <c r="P378" s="55">
        <v>3165.9</v>
      </c>
      <c r="Q378" t="s">
        <v>845</v>
      </c>
      <c r="R378" t="s">
        <v>845</v>
      </c>
    </row>
    <row r="379" spans="1:18" x14ac:dyDescent="0.25">
      <c r="A379">
        <v>20793</v>
      </c>
      <c r="B379" t="s">
        <v>682</v>
      </c>
      <c r="C379" s="55">
        <v>2782.97</v>
      </c>
      <c r="D379" s="55">
        <v>3005.61</v>
      </c>
      <c r="F379" s="55">
        <v>2782.97</v>
      </c>
      <c r="H379" t="s">
        <v>845</v>
      </c>
      <c r="I379" t="s">
        <v>845</v>
      </c>
      <c r="J379" t="s">
        <v>860</v>
      </c>
      <c r="K379" t="s">
        <v>90</v>
      </c>
      <c r="L379" t="s">
        <v>73</v>
      </c>
      <c r="M379" s="55">
        <v>2782.97</v>
      </c>
      <c r="N379" s="55">
        <v>3005.61</v>
      </c>
      <c r="P379" t="s">
        <v>845</v>
      </c>
      <c r="Q379" t="s">
        <v>845</v>
      </c>
      <c r="R379" s="55">
        <v>3005.61</v>
      </c>
    </row>
    <row r="380" spans="1:18" x14ac:dyDescent="0.25">
      <c r="A380">
        <v>4226</v>
      </c>
      <c r="B380" t="s">
        <v>683</v>
      </c>
      <c r="C380" s="55">
        <v>2521.66</v>
      </c>
      <c r="D380" s="55">
        <v>2925.13</v>
      </c>
      <c r="F380" s="55">
        <v>2521.66</v>
      </c>
      <c r="H380" t="s">
        <v>845</v>
      </c>
      <c r="I380" t="s">
        <v>845</v>
      </c>
      <c r="J380" t="s">
        <v>860</v>
      </c>
      <c r="K380" t="s">
        <v>90</v>
      </c>
      <c r="L380" t="s">
        <v>238</v>
      </c>
      <c r="P380" t="s">
        <v>845</v>
      </c>
      <c r="Q380" s="55">
        <v>2925.13</v>
      </c>
      <c r="R380" t="s">
        <v>845</v>
      </c>
    </row>
    <row r="381" spans="1:18" x14ac:dyDescent="0.25">
      <c r="A381">
        <v>22007</v>
      </c>
      <c r="B381" t="s">
        <v>684</v>
      </c>
      <c r="C381" s="55">
        <v>2450</v>
      </c>
      <c r="D381" s="55">
        <v>2842</v>
      </c>
      <c r="F381" s="55">
        <v>2450</v>
      </c>
      <c r="H381" t="s">
        <v>845</v>
      </c>
      <c r="I381" t="s">
        <v>845</v>
      </c>
      <c r="J381" t="s">
        <v>860</v>
      </c>
      <c r="K381" t="s">
        <v>90</v>
      </c>
      <c r="L381" t="s">
        <v>73</v>
      </c>
      <c r="M381" s="55">
        <v>2450</v>
      </c>
      <c r="N381" s="55">
        <v>2842</v>
      </c>
      <c r="P381" t="s">
        <v>845</v>
      </c>
      <c r="Q381" t="s">
        <v>845</v>
      </c>
      <c r="R381" s="55">
        <v>2842</v>
      </c>
    </row>
    <row r="382" spans="1:18" x14ac:dyDescent="0.25">
      <c r="A382">
        <v>345926</v>
      </c>
      <c r="B382" t="s">
        <v>685</v>
      </c>
      <c r="C382" s="55">
        <v>2392.7600000000002</v>
      </c>
      <c r="D382" s="55">
        <v>2775.6</v>
      </c>
      <c r="F382" s="55">
        <v>2392.7600000000002</v>
      </c>
      <c r="H382" t="s">
        <v>845</v>
      </c>
      <c r="I382" t="s">
        <v>845</v>
      </c>
      <c r="J382" t="s">
        <v>860</v>
      </c>
      <c r="K382" t="s">
        <v>90</v>
      </c>
      <c r="L382" t="s">
        <v>73</v>
      </c>
      <c r="M382" s="55">
        <v>2392.7600000000002</v>
      </c>
      <c r="N382" s="55">
        <v>2775.6</v>
      </c>
      <c r="P382" t="s">
        <v>845</v>
      </c>
      <c r="Q382" t="s">
        <v>845</v>
      </c>
      <c r="R382" s="55">
        <v>2775.6</v>
      </c>
    </row>
    <row r="383" spans="1:18" x14ac:dyDescent="0.25">
      <c r="A383">
        <v>44586</v>
      </c>
      <c r="B383" t="s">
        <v>686</v>
      </c>
      <c r="C383" s="55">
        <v>2761.5</v>
      </c>
      <c r="D383" s="55">
        <v>2761.5</v>
      </c>
      <c r="F383" s="55">
        <v>2761.5</v>
      </c>
      <c r="H383" t="s">
        <v>845</v>
      </c>
      <c r="I383" t="s">
        <v>845</v>
      </c>
      <c r="J383" t="s">
        <v>860</v>
      </c>
      <c r="K383" t="s">
        <v>90</v>
      </c>
      <c r="L383" t="s">
        <v>73</v>
      </c>
      <c r="M383" s="55">
        <v>2761.5</v>
      </c>
      <c r="N383" s="55">
        <v>2761.5</v>
      </c>
      <c r="P383" t="s">
        <v>845</v>
      </c>
      <c r="Q383" t="s">
        <v>845</v>
      </c>
      <c r="R383" s="55">
        <v>2761.5</v>
      </c>
    </row>
    <row r="384" spans="1:18" x14ac:dyDescent="0.25">
      <c r="A384">
        <v>72231</v>
      </c>
      <c r="B384" t="s">
        <v>687</v>
      </c>
      <c r="C384" s="55">
        <v>2133.4499999999998</v>
      </c>
      <c r="D384" s="55">
        <v>2474.8000000000002</v>
      </c>
      <c r="F384" s="55">
        <v>2133.4499999999998</v>
      </c>
      <c r="H384" t="s">
        <v>845</v>
      </c>
      <c r="I384" t="s">
        <v>845</v>
      </c>
      <c r="J384" t="s">
        <v>860</v>
      </c>
      <c r="K384" t="s">
        <v>90</v>
      </c>
      <c r="L384" t="s">
        <v>238</v>
      </c>
      <c r="P384" s="55">
        <v>2474.8000000000002</v>
      </c>
      <c r="Q384" t="s">
        <v>845</v>
      </c>
      <c r="R384" t="s">
        <v>845</v>
      </c>
    </row>
    <row r="385" spans="1:18" x14ac:dyDescent="0.25">
      <c r="A385">
        <v>306431</v>
      </c>
      <c r="B385" t="s">
        <v>688</v>
      </c>
      <c r="C385" s="55">
        <v>2428.41</v>
      </c>
      <c r="D385" s="55">
        <v>2428.41</v>
      </c>
      <c r="F385" s="55">
        <v>2428.41</v>
      </c>
      <c r="H385" t="s">
        <v>845</v>
      </c>
      <c r="I385" t="s">
        <v>845</v>
      </c>
      <c r="J385" t="s">
        <v>860</v>
      </c>
      <c r="K385" t="s">
        <v>90</v>
      </c>
      <c r="L385" t="s">
        <v>238</v>
      </c>
      <c r="P385" s="55">
        <v>2428.41</v>
      </c>
      <c r="Q385" t="s">
        <v>845</v>
      </c>
      <c r="R385" t="s">
        <v>845</v>
      </c>
    </row>
    <row r="386" spans="1:18" x14ac:dyDescent="0.25">
      <c r="A386">
        <v>21914</v>
      </c>
      <c r="B386" t="s">
        <v>689</v>
      </c>
      <c r="C386" s="55">
        <v>2379.58</v>
      </c>
      <c r="D386" s="55">
        <v>2379.58</v>
      </c>
      <c r="F386" s="55">
        <v>2379.58</v>
      </c>
      <c r="H386" t="s">
        <v>845</v>
      </c>
      <c r="I386" t="s">
        <v>845</v>
      </c>
      <c r="J386" t="s">
        <v>860</v>
      </c>
      <c r="K386" t="s">
        <v>90</v>
      </c>
      <c r="L386" t="s">
        <v>238</v>
      </c>
      <c r="P386" s="55">
        <v>2379.58</v>
      </c>
      <c r="Q386" t="s">
        <v>845</v>
      </c>
      <c r="R386" t="s">
        <v>845</v>
      </c>
    </row>
    <row r="387" spans="1:18" x14ac:dyDescent="0.25">
      <c r="A387">
        <v>86421</v>
      </c>
      <c r="B387" t="s">
        <v>690</v>
      </c>
      <c r="C387" s="55">
        <v>2167.2399999999998</v>
      </c>
      <c r="D387" s="55">
        <v>2340.6</v>
      </c>
      <c r="F387" s="55">
        <v>2167.2399999999998</v>
      </c>
      <c r="H387" t="s">
        <v>845</v>
      </c>
      <c r="I387" t="s">
        <v>845</v>
      </c>
      <c r="J387" t="s">
        <v>860</v>
      </c>
      <c r="K387" t="s">
        <v>90</v>
      </c>
      <c r="L387" t="s">
        <v>238</v>
      </c>
      <c r="P387" s="55">
        <v>2340.6</v>
      </c>
      <c r="Q387" t="s">
        <v>845</v>
      </c>
      <c r="R387" t="s">
        <v>845</v>
      </c>
    </row>
    <row r="388" spans="1:18" x14ac:dyDescent="0.25">
      <c r="A388">
        <v>349019</v>
      </c>
      <c r="B388" t="s">
        <v>691</v>
      </c>
      <c r="C388" s="55">
        <v>2078.48</v>
      </c>
      <c r="D388" s="55">
        <v>2078.48</v>
      </c>
      <c r="F388" s="55">
        <v>2078.48</v>
      </c>
      <c r="H388" t="s">
        <v>845</v>
      </c>
      <c r="I388" t="s">
        <v>845</v>
      </c>
      <c r="J388" t="s">
        <v>860</v>
      </c>
      <c r="K388" t="s">
        <v>90</v>
      </c>
      <c r="L388" t="s">
        <v>238</v>
      </c>
      <c r="P388" s="55">
        <v>2078.48</v>
      </c>
      <c r="Q388" t="s">
        <v>845</v>
      </c>
      <c r="R388" t="s">
        <v>845</v>
      </c>
    </row>
    <row r="389" spans="1:18" x14ac:dyDescent="0.25">
      <c r="A389">
        <v>21109</v>
      </c>
      <c r="B389" t="s">
        <v>692</v>
      </c>
      <c r="C389" s="55">
        <v>1349.39</v>
      </c>
      <c r="D389" s="55">
        <v>1980.1</v>
      </c>
      <c r="F389" s="55">
        <v>1349.39</v>
      </c>
      <c r="H389" t="s">
        <v>845</v>
      </c>
      <c r="I389" t="s">
        <v>845</v>
      </c>
      <c r="J389" t="s">
        <v>860</v>
      </c>
      <c r="K389" t="s">
        <v>90</v>
      </c>
      <c r="L389" t="s">
        <v>238</v>
      </c>
      <c r="P389" s="55">
        <v>1980.1</v>
      </c>
      <c r="Q389" t="s">
        <v>845</v>
      </c>
      <c r="R389" t="s">
        <v>845</v>
      </c>
    </row>
    <row r="390" spans="1:18" x14ac:dyDescent="0.25">
      <c r="A390">
        <v>20949</v>
      </c>
      <c r="B390" t="s">
        <v>693</v>
      </c>
      <c r="C390" s="55">
        <v>1690.37</v>
      </c>
      <c r="D390" s="55">
        <v>1960.83</v>
      </c>
      <c r="F390" s="55">
        <v>1690.37</v>
      </c>
      <c r="H390" t="s">
        <v>845</v>
      </c>
      <c r="I390" t="s">
        <v>845</v>
      </c>
      <c r="J390" t="s">
        <v>860</v>
      </c>
      <c r="K390" t="s">
        <v>90</v>
      </c>
      <c r="L390" t="s">
        <v>73</v>
      </c>
      <c r="M390" s="55">
        <v>1690.37</v>
      </c>
      <c r="N390" s="55">
        <v>1960.83</v>
      </c>
      <c r="P390" t="s">
        <v>845</v>
      </c>
      <c r="Q390" t="s">
        <v>845</v>
      </c>
      <c r="R390" s="55">
        <v>1960.83</v>
      </c>
    </row>
    <row r="391" spans="1:18" x14ac:dyDescent="0.25">
      <c r="A391">
        <v>682</v>
      </c>
      <c r="B391" t="s">
        <v>694</v>
      </c>
      <c r="C391" s="55">
        <v>1914.76</v>
      </c>
      <c r="D391" s="55">
        <v>1914.76</v>
      </c>
      <c r="F391" s="55">
        <v>1914.76</v>
      </c>
      <c r="H391" t="s">
        <v>845</v>
      </c>
      <c r="I391" t="s">
        <v>845</v>
      </c>
      <c r="J391" t="s">
        <v>860</v>
      </c>
      <c r="K391" t="s">
        <v>90</v>
      </c>
      <c r="L391" t="s">
        <v>238</v>
      </c>
      <c r="P391" s="55">
        <v>1914.76</v>
      </c>
      <c r="Q391" t="s">
        <v>845</v>
      </c>
      <c r="R391" t="s">
        <v>845</v>
      </c>
    </row>
    <row r="392" spans="1:18" x14ac:dyDescent="0.25">
      <c r="A392">
        <v>21783</v>
      </c>
      <c r="B392" t="s">
        <v>695</v>
      </c>
      <c r="C392" s="55">
        <v>1338.3</v>
      </c>
      <c r="D392" s="55">
        <v>1552.43</v>
      </c>
      <c r="F392" s="55">
        <v>1338.3</v>
      </c>
      <c r="H392" t="s">
        <v>845</v>
      </c>
      <c r="I392" t="s">
        <v>845</v>
      </c>
      <c r="J392" t="s">
        <v>860</v>
      </c>
      <c r="K392" t="s">
        <v>90</v>
      </c>
      <c r="L392" t="s">
        <v>73</v>
      </c>
      <c r="M392" s="55">
        <v>1338.3</v>
      </c>
      <c r="N392" s="55">
        <v>1552.43</v>
      </c>
      <c r="P392" t="s">
        <v>845</v>
      </c>
      <c r="Q392" t="s">
        <v>845</v>
      </c>
      <c r="R392" s="55">
        <v>1552.43</v>
      </c>
    </row>
    <row r="393" spans="1:18" x14ac:dyDescent="0.25">
      <c r="A393">
        <v>10426</v>
      </c>
      <c r="B393" t="s">
        <v>696</v>
      </c>
      <c r="C393" s="55">
        <v>1330.04</v>
      </c>
      <c r="D393" s="55">
        <v>1542.85</v>
      </c>
      <c r="F393" s="55">
        <v>1330.04</v>
      </c>
      <c r="H393" t="s">
        <v>845</v>
      </c>
      <c r="I393" t="s">
        <v>845</v>
      </c>
      <c r="J393" t="s">
        <v>860</v>
      </c>
      <c r="K393" t="s">
        <v>90</v>
      </c>
      <c r="L393" t="s">
        <v>238</v>
      </c>
      <c r="P393" s="55">
        <v>1542.85</v>
      </c>
      <c r="Q393" t="s">
        <v>845</v>
      </c>
      <c r="R393" t="s">
        <v>845</v>
      </c>
    </row>
    <row r="394" spans="1:18" x14ac:dyDescent="0.25">
      <c r="A394">
        <v>34280</v>
      </c>
      <c r="B394" t="s">
        <v>697</v>
      </c>
      <c r="C394" s="55">
        <v>1192.72</v>
      </c>
      <c r="D394" s="55">
        <v>1383.56</v>
      </c>
      <c r="F394" s="55">
        <v>1192.72</v>
      </c>
      <c r="H394" t="s">
        <v>845</v>
      </c>
      <c r="I394" t="s">
        <v>845</v>
      </c>
      <c r="J394" t="s">
        <v>860</v>
      </c>
      <c r="K394" t="s">
        <v>90</v>
      </c>
      <c r="L394" t="s">
        <v>73</v>
      </c>
      <c r="M394" s="55">
        <v>1192.72</v>
      </c>
      <c r="N394" s="55">
        <v>1383.55</v>
      </c>
      <c r="P394" t="s">
        <v>845</v>
      </c>
      <c r="Q394" t="s">
        <v>845</v>
      </c>
      <c r="R394" s="55">
        <v>1383.56</v>
      </c>
    </row>
    <row r="395" spans="1:18" x14ac:dyDescent="0.25">
      <c r="A395">
        <v>19196</v>
      </c>
      <c r="B395" t="s">
        <v>698</v>
      </c>
      <c r="C395" s="55">
        <v>1187.32</v>
      </c>
      <c r="D395" s="55">
        <v>1377.27</v>
      </c>
      <c r="F395" s="55">
        <v>1187.32</v>
      </c>
      <c r="H395" t="s">
        <v>845</v>
      </c>
      <c r="I395" t="s">
        <v>845</v>
      </c>
      <c r="J395" t="s">
        <v>860</v>
      </c>
      <c r="K395" t="s">
        <v>90</v>
      </c>
      <c r="L395" t="s">
        <v>73</v>
      </c>
      <c r="M395" s="55">
        <v>1187.32</v>
      </c>
      <c r="N395" s="55">
        <v>1377.28</v>
      </c>
    </row>
    <row r="396" spans="1:18" x14ac:dyDescent="0.25">
      <c r="A396">
        <v>2717</v>
      </c>
      <c r="B396" t="s">
        <v>699</v>
      </c>
      <c r="C396" s="55">
        <v>1011.61</v>
      </c>
      <c r="D396" s="55">
        <v>1173.48</v>
      </c>
      <c r="F396" s="55">
        <v>1011.61</v>
      </c>
      <c r="H396" t="s">
        <v>845</v>
      </c>
      <c r="I396" t="s">
        <v>845</v>
      </c>
      <c r="J396" t="s">
        <v>860</v>
      </c>
      <c r="K396" t="s">
        <v>90</v>
      </c>
      <c r="L396" t="s">
        <v>238</v>
      </c>
      <c r="P396" s="55">
        <v>1173.48</v>
      </c>
      <c r="Q396" t="s">
        <v>845</v>
      </c>
      <c r="R396" t="s">
        <v>845</v>
      </c>
    </row>
    <row r="397" spans="1:18" x14ac:dyDescent="0.25">
      <c r="A397">
        <v>26211</v>
      </c>
      <c r="B397" t="s">
        <v>700</v>
      </c>
      <c r="C397">
        <v>936.18</v>
      </c>
      <c r="D397" s="55">
        <v>1085.97</v>
      </c>
      <c r="F397">
        <v>936.18</v>
      </c>
      <c r="H397" t="s">
        <v>845</v>
      </c>
      <c r="I397" t="s">
        <v>845</v>
      </c>
      <c r="J397" t="s">
        <v>860</v>
      </c>
      <c r="K397" t="s">
        <v>90</v>
      </c>
      <c r="L397" t="s">
        <v>238</v>
      </c>
      <c r="P397" t="s">
        <v>845</v>
      </c>
      <c r="Q397" s="55">
        <v>1085.97</v>
      </c>
      <c r="R397" t="s">
        <v>845</v>
      </c>
    </row>
    <row r="398" spans="1:18" x14ac:dyDescent="0.25">
      <c r="A398">
        <v>20257</v>
      </c>
      <c r="B398" t="s">
        <v>701</v>
      </c>
      <c r="C398">
        <v>959.77</v>
      </c>
      <c r="D398" s="55">
        <v>1036.56</v>
      </c>
      <c r="F398">
        <v>959.77</v>
      </c>
      <c r="H398" t="s">
        <v>845</v>
      </c>
      <c r="I398" t="s">
        <v>845</v>
      </c>
      <c r="J398" t="s">
        <v>860</v>
      </c>
      <c r="K398" t="s">
        <v>90</v>
      </c>
      <c r="L398" t="s">
        <v>238</v>
      </c>
      <c r="P398" s="55">
        <v>1036.56</v>
      </c>
      <c r="Q398" t="s">
        <v>845</v>
      </c>
      <c r="R398" t="s">
        <v>845</v>
      </c>
    </row>
    <row r="399" spans="1:18" x14ac:dyDescent="0.25">
      <c r="A399">
        <v>329516</v>
      </c>
      <c r="B399" t="s">
        <v>702</v>
      </c>
      <c r="C399">
        <v>825.24</v>
      </c>
      <c r="D399">
        <v>957.27</v>
      </c>
      <c r="F399">
        <v>825.24</v>
      </c>
      <c r="H399" t="s">
        <v>845</v>
      </c>
      <c r="I399" t="s">
        <v>845</v>
      </c>
      <c r="J399" t="s">
        <v>860</v>
      </c>
      <c r="K399" t="s">
        <v>90</v>
      </c>
      <c r="L399" t="s">
        <v>73</v>
      </c>
      <c r="M399">
        <v>825.24</v>
      </c>
      <c r="N399">
        <v>957.27</v>
      </c>
      <c r="P399" t="s">
        <v>845</v>
      </c>
      <c r="Q399" t="s">
        <v>845</v>
      </c>
      <c r="R399">
        <v>957.27</v>
      </c>
    </row>
    <row r="400" spans="1:18" x14ac:dyDescent="0.25">
      <c r="A400">
        <v>28399</v>
      </c>
      <c r="B400" t="s">
        <v>703</v>
      </c>
      <c r="C400">
        <v>805.21</v>
      </c>
      <c r="D400">
        <v>934.04</v>
      </c>
      <c r="F400">
        <v>805.21</v>
      </c>
      <c r="H400" t="s">
        <v>845</v>
      </c>
      <c r="I400" t="s">
        <v>845</v>
      </c>
      <c r="J400" t="s">
        <v>860</v>
      </c>
      <c r="K400" t="s">
        <v>90</v>
      </c>
      <c r="L400" t="s">
        <v>238</v>
      </c>
      <c r="P400">
        <v>934.04</v>
      </c>
      <c r="Q400" t="s">
        <v>845</v>
      </c>
      <c r="R400" t="s">
        <v>845</v>
      </c>
    </row>
    <row r="401" spans="1:18" x14ac:dyDescent="0.25">
      <c r="A401">
        <v>206706</v>
      </c>
      <c r="B401" t="s">
        <v>704</v>
      </c>
      <c r="C401">
        <v>877.71</v>
      </c>
      <c r="D401">
        <v>877.71</v>
      </c>
      <c r="F401">
        <v>877.71</v>
      </c>
      <c r="H401" t="s">
        <v>845</v>
      </c>
      <c r="I401" t="s">
        <v>845</v>
      </c>
      <c r="J401" t="s">
        <v>860</v>
      </c>
      <c r="K401" t="s">
        <v>90</v>
      </c>
      <c r="L401" t="s">
        <v>238</v>
      </c>
      <c r="P401">
        <v>877.71</v>
      </c>
      <c r="Q401" t="s">
        <v>845</v>
      </c>
      <c r="R401" t="s">
        <v>845</v>
      </c>
    </row>
    <row r="402" spans="1:18" x14ac:dyDescent="0.25">
      <c r="A402">
        <v>32961</v>
      </c>
      <c r="B402" t="s">
        <v>705</v>
      </c>
      <c r="C402">
        <v>675.36</v>
      </c>
      <c r="D402">
        <v>783.42</v>
      </c>
      <c r="F402">
        <v>675.36</v>
      </c>
      <c r="H402" t="s">
        <v>845</v>
      </c>
      <c r="I402" t="s">
        <v>845</v>
      </c>
      <c r="J402" t="s">
        <v>860</v>
      </c>
      <c r="K402" t="s">
        <v>90</v>
      </c>
      <c r="L402" t="s">
        <v>238</v>
      </c>
      <c r="P402">
        <v>783.42</v>
      </c>
      <c r="Q402" t="s">
        <v>845</v>
      </c>
      <c r="R402" t="s">
        <v>845</v>
      </c>
    </row>
    <row r="403" spans="1:18" x14ac:dyDescent="0.25">
      <c r="A403">
        <v>16006</v>
      </c>
      <c r="B403" t="s">
        <v>706</v>
      </c>
      <c r="C403">
        <v>706.29</v>
      </c>
      <c r="D403">
        <v>736.39</v>
      </c>
      <c r="F403">
        <v>706.29</v>
      </c>
      <c r="H403" t="s">
        <v>845</v>
      </c>
      <c r="I403" t="s">
        <v>845</v>
      </c>
      <c r="J403" t="s">
        <v>860</v>
      </c>
      <c r="K403" t="s">
        <v>90</v>
      </c>
      <c r="L403" t="s">
        <v>238</v>
      </c>
      <c r="P403" t="s">
        <v>845</v>
      </c>
      <c r="Q403">
        <v>736.39</v>
      </c>
      <c r="R403" t="s">
        <v>845</v>
      </c>
    </row>
    <row r="404" spans="1:18" x14ac:dyDescent="0.25">
      <c r="A404">
        <v>382523</v>
      </c>
      <c r="B404" t="s">
        <v>707</v>
      </c>
      <c r="C404">
        <v>602.02</v>
      </c>
      <c r="D404">
        <v>698.35</v>
      </c>
      <c r="F404">
        <v>602.02</v>
      </c>
      <c r="H404" t="s">
        <v>845</v>
      </c>
      <c r="I404" t="s">
        <v>845</v>
      </c>
      <c r="J404" t="s">
        <v>860</v>
      </c>
      <c r="K404" t="s">
        <v>90</v>
      </c>
      <c r="L404" t="s">
        <v>73</v>
      </c>
      <c r="M404">
        <v>602.02</v>
      </c>
      <c r="N404">
        <v>698.35</v>
      </c>
      <c r="P404" t="s">
        <v>845</v>
      </c>
      <c r="Q404" t="s">
        <v>845</v>
      </c>
      <c r="R404">
        <v>698.35</v>
      </c>
    </row>
    <row r="405" spans="1:18" x14ac:dyDescent="0.25">
      <c r="A405">
        <v>208678</v>
      </c>
      <c r="B405" t="s">
        <v>708</v>
      </c>
      <c r="C405">
        <v>631.48</v>
      </c>
      <c r="D405">
        <v>681.99</v>
      </c>
      <c r="F405">
        <v>631.48</v>
      </c>
      <c r="H405" t="s">
        <v>845</v>
      </c>
      <c r="I405" t="s">
        <v>845</v>
      </c>
      <c r="J405" t="s">
        <v>860</v>
      </c>
      <c r="K405" t="s">
        <v>90</v>
      </c>
      <c r="L405" t="s">
        <v>238</v>
      </c>
      <c r="P405">
        <v>681.99</v>
      </c>
      <c r="Q405" t="s">
        <v>845</v>
      </c>
      <c r="R405" t="s">
        <v>845</v>
      </c>
    </row>
    <row r="406" spans="1:18" x14ac:dyDescent="0.25">
      <c r="A406">
        <v>327478</v>
      </c>
      <c r="B406" t="s">
        <v>709</v>
      </c>
      <c r="C406">
        <v>581.05999999999995</v>
      </c>
      <c r="D406">
        <v>674.02</v>
      </c>
      <c r="F406">
        <v>581.05999999999995</v>
      </c>
      <c r="H406" t="s">
        <v>845</v>
      </c>
      <c r="I406" t="s">
        <v>845</v>
      </c>
      <c r="J406" t="s">
        <v>860</v>
      </c>
      <c r="K406" t="s">
        <v>90</v>
      </c>
      <c r="L406" t="s">
        <v>238</v>
      </c>
      <c r="P406">
        <v>674.02</v>
      </c>
      <c r="Q406" t="s">
        <v>845</v>
      </c>
      <c r="R406" t="s">
        <v>845</v>
      </c>
    </row>
    <row r="407" spans="1:18" x14ac:dyDescent="0.25">
      <c r="A407">
        <v>391672</v>
      </c>
      <c r="B407" t="s">
        <v>710</v>
      </c>
      <c r="C407">
        <v>577.57000000000005</v>
      </c>
      <c r="D407">
        <v>669.99</v>
      </c>
      <c r="F407">
        <v>577.57000000000005</v>
      </c>
      <c r="H407" t="s">
        <v>845</v>
      </c>
      <c r="I407" t="s">
        <v>845</v>
      </c>
      <c r="J407" t="s">
        <v>860</v>
      </c>
      <c r="K407" t="s">
        <v>90</v>
      </c>
      <c r="L407" t="s">
        <v>238</v>
      </c>
      <c r="P407">
        <v>669.99</v>
      </c>
      <c r="Q407" t="s">
        <v>845</v>
      </c>
      <c r="R407" t="s">
        <v>845</v>
      </c>
    </row>
    <row r="408" spans="1:18" x14ac:dyDescent="0.25">
      <c r="A408">
        <v>335240</v>
      </c>
      <c r="B408" t="s">
        <v>711</v>
      </c>
      <c r="C408">
        <v>465.47</v>
      </c>
      <c r="D408">
        <v>539.94000000000005</v>
      </c>
      <c r="F408">
        <v>465.47</v>
      </c>
      <c r="H408" t="s">
        <v>845</v>
      </c>
      <c r="I408" t="s">
        <v>845</v>
      </c>
      <c r="J408" t="s">
        <v>860</v>
      </c>
      <c r="K408" t="s">
        <v>90</v>
      </c>
      <c r="L408" t="s">
        <v>238</v>
      </c>
      <c r="P408">
        <v>539.92999999999995</v>
      </c>
      <c r="Q408" t="s">
        <v>845</v>
      </c>
      <c r="R408" t="s">
        <v>845</v>
      </c>
    </row>
    <row r="409" spans="1:18" x14ac:dyDescent="0.25">
      <c r="A409">
        <v>24125</v>
      </c>
      <c r="B409" t="s">
        <v>712</v>
      </c>
      <c r="C409">
        <v>427.02</v>
      </c>
      <c r="D409">
        <v>495.34</v>
      </c>
      <c r="F409">
        <v>427.02</v>
      </c>
      <c r="H409" t="s">
        <v>845</v>
      </c>
      <c r="I409" t="s">
        <v>845</v>
      </c>
      <c r="J409" t="s">
        <v>860</v>
      </c>
      <c r="K409" t="s">
        <v>90</v>
      </c>
      <c r="L409" t="s">
        <v>238</v>
      </c>
      <c r="P409">
        <v>495.34</v>
      </c>
      <c r="Q409" t="s">
        <v>845</v>
      </c>
      <c r="R409" t="s">
        <v>845</v>
      </c>
    </row>
    <row r="410" spans="1:18" x14ac:dyDescent="0.25">
      <c r="A410">
        <v>3774</v>
      </c>
      <c r="B410" t="s">
        <v>713</v>
      </c>
      <c r="C410">
        <v>477.45</v>
      </c>
      <c r="D410">
        <v>477.45</v>
      </c>
      <c r="F410">
        <v>477.45</v>
      </c>
      <c r="H410" t="s">
        <v>845</v>
      </c>
      <c r="I410" t="s">
        <v>845</v>
      </c>
      <c r="J410" t="s">
        <v>860</v>
      </c>
      <c r="K410" t="s">
        <v>90</v>
      </c>
      <c r="L410" t="s">
        <v>238</v>
      </c>
      <c r="P410">
        <v>477.45</v>
      </c>
      <c r="Q410" t="s">
        <v>845</v>
      </c>
      <c r="R410" t="s">
        <v>845</v>
      </c>
    </row>
    <row r="411" spans="1:18" x14ac:dyDescent="0.25">
      <c r="A411">
        <v>98137</v>
      </c>
      <c r="B411" t="s">
        <v>714</v>
      </c>
      <c r="C411">
        <v>341.29</v>
      </c>
      <c r="D411">
        <v>395.9</v>
      </c>
      <c r="F411">
        <v>341.29</v>
      </c>
      <c r="H411" t="s">
        <v>845</v>
      </c>
      <c r="I411" t="s">
        <v>845</v>
      </c>
      <c r="J411" t="s">
        <v>860</v>
      </c>
      <c r="K411" t="s">
        <v>90</v>
      </c>
      <c r="L411" t="s">
        <v>73</v>
      </c>
      <c r="M411">
        <v>341.29</v>
      </c>
      <c r="N411">
        <v>395.9</v>
      </c>
      <c r="P411" t="s">
        <v>845</v>
      </c>
      <c r="Q411" t="s">
        <v>845</v>
      </c>
      <c r="R411">
        <v>395.9</v>
      </c>
    </row>
    <row r="412" spans="1:18" x14ac:dyDescent="0.25">
      <c r="A412">
        <v>22795</v>
      </c>
      <c r="B412" t="s">
        <v>715</v>
      </c>
      <c r="C412">
        <v>386.21</v>
      </c>
      <c r="D412">
        <v>386.21</v>
      </c>
      <c r="F412">
        <v>386.21</v>
      </c>
      <c r="H412" t="s">
        <v>845</v>
      </c>
      <c r="I412" t="s">
        <v>845</v>
      </c>
      <c r="J412" t="s">
        <v>860</v>
      </c>
      <c r="K412" t="s">
        <v>90</v>
      </c>
      <c r="L412" t="s">
        <v>238</v>
      </c>
      <c r="P412">
        <v>386.21</v>
      </c>
      <c r="Q412" t="s">
        <v>845</v>
      </c>
      <c r="R412" t="s">
        <v>845</v>
      </c>
    </row>
    <row r="413" spans="1:18" x14ac:dyDescent="0.25">
      <c r="A413">
        <v>25874</v>
      </c>
      <c r="B413" t="s">
        <v>647</v>
      </c>
      <c r="C413">
        <v>324.88</v>
      </c>
      <c r="D413">
        <v>376.86</v>
      </c>
      <c r="F413">
        <v>324.88</v>
      </c>
      <c r="H413" t="s">
        <v>845</v>
      </c>
      <c r="I413" t="s">
        <v>845</v>
      </c>
      <c r="J413" t="s">
        <v>860</v>
      </c>
      <c r="K413" t="s">
        <v>90</v>
      </c>
      <c r="L413" t="s">
        <v>73</v>
      </c>
      <c r="M413">
        <v>324.88</v>
      </c>
      <c r="N413">
        <v>376.86</v>
      </c>
      <c r="P413" t="s">
        <v>845</v>
      </c>
      <c r="Q413" t="s">
        <v>845</v>
      </c>
      <c r="R413">
        <v>376.86</v>
      </c>
    </row>
    <row r="414" spans="1:18" x14ac:dyDescent="0.25">
      <c r="A414">
        <v>327049</v>
      </c>
      <c r="B414" t="s">
        <v>716</v>
      </c>
      <c r="C414">
        <v>326.17</v>
      </c>
      <c r="D414">
        <v>352.26</v>
      </c>
      <c r="F414">
        <v>326.17</v>
      </c>
      <c r="H414" t="s">
        <v>845</v>
      </c>
      <c r="I414" t="s">
        <v>845</v>
      </c>
      <c r="J414" t="s">
        <v>860</v>
      </c>
      <c r="K414" t="s">
        <v>90</v>
      </c>
      <c r="L414" t="s">
        <v>238</v>
      </c>
      <c r="P414">
        <v>352.26</v>
      </c>
      <c r="Q414" t="s">
        <v>845</v>
      </c>
      <c r="R414" t="s">
        <v>845</v>
      </c>
    </row>
    <row r="415" spans="1:18" x14ac:dyDescent="0.25">
      <c r="A415">
        <v>10678</v>
      </c>
      <c r="B415" t="s">
        <v>717</v>
      </c>
      <c r="C415">
        <v>264.87</v>
      </c>
      <c r="D415">
        <v>307.27</v>
      </c>
      <c r="F415">
        <v>264.87</v>
      </c>
      <c r="H415" t="s">
        <v>845</v>
      </c>
      <c r="I415" t="s">
        <v>845</v>
      </c>
      <c r="J415" t="s">
        <v>860</v>
      </c>
      <c r="K415" t="s">
        <v>90</v>
      </c>
      <c r="L415" t="s">
        <v>238</v>
      </c>
      <c r="P415" t="s">
        <v>845</v>
      </c>
      <c r="Q415">
        <v>307.27</v>
      </c>
      <c r="R415" t="s">
        <v>845</v>
      </c>
    </row>
    <row r="416" spans="1:18" x14ac:dyDescent="0.25">
      <c r="A416">
        <v>20168</v>
      </c>
      <c r="B416" t="s">
        <v>718</v>
      </c>
      <c r="C416">
        <v>230.41</v>
      </c>
      <c r="D416">
        <v>267.27</v>
      </c>
      <c r="F416">
        <v>230.41</v>
      </c>
      <c r="H416" t="s">
        <v>845</v>
      </c>
      <c r="I416" t="s">
        <v>845</v>
      </c>
      <c r="J416" t="s">
        <v>860</v>
      </c>
      <c r="K416" t="s">
        <v>90</v>
      </c>
      <c r="L416" t="s">
        <v>238</v>
      </c>
      <c r="P416">
        <v>267.27</v>
      </c>
      <c r="Q416" t="s">
        <v>845</v>
      </c>
      <c r="R416" t="s">
        <v>845</v>
      </c>
    </row>
    <row r="417" spans="1:18" x14ac:dyDescent="0.25">
      <c r="A417">
        <v>28209</v>
      </c>
      <c r="B417" t="s">
        <v>719</v>
      </c>
      <c r="C417">
        <v>217.68</v>
      </c>
      <c r="D417">
        <v>252.51</v>
      </c>
      <c r="F417">
        <v>217.68</v>
      </c>
      <c r="H417" t="s">
        <v>845</v>
      </c>
      <c r="I417" t="s">
        <v>845</v>
      </c>
      <c r="J417" t="s">
        <v>860</v>
      </c>
      <c r="K417" t="s">
        <v>90</v>
      </c>
      <c r="L417" t="s">
        <v>238</v>
      </c>
      <c r="P417">
        <v>252.51</v>
      </c>
      <c r="Q417" t="s">
        <v>845</v>
      </c>
      <c r="R417" t="s">
        <v>845</v>
      </c>
    </row>
    <row r="418" spans="1:18" x14ac:dyDescent="0.25">
      <c r="A418">
        <v>11160</v>
      </c>
      <c r="B418" t="s">
        <v>720</v>
      </c>
      <c r="C418">
        <v>231.82</v>
      </c>
      <c r="D418">
        <v>250.37</v>
      </c>
      <c r="F418">
        <v>231.82</v>
      </c>
      <c r="H418" t="s">
        <v>845</v>
      </c>
      <c r="I418" t="s">
        <v>845</v>
      </c>
      <c r="J418" t="s">
        <v>860</v>
      </c>
      <c r="K418" t="s">
        <v>90</v>
      </c>
      <c r="L418" t="s">
        <v>238</v>
      </c>
      <c r="P418">
        <v>250.37</v>
      </c>
      <c r="Q418" t="s">
        <v>845</v>
      </c>
      <c r="R418" t="s">
        <v>845</v>
      </c>
    </row>
    <row r="419" spans="1:18" x14ac:dyDescent="0.25">
      <c r="A419">
        <v>28407</v>
      </c>
      <c r="B419" t="s">
        <v>721</v>
      </c>
      <c r="C419">
        <v>205.57</v>
      </c>
      <c r="D419">
        <v>238.47</v>
      </c>
      <c r="F419">
        <v>205.57</v>
      </c>
      <c r="H419" t="s">
        <v>845</v>
      </c>
      <c r="I419" t="s">
        <v>845</v>
      </c>
      <c r="J419" t="s">
        <v>860</v>
      </c>
      <c r="K419" t="s">
        <v>90</v>
      </c>
      <c r="L419" t="s">
        <v>73</v>
      </c>
      <c r="M419">
        <v>205.57</v>
      </c>
      <c r="N419">
        <v>238.47</v>
      </c>
      <c r="P419" t="s">
        <v>845</v>
      </c>
      <c r="Q419" t="s">
        <v>845</v>
      </c>
      <c r="R419">
        <v>238.47</v>
      </c>
    </row>
    <row r="420" spans="1:18" x14ac:dyDescent="0.25">
      <c r="A420">
        <v>2013</v>
      </c>
      <c r="B420" t="s">
        <v>722</v>
      </c>
      <c r="C420">
        <v>200.56</v>
      </c>
      <c r="D420">
        <v>232.65</v>
      </c>
      <c r="F420">
        <v>200.56</v>
      </c>
      <c r="H420" t="s">
        <v>845</v>
      </c>
      <c r="I420" t="s">
        <v>845</v>
      </c>
      <c r="J420" t="s">
        <v>860</v>
      </c>
      <c r="K420" t="s">
        <v>90</v>
      </c>
      <c r="L420" t="s">
        <v>73</v>
      </c>
      <c r="M420">
        <v>200.56</v>
      </c>
      <c r="N420">
        <v>232.65</v>
      </c>
      <c r="P420" t="s">
        <v>845</v>
      </c>
      <c r="Q420" t="s">
        <v>845</v>
      </c>
      <c r="R420">
        <v>232.65</v>
      </c>
    </row>
    <row r="421" spans="1:18" x14ac:dyDescent="0.25">
      <c r="A421">
        <v>339069</v>
      </c>
      <c r="B421" t="s">
        <v>723</v>
      </c>
      <c r="C421">
        <v>215.13</v>
      </c>
      <c r="D421">
        <v>232.34</v>
      </c>
      <c r="F421">
        <v>215.13</v>
      </c>
      <c r="H421" t="s">
        <v>845</v>
      </c>
      <c r="I421" t="s">
        <v>845</v>
      </c>
      <c r="J421" t="s">
        <v>860</v>
      </c>
      <c r="K421" t="s">
        <v>90</v>
      </c>
      <c r="L421" t="s">
        <v>238</v>
      </c>
      <c r="P421">
        <v>232.34</v>
      </c>
      <c r="Q421" t="s">
        <v>845</v>
      </c>
      <c r="R421" t="s">
        <v>845</v>
      </c>
    </row>
    <row r="422" spans="1:18" x14ac:dyDescent="0.25">
      <c r="A422">
        <v>18087</v>
      </c>
      <c r="B422" t="s">
        <v>724</v>
      </c>
      <c r="C422">
        <v>180.74</v>
      </c>
      <c r="D422">
        <v>209.66</v>
      </c>
      <c r="F422">
        <v>180.74</v>
      </c>
      <c r="H422" t="s">
        <v>845</v>
      </c>
      <c r="I422" t="s">
        <v>845</v>
      </c>
      <c r="J422" t="s">
        <v>860</v>
      </c>
      <c r="K422" t="s">
        <v>90</v>
      </c>
      <c r="L422" t="s">
        <v>238</v>
      </c>
      <c r="P422">
        <v>209.66</v>
      </c>
      <c r="Q422" t="s">
        <v>845</v>
      </c>
      <c r="R422" t="s">
        <v>845</v>
      </c>
    </row>
    <row r="423" spans="1:18" x14ac:dyDescent="0.25">
      <c r="A423">
        <v>228163</v>
      </c>
      <c r="B423" t="s">
        <v>725</v>
      </c>
      <c r="C423">
        <v>202.76</v>
      </c>
      <c r="D423">
        <v>202.76</v>
      </c>
      <c r="F423">
        <v>202.76</v>
      </c>
      <c r="H423" t="s">
        <v>845</v>
      </c>
      <c r="I423" t="s">
        <v>845</v>
      </c>
      <c r="J423" t="s">
        <v>860</v>
      </c>
      <c r="K423" t="s">
        <v>90</v>
      </c>
      <c r="L423" t="s">
        <v>238</v>
      </c>
      <c r="P423">
        <v>202.76</v>
      </c>
      <c r="Q423" t="s">
        <v>845</v>
      </c>
      <c r="R423" t="s">
        <v>845</v>
      </c>
    </row>
    <row r="424" spans="1:18" x14ac:dyDescent="0.25">
      <c r="A424">
        <v>308592</v>
      </c>
      <c r="B424" t="s">
        <v>726</v>
      </c>
      <c r="C424">
        <v>168.15</v>
      </c>
      <c r="D424">
        <v>181.62</v>
      </c>
      <c r="F424">
        <v>168.15</v>
      </c>
      <c r="H424" t="s">
        <v>845</v>
      </c>
      <c r="I424" t="s">
        <v>845</v>
      </c>
      <c r="J424" t="s">
        <v>860</v>
      </c>
      <c r="K424" t="s">
        <v>90</v>
      </c>
      <c r="L424" t="s">
        <v>73</v>
      </c>
      <c r="M424">
        <v>168.15</v>
      </c>
      <c r="N424">
        <v>181.62</v>
      </c>
      <c r="P424" t="s">
        <v>845</v>
      </c>
      <c r="Q424" t="s">
        <v>845</v>
      </c>
      <c r="R424">
        <v>181.62</v>
      </c>
    </row>
    <row r="425" spans="1:18" x14ac:dyDescent="0.25">
      <c r="A425">
        <v>21090</v>
      </c>
      <c r="B425" t="s">
        <v>727</v>
      </c>
      <c r="C425">
        <v>147.4</v>
      </c>
      <c r="D425">
        <v>170.98</v>
      </c>
      <c r="F425">
        <v>147.4</v>
      </c>
      <c r="H425" t="s">
        <v>845</v>
      </c>
      <c r="I425" t="s">
        <v>845</v>
      </c>
      <c r="J425" t="s">
        <v>860</v>
      </c>
      <c r="K425" t="s">
        <v>90</v>
      </c>
      <c r="L425" t="s">
        <v>238</v>
      </c>
      <c r="P425">
        <v>170.98</v>
      </c>
      <c r="Q425" t="s">
        <v>845</v>
      </c>
      <c r="R425" t="s">
        <v>845</v>
      </c>
    </row>
    <row r="426" spans="1:18" x14ac:dyDescent="0.25">
      <c r="A426">
        <v>2949</v>
      </c>
      <c r="B426" t="s">
        <v>728</v>
      </c>
      <c r="C426">
        <v>134.06</v>
      </c>
      <c r="D426">
        <v>155.51</v>
      </c>
      <c r="F426">
        <v>134.06</v>
      </c>
      <c r="H426" t="s">
        <v>845</v>
      </c>
      <c r="I426" t="s">
        <v>845</v>
      </c>
      <c r="J426" t="s">
        <v>860</v>
      </c>
      <c r="K426" t="s">
        <v>90</v>
      </c>
      <c r="L426" t="s">
        <v>73</v>
      </c>
      <c r="M426">
        <v>134.06</v>
      </c>
      <c r="N426">
        <v>155.51</v>
      </c>
      <c r="P426" t="s">
        <v>845</v>
      </c>
      <c r="Q426" t="s">
        <v>845</v>
      </c>
      <c r="R426">
        <v>155.51</v>
      </c>
    </row>
    <row r="427" spans="1:18" x14ac:dyDescent="0.25">
      <c r="A427">
        <v>13611</v>
      </c>
      <c r="B427" t="s">
        <v>729</v>
      </c>
      <c r="C427">
        <v>148.08000000000001</v>
      </c>
      <c r="D427">
        <v>148.08000000000001</v>
      </c>
      <c r="F427">
        <v>148.08000000000001</v>
      </c>
      <c r="H427" t="s">
        <v>845</v>
      </c>
      <c r="I427" t="s">
        <v>845</v>
      </c>
      <c r="J427" t="s">
        <v>860</v>
      </c>
      <c r="K427" t="s">
        <v>90</v>
      </c>
      <c r="L427" t="s">
        <v>238</v>
      </c>
      <c r="P427" t="s">
        <v>845</v>
      </c>
      <c r="Q427">
        <v>148.08000000000001</v>
      </c>
      <c r="R427" t="s">
        <v>845</v>
      </c>
    </row>
    <row r="428" spans="1:18" x14ac:dyDescent="0.25">
      <c r="A428">
        <v>391193</v>
      </c>
      <c r="B428" t="s">
        <v>730</v>
      </c>
      <c r="C428">
        <v>125.73</v>
      </c>
      <c r="D428">
        <v>145.84</v>
      </c>
      <c r="F428">
        <v>125.73</v>
      </c>
      <c r="H428" t="s">
        <v>845</v>
      </c>
      <c r="I428" t="s">
        <v>845</v>
      </c>
      <c r="J428" t="s">
        <v>860</v>
      </c>
      <c r="K428" t="s">
        <v>90</v>
      </c>
      <c r="L428" t="s">
        <v>238</v>
      </c>
      <c r="P428">
        <v>145.84</v>
      </c>
      <c r="Q428" t="s">
        <v>845</v>
      </c>
      <c r="R428" t="s">
        <v>845</v>
      </c>
    </row>
    <row r="429" spans="1:18" x14ac:dyDescent="0.25">
      <c r="A429">
        <v>322172</v>
      </c>
      <c r="B429" t="s">
        <v>731</v>
      </c>
      <c r="C429">
        <v>94.07</v>
      </c>
      <c r="D429">
        <v>109.12</v>
      </c>
      <c r="F429">
        <v>94.07</v>
      </c>
      <c r="H429" t="s">
        <v>845</v>
      </c>
      <c r="I429" t="s">
        <v>845</v>
      </c>
      <c r="J429" t="s">
        <v>860</v>
      </c>
      <c r="K429" t="s">
        <v>90</v>
      </c>
      <c r="L429" t="s">
        <v>73</v>
      </c>
      <c r="M429">
        <v>94.07</v>
      </c>
      <c r="N429">
        <v>109.12</v>
      </c>
      <c r="P429" t="s">
        <v>845</v>
      </c>
      <c r="Q429" t="s">
        <v>845</v>
      </c>
      <c r="R429">
        <v>109.12</v>
      </c>
    </row>
    <row r="430" spans="1:18" x14ac:dyDescent="0.25">
      <c r="A430">
        <v>395855</v>
      </c>
      <c r="B430" t="s">
        <v>732</v>
      </c>
      <c r="C430">
        <v>82.9</v>
      </c>
      <c r="D430">
        <v>89.53</v>
      </c>
      <c r="F430">
        <v>82.9</v>
      </c>
      <c r="H430" t="s">
        <v>845</v>
      </c>
      <c r="I430" t="s">
        <v>845</v>
      </c>
      <c r="J430" t="s">
        <v>860</v>
      </c>
      <c r="K430" t="s">
        <v>90</v>
      </c>
      <c r="L430" t="s">
        <v>238</v>
      </c>
      <c r="P430">
        <v>89.53</v>
      </c>
      <c r="Q430" t="s">
        <v>845</v>
      </c>
      <c r="R430" t="s">
        <v>845</v>
      </c>
    </row>
    <row r="431" spans="1:18" x14ac:dyDescent="0.25">
      <c r="A431">
        <v>51011</v>
      </c>
      <c r="B431" t="s">
        <v>733</v>
      </c>
      <c r="C431">
        <v>83.47</v>
      </c>
      <c r="D431">
        <v>83.47</v>
      </c>
      <c r="F431">
        <v>83.47</v>
      </c>
      <c r="H431" t="s">
        <v>845</v>
      </c>
      <c r="I431" t="s">
        <v>845</v>
      </c>
      <c r="J431" t="s">
        <v>860</v>
      </c>
      <c r="K431" t="s">
        <v>90</v>
      </c>
      <c r="L431" t="s">
        <v>238</v>
      </c>
      <c r="P431">
        <v>83.47</v>
      </c>
      <c r="Q431" t="s">
        <v>845</v>
      </c>
      <c r="R431" t="s">
        <v>845</v>
      </c>
    </row>
    <row r="432" spans="1:18" x14ac:dyDescent="0.25">
      <c r="A432">
        <v>551</v>
      </c>
      <c r="B432" t="s">
        <v>734</v>
      </c>
      <c r="C432">
        <v>80.959999999999994</v>
      </c>
      <c r="D432">
        <v>80.959999999999994</v>
      </c>
      <c r="F432">
        <v>80.959999999999994</v>
      </c>
      <c r="H432" t="s">
        <v>845</v>
      </c>
      <c r="I432" t="s">
        <v>845</v>
      </c>
      <c r="J432" t="s">
        <v>860</v>
      </c>
      <c r="K432" t="s">
        <v>90</v>
      </c>
      <c r="L432" t="s">
        <v>238</v>
      </c>
      <c r="P432">
        <v>80.959999999999994</v>
      </c>
      <c r="Q432" t="s">
        <v>845</v>
      </c>
      <c r="R432" t="s">
        <v>845</v>
      </c>
    </row>
    <row r="433" spans="1:18" x14ac:dyDescent="0.25">
      <c r="A433">
        <v>77750</v>
      </c>
      <c r="B433" t="s">
        <v>735</v>
      </c>
      <c r="C433">
        <v>58.07</v>
      </c>
      <c r="D433">
        <v>67.36</v>
      </c>
      <c r="F433">
        <v>58.07</v>
      </c>
      <c r="H433" t="s">
        <v>845</v>
      </c>
      <c r="I433" t="s">
        <v>845</v>
      </c>
      <c r="J433" t="s">
        <v>860</v>
      </c>
      <c r="K433" t="s">
        <v>90</v>
      </c>
      <c r="L433" t="s">
        <v>238</v>
      </c>
      <c r="P433">
        <v>67.36</v>
      </c>
      <c r="Q433" t="s">
        <v>845</v>
      </c>
      <c r="R433" t="s">
        <v>845</v>
      </c>
    </row>
    <row r="434" spans="1:18" x14ac:dyDescent="0.25">
      <c r="A434">
        <v>393272</v>
      </c>
      <c r="B434" t="s">
        <v>736</v>
      </c>
      <c r="C434">
        <v>55.01</v>
      </c>
      <c r="D434">
        <v>63.82</v>
      </c>
      <c r="F434">
        <v>55.01</v>
      </c>
      <c r="H434" t="s">
        <v>845</v>
      </c>
      <c r="I434" t="s">
        <v>845</v>
      </c>
      <c r="J434" t="s">
        <v>860</v>
      </c>
      <c r="K434" t="s">
        <v>90</v>
      </c>
      <c r="L434" t="s">
        <v>238</v>
      </c>
      <c r="P434">
        <v>63.82</v>
      </c>
      <c r="Q434" t="s">
        <v>845</v>
      </c>
      <c r="R434" t="s">
        <v>845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4B1A6-2FC9-4330-B387-381CBF5E826B}">
  <dimension ref="A1:AK433"/>
  <sheetViews>
    <sheetView workbookViewId="0"/>
  </sheetViews>
  <sheetFormatPr defaultRowHeight="15" x14ac:dyDescent="0.25"/>
  <sheetData>
    <row r="1" spans="1:37" x14ac:dyDescent="0.25">
      <c r="A1" s="129" t="s">
        <v>3</v>
      </c>
      <c r="B1" s="129" t="s">
        <v>804</v>
      </c>
      <c r="C1" s="129" t="s">
        <v>4</v>
      </c>
      <c r="D1" s="129" t="s">
        <v>5</v>
      </c>
      <c r="E1" s="129" t="s">
        <v>6</v>
      </c>
      <c r="F1" s="129" t="s">
        <v>7</v>
      </c>
      <c r="G1" s="129" t="s">
        <v>15</v>
      </c>
      <c r="H1" s="129" t="s">
        <v>16</v>
      </c>
      <c r="I1" s="129" t="s">
        <v>17</v>
      </c>
      <c r="J1" s="129" t="s">
        <v>18</v>
      </c>
      <c r="K1" s="129" t="s">
        <v>19</v>
      </c>
      <c r="L1" s="129" t="s">
        <v>20</v>
      </c>
      <c r="M1" s="129" t="s">
        <v>21</v>
      </c>
      <c r="N1" s="129" t="s">
        <v>22</v>
      </c>
      <c r="O1" s="129" t="s">
        <v>23</v>
      </c>
      <c r="P1" s="129" t="s">
        <v>24</v>
      </c>
      <c r="Q1" s="129" t="s">
        <v>25</v>
      </c>
      <c r="R1" s="129" t="s">
        <v>26</v>
      </c>
      <c r="S1" s="129" t="s">
        <v>32</v>
      </c>
      <c r="T1" s="129" t="s">
        <v>837</v>
      </c>
      <c r="U1" s="129" t="s">
        <v>37</v>
      </c>
      <c r="V1" s="129" t="s">
        <v>38</v>
      </c>
      <c r="W1" s="129" t="s">
        <v>864</v>
      </c>
      <c r="X1" s="129" t="s">
        <v>865</v>
      </c>
      <c r="Y1" s="129" t="s">
        <v>838</v>
      </c>
      <c r="Z1" s="129" t="s">
        <v>839</v>
      </c>
      <c r="AA1" s="129" t="s">
        <v>840</v>
      </c>
      <c r="AB1" s="129" t="s">
        <v>866</v>
      </c>
      <c r="AC1" s="129" t="s">
        <v>841</v>
      </c>
      <c r="AD1" s="129" t="s">
        <v>867</v>
      </c>
      <c r="AE1" s="129" t="s">
        <v>868</v>
      </c>
      <c r="AF1" s="129" t="s">
        <v>869</v>
      </c>
      <c r="AG1" s="129" t="s">
        <v>870</v>
      </c>
      <c r="AH1" s="129" t="s">
        <v>40</v>
      </c>
      <c r="AI1" s="129" t="s">
        <v>42</v>
      </c>
      <c r="AJ1" s="129" t="s">
        <v>44</v>
      </c>
      <c r="AK1" s="129" t="s">
        <v>871</v>
      </c>
    </row>
    <row r="2" spans="1:37" x14ac:dyDescent="0.25">
      <c r="A2">
        <v>66738</v>
      </c>
      <c r="B2" t="s">
        <v>55</v>
      </c>
      <c r="C2">
        <v>89585265.106097609</v>
      </c>
      <c r="D2">
        <v>2507350.5739596002</v>
      </c>
      <c r="E2">
        <v>5074445.9959398406</v>
      </c>
      <c r="F2">
        <v>97167061.569900006</v>
      </c>
      <c r="J2">
        <v>0</v>
      </c>
      <c r="K2">
        <v>89585265.106097609</v>
      </c>
      <c r="L2">
        <v>2507350.5739596002</v>
      </c>
      <c r="M2">
        <v>5074445.9959398406</v>
      </c>
      <c r="N2">
        <v>97167061.675997049</v>
      </c>
      <c r="R2">
        <v>0</v>
      </c>
      <c r="S2">
        <v>0</v>
      </c>
      <c r="T2" t="s">
        <v>872</v>
      </c>
      <c r="U2" t="s">
        <v>59</v>
      </c>
      <c r="V2" t="s">
        <v>60</v>
      </c>
      <c r="W2">
        <v>4</v>
      </c>
      <c r="Y2" t="s">
        <v>57</v>
      </c>
      <c r="AB2">
        <v>0</v>
      </c>
      <c r="AD2">
        <v>0</v>
      </c>
      <c r="AE2">
        <v>0</v>
      </c>
      <c r="AF2">
        <v>97746171.549999982</v>
      </c>
      <c r="AG2">
        <v>97167061.569900006</v>
      </c>
      <c r="AH2">
        <v>97167061.569900006</v>
      </c>
      <c r="AJ2" s="130">
        <v>46041</v>
      </c>
      <c r="AK2">
        <v>0</v>
      </c>
    </row>
    <row r="3" spans="1:37" x14ac:dyDescent="0.25">
      <c r="A3">
        <v>9647</v>
      </c>
      <c r="B3" t="s">
        <v>64</v>
      </c>
      <c r="C3">
        <v>37170939.991021603</v>
      </c>
      <c r="D3">
        <v>0</v>
      </c>
      <c r="E3">
        <v>5946668.1592519898</v>
      </c>
      <c r="F3">
        <v>43117609.500200011</v>
      </c>
      <c r="J3">
        <v>0</v>
      </c>
      <c r="K3">
        <v>37170939.991021603</v>
      </c>
      <c r="L3">
        <v>0</v>
      </c>
      <c r="M3">
        <v>5946668.1592519898</v>
      </c>
      <c r="N3">
        <v>43117608.150273591</v>
      </c>
      <c r="R3">
        <v>0</v>
      </c>
      <c r="S3">
        <v>0</v>
      </c>
      <c r="T3" t="s">
        <v>873</v>
      </c>
      <c r="U3" t="s">
        <v>59</v>
      </c>
      <c r="V3" t="s">
        <v>66</v>
      </c>
      <c r="W3">
        <v>4</v>
      </c>
      <c r="Y3" t="s">
        <v>57</v>
      </c>
      <c r="AB3" t="s">
        <v>65</v>
      </c>
      <c r="AD3">
        <v>0</v>
      </c>
      <c r="AE3">
        <v>0</v>
      </c>
      <c r="AF3">
        <v>43117609.479999997</v>
      </c>
      <c r="AG3">
        <v>43117609.500200011</v>
      </c>
      <c r="AH3">
        <v>43117609.479999997</v>
      </c>
      <c r="AJ3" s="130">
        <v>46043</v>
      </c>
      <c r="AK3">
        <v>0</v>
      </c>
    </row>
    <row r="4" spans="1:37" x14ac:dyDescent="0.25">
      <c r="A4">
        <v>24232</v>
      </c>
      <c r="B4" t="s">
        <v>72</v>
      </c>
      <c r="C4">
        <v>17089111.16012286</v>
      </c>
      <c r="D4">
        <v>15021.683508218999</v>
      </c>
      <c r="E4">
        <v>2502789.4134380119</v>
      </c>
      <c r="F4">
        <v>19606921.750599999</v>
      </c>
      <c r="G4">
        <v>2911551.17</v>
      </c>
      <c r="H4">
        <v>0</v>
      </c>
      <c r="I4">
        <v>325961.06</v>
      </c>
      <c r="J4">
        <v>3237512.23</v>
      </c>
      <c r="K4">
        <v>13683024.060122861</v>
      </c>
      <c r="L4">
        <v>15021.683508218999</v>
      </c>
      <c r="M4">
        <v>2097702.6034380118</v>
      </c>
      <c r="N4">
        <v>15795748.34706909</v>
      </c>
      <c r="O4">
        <v>494535.93</v>
      </c>
      <c r="P4">
        <v>0</v>
      </c>
      <c r="Q4">
        <v>79125.75</v>
      </c>
      <c r="R4">
        <v>573661.67999999993</v>
      </c>
      <c r="S4">
        <v>0</v>
      </c>
      <c r="T4" t="s">
        <v>874</v>
      </c>
      <c r="U4" t="s">
        <v>59</v>
      </c>
      <c r="V4" t="s">
        <v>75</v>
      </c>
      <c r="W4">
        <v>4</v>
      </c>
      <c r="X4">
        <v>10</v>
      </c>
      <c r="Y4" t="s">
        <v>73</v>
      </c>
      <c r="Z4">
        <v>16594575.230122861</v>
      </c>
      <c r="AA4">
        <v>19033260.577069089</v>
      </c>
      <c r="AB4" t="s">
        <v>74</v>
      </c>
      <c r="AC4" t="s">
        <v>850</v>
      </c>
      <c r="AD4">
        <v>0</v>
      </c>
      <c r="AE4">
        <v>0</v>
      </c>
      <c r="AF4">
        <v>19606921.789999999</v>
      </c>
      <c r="AG4">
        <v>19606921.750599999</v>
      </c>
      <c r="AH4">
        <v>0</v>
      </c>
      <c r="AJ4" s="130">
        <v>46042</v>
      </c>
      <c r="AK4">
        <v>0</v>
      </c>
    </row>
    <row r="5" spans="1:37" x14ac:dyDescent="0.25">
      <c r="A5">
        <v>4077</v>
      </c>
      <c r="B5" t="s">
        <v>80</v>
      </c>
      <c r="C5">
        <v>15564008.90226022</v>
      </c>
      <c r="D5">
        <v>0</v>
      </c>
      <c r="E5">
        <v>2488527.6812003311</v>
      </c>
      <c r="F5">
        <v>18052536.238299999</v>
      </c>
      <c r="G5">
        <v>15564008.90226022</v>
      </c>
      <c r="H5">
        <v>0</v>
      </c>
      <c r="I5">
        <v>2488527.6812003311</v>
      </c>
      <c r="J5">
        <v>18052536.583460551</v>
      </c>
      <c r="K5">
        <v>0</v>
      </c>
      <c r="L5">
        <v>0</v>
      </c>
      <c r="M5">
        <v>0</v>
      </c>
      <c r="N5">
        <v>0</v>
      </c>
      <c r="R5">
        <v>0</v>
      </c>
      <c r="S5">
        <v>0</v>
      </c>
      <c r="T5">
        <v>0</v>
      </c>
      <c r="U5" t="s">
        <v>59</v>
      </c>
      <c r="V5" t="s">
        <v>82</v>
      </c>
      <c r="W5">
        <v>4</v>
      </c>
      <c r="Y5" t="s">
        <v>81</v>
      </c>
      <c r="Z5">
        <v>15564008.90226022</v>
      </c>
      <c r="AA5">
        <v>18052536.583460551</v>
      </c>
      <c r="AB5">
        <v>0</v>
      </c>
      <c r="AD5">
        <v>0</v>
      </c>
      <c r="AE5">
        <v>0</v>
      </c>
      <c r="AF5">
        <v>18052536.23</v>
      </c>
      <c r="AG5">
        <v>18052536.238299999</v>
      </c>
      <c r="AH5">
        <v>18052536.23</v>
      </c>
      <c r="AJ5" s="130">
        <v>46045</v>
      </c>
      <c r="AK5">
        <v>0</v>
      </c>
    </row>
    <row r="6" spans="1:37" x14ac:dyDescent="0.25">
      <c r="A6">
        <v>76471</v>
      </c>
      <c r="B6" t="s">
        <v>87</v>
      </c>
      <c r="C6">
        <v>11585558.74685126</v>
      </c>
      <c r="D6">
        <v>0</v>
      </c>
      <c r="E6">
        <v>1853689.4076162011</v>
      </c>
      <c r="F6">
        <v>13439248.042300001</v>
      </c>
      <c r="J6">
        <v>0</v>
      </c>
      <c r="K6">
        <v>11585558.74685126</v>
      </c>
      <c r="L6">
        <v>0</v>
      </c>
      <c r="M6">
        <v>1853689.4076162011</v>
      </c>
      <c r="N6">
        <v>13439248.15446746</v>
      </c>
      <c r="R6">
        <v>0</v>
      </c>
      <c r="S6">
        <v>0</v>
      </c>
      <c r="T6" t="s">
        <v>875</v>
      </c>
      <c r="U6" t="s">
        <v>59</v>
      </c>
      <c r="V6" t="s">
        <v>90</v>
      </c>
      <c r="W6">
        <v>4</v>
      </c>
      <c r="X6">
        <v>1</v>
      </c>
      <c r="Y6" t="s">
        <v>73</v>
      </c>
      <c r="Z6">
        <v>11585558.74685126</v>
      </c>
      <c r="AA6">
        <v>13439248.15446746</v>
      </c>
      <c r="AB6" t="s">
        <v>89</v>
      </c>
      <c r="AC6" t="s">
        <v>89</v>
      </c>
      <c r="AD6">
        <v>0</v>
      </c>
      <c r="AE6">
        <v>0</v>
      </c>
      <c r="AF6">
        <v>13439248.02</v>
      </c>
      <c r="AG6">
        <v>13439248.042300001</v>
      </c>
      <c r="AK6">
        <v>0</v>
      </c>
    </row>
    <row r="7" spans="1:37" x14ac:dyDescent="0.25">
      <c r="A7">
        <v>99457</v>
      </c>
      <c r="B7" t="s">
        <v>93</v>
      </c>
      <c r="C7">
        <v>10217048.3824102</v>
      </c>
      <c r="D7">
        <v>0</v>
      </c>
      <c r="E7">
        <v>959842.66932052339</v>
      </c>
      <c r="F7">
        <v>11176890.6754</v>
      </c>
      <c r="G7">
        <v>2126670.85</v>
      </c>
      <c r="I7">
        <v>228584.06</v>
      </c>
      <c r="J7">
        <v>2355254.91</v>
      </c>
      <c r="K7">
        <v>2.4101966992020611E-3</v>
      </c>
      <c r="L7">
        <v>0</v>
      </c>
      <c r="M7">
        <v>-6.7947659408673644E-4</v>
      </c>
      <c r="N7">
        <v>1.730720105115324E-3</v>
      </c>
      <c r="O7">
        <v>8090377.5300000003</v>
      </c>
      <c r="Q7">
        <v>731258.61</v>
      </c>
      <c r="R7">
        <v>8821636.1400000006</v>
      </c>
      <c r="S7">
        <v>0</v>
      </c>
      <c r="T7" t="s">
        <v>876</v>
      </c>
      <c r="U7" t="s">
        <v>59</v>
      </c>
      <c r="V7" t="s">
        <v>82</v>
      </c>
      <c r="W7">
        <v>4</v>
      </c>
      <c r="Y7" t="s">
        <v>81</v>
      </c>
      <c r="Z7">
        <v>2126670.8524101968</v>
      </c>
      <c r="AA7">
        <v>2355254.9117307202</v>
      </c>
      <c r="AB7">
        <v>0</v>
      </c>
      <c r="AD7">
        <v>0</v>
      </c>
      <c r="AE7">
        <v>0</v>
      </c>
      <c r="AF7">
        <v>11176890.689999999</v>
      </c>
      <c r="AG7">
        <v>11176890.6754</v>
      </c>
      <c r="AH7">
        <v>9215790.5500000007</v>
      </c>
      <c r="AJ7" s="130">
        <v>46049</v>
      </c>
      <c r="AK7">
        <v>0</v>
      </c>
    </row>
    <row r="8" spans="1:37" x14ac:dyDescent="0.25">
      <c r="A8">
        <v>8593</v>
      </c>
      <c r="B8" t="s">
        <v>96</v>
      </c>
      <c r="C8">
        <v>8613844.6423914563</v>
      </c>
      <c r="D8">
        <v>0</v>
      </c>
      <c r="E8">
        <v>1378215.144882632</v>
      </c>
      <c r="F8">
        <v>9992059.629999999</v>
      </c>
      <c r="J8">
        <v>0</v>
      </c>
      <c r="K8">
        <v>8613844.6423914563</v>
      </c>
      <c r="L8">
        <v>0</v>
      </c>
      <c r="M8">
        <v>1378215.144882632</v>
      </c>
      <c r="N8">
        <v>9992059.7872740887</v>
      </c>
      <c r="R8">
        <v>0</v>
      </c>
      <c r="S8">
        <v>0</v>
      </c>
      <c r="T8">
        <v>0</v>
      </c>
      <c r="U8" t="s">
        <v>59</v>
      </c>
      <c r="V8" t="s">
        <v>75</v>
      </c>
      <c r="W8">
        <v>4</v>
      </c>
      <c r="Y8" t="s">
        <v>73</v>
      </c>
      <c r="Z8">
        <v>8613844.6423914563</v>
      </c>
      <c r="AA8">
        <v>9992059.7872740887</v>
      </c>
      <c r="AB8" t="s">
        <v>97</v>
      </c>
      <c r="AC8" t="s">
        <v>97</v>
      </c>
      <c r="AD8">
        <v>0</v>
      </c>
      <c r="AE8">
        <v>0</v>
      </c>
      <c r="AF8">
        <v>9992059.6300000008</v>
      </c>
      <c r="AG8">
        <v>9992059.629999999</v>
      </c>
      <c r="AH8">
        <v>9992059.629999999</v>
      </c>
      <c r="AI8">
        <v>11</v>
      </c>
      <c r="AJ8" s="130">
        <v>46042</v>
      </c>
      <c r="AK8">
        <v>0</v>
      </c>
    </row>
    <row r="9" spans="1:37" x14ac:dyDescent="0.25">
      <c r="A9">
        <v>90738</v>
      </c>
      <c r="B9" t="s">
        <v>93</v>
      </c>
      <c r="C9">
        <v>7245863.517740733</v>
      </c>
      <c r="D9">
        <v>0</v>
      </c>
      <c r="E9">
        <v>1159338.167541428</v>
      </c>
      <c r="F9">
        <v>8405201.680399999</v>
      </c>
      <c r="G9">
        <v>3232317.21</v>
      </c>
      <c r="I9">
        <v>517170.75</v>
      </c>
      <c r="J9">
        <v>3749487.96</v>
      </c>
      <c r="K9">
        <v>-2.259267028421164E-3</v>
      </c>
      <c r="L9">
        <v>0</v>
      </c>
      <c r="M9">
        <v>0.21754142851568761</v>
      </c>
      <c r="N9">
        <v>0.21528216148726639</v>
      </c>
      <c r="O9">
        <v>4013546.31</v>
      </c>
      <c r="Q9">
        <v>642167.19999999995</v>
      </c>
      <c r="R9">
        <v>4655713.51</v>
      </c>
      <c r="S9">
        <v>0</v>
      </c>
      <c r="T9" t="s">
        <v>876</v>
      </c>
      <c r="U9" t="s">
        <v>59</v>
      </c>
      <c r="V9" t="s">
        <v>82</v>
      </c>
      <c r="W9">
        <v>4</v>
      </c>
      <c r="Y9" t="s">
        <v>81</v>
      </c>
      <c r="Z9">
        <v>3232317.2077407329</v>
      </c>
      <c r="AA9">
        <v>3749488.1752821621</v>
      </c>
      <c r="AB9">
        <v>0</v>
      </c>
      <c r="AD9">
        <v>0</v>
      </c>
      <c r="AE9">
        <v>0</v>
      </c>
      <c r="AF9">
        <v>8405201.6800000016</v>
      </c>
      <c r="AG9">
        <v>8405201.680399999</v>
      </c>
      <c r="AH9">
        <v>4650882.8</v>
      </c>
      <c r="AJ9" s="130">
        <v>46049</v>
      </c>
      <c r="AK9">
        <v>0</v>
      </c>
    </row>
    <row r="10" spans="1:37" x14ac:dyDescent="0.25">
      <c r="A10">
        <v>20125</v>
      </c>
      <c r="B10" t="s">
        <v>101</v>
      </c>
      <c r="C10">
        <v>7139158.7482612422</v>
      </c>
      <c r="D10">
        <v>0</v>
      </c>
      <c r="E10">
        <v>1142265.399721799</v>
      </c>
      <c r="F10">
        <v>8281424.1500000004</v>
      </c>
      <c r="J10">
        <v>0</v>
      </c>
      <c r="K10">
        <v>4948440.2882612422</v>
      </c>
      <c r="L10">
        <v>0</v>
      </c>
      <c r="M10">
        <v>791750.449721799</v>
      </c>
      <c r="N10">
        <v>5740190.7379830414</v>
      </c>
      <c r="O10">
        <v>2190718.46</v>
      </c>
      <c r="P10">
        <v>0</v>
      </c>
      <c r="Q10">
        <v>350514.95</v>
      </c>
      <c r="R10">
        <v>2541233.41</v>
      </c>
      <c r="S10">
        <v>0</v>
      </c>
      <c r="T10">
        <v>0</v>
      </c>
      <c r="U10" t="s">
        <v>59</v>
      </c>
      <c r="V10" t="s">
        <v>75</v>
      </c>
      <c r="W10">
        <v>4</v>
      </c>
      <c r="X10">
        <v>3</v>
      </c>
      <c r="Y10" t="s">
        <v>73</v>
      </c>
      <c r="Z10">
        <v>4948440.2882612422</v>
      </c>
      <c r="AA10">
        <v>5740190.7379830414</v>
      </c>
      <c r="AB10" t="s">
        <v>877</v>
      </c>
      <c r="AC10" t="s">
        <v>853</v>
      </c>
      <c r="AD10">
        <v>0</v>
      </c>
      <c r="AE10">
        <v>0</v>
      </c>
      <c r="AF10">
        <v>8281424.1499999994</v>
      </c>
      <c r="AG10">
        <v>8281424.1500000004</v>
      </c>
      <c r="AH10">
        <v>544291.47</v>
      </c>
      <c r="AI10">
        <v>6</v>
      </c>
      <c r="AJ10" s="130">
        <v>46056</v>
      </c>
      <c r="AK10">
        <v>3</v>
      </c>
    </row>
    <row r="11" spans="1:37" x14ac:dyDescent="0.25">
      <c r="A11">
        <v>56150</v>
      </c>
      <c r="B11" t="s">
        <v>106</v>
      </c>
      <c r="C11">
        <v>5860104.4459649464</v>
      </c>
      <c r="D11">
        <v>417698.03941792349</v>
      </c>
      <c r="E11">
        <v>0</v>
      </c>
      <c r="F11">
        <v>6277802.3108000038</v>
      </c>
      <c r="G11">
        <v>4589868.4400000004</v>
      </c>
      <c r="H11">
        <v>321581.11</v>
      </c>
      <c r="I11">
        <v>0</v>
      </c>
      <c r="J11">
        <v>4911449.55</v>
      </c>
      <c r="K11">
        <v>0</v>
      </c>
      <c r="M11">
        <v>0</v>
      </c>
      <c r="N11">
        <v>0</v>
      </c>
      <c r="O11">
        <v>1270236.005964946</v>
      </c>
      <c r="P11">
        <v>96116.9294179235</v>
      </c>
      <c r="Q11">
        <v>0</v>
      </c>
      <c r="R11">
        <v>1366352.93538287</v>
      </c>
      <c r="S11">
        <v>0</v>
      </c>
      <c r="T11">
        <v>0</v>
      </c>
      <c r="U11" t="s">
        <v>59</v>
      </c>
      <c r="V11" t="s">
        <v>82</v>
      </c>
      <c r="W11">
        <v>4</v>
      </c>
      <c r="Y11" t="s">
        <v>81</v>
      </c>
      <c r="Z11">
        <v>4589868.4400000004</v>
      </c>
      <c r="AA11">
        <v>4911449.55</v>
      </c>
      <c r="AB11">
        <v>0</v>
      </c>
      <c r="AD11">
        <v>0</v>
      </c>
      <c r="AE11">
        <v>0</v>
      </c>
      <c r="AF11">
        <v>6277802.2800000012</v>
      </c>
      <c r="AG11">
        <v>6277802.3108000038</v>
      </c>
      <c r="AH11">
        <v>6277802.3108000038</v>
      </c>
      <c r="AJ11" s="130">
        <v>46042</v>
      </c>
      <c r="AK11">
        <v>0</v>
      </c>
    </row>
    <row r="12" spans="1:37" x14ac:dyDescent="0.25">
      <c r="A12">
        <v>81653</v>
      </c>
      <c r="B12" t="s">
        <v>110</v>
      </c>
      <c r="C12">
        <v>5448761.513050261</v>
      </c>
      <c r="D12">
        <v>8396.2742444959986</v>
      </c>
      <c r="E12">
        <v>1307.9177</v>
      </c>
      <c r="F12">
        <v>5458465.6876000008</v>
      </c>
      <c r="J12">
        <v>0</v>
      </c>
      <c r="K12">
        <v>5448761.513050261</v>
      </c>
      <c r="L12">
        <v>8396.2742444959986</v>
      </c>
      <c r="M12">
        <v>1307.9177</v>
      </c>
      <c r="N12">
        <v>5458465.7049947567</v>
      </c>
      <c r="R12">
        <v>0</v>
      </c>
      <c r="S12">
        <v>0</v>
      </c>
      <c r="T12" t="s">
        <v>875</v>
      </c>
      <c r="U12" t="s">
        <v>59</v>
      </c>
      <c r="V12" t="s">
        <v>90</v>
      </c>
      <c r="W12">
        <v>4</v>
      </c>
      <c r="X12">
        <v>1</v>
      </c>
      <c r="Y12" t="s">
        <v>73</v>
      </c>
      <c r="Z12">
        <v>5448761.513050261</v>
      </c>
      <c r="AA12">
        <v>5458465.7049947567</v>
      </c>
      <c r="AB12" t="s">
        <v>111</v>
      </c>
      <c r="AC12" t="s">
        <v>89</v>
      </c>
      <c r="AD12">
        <v>0</v>
      </c>
      <c r="AE12">
        <v>0</v>
      </c>
      <c r="AF12">
        <v>5458465.79</v>
      </c>
      <c r="AG12">
        <v>5458465.6876000008</v>
      </c>
      <c r="AK12">
        <v>1</v>
      </c>
    </row>
    <row r="13" spans="1:37" x14ac:dyDescent="0.25">
      <c r="A13">
        <v>61713</v>
      </c>
      <c r="B13" t="s">
        <v>114</v>
      </c>
      <c r="C13">
        <v>4432996.1469949866</v>
      </c>
      <c r="D13">
        <v>0</v>
      </c>
      <c r="E13">
        <v>709279.41425734991</v>
      </c>
      <c r="F13">
        <v>5142275.5299999993</v>
      </c>
      <c r="J13">
        <v>0</v>
      </c>
      <c r="K13">
        <v>3568291.29</v>
      </c>
      <c r="L13">
        <v>0</v>
      </c>
      <c r="M13">
        <v>570926.64</v>
      </c>
      <c r="N13">
        <v>4139217.93</v>
      </c>
      <c r="O13">
        <v>864704.86</v>
      </c>
      <c r="Q13">
        <v>138352.78</v>
      </c>
      <c r="R13">
        <v>1003057.64</v>
      </c>
      <c r="S13">
        <v>0</v>
      </c>
      <c r="T13" t="s">
        <v>875</v>
      </c>
      <c r="U13" t="s">
        <v>59</v>
      </c>
      <c r="V13" t="s">
        <v>75</v>
      </c>
      <c r="W13">
        <v>4</v>
      </c>
      <c r="Y13" t="s">
        <v>57</v>
      </c>
      <c r="AB13" t="s">
        <v>115</v>
      </c>
      <c r="AC13" t="s">
        <v>115</v>
      </c>
      <c r="AD13">
        <v>0</v>
      </c>
      <c r="AE13">
        <v>0</v>
      </c>
      <c r="AF13">
        <v>5142275.5500000007</v>
      </c>
      <c r="AG13">
        <v>5142275.5299999993</v>
      </c>
      <c r="AH13">
        <v>0</v>
      </c>
      <c r="AK13">
        <v>0</v>
      </c>
    </row>
    <row r="14" spans="1:37" x14ac:dyDescent="0.25">
      <c r="A14">
        <v>398024</v>
      </c>
      <c r="B14" t="s">
        <v>116</v>
      </c>
      <c r="C14">
        <v>4901364.6398046762</v>
      </c>
      <c r="D14">
        <v>0</v>
      </c>
      <c r="E14">
        <v>0</v>
      </c>
      <c r="F14">
        <v>4901364.6459999997</v>
      </c>
      <c r="J14">
        <v>0</v>
      </c>
      <c r="K14">
        <v>4901364.6398046762</v>
      </c>
      <c r="L14">
        <v>0</v>
      </c>
      <c r="M14">
        <v>0</v>
      </c>
      <c r="N14">
        <v>4901364.6398046762</v>
      </c>
      <c r="R14">
        <v>0</v>
      </c>
      <c r="S14">
        <v>0</v>
      </c>
      <c r="T14" t="s">
        <v>875</v>
      </c>
      <c r="U14" t="s">
        <v>59</v>
      </c>
      <c r="V14" t="s">
        <v>90</v>
      </c>
      <c r="W14">
        <v>4</v>
      </c>
      <c r="X14">
        <v>1</v>
      </c>
      <c r="Y14" t="s">
        <v>73</v>
      </c>
      <c r="Z14">
        <v>4901364.6398046762</v>
      </c>
      <c r="AA14">
        <v>4901364.6398046762</v>
      </c>
      <c r="AB14">
        <v>0</v>
      </c>
      <c r="AD14">
        <v>0</v>
      </c>
      <c r="AE14">
        <v>0</v>
      </c>
      <c r="AF14">
        <v>4901364.6500000004</v>
      </c>
      <c r="AG14">
        <v>4901364.6459999997</v>
      </c>
      <c r="AK14">
        <v>0</v>
      </c>
    </row>
    <row r="15" spans="1:37" x14ac:dyDescent="0.25">
      <c r="A15">
        <v>34934</v>
      </c>
      <c r="B15" t="s">
        <v>117</v>
      </c>
      <c r="C15">
        <v>4076300.1902986998</v>
      </c>
      <c r="D15">
        <v>0</v>
      </c>
      <c r="E15">
        <v>652208.03044779203</v>
      </c>
      <c r="F15">
        <v>4728508.2300000004</v>
      </c>
      <c r="G15">
        <v>1718185</v>
      </c>
      <c r="H15">
        <v>0</v>
      </c>
      <c r="I15">
        <v>274909.59999999998</v>
      </c>
      <c r="J15">
        <v>1993094.6</v>
      </c>
      <c r="K15">
        <v>2358115.1902986998</v>
      </c>
      <c r="L15">
        <v>0</v>
      </c>
      <c r="M15">
        <v>377298.43044779211</v>
      </c>
      <c r="N15">
        <v>2735413.6207464919</v>
      </c>
      <c r="R15">
        <v>0</v>
      </c>
      <c r="S15">
        <v>0</v>
      </c>
      <c r="T15">
        <v>0</v>
      </c>
      <c r="U15" t="s">
        <v>59</v>
      </c>
      <c r="V15" t="s">
        <v>75</v>
      </c>
      <c r="W15">
        <v>4</v>
      </c>
      <c r="Y15" t="s">
        <v>73</v>
      </c>
      <c r="Z15">
        <v>4076300.1902986998</v>
      </c>
      <c r="AA15">
        <v>4728508.220746493</v>
      </c>
      <c r="AB15" t="s">
        <v>854</v>
      </c>
      <c r="AC15" t="s">
        <v>854</v>
      </c>
      <c r="AD15">
        <v>0</v>
      </c>
      <c r="AE15">
        <v>0</v>
      </c>
      <c r="AF15">
        <v>4728508.2300000004</v>
      </c>
      <c r="AG15">
        <v>4728508.2300000004</v>
      </c>
      <c r="AH15">
        <v>4728508.2300000004</v>
      </c>
      <c r="AI15">
        <v>6</v>
      </c>
      <c r="AJ15" s="130">
        <v>46050</v>
      </c>
      <c r="AK15">
        <v>0</v>
      </c>
    </row>
    <row r="16" spans="1:37" x14ac:dyDescent="0.25">
      <c r="A16">
        <v>38893</v>
      </c>
      <c r="B16" t="s">
        <v>122</v>
      </c>
      <c r="C16">
        <v>3414125.3943006592</v>
      </c>
      <c r="D16">
        <v>0</v>
      </c>
      <c r="E16">
        <v>546260.19056034519</v>
      </c>
      <c r="F16">
        <v>3960385.4405</v>
      </c>
      <c r="J16">
        <v>0</v>
      </c>
      <c r="K16">
        <v>3414125.3943006592</v>
      </c>
      <c r="L16">
        <v>0</v>
      </c>
      <c r="M16">
        <v>546260.19056034519</v>
      </c>
      <c r="N16">
        <v>3960385.5848610038</v>
      </c>
      <c r="R16">
        <v>0</v>
      </c>
      <c r="S16" t="s">
        <v>878</v>
      </c>
      <c r="T16" t="s">
        <v>879</v>
      </c>
      <c r="U16" t="s">
        <v>59</v>
      </c>
      <c r="V16" t="s">
        <v>75</v>
      </c>
      <c r="W16">
        <v>4</v>
      </c>
      <c r="Y16" t="s">
        <v>57</v>
      </c>
      <c r="AB16" t="s">
        <v>155</v>
      </c>
      <c r="AC16" t="s">
        <v>155</v>
      </c>
      <c r="AD16">
        <v>0</v>
      </c>
      <c r="AE16">
        <v>0</v>
      </c>
      <c r="AF16">
        <v>3960385.42</v>
      </c>
      <c r="AG16">
        <v>3960385.4405</v>
      </c>
      <c r="AH16">
        <v>0</v>
      </c>
      <c r="AK16">
        <v>0</v>
      </c>
    </row>
    <row r="17" spans="1:37" x14ac:dyDescent="0.25">
      <c r="A17">
        <v>44040</v>
      </c>
      <c r="B17" t="s">
        <v>127</v>
      </c>
      <c r="C17">
        <v>2578675.1164151481</v>
      </c>
      <c r="D17">
        <v>692321.95791620179</v>
      </c>
      <c r="E17">
        <v>523359.53192901518</v>
      </c>
      <c r="F17">
        <v>3794356.5999999959</v>
      </c>
      <c r="J17">
        <v>0</v>
      </c>
      <c r="K17">
        <v>359743.56</v>
      </c>
      <c r="L17">
        <v>99003.45</v>
      </c>
      <c r="M17">
        <v>73399.520000000004</v>
      </c>
      <c r="N17">
        <v>532146.53</v>
      </c>
      <c r="O17">
        <v>2218931.56</v>
      </c>
      <c r="P17">
        <v>593318.51</v>
      </c>
      <c r="Q17">
        <v>449960.01</v>
      </c>
      <c r="R17">
        <v>3262210.08</v>
      </c>
      <c r="S17">
        <v>0</v>
      </c>
      <c r="T17" t="s">
        <v>875</v>
      </c>
      <c r="U17" t="s">
        <v>59</v>
      </c>
      <c r="V17" t="s">
        <v>75</v>
      </c>
      <c r="W17">
        <v>4</v>
      </c>
      <c r="Y17" t="s">
        <v>57</v>
      </c>
      <c r="AB17" t="s">
        <v>880</v>
      </c>
      <c r="AD17">
        <v>0</v>
      </c>
      <c r="AE17">
        <v>0</v>
      </c>
      <c r="AF17">
        <v>3794356.6</v>
      </c>
      <c r="AG17">
        <v>3794356.5999999959</v>
      </c>
      <c r="AK17">
        <v>0</v>
      </c>
    </row>
    <row r="18" spans="1:37" x14ac:dyDescent="0.25">
      <c r="A18">
        <v>54569</v>
      </c>
      <c r="B18" t="s">
        <v>131</v>
      </c>
      <c r="C18">
        <v>3454984.1214987691</v>
      </c>
      <c r="D18">
        <v>266374.18253236968</v>
      </c>
      <c r="E18">
        <v>0</v>
      </c>
      <c r="F18">
        <v>3721358.27</v>
      </c>
      <c r="J18">
        <v>0</v>
      </c>
      <c r="K18">
        <v>3454984.1214987691</v>
      </c>
      <c r="L18">
        <v>266374.18253236968</v>
      </c>
      <c r="M18">
        <v>0</v>
      </c>
      <c r="N18">
        <v>3721358.3040311378</v>
      </c>
      <c r="R18">
        <v>0</v>
      </c>
      <c r="S18">
        <v>0</v>
      </c>
      <c r="T18" t="s">
        <v>875</v>
      </c>
      <c r="U18" t="s">
        <v>59</v>
      </c>
      <c r="V18" t="s">
        <v>90</v>
      </c>
      <c r="W18">
        <v>4</v>
      </c>
      <c r="Y18" t="s">
        <v>57</v>
      </c>
      <c r="AB18" t="s">
        <v>881</v>
      </c>
      <c r="AD18">
        <v>0</v>
      </c>
      <c r="AE18">
        <v>0</v>
      </c>
      <c r="AF18">
        <v>3721358.27</v>
      </c>
      <c r="AG18">
        <v>3721358.27</v>
      </c>
      <c r="AK18">
        <v>0</v>
      </c>
    </row>
    <row r="19" spans="1:37" x14ac:dyDescent="0.25">
      <c r="A19">
        <v>17921</v>
      </c>
      <c r="B19" t="s">
        <v>135</v>
      </c>
      <c r="C19">
        <v>3189882.4053512388</v>
      </c>
      <c r="D19">
        <v>0</v>
      </c>
      <c r="E19">
        <v>510061.55200675823</v>
      </c>
      <c r="F19">
        <v>3699944.0129</v>
      </c>
      <c r="J19">
        <v>0</v>
      </c>
      <c r="K19">
        <v>3189882.4053512388</v>
      </c>
      <c r="L19">
        <v>0</v>
      </c>
      <c r="M19">
        <v>510061.55200675823</v>
      </c>
      <c r="N19">
        <v>3699943.957357998</v>
      </c>
      <c r="R19">
        <v>0</v>
      </c>
      <c r="S19" t="s">
        <v>878</v>
      </c>
      <c r="T19" t="s">
        <v>879</v>
      </c>
      <c r="U19" t="s">
        <v>59</v>
      </c>
      <c r="V19" t="s">
        <v>75</v>
      </c>
      <c r="W19">
        <v>4</v>
      </c>
      <c r="Y19" t="s">
        <v>57</v>
      </c>
      <c r="AB19" t="s">
        <v>155</v>
      </c>
      <c r="AC19" t="s">
        <v>155</v>
      </c>
      <c r="AD19">
        <v>0</v>
      </c>
      <c r="AE19">
        <v>0</v>
      </c>
      <c r="AF19">
        <v>3699944.02</v>
      </c>
      <c r="AG19">
        <v>3699944.0129</v>
      </c>
      <c r="AH19">
        <v>0</v>
      </c>
      <c r="AK19">
        <v>0</v>
      </c>
    </row>
    <row r="20" spans="1:37" x14ac:dyDescent="0.25">
      <c r="A20">
        <v>9381</v>
      </c>
      <c r="B20" t="s">
        <v>139</v>
      </c>
      <c r="C20">
        <v>2846318.1772903181</v>
      </c>
      <c r="D20">
        <v>0</v>
      </c>
      <c r="E20">
        <v>454431.77887469868</v>
      </c>
      <c r="F20">
        <v>3300750.0027000001</v>
      </c>
      <c r="J20">
        <v>0</v>
      </c>
      <c r="K20">
        <v>2846318.1772903181</v>
      </c>
      <c r="L20">
        <v>0</v>
      </c>
      <c r="M20">
        <v>454431.77887469868</v>
      </c>
      <c r="N20">
        <v>3300749.9561650162</v>
      </c>
      <c r="R20">
        <v>0</v>
      </c>
      <c r="S20">
        <v>0</v>
      </c>
      <c r="T20">
        <v>0</v>
      </c>
      <c r="U20" t="s">
        <v>59</v>
      </c>
      <c r="V20" t="s">
        <v>75</v>
      </c>
      <c r="W20">
        <v>4</v>
      </c>
      <c r="Y20" t="s">
        <v>73</v>
      </c>
      <c r="Z20">
        <v>2846318.1772903181</v>
      </c>
      <c r="AA20">
        <v>3300749.9561650162</v>
      </c>
      <c r="AB20" t="s">
        <v>882</v>
      </c>
      <c r="AC20" t="s">
        <v>857</v>
      </c>
      <c r="AD20">
        <v>0</v>
      </c>
      <c r="AE20">
        <v>0</v>
      </c>
      <c r="AF20">
        <v>3300750.02</v>
      </c>
      <c r="AG20">
        <v>3300750.0027000001</v>
      </c>
      <c r="AH20">
        <v>0</v>
      </c>
      <c r="AJ20" s="130">
        <v>46044</v>
      </c>
      <c r="AK20">
        <v>0</v>
      </c>
    </row>
    <row r="21" spans="1:37" x14ac:dyDescent="0.25">
      <c r="A21">
        <v>24489</v>
      </c>
      <c r="B21" t="s">
        <v>144</v>
      </c>
      <c r="C21">
        <v>2734026.4092909708</v>
      </c>
      <c r="D21">
        <v>0</v>
      </c>
      <c r="E21">
        <v>437444.47178655531</v>
      </c>
      <c r="F21">
        <v>3171470.77</v>
      </c>
      <c r="J21">
        <v>0</v>
      </c>
      <c r="K21">
        <v>2734026.4092909708</v>
      </c>
      <c r="L21">
        <v>0</v>
      </c>
      <c r="M21">
        <v>437444.47178655531</v>
      </c>
      <c r="N21">
        <v>3171470.8810775261</v>
      </c>
      <c r="R21">
        <v>0</v>
      </c>
      <c r="S21">
        <v>0</v>
      </c>
      <c r="T21" t="s">
        <v>875</v>
      </c>
      <c r="U21" t="s">
        <v>59</v>
      </c>
      <c r="V21" t="s">
        <v>90</v>
      </c>
      <c r="W21">
        <v>4</v>
      </c>
      <c r="X21">
        <v>1</v>
      </c>
      <c r="Y21" t="s">
        <v>73</v>
      </c>
      <c r="Z21">
        <v>2734026.4092909708</v>
      </c>
      <c r="AA21">
        <v>3171470.8810775261</v>
      </c>
      <c r="AB21" t="s">
        <v>883</v>
      </c>
      <c r="AD21">
        <v>0</v>
      </c>
      <c r="AE21">
        <v>0</v>
      </c>
      <c r="AF21">
        <v>3171470.77</v>
      </c>
      <c r="AG21">
        <v>3171470.77</v>
      </c>
      <c r="AK21">
        <v>0</v>
      </c>
    </row>
    <row r="22" spans="1:37" x14ac:dyDescent="0.25">
      <c r="A22">
        <v>71217</v>
      </c>
      <c r="B22" t="s">
        <v>146</v>
      </c>
      <c r="C22">
        <v>2714666.1169558228</v>
      </c>
      <c r="D22">
        <v>0</v>
      </c>
      <c r="E22">
        <v>430920.01413485152</v>
      </c>
      <c r="F22">
        <v>3145586.0403</v>
      </c>
      <c r="J22">
        <v>0</v>
      </c>
      <c r="K22">
        <v>2714666.1169558228</v>
      </c>
      <c r="L22">
        <v>0</v>
      </c>
      <c r="M22">
        <v>430920.01413485152</v>
      </c>
      <c r="N22">
        <v>3145586.131090675</v>
      </c>
      <c r="R22">
        <v>0</v>
      </c>
      <c r="S22">
        <v>0</v>
      </c>
      <c r="T22">
        <v>0</v>
      </c>
      <c r="U22" t="s">
        <v>59</v>
      </c>
      <c r="V22" t="s">
        <v>75</v>
      </c>
      <c r="W22">
        <v>4</v>
      </c>
      <c r="Y22" t="s">
        <v>73</v>
      </c>
      <c r="Z22">
        <v>2714666.1169558228</v>
      </c>
      <c r="AA22">
        <v>3145586.131090675</v>
      </c>
      <c r="AB22" t="s">
        <v>884</v>
      </c>
      <c r="AD22">
        <v>0</v>
      </c>
      <c r="AE22">
        <v>0</v>
      </c>
      <c r="AF22">
        <v>3145586.01</v>
      </c>
      <c r="AG22">
        <v>3145586.0403</v>
      </c>
      <c r="AH22">
        <v>0</v>
      </c>
      <c r="AJ22" s="130">
        <v>46048</v>
      </c>
      <c r="AK22">
        <v>0</v>
      </c>
    </row>
    <row r="23" spans="1:37" x14ac:dyDescent="0.25">
      <c r="A23">
        <v>80622</v>
      </c>
      <c r="B23" t="s">
        <v>150</v>
      </c>
      <c r="C23">
        <v>2556718.492710277</v>
      </c>
      <c r="D23">
        <v>0</v>
      </c>
      <c r="E23">
        <v>409074.99143364409</v>
      </c>
      <c r="F23">
        <v>2965793.48</v>
      </c>
      <c r="J23">
        <v>0</v>
      </c>
      <c r="K23">
        <v>2556718.492710277</v>
      </c>
      <c r="L23">
        <v>0</v>
      </c>
      <c r="M23">
        <v>409074.99143364409</v>
      </c>
      <c r="N23">
        <v>2965793.4841439212</v>
      </c>
      <c r="R23">
        <v>0</v>
      </c>
      <c r="S23">
        <v>0</v>
      </c>
      <c r="T23">
        <v>0</v>
      </c>
      <c r="U23" t="s">
        <v>59</v>
      </c>
      <c r="V23" t="s">
        <v>133</v>
      </c>
      <c r="W23">
        <v>4</v>
      </c>
      <c r="Y23" t="s">
        <v>57</v>
      </c>
      <c r="AB23">
        <v>0</v>
      </c>
      <c r="AD23">
        <v>0</v>
      </c>
      <c r="AE23">
        <v>0</v>
      </c>
      <c r="AF23">
        <v>2965793.48</v>
      </c>
      <c r="AG23">
        <v>2965793.48</v>
      </c>
      <c r="AH23">
        <v>2362760.0099999998</v>
      </c>
      <c r="AI23">
        <v>4</v>
      </c>
      <c r="AJ23" s="130">
        <v>46058</v>
      </c>
      <c r="AK23">
        <v>0</v>
      </c>
    </row>
    <row r="24" spans="1:37" x14ac:dyDescent="0.25">
      <c r="A24">
        <v>7875</v>
      </c>
      <c r="B24" t="s">
        <v>154</v>
      </c>
      <c r="C24">
        <v>2514428.1605335069</v>
      </c>
      <c r="D24">
        <v>0</v>
      </c>
      <c r="E24">
        <v>402308.46228536119</v>
      </c>
      <c r="F24">
        <v>2916736.59</v>
      </c>
      <c r="J24">
        <v>0</v>
      </c>
      <c r="K24">
        <v>2514428.1605335069</v>
      </c>
      <c r="L24">
        <v>0</v>
      </c>
      <c r="M24">
        <v>402308.46228536119</v>
      </c>
      <c r="N24">
        <v>2916736.6228188691</v>
      </c>
      <c r="R24">
        <v>0</v>
      </c>
      <c r="S24">
        <v>0</v>
      </c>
      <c r="T24" t="s">
        <v>875</v>
      </c>
      <c r="U24" t="s">
        <v>59</v>
      </c>
      <c r="V24" t="s">
        <v>90</v>
      </c>
      <c r="W24">
        <v>4</v>
      </c>
      <c r="X24">
        <v>1</v>
      </c>
      <c r="Y24" t="s">
        <v>73</v>
      </c>
      <c r="Z24">
        <v>2514428.1605335069</v>
      </c>
      <c r="AA24">
        <v>2916736.6228188691</v>
      </c>
      <c r="AB24" t="s">
        <v>885</v>
      </c>
      <c r="AD24">
        <v>0</v>
      </c>
      <c r="AE24">
        <v>0</v>
      </c>
      <c r="AF24">
        <v>2916736.59</v>
      </c>
      <c r="AG24">
        <v>2916736.59</v>
      </c>
      <c r="AK24">
        <v>1</v>
      </c>
    </row>
    <row r="25" spans="1:37" x14ac:dyDescent="0.25">
      <c r="A25">
        <v>313387</v>
      </c>
      <c r="B25" t="s">
        <v>158</v>
      </c>
      <c r="C25">
        <v>2678050.8916530032</v>
      </c>
      <c r="D25">
        <v>145825.81851224019</v>
      </c>
      <c r="E25">
        <v>0</v>
      </c>
      <c r="F25">
        <v>2823876.7097999998</v>
      </c>
      <c r="J25">
        <v>0</v>
      </c>
      <c r="K25">
        <v>2678050.8916530032</v>
      </c>
      <c r="L25">
        <v>145825.81851224019</v>
      </c>
      <c r="M25">
        <v>0</v>
      </c>
      <c r="N25">
        <v>2823876.7101652441</v>
      </c>
      <c r="R25">
        <v>0</v>
      </c>
      <c r="S25">
        <v>0</v>
      </c>
      <c r="T25" t="s">
        <v>875</v>
      </c>
      <c r="U25" t="s">
        <v>59</v>
      </c>
      <c r="V25" t="s">
        <v>90</v>
      </c>
      <c r="W25">
        <v>4</v>
      </c>
      <c r="X25">
        <v>1</v>
      </c>
      <c r="Y25" t="s">
        <v>73</v>
      </c>
      <c r="Z25">
        <v>2678050.8916530032</v>
      </c>
      <c r="AA25">
        <v>2823876.7101652441</v>
      </c>
      <c r="AB25" t="s">
        <v>886</v>
      </c>
      <c r="AD25">
        <v>0</v>
      </c>
      <c r="AE25">
        <v>0</v>
      </c>
      <c r="AF25">
        <v>2823876.71</v>
      </c>
      <c r="AG25">
        <v>2823876.7097999998</v>
      </c>
      <c r="AK25">
        <v>1</v>
      </c>
    </row>
    <row r="26" spans="1:37" x14ac:dyDescent="0.25">
      <c r="A26">
        <v>308421</v>
      </c>
      <c r="B26" t="s">
        <v>160</v>
      </c>
      <c r="C26">
        <v>1612446.6748397551</v>
      </c>
      <c r="D26">
        <v>790165.74199232913</v>
      </c>
      <c r="E26">
        <v>384417.98682113318</v>
      </c>
      <c r="F26">
        <v>2787030.5224319999</v>
      </c>
      <c r="J26">
        <v>0</v>
      </c>
      <c r="K26">
        <v>1612446.6748397551</v>
      </c>
      <c r="L26">
        <v>790165.74199232913</v>
      </c>
      <c r="M26">
        <v>384417.98682113318</v>
      </c>
      <c r="N26">
        <v>2787030.403653217</v>
      </c>
      <c r="R26">
        <v>0</v>
      </c>
      <c r="S26">
        <v>0</v>
      </c>
      <c r="T26" t="s">
        <v>875</v>
      </c>
      <c r="U26" t="s">
        <v>59</v>
      </c>
      <c r="V26" t="s">
        <v>90</v>
      </c>
      <c r="W26">
        <v>4</v>
      </c>
      <c r="X26">
        <v>1</v>
      </c>
      <c r="Y26" t="s">
        <v>73</v>
      </c>
      <c r="Z26">
        <v>1612446.6748397551</v>
      </c>
      <c r="AA26">
        <v>2787030.403653217</v>
      </c>
      <c r="AB26">
        <v>0</v>
      </c>
      <c r="AD26">
        <v>0</v>
      </c>
      <c r="AE26">
        <v>0</v>
      </c>
      <c r="AF26">
        <v>2787030.52</v>
      </c>
      <c r="AG26">
        <v>2787030.5224319999</v>
      </c>
      <c r="AK26">
        <v>0</v>
      </c>
    </row>
    <row r="27" spans="1:37" x14ac:dyDescent="0.25">
      <c r="A27">
        <v>82511</v>
      </c>
      <c r="B27" t="s">
        <v>163</v>
      </c>
      <c r="C27">
        <v>2380059.3097901908</v>
      </c>
      <c r="D27">
        <v>0</v>
      </c>
      <c r="E27">
        <v>380809.50590847892</v>
      </c>
      <c r="F27">
        <v>2760868.796899999</v>
      </c>
      <c r="J27">
        <v>0</v>
      </c>
      <c r="K27">
        <v>2380059.3097901908</v>
      </c>
      <c r="L27">
        <v>0</v>
      </c>
      <c r="M27">
        <v>380809.50590847892</v>
      </c>
      <c r="N27">
        <v>2760868.8156986702</v>
      </c>
      <c r="R27">
        <v>0</v>
      </c>
      <c r="S27">
        <v>0</v>
      </c>
      <c r="T27" t="s">
        <v>875</v>
      </c>
      <c r="U27" t="s">
        <v>59</v>
      </c>
      <c r="V27" t="s">
        <v>90</v>
      </c>
      <c r="W27">
        <v>4</v>
      </c>
      <c r="X27">
        <v>1</v>
      </c>
      <c r="Y27" t="s">
        <v>73</v>
      </c>
      <c r="Z27">
        <v>2380059.3097901908</v>
      </c>
      <c r="AA27">
        <v>2760868.8156986702</v>
      </c>
      <c r="AB27" t="s">
        <v>166</v>
      </c>
      <c r="AD27">
        <v>0</v>
      </c>
      <c r="AE27">
        <v>0</v>
      </c>
      <c r="AF27">
        <v>2760868.9</v>
      </c>
      <c r="AG27">
        <v>2760868.796899999</v>
      </c>
      <c r="AK27">
        <v>1</v>
      </c>
    </row>
    <row r="28" spans="1:37" x14ac:dyDescent="0.25">
      <c r="A28">
        <v>21943</v>
      </c>
      <c r="B28" t="s">
        <v>163</v>
      </c>
      <c r="C28">
        <v>2292934.1380142099</v>
      </c>
      <c r="D28">
        <v>0</v>
      </c>
      <c r="E28">
        <v>366869.46208227333</v>
      </c>
      <c r="F28">
        <v>2659803.66</v>
      </c>
      <c r="J28">
        <v>0</v>
      </c>
      <c r="K28">
        <v>2292934.1380142099</v>
      </c>
      <c r="L28">
        <v>0</v>
      </c>
      <c r="M28">
        <v>366869.46208227333</v>
      </c>
      <c r="N28">
        <v>2659803.6000964828</v>
      </c>
      <c r="R28">
        <v>0</v>
      </c>
      <c r="S28">
        <v>0</v>
      </c>
      <c r="T28" t="s">
        <v>875</v>
      </c>
      <c r="U28" t="s">
        <v>59</v>
      </c>
      <c r="V28" t="s">
        <v>90</v>
      </c>
      <c r="W28">
        <v>4</v>
      </c>
      <c r="X28">
        <v>1</v>
      </c>
      <c r="Y28" t="s">
        <v>73</v>
      </c>
      <c r="Z28">
        <v>2292934.1380142099</v>
      </c>
      <c r="AA28">
        <v>2659803.6000964828</v>
      </c>
      <c r="AB28" t="s">
        <v>166</v>
      </c>
      <c r="AD28">
        <v>0</v>
      </c>
      <c r="AE28">
        <v>0</v>
      </c>
      <c r="AF28">
        <v>2659803.66</v>
      </c>
      <c r="AG28">
        <v>2659803.66</v>
      </c>
      <c r="AK28">
        <v>1</v>
      </c>
    </row>
    <row r="29" spans="1:37" x14ac:dyDescent="0.25">
      <c r="A29">
        <v>364</v>
      </c>
      <c r="B29" t="s">
        <v>167</v>
      </c>
      <c r="C29">
        <v>2535880.7058176179</v>
      </c>
      <c r="D29">
        <v>0</v>
      </c>
      <c r="E29">
        <v>0</v>
      </c>
      <c r="F29">
        <v>2535881.080000001</v>
      </c>
      <c r="J29">
        <v>0</v>
      </c>
      <c r="K29">
        <v>2535880.7058176179</v>
      </c>
      <c r="L29">
        <v>0</v>
      </c>
      <c r="M29">
        <v>0</v>
      </c>
      <c r="N29">
        <v>2535880.7058176179</v>
      </c>
      <c r="R29">
        <v>0</v>
      </c>
      <c r="S29">
        <v>0</v>
      </c>
      <c r="T29">
        <v>0</v>
      </c>
      <c r="U29" t="s">
        <v>59</v>
      </c>
      <c r="V29" t="s">
        <v>75</v>
      </c>
      <c r="W29">
        <v>4</v>
      </c>
      <c r="Y29" t="s">
        <v>73</v>
      </c>
      <c r="Z29">
        <v>2535880.7058176179</v>
      </c>
      <c r="AA29">
        <v>2535880.7058176179</v>
      </c>
      <c r="AB29" t="s">
        <v>168</v>
      </c>
      <c r="AD29">
        <v>0</v>
      </c>
      <c r="AE29">
        <v>0</v>
      </c>
      <c r="AF29">
        <v>2535881.080000001</v>
      </c>
      <c r="AG29">
        <v>2535881.080000001</v>
      </c>
      <c r="AH29">
        <v>260797.11</v>
      </c>
      <c r="AI29">
        <v>1</v>
      </c>
      <c r="AJ29" s="130">
        <v>46059</v>
      </c>
      <c r="AK29">
        <v>1</v>
      </c>
    </row>
    <row r="30" spans="1:37" x14ac:dyDescent="0.25">
      <c r="A30">
        <v>11914</v>
      </c>
      <c r="B30" t="s">
        <v>171</v>
      </c>
      <c r="C30">
        <v>2177336.882364308</v>
      </c>
      <c r="D30">
        <v>0</v>
      </c>
      <c r="E30">
        <v>348373.90151952108</v>
      </c>
      <c r="F30">
        <v>2525710.8988000001</v>
      </c>
      <c r="J30">
        <v>0</v>
      </c>
      <c r="K30">
        <v>2177336.882364308</v>
      </c>
      <c r="L30">
        <v>0</v>
      </c>
      <c r="M30">
        <v>348373.90151952108</v>
      </c>
      <c r="N30">
        <v>2525710.7838838301</v>
      </c>
      <c r="R30">
        <v>0</v>
      </c>
      <c r="S30">
        <v>0</v>
      </c>
      <c r="T30" t="s">
        <v>875</v>
      </c>
      <c r="U30" t="s">
        <v>59</v>
      </c>
      <c r="V30" t="s">
        <v>133</v>
      </c>
      <c r="W30">
        <v>4</v>
      </c>
      <c r="Y30" t="s">
        <v>57</v>
      </c>
      <c r="AB30" t="s">
        <v>172</v>
      </c>
      <c r="AD30">
        <v>0</v>
      </c>
      <c r="AE30">
        <v>0</v>
      </c>
      <c r="AF30">
        <v>2525710.9300000002</v>
      </c>
      <c r="AG30">
        <v>2525710.8988000001</v>
      </c>
      <c r="AK30">
        <v>3</v>
      </c>
    </row>
    <row r="31" spans="1:37" x14ac:dyDescent="0.25">
      <c r="A31">
        <v>51698</v>
      </c>
      <c r="B31" t="s">
        <v>174</v>
      </c>
      <c r="C31">
        <v>2017199.8519635261</v>
      </c>
      <c r="D31">
        <v>0</v>
      </c>
      <c r="E31">
        <v>322752.00051416398</v>
      </c>
      <c r="F31">
        <v>2339951.9</v>
      </c>
      <c r="J31">
        <v>0</v>
      </c>
      <c r="K31">
        <v>2017199.8519635261</v>
      </c>
      <c r="L31">
        <v>0</v>
      </c>
      <c r="M31">
        <v>322752.00051416398</v>
      </c>
      <c r="N31">
        <v>2339951.8524776902</v>
      </c>
      <c r="R31">
        <v>0</v>
      </c>
      <c r="S31">
        <v>0</v>
      </c>
      <c r="T31" t="s">
        <v>875</v>
      </c>
      <c r="U31" t="s">
        <v>59</v>
      </c>
      <c r="V31" t="s">
        <v>90</v>
      </c>
      <c r="W31">
        <v>4</v>
      </c>
      <c r="X31">
        <v>1</v>
      </c>
      <c r="Y31" t="s">
        <v>73</v>
      </c>
      <c r="Z31">
        <v>2017199.8519635261</v>
      </c>
      <c r="AA31">
        <v>2339951.8524776902</v>
      </c>
      <c r="AB31" t="s">
        <v>887</v>
      </c>
      <c r="AD31">
        <v>0</v>
      </c>
      <c r="AE31">
        <v>0</v>
      </c>
      <c r="AF31">
        <v>2339951.9</v>
      </c>
      <c r="AG31">
        <v>2339951.9</v>
      </c>
      <c r="AK31">
        <v>1</v>
      </c>
    </row>
    <row r="32" spans="1:37" x14ac:dyDescent="0.25">
      <c r="A32">
        <v>12480</v>
      </c>
      <c r="B32" t="s">
        <v>176</v>
      </c>
      <c r="C32">
        <v>1963610.7503713721</v>
      </c>
      <c r="D32">
        <v>0</v>
      </c>
      <c r="E32">
        <v>314177.72810447548</v>
      </c>
      <c r="F32">
        <v>2277788.3835</v>
      </c>
      <c r="J32">
        <v>0</v>
      </c>
      <c r="K32">
        <v>1963610.7503713721</v>
      </c>
      <c r="L32">
        <v>0</v>
      </c>
      <c r="M32">
        <v>314177.72810447548</v>
      </c>
      <c r="N32">
        <v>2277788.4784758468</v>
      </c>
      <c r="R32">
        <v>0</v>
      </c>
      <c r="S32">
        <v>0</v>
      </c>
      <c r="T32">
        <v>0</v>
      </c>
      <c r="U32" t="s">
        <v>59</v>
      </c>
      <c r="V32" t="s">
        <v>75</v>
      </c>
      <c r="W32">
        <v>4</v>
      </c>
      <c r="Y32" t="s">
        <v>73</v>
      </c>
      <c r="Z32">
        <v>1963610.7503713721</v>
      </c>
      <c r="AA32">
        <v>2277788.4784758468</v>
      </c>
      <c r="AB32" t="s">
        <v>177</v>
      </c>
      <c r="AD32">
        <v>0</v>
      </c>
      <c r="AE32">
        <v>0</v>
      </c>
      <c r="AF32">
        <v>2277788.38</v>
      </c>
      <c r="AG32">
        <v>2277788.3835</v>
      </c>
      <c r="AH32">
        <v>2277788.3835</v>
      </c>
      <c r="AJ32" s="130">
        <v>46038</v>
      </c>
      <c r="AK32">
        <v>0</v>
      </c>
    </row>
    <row r="33" spans="1:37" x14ac:dyDescent="0.25">
      <c r="A33">
        <v>11042</v>
      </c>
      <c r="B33" t="s">
        <v>180</v>
      </c>
      <c r="C33">
        <v>1539286.01082359</v>
      </c>
      <c r="D33">
        <v>407910.77176825132</v>
      </c>
      <c r="E33">
        <v>311551.54221069458</v>
      </c>
      <c r="F33">
        <v>2258748.1999999988</v>
      </c>
      <c r="J33">
        <v>0</v>
      </c>
      <c r="K33">
        <v>1467671.3908235901</v>
      </c>
      <c r="L33">
        <v>388932.90176825132</v>
      </c>
      <c r="M33">
        <v>297056.74221069459</v>
      </c>
      <c r="N33">
        <v>2153661.034802536</v>
      </c>
      <c r="O33">
        <v>71614.62</v>
      </c>
      <c r="P33">
        <v>18977.87</v>
      </c>
      <c r="Q33">
        <v>14494.8</v>
      </c>
      <c r="R33">
        <v>105087.29</v>
      </c>
      <c r="S33">
        <v>0</v>
      </c>
      <c r="T33" t="s">
        <v>875</v>
      </c>
      <c r="U33" t="s">
        <v>59</v>
      </c>
      <c r="V33" t="s">
        <v>75</v>
      </c>
      <c r="W33">
        <v>4</v>
      </c>
      <c r="Y33" t="s">
        <v>57</v>
      </c>
      <c r="AB33" t="s">
        <v>181</v>
      </c>
      <c r="AD33">
        <v>0</v>
      </c>
      <c r="AE33">
        <v>0</v>
      </c>
      <c r="AF33">
        <v>2258748.2000000002</v>
      </c>
      <c r="AG33">
        <v>2258748.1999999988</v>
      </c>
      <c r="AK33">
        <v>0</v>
      </c>
    </row>
    <row r="34" spans="1:37" x14ac:dyDescent="0.25">
      <c r="A34">
        <v>307988</v>
      </c>
      <c r="B34" t="s">
        <v>183</v>
      </c>
      <c r="C34">
        <v>1768456.2296</v>
      </c>
      <c r="D34">
        <v>0</v>
      </c>
      <c r="E34">
        <v>282952.99680000002</v>
      </c>
      <c r="F34">
        <v>2051409.3681000001</v>
      </c>
      <c r="J34">
        <v>0</v>
      </c>
      <c r="K34">
        <v>1768456.2296</v>
      </c>
      <c r="L34">
        <v>0</v>
      </c>
      <c r="M34">
        <v>282952.99680000002</v>
      </c>
      <c r="N34">
        <v>2051409.2264</v>
      </c>
      <c r="R34">
        <v>0</v>
      </c>
      <c r="S34">
        <v>0</v>
      </c>
      <c r="T34" t="s">
        <v>875</v>
      </c>
      <c r="U34" t="s">
        <v>59</v>
      </c>
      <c r="V34" t="s">
        <v>90</v>
      </c>
      <c r="W34">
        <v>4</v>
      </c>
      <c r="X34">
        <v>1</v>
      </c>
      <c r="Y34" t="s">
        <v>73</v>
      </c>
      <c r="Z34">
        <v>1768456.2296</v>
      </c>
      <c r="AA34">
        <v>2051409.2264</v>
      </c>
      <c r="AB34">
        <v>0</v>
      </c>
      <c r="AD34">
        <v>0</v>
      </c>
      <c r="AE34">
        <v>0</v>
      </c>
      <c r="AF34">
        <v>2051409.38</v>
      </c>
      <c r="AG34">
        <v>2051409.3681000001</v>
      </c>
      <c r="AK34">
        <v>0</v>
      </c>
    </row>
    <row r="35" spans="1:37" x14ac:dyDescent="0.25">
      <c r="A35">
        <v>319178</v>
      </c>
      <c r="B35" t="s">
        <v>184</v>
      </c>
      <c r="C35">
        <v>1899275.9204441679</v>
      </c>
      <c r="D35">
        <v>0</v>
      </c>
      <c r="E35">
        <v>0</v>
      </c>
      <c r="F35">
        <v>1899275.892299999</v>
      </c>
      <c r="J35">
        <v>0</v>
      </c>
      <c r="K35">
        <v>1307819.1504441679</v>
      </c>
      <c r="L35">
        <v>0</v>
      </c>
      <c r="M35">
        <v>0</v>
      </c>
      <c r="N35">
        <v>1307819.1504441679</v>
      </c>
      <c r="O35">
        <v>591456.77</v>
      </c>
      <c r="P35">
        <v>0</v>
      </c>
      <c r="Q35">
        <v>0</v>
      </c>
      <c r="R35">
        <v>591456.77</v>
      </c>
      <c r="S35">
        <v>0</v>
      </c>
      <c r="T35">
        <v>0</v>
      </c>
      <c r="U35" t="s">
        <v>59</v>
      </c>
      <c r="V35" t="s">
        <v>75</v>
      </c>
      <c r="W35">
        <v>4</v>
      </c>
      <c r="Y35" t="s">
        <v>57</v>
      </c>
      <c r="AB35" t="s">
        <v>181</v>
      </c>
      <c r="AD35">
        <v>0</v>
      </c>
      <c r="AE35">
        <v>0</v>
      </c>
      <c r="AF35">
        <v>1899275.94</v>
      </c>
      <c r="AG35">
        <v>1899275.892299999</v>
      </c>
      <c r="AJ35" s="130">
        <v>46042</v>
      </c>
      <c r="AK35">
        <v>0</v>
      </c>
    </row>
    <row r="36" spans="1:37" x14ac:dyDescent="0.25">
      <c r="A36">
        <v>7410</v>
      </c>
      <c r="B36" t="s">
        <v>135</v>
      </c>
      <c r="C36">
        <v>1677791.022575391</v>
      </c>
      <c r="D36">
        <v>0</v>
      </c>
      <c r="E36">
        <v>220404.50557137531</v>
      </c>
      <c r="F36">
        <v>1898195.6</v>
      </c>
      <c r="J36">
        <v>0</v>
      </c>
      <c r="K36">
        <v>1677791.022575391</v>
      </c>
      <c r="L36">
        <v>0</v>
      </c>
      <c r="M36">
        <v>220404.50557137531</v>
      </c>
      <c r="N36">
        <v>1898195.5281467671</v>
      </c>
      <c r="R36">
        <v>0</v>
      </c>
      <c r="S36" t="s">
        <v>878</v>
      </c>
      <c r="T36" t="s">
        <v>879</v>
      </c>
      <c r="U36" t="s">
        <v>59</v>
      </c>
      <c r="V36" t="s">
        <v>75</v>
      </c>
      <c r="W36">
        <v>4</v>
      </c>
      <c r="X36">
        <v>5</v>
      </c>
      <c r="Y36" t="s">
        <v>57</v>
      </c>
      <c r="AB36" t="s">
        <v>888</v>
      </c>
      <c r="AC36" t="s">
        <v>155</v>
      </c>
      <c r="AD36">
        <v>0</v>
      </c>
      <c r="AE36">
        <v>0</v>
      </c>
      <c r="AF36">
        <v>1898195.6</v>
      </c>
      <c r="AG36">
        <v>1898195.6</v>
      </c>
      <c r="AH36">
        <v>0</v>
      </c>
      <c r="AK36">
        <v>5</v>
      </c>
    </row>
    <row r="37" spans="1:37" x14ac:dyDescent="0.25">
      <c r="A37">
        <v>303974</v>
      </c>
      <c r="B37" t="s">
        <v>188</v>
      </c>
      <c r="C37">
        <v>1805198.339684733</v>
      </c>
      <c r="D37">
        <v>0</v>
      </c>
      <c r="E37">
        <v>0</v>
      </c>
      <c r="F37">
        <v>1805198.33</v>
      </c>
      <c r="G37">
        <v>1799385</v>
      </c>
      <c r="J37">
        <v>1799385</v>
      </c>
      <c r="K37">
        <v>0</v>
      </c>
      <c r="L37">
        <v>0</v>
      </c>
      <c r="M37">
        <v>0</v>
      </c>
      <c r="N37">
        <v>0</v>
      </c>
      <c r="O37">
        <v>5813</v>
      </c>
      <c r="R37">
        <v>5813</v>
      </c>
      <c r="S37">
        <v>0</v>
      </c>
      <c r="T37">
        <v>0</v>
      </c>
      <c r="U37" t="s">
        <v>59</v>
      </c>
      <c r="V37" t="s">
        <v>82</v>
      </c>
      <c r="W37">
        <v>4</v>
      </c>
      <c r="Y37" t="s">
        <v>81</v>
      </c>
      <c r="Z37">
        <v>1799385</v>
      </c>
      <c r="AA37">
        <v>1799385</v>
      </c>
      <c r="AB37">
        <v>0</v>
      </c>
      <c r="AD37">
        <v>0</v>
      </c>
      <c r="AE37">
        <v>0</v>
      </c>
      <c r="AF37">
        <v>1805198.33</v>
      </c>
      <c r="AG37">
        <v>1805198.33</v>
      </c>
      <c r="AH37">
        <v>1805198.33</v>
      </c>
      <c r="AI37">
        <v>16</v>
      </c>
      <c r="AJ37" s="130">
        <v>46041</v>
      </c>
      <c r="AK37">
        <v>0</v>
      </c>
    </row>
    <row r="38" spans="1:37" x14ac:dyDescent="0.25">
      <c r="A38">
        <v>29272</v>
      </c>
      <c r="B38" t="s">
        <v>192</v>
      </c>
      <c r="C38">
        <v>1802449.1933360321</v>
      </c>
      <c r="D38">
        <v>0</v>
      </c>
      <c r="E38">
        <v>0</v>
      </c>
      <c r="F38">
        <v>1802449.19</v>
      </c>
      <c r="J38">
        <v>0</v>
      </c>
      <c r="K38">
        <v>1802449.1933360321</v>
      </c>
      <c r="L38">
        <v>0</v>
      </c>
      <c r="M38">
        <v>0</v>
      </c>
      <c r="N38">
        <v>1802449.1933360321</v>
      </c>
      <c r="R38">
        <v>0</v>
      </c>
      <c r="S38">
        <v>0</v>
      </c>
      <c r="T38" t="s">
        <v>875</v>
      </c>
      <c r="U38" t="s">
        <v>59</v>
      </c>
      <c r="V38" t="s">
        <v>90</v>
      </c>
      <c r="W38">
        <v>4</v>
      </c>
      <c r="X38">
        <v>1</v>
      </c>
      <c r="Y38" t="s">
        <v>73</v>
      </c>
      <c r="Z38">
        <v>1802449.1933360321</v>
      </c>
      <c r="AA38">
        <v>1802449.1933360321</v>
      </c>
      <c r="AB38" t="s">
        <v>193</v>
      </c>
      <c r="AD38">
        <v>0</v>
      </c>
      <c r="AE38">
        <v>0</v>
      </c>
      <c r="AF38">
        <v>1802449.19</v>
      </c>
      <c r="AG38">
        <v>1802449.19</v>
      </c>
      <c r="AK38">
        <v>0</v>
      </c>
    </row>
    <row r="39" spans="1:37" x14ac:dyDescent="0.25">
      <c r="A39">
        <v>21367</v>
      </c>
      <c r="B39" t="s">
        <v>195</v>
      </c>
      <c r="C39">
        <v>1641249.7331815269</v>
      </c>
      <c r="D39">
        <v>0</v>
      </c>
      <c r="E39">
        <v>84613.103042972798</v>
      </c>
      <c r="F39">
        <v>1725862.8274999999</v>
      </c>
      <c r="G39">
        <v>624456.68999999994</v>
      </c>
      <c r="I39">
        <v>63085.57</v>
      </c>
      <c r="J39">
        <v>687542.25999999989</v>
      </c>
      <c r="K39">
        <v>1016793.0431815271</v>
      </c>
      <c r="L39">
        <v>0</v>
      </c>
      <c r="M39">
        <v>21527.533042972798</v>
      </c>
      <c r="N39">
        <v>1038320.5762245</v>
      </c>
      <c r="R39">
        <v>0</v>
      </c>
      <c r="S39">
        <v>0</v>
      </c>
      <c r="T39" t="s">
        <v>889</v>
      </c>
      <c r="U39" t="s">
        <v>59</v>
      </c>
      <c r="V39" t="s">
        <v>75</v>
      </c>
      <c r="W39">
        <v>4</v>
      </c>
      <c r="Y39" t="s">
        <v>73</v>
      </c>
      <c r="Z39">
        <v>1641249.7331815269</v>
      </c>
      <c r="AA39">
        <v>1725862.8362245001</v>
      </c>
      <c r="AB39" t="s">
        <v>196</v>
      </c>
      <c r="AD39">
        <v>0</v>
      </c>
      <c r="AE39">
        <v>0</v>
      </c>
      <c r="AF39">
        <v>1725862.83</v>
      </c>
      <c r="AG39">
        <v>1725862.8274999999</v>
      </c>
      <c r="AK39">
        <v>0</v>
      </c>
    </row>
    <row r="40" spans="1:37" x14ac:dyDescent="0.25">
      <c r="A40">
        <v>13835</v>
      </c>
      <c r="B40" t="s">
        <v>199</v>
      </c>
      <c r="C40">
        <v>1695399.25194908</v>
      </c>
      <c r="D40">
        <v>0</v>
      </c>
      <c r="E40">
        <v>0</v>
      </c>
      <c r="F40">
        <v>1695399.25</v>
      </c>
      <c r="G40">
        <v>1565314.25194908</v>
      </c>
      <c r="J40">
        <v>1565314.25194908</v>
      </c>
      <c r="L40">
        <v>0</v>
      </c>
      <c r="M40">
        <v>0</v>
      </c>
      <c r="N40">
        <v>0</v>
      </c>
      <c r="O40">
        <v>130085</v>
      </c>
      <c r="P40">
        <v>0</v>
      </c>
      <c r="Q40">
        <v>0</v>
      </c>
      <c r="R40">
        <v>130085</v>
      </c>
      <c r="S40">
        <v>0</v>
      </c>
      <c r="T40" t="s">
        <v>890</v>
      </c>
      <c r="U40" t="s">
        <v>59</v>
      </c>
      <c r="V40" t="s">
        <v>82</v>
      </c>
      <c r="W40">
        <v>4</v>
      </c>
      <c r="Y40" t="s">
        <v>81</v>
      </c>
      <c r="Z40">
        <v>1565314.25194908</v>
      </c>
      <c r="AA40">
        <v>1565314.25194908</v>
      </c>
      <c r="AB40">
        <v>0</v>
      </c>
      <c r="AD40">
        <v>0</v>
      </c>
      <c r="AE40">
        <v>0</v>
      </c>
      <c r="AF40">
        <v>1695399.25</v>
      </c>
      <c r="AG40">
        <v>1695399.25</v>
      </c>
      <c r="AK40">
        <v>0</v>
      </c>
    </row>
    <row r="41" spans="1:37" x14ac:dyDescent="0.25">
      <c r="A41">
        <v>327197</v>
      </c>
      <c r="B41" t="s">
        <v>201</v>
      </c>
      <c r="C41">
        <v>1454493.128908287</v>
      </c>
      <c r="D41">
        <v>0</v>
      </c>
      <c r="E41">
        <v>232718.90282532579</v>
      </c>
      <c r="F41">
        <v>1687212.04</v>
      </c>
      <c r="G41">
        <v>1026732.698908287</v>
      </c>
      <c r="I41">
        <v>164277.23000000001</v>
      </c>
      <c r="J41">
        <v>1191009.9289082871</v>
      </c>
      <c r="L41">
        <v>0</v>
      </c>
      <c r="M41">
        <v>2.8253258060431108E-3</v>
      </c>
      <c r="N41">
        <v>2.8253258060431108E-3</v>
      </c>
      <c r="O41">
        <v>427760.43</v>
      </c>
      <c r="Q41">
        <v>68441.67</v>
      </c>
      <c r="R41">
        <v>496202.1</v>
      </c>
      <c r="S41">
        <v>0</v>
      </c>
      <c r="T41">
        <v>0</v>
      </c>
      <c r="U41" t="s">
        <v>59</v>
      </c>
      <c r="V41" t="s">
        <v>82</v>
      </c>
      <c r="W41">
        <v>4</v>
      </c>
      <c r="Y41" t="s">
        <v>81</v>
      </c>
      <c r="Z41">
        <v>1026732.698908287</v>
      </c>
      <c r="AA41">
        <v>1191009.9317336129</v>
      </c>
      <c r="AB41">
        <v>0</v>
      </c>
      <c r="AD41">
        <v>0</v>
      </c>
      <c r="AE41">
        <v>0</v>
      </c>
      <c r="AF41">
        <v>1687212.04</v>
      </c>
      <c r="AG41">
        <v>1687212.04</v>
      </c>
      <c r="AH41">
        <v>1228466.72</v>
      </c>
      <c r="AI41">
        <v>9</v>
      </c>
      <c r="AJ41" s="130">
        <v>46049</v>
      </c>
      <c r="AK41">
        <v>0</v>
      </c>
    </row>
    <row r="42" spans="1:37" x14ac:dyDescent="0.25">
      <c r="A42">
        <v>16747</v>
      </c>
      <c r="B42" t="s">
        <v>206</v>
      </c>
      <c r="C42">
        <v>1363627.556019827</v>
      </c>
      <c r="D42">
        <v>0</v>
      </c>
      <c r="E42">
        <v>218180.43166317241</v>
      </c>
      <c r="F42">
        <v>1581808</v>
      </c>
      <c r="J42">
        <v>0</v>
      </c>
      <c r="K42">
        <v>1363627.556019827</v>
      </c>
      <c r="L42">
        <v>0</v>
      </c>
      <c r="M42">
        <v>218180.43166317241</v>
      </c>
      <c r="N42">
        <v>1581807.987683</v>
      </c>
      <c r="R42">
        <v>0</v>
      </c>
      <c r="S42">
        <v>0</v>
      </c>
      <c r="T42">
        <v>0</v>
      </c>
      <c r="U42" t="s">
        <v>59</v>
      </c>
      <c r="V42" t="s">
        <v>75</v>
      </c>
      <c r="W42">
        <v>4</v>
      </c>
      <c r="Y42" t="s">
        <v>73</v>
      </c>
      <c r="Z42">
        <v>1363627.556019827</v>
      </c>
      <c r="AA42">
        <v>1581807.987683</v>
      </c>
      <c r="AB42" t="s">
        <v>207</v>
      </c>
      <c r="AC42" t="s">
        <v>207</v>
      </c>
      <c r="AD42">
        <v>0</v>
      </c>
      <c r="AE42">
        <v>0</v>
      </c>
      <c r="AF42">
        <v>1581808</v>
      </c>
      <c r="AG42">
        <v>1581808</v>
      </c>
      <c r="AH42">
        <v>1581808</v>
      </c>
      <c r="AI42">
        <v>1</v>
      </c>
      <c r="AJ42" s="130">
        <v>46041</v>
      </c>
      <c r="AK42">
        <v>0</v>
      </c>
    </row>
    <row r="43" spans="1:37" x14ac:dyDescent="0.25">
      <c r="A43">
        <v>83394</v>
      </c>
      <c r="B43" t="s">
        <v>209</v>
      </c>
      <c r="C43">
        <v>1061915.9577686239</v>
      </c>
      <c r="D43">
        <v>298798.97400868539</v>
      </c>
      <c r="E43">
        <v>207398.1825003695</v>
      </c>
      <c r="F43">
        <v>1568113.17</v>
      </c>
      <c r="G43">
        <v>76727.77</v>
      </c>
      <c r="H43">
        <v>3495.93</v>
      </c>
      <c r="I43">
        <v>2519.59</v>
      </c>
      <c r="J43">
        <v>82743.289999999994</v>
      </c>
      <c r="L43">
        <v>4.0086854132823646E-3</v>
      </c>
      <c r="M43">
        <v>-7.4996305047534406E-3</v>
      </c>
      <c r="N43">
        <v>-3.490945091471076E-3</v>
      </c>
      <c r="O43">
        <v>985188.19</v>
      </c>
      <c r="P43">
        <v>295303.03999999998</v>
      </c>
      <c r="Q43">
        <v>204878.6</v>
      </c>
      <c r="R43">
        <v>1485369.83</v>
      </c>
      <c r="S43">
        <v>0</v>
      </c>
      <c r="T43">
        <v>0</v>
      </c>
      <c r="U43" t="s">
        <v>59</v>
      </c>
      <c r="V43" t="s">
        <v>82</v>
      </c>
      <c r="W43">
        <v>4</v>
      </c>
      <c r="Y43" t="s">
        <v>81</v>
      </c>
      <c r="Z43">
        <v>76727.77</v>
      </c>
      <c r="AA43">
        <v>82743.286509054902</v>
      </c>
      <c r="AB43">
        <v>0</v>
      </c>
      <c r="AD43">
        <v>0</v>
      </c>
      <c r="AE43">
        <v>0</v>
      </c>
      <c r="AF43">
        <v>1568113.17</v>
      </c>
      <c r="AG43">
        <v>1568113.17</v>
      </c>
      <c r="AH43">
        <v>1484390.6</v>
      </c>
      <c r="AI43">
        <v>2</v>
      </c>
      <c r="AJ43" s="130">
        <v>46042</v>
      </c>
      <c r="AK43">
        <v>0</v>
      </c>
    </row>
    <row r="44" spans="1:37" x14ac:dyDescent="0.25">
      <c r="A44">
        <v>305</v>
      </c>
      <c r="B44" t="s">
        <v>211</v>
      </c>
      <c r="C44">
        <v>1561609.3994974131</v>
      </c>
      <c r="D44">
        <v>0</v>
      </c>
      <c r="E44">
        <v>0</v>
      </c>
      <c r="F44">
        <v>1561608.5599999989</v>
      </c>
      <c r="J44">
        <v>0</v>
      </c>
      <c r="K44">
        <v>1561609.3994974131</v>
      </c>
      <c r="L44">
        <v>0</v>
      </c>
      <c r="M44">
        <v>0</v>
      </c>
      <c r="N44">
        <v>1561609.3994974131</v>
      </c>
      <c r="R44">
        <v>0</v>
      </c>
      <c r="S44">
        <v>0</v>
      </c>
      <c r="T44" t="s">
        <v>875</v>
      </c>
      <c r="U44" t="s">
        <v>59</v>
      </c>
      <c r="V44" t="s">
        <v>90</v>
      </c>
      <c r="W44">
        <v>4</v>
      </c>
      <c r="X44">
        <v>1</v>
      </c>
      <c r="Y44" t="s">
        <v>73</v>
      </c>
      <c r="Z44">
        <v>1561609.3994974131</v>
      </c>
      <c r="AA44">
        <v>1561609.3994974131</v>
      </c>
      <c r="AB44" t="s">
        <v>212</v>
      </c>
      <c r="AD44">
        <v>0</v>
      </c>
      <c r="AE44">
        <v>0</v>
      </c>
      <c r="AF44">
        <v>1561608.56</v>
      </c>
      <c r="AG44">
        <v>1561608.5599999989</v>
      </c>
      <c r="AK44">
        <v>0</v>
      </c>
    </row>
    <row r="45" spans="1:37" x14ac:dyDescent="0.25">
      <c r="A45">
        <v>34801</v>
      </c>
      <c r="B45" t="s">
        <v>214</v>
      </c>
      <c r="C45">
        <v>1340024.6200000001</v>
      </c>
      <c r="D45">
        <v>0</v>
      </c>
      <c r="E45">
        <v>214403.93919999999</v>
      </c>
      <c r="F45">
        <v>1554428.58</v>
      </c>
      <c r="J45">
        <v>0</v>
      </c>
      <c r="K45">
        <v>1340024.6200000001</v>
      </c>
      <c r="L45">
        <v>0</v>
      </c>
      <c r="M45">
        <v>214403.93919999999</v>
      </c>
      <c r="N45">
        <v>1554428.5592</v>
      </c>
      <c r="R45">
        <v>0</v>
      </c>
      <c r="S45">
        <v>0</v>
      </c>
      <c r="T45" t="s">
        <v>875</v>
      </c>
      <c r="U45" t="s">
        <v>59</v>
      </c>
      <c r="V45" t="s">
        <v>90</v>
      </c>
      <c r="W45">
        <v>4</v>
      </c>
      <c r="X45">
        <v>1</v>
      </c>
      <c r="Y45" t="s">
        <v>73</v>
      </c>
      <c r="Z45">
        <v>1340024.6200000001</v>
      </c>
      <c r="AA45">
        <v>1554428.5592</v>
      </c>
      <c r="AB45" t="s">
        <v>215</v>
      </c>
      <c r="AD45">
        <v>0</v>
      </c>
      <c r="AE45">
        <v>0</v>
      </c>
      <c r="AF45">
        <v>1554428.58</v>
      </c>
      <c r="AG45">
        <v>1554428.58</v>
      </c>
      <c r="AK45">
        <v>1</v>
      </c>
    </row>
    <row r="46" spans="1:37" x14ac:dyDescent="0.25">
      <c r="A46">
        <v>312231</v>
      </c>
      <c r="B46" t="s">
        <v>217</v>
      </c>
      <c r="C46">
        <v>1362282.35</v>
      </c>
      <c r="D46">
        <v>0</v>
      </c>
      <c r="E46">
        <v>184002.29440000001</v>
      </c>
      <c r="F46">
        <v>1546284.54</v>
      </c>
      <c r="J46">
        <v>0</v>
      </c>
      <c r="K46">
        <v>1362282.35</v>
      </c>
      <c r="L46">
        <v>0</v>
      </c>
      <c r="M46">
        <v>184002.29440000001</v>
      </c>
      <c r="N46">
        <v>1546284.6444000001</v>
      </c>
      <c r="R46">
        <v>0</v>
      </c>
      <c r="S46">
        <v>0</v>
      </c>
      <c r="T46">
        <v>0</v>
      </c>
      <c r="U46" t="s">
        <v>59</v>
      </c>
      <c r="V46" t="s">
        <v>75</v>
      </c>
      <c r="W46">
        <v>4</v>
      </c>
      <c r="Y46" t="s">
        <v>73</v>
      </c>
      <c r="Z46">
        <v>1362282.35</v>
      </c>
      <c r="AA46">
        <v>1546284.6444000001</v>
      </c>
      <c r="AB46" t="s">
        <v>218</v>
      </c>
      <c r="AC46" t="s">
        <v>218</v>
      </c>
      <c r="AD46">
        <v>0</v>
      </c>
      <c r="AE46">
        <v>0</v>
      </c>
      <c r="AF46">
        <v>1546284.54</v>
      </c>
      <c r="AG46">
        <v>1546284.54</v>
      </c>
      <c r="AH46">
        <v>0</v>
      </c>
      <c r="AJ46" s="130">
        <v>46042</v>
      </c>
      <c r="AK46">
        <v>0</v>
      </c>
    </row>
    <row r="47" spans="1:37" x14ac:dyDescent="0.25">
      <c r="A47">
        <v>75390</v>
      </c>
      <c r="B47" t="s">
        <v>221</v>
      </c>
      <c r="C47">
        <v>1455353.9391289761</v>
      </c>
      <c r="D47">
        <v>0</v>
      </c>
      <c r="E47">
        <v>0</v>
      </c>
      <c r="F47">
        <v>1455353.93</v>
      </c>
      <c r="J47">
        <v>0</v>
      </c>
      <c r="K47">
        <v>1384859.78</v>
      </c>
      <c r="L47">
        <v>0</v>
      </c>
      <c r="M47">
        <v>0</v>
      </c>
      <c r="N47">
        <v>1384859.78</v>
      </c>
      <c r="O47">
        <v>70494.149999999994</v>
      </c>
      <c r="R47">
        <v>70494.149999999994</v>
      </c>
      <c r="S47">
        <v>0</v>
      </c>
      <c r="T47">
        <v>0</v>
      </c>
      <c r="U47" t="s">
        <v>59</v>
      </c>
      <c r="V47" t="s">
        <v>75</v>
      </c>
      <c r="W47">
        <v>4</v>
      </c>
      <c r="Y47" t="s">
        <v>73</v>
      </c>
      <c r="Z47">
        <v>1384859.78</v>
      </c>
      <c r="AA47">
        <v>1384859.78</v>
      </c>
      <c r="AB47" t="s">
        <v>222</v>
      </c>
      <c r="AC47" t="s">
        <v>222</v>
      </c>
      <c r="AD47">
        <v>0</v>
      </c>
      <c r="AE47">
        <v>0</v>
      </c>
      <c r="AF47">
        <v>1455353.93</v>
      </c>
      <c r="AG47">
        <v>1455353.93</v>
      </c>
      <c r="AH47">
        <v>0</v>
      </c>
      <c r="AJ47" s="130">
        <v>46041</v>
      </c>
      <c r="AK47">
        <v>26</v>
      </c>
    </row>
    <row r="48" spans="1:37" x14ac:dyDescent="0.25">
      <c r="A48">
        <v>379495</v>
      </c>
      <c r="B48" t="s">
        <v>224</v>
      </c>
      <c r="C48">
        <v>1308098.27</v>
      </c>
      <c r="D48">
        <v>92146.031999999992</v>
      </c>
      <c r="E48">
        <v>6112.6320000000014</v>
      </c>
      <c r="F48">
        <v>1406356.85</v>
      </c>
      <c r="J48">
        <v>0</v>
      </c>
      <c r="K48">
        <v>1308098.27</v>
      </c>
      <c r="L48">
        <v>92146.031999999992</v>
      </c>
      <c r="M48">
        <v>6112.6320000000014</v>
      </c>
      <c r="N48">
        <v>1406356.9339999999</v>
      </c>
      <c r="R48">
        <v>0</v>
      </c>
      <c r="S48">
        <v>0</v>
      </c>
      <c r="T48" t="s">
        <v>875</v>
      </c>
      <c r="U48" t="s">
        <v>59</v>
      </c>
      <c r="V48" t="s">
        <v>90</v>
      </c>
      <c r="W48">
        <v>4</v>
      </c>
      <c r="X48">
        <v>1</v>
      </c>
      <c r="Y48" t="s">
        <v>73</v>
      </c>
      <c r="Z48">
        <v>1308098.27</v>
      </c>
      <c r="AA48">
        <v>1406356.9339999999</v>
      </c>
      <c r="AB48">
        <v>0</v>
      </c>
      <c r="AD48">
        <v>0</v>
      </c>
      <c r="AE48">
        <v>0</v>
      </c>
      <c r="AF48">
        <v>1406356.850000001</v>
      </c>
      <c r="AG48">
        <v>1406356.85</v>
      </c>
      <c r="AK48">
        <v>0</v>
      </c>
    </row>
    <row r="49" spans="1:37" x14ac:dyDescent="0.25">
      <c r="A49">
        <v>51987</v>
      </c>
      <c r="B49" t="s">
        <v>225</v>
      </c>
      <c r="C49">
        <v>1298565.30685293</v>
      </c>
      <c r="D49">
        <v>103885.2505485704</v>
      </c>
      <c r="E49">
        <v>0</v>
      </c>
      <c r="F49">
        <v>1402450.6228</v>
      </c>
      <c r="J49">
        <v>0</v>
      </c>
      <c r="K49">
        <v>1298565.30685293</v>
      </c>
      <c r="L49">
        <v>103885.2505485704</v>
      </c>
      <c r="M49">
        <v>0</v>
      </c>
      <c r="N49">
        <v>1402450.5574014999</v>
      </c>
      <c r="R49">
        <v>0</v>
      </c>
      <c r="S49">
        <v>0</v>
      </c>
      <c r="T49" t="s">
        <v>875</v>
      </c>
      <c r="U49" t="s">
        <v>59</v>
      </c>
      <c r="V49" t="s">
        <v>90</v>
      </c>
      <c r="W49">
        <v>4</v>
      </c>
      <c r="X49">
        <v>1</v>
      </c>
      <c r="Y49" t="s">
        <v>73</v>
      </c>
      <c r="Z49">
        <v>1298565.30685293</v>
      </c>
      <c r="AA49">
        <v>1402450.5574014999</v>
      </c>
      <c r="AB49" t="s">
        <v>166</v>
      </c>
      <c r="AD49">
        <v>0</v>
      </c>
      <c r="AE49">
        <v>0</v>
      </c>
      <c r="AF49">
        <v>1402450.67</v>
      </c>
      <c r="AG49">
        <v>1402450.6228</v>
      </c>
      <c r="AK49">
        <v>1</v>
      </c>
    </row>
    <row r="50" spans="1:37" x14ac:dyDescent="0.25">
      <c r="A50">
        <v>14833</v>
      </c>
      <c r="B50" t="s">
        <v>226</v>
      </c>
      <c r="C50">
        <v>1202006.4078559999</v>
      </c>
      <c r="D50">
        <v>0</v>
      </c>
      <c r="E50">
        <v>192321.0258</v>
      </c>
      <c r="F50">
        <v>1394327.5796000001</v>
      </c>
      <c r="J50">
        <v>0</v>
      </c>
      <c r="K50">
        <v>1202006.4078559999</v>
      </c>
      <c r="L50">
        <v>0</v>
      </c>
      <c r="M50">
        <v>192321.0258</v>
      </c>
      <c r="N50">
        <v>1394327.4336560001</v>
      </c>
      <c r="R50">
        <v>0</v>
      </c>
      <c r="S50">
        <v>0</v>
      </c>
      <c r="T50" t="s">
        <v>875</v>
      </c>
      <c r="U50" t="s">
        <v>59</v>
      </c>
      <c r="V50" t="s">
        <v>90</v>
      </c>
      <c r="W50">
        <v>4</v>
      </c>
      <c r="X50">
        <v>1</v>
      </c>
      <c r="Y50" t="s">
        <v>73</v>
      </c>
      <c r="Z50">
        <v>1202006.4078559999</v>
      </c>
      <c r="AA50">
        <v>1394327.4336560001</v>
      </c>
      <c r="AB50">
        <v>0</v>
      </c>
      <c r="AD50">
        <v>0</v>
      </c>
      <c r="AE50">
        <v>0</v>
      </c>
      <c r="AF50">
        <v>1394327.59</v>
      </c>
      <c r="AG50">
        <v>1394327.5796000001</v>
      </c>
      <c r="AK50">
        <v>0</v>
      </c>
    </row>
    <row r="51" spans="1:37" x14ac:dyDescent="0.25">
      <c r="A51">
        <v>55780</v>
      </c>
      <c r="B51" t="s">
        <v>227</v>
      </c>
      <c r="C51">
        <v>1199170.9634899599</v>
      </c>
      <c r="D51">
        <v>0</v>
      </c>
      <c r="E51">
        <v>191867.47035839359</v>
      </c>
      <c r="F51">
        <v>1391038.55</v>
      </c>
      <c r="J51">
        <v>0</v>
      </c>
      <c r="K51">
        <v>1199170.9634899599</v>
      </c>
      <c r="L51">
        <v>0</v>
      </c>
      <c r="M51">
        <v>191867.47035839359</v>
      </c>
      <c r="N51">
        <v>1391038.433848354</v>
      </c>
      <c r="R51">
        <v>0</v>
      </c>
      <c r="S51">
        <v>0</v>
      </c>
      <c r="T51" t="s">
        <v>875</v>
      </c>
      <c r="U51" t="s">
        <v>59</v>
      </c>
      <c r="V51" t="s">
        <v>90</v>
      </c>
      <c r="W51">
        <v>4</v>
      </c>
      <c r="X51">
        <v>1</v>
      </c>
      <c r="Y51" t="s">
        <v>73</v>
      </c>
      <c r="Z51">
        <v>1199170.9634899599</v>
      </c>
      <c r="AA51">
        <v>1391038.433848354</v>
      </c>
      <c r="AB51" t="s">
        <v>891</v>
      </c>
      <c r="AD51">
        <v>0</v>
      </c>
      <c r="AE51">
        <v>0</v>
      </c>
      <c r="AF51">
        <v>1391038.55</v>
      </c>
      <c r="AG51">
        <v>1391038.55</v>
      </c>
      <c r="AK51">
        <v>1</v>
      </c>
    </row>
    <row r="52" spans="1:37" x14ac:dyDescent="0.25">
      <c r="A52">
        <v>325258</v>
      </c>
      <c r="B52" t="s">
        <v>230</v>
      </c>
      <c r="C52">
        <v>1374858.1583984371</v>
      </c>
      <c r="D52">
        <v>0</v>
      </c>
      <c r="E52">
        <v>4352.8735999999999</v>
      </c>
      <c r="F52">
        <v>1379211.03</v>
      </c>
      <c r="G52">
        <v>323466.15000000002</v>
      </c>
      <c r="H52">
        <v>0</v>
      </c>
      <c r="I52">
        <v>3417.73</v>
      </c>
      <c r="J52">
        <v>326883.88</v>
      </c>
      <c r="K52">
        <v>81753.818398437463</v>
      </c>
      <c r="L52">
        <v>0</v>
      </c>
      <c r="M52">
        <v>3.6000000000058212E-3</v>
      </c>
      <c r="N52">
        <v>81753.821998437459</v>
      </c>
      <c r="O52">
        <v>969638.19</v>
      </c>
      <c r="P52">
        <v>0</v>
      </c>
      <c r="Q52">
        <v>935.14</v>
      </c>
      <c r="R52">
        <v>970573.33</v>
      </c>
      <c r="S52">
        <v>0</v>
      </c>
      <c r="T52" t="s">
        <v>875</v>
      </c>
      <c r="U52" t="s">
        <v>59</v>
      </c>
      <c r="V52" t="s">
        <v>75</v>
      </c>
      <c r="W52">
        <v>4</v>
      </c>
      <c r="Y52" t="s">
        <v>57</v>
      </c>
      <c r="AB52" t="s">
        <v>231</v>
      </c>
      <c r="AD52">
        <v>0</v>
      </c>
      <c r="AE52">
        <v>0</v>
      </c>
      <c r="AF52">
        <v>1379211.03</v>
      </c>
      <c r="AG52">
        <v>1379211.03</v>
      </c>
      <c r="AK52">
        <v>0</v>
      </c>
    </row>
    <row r="53" spans="1:37" x14ac:dyDescent="0.25">
      <c r="A53">
        <v>137</v>
      </c>
      <c r="B53" t="s">
        <v>233</v>
      </c>
      <c r="C53">
        <v>1171057.73823</v>
      </c>
      <c r="D53">
        <v>0</v>
      </c>
      <c r="E53">
        <v>187369.23819999999</v>
      </c>
      <c r="F53">
        <v>1358427.0055</v>
      </c>
      <c r="J53">
        <v>0</v>
      </c>
      <c r="K53">
        <v>1171057.73823</v>
      </c>
      <c r="L53">
        <v>0</v>
      </c>
      <c r="M53">
        <v>187369.23819999999</v>
      </c>
      <c r="N53">
        <v>1358426.97643</v>
      </c>
      <c r="R53">
        <v>0</v>
      </c>
      <c r="S53">
        <v>0</v>
      </c>
      <c r="T53" t="s">
        <v>875</v>
      </c>
      <c r="U53" t="s">
        <v>59</v>
      </c>
      <c r="V53" t="s">
        <v>133</v>
      </c>
      <c r="W53">
        <v>4</v>
      </c>
      <c r="Y53" t="s">
        <v>73</v>
      </c>
      <c r="Z53">
        <v>1171057.73823</v>
      </c>
      <c r="AA53">
        <v>1358426.97643</v>
      </c>
      <c r="AB53" t="s">
        <v>234</v>
      </c>
      <c r="AD53">
        <v>0</v>
      </c>
      <c r="AE53">
        <v>0</v>
      </c>
      <c r="AF53">
        <v>1358427.01</v>
      </c>
      <c r="AG53">
        <v>1358427.0055</v>
      </c>
      <c r="AK53">
        <v>1</v>
      </c>
    </row>
    <row r="54" spans="1:37" x14ac:dyDescent="0.25">
      <c r="A54">
        <v>389783</v>
      </c>
      <c r="B54" t="s">
        <v>235</v>
      </c>
      <c r="C54">
        <v>1044839.95994</v>
      </c>
      <c r="D54">
        <v>0</v>
      </c>
      <c r="E54">
        <v>167174.39610000001</v>
      </c>
      <c r="F54">
        <v>1212014.3607000001</v>
      </c>
      <c r="J54">
        <v>0</v>
      </c>
      <c r="K54">
        <v>1044839.95994</v>
      </c>
      <c r="L54">
        <v>0</v>
      </c>
      <c r="M54">
        <v>167174.39610000001</v>
      </c>
      <c r="N54">
        <v>1212014.35604</v>
      </c>
      <c r="R54">
        <v>0</v>
      </c>
      <c r="S54">
        <v>0</v>
      </c>
      <c r="T54" t="s">
        <v>875</v>
      </c>
      <c r="U54" t="s">
        <v>59</v>
      </c>
      <c r="V54" t="s">
        <v>90</v>
      </c>
      <c r="W54">
        <v>4</v>
      </c>
      <c r="X54">
        <v>1</v>
      </c>
      <c r="Y54" t="s">
        <v>73</v>
      </c>
      <c r="Z54">
        <v>1044839.95994</v>
      </c>
      <c r="AA54">
        <v>1212014.35604</v>
      </c>
      <c r="AB54" t="s">
        <v>236</v>
      </c>
      <c r="AD54">
        <v>0</v>
      </c>
      <c r="AE54">
        <v>0</v>
      </c>
      <c r="AF54">
        <v>1212014.3400000001</v>
      </c>
      <c r="AG54">
        <v>1212014.3607000001</v>
      </c>
      <c r="AK54">
        <v>1</v>
      </c>
    </row>
    <row r="55" spans="1:37" x14ac:dyDescent="0.25">
      <c r="A55">
        <v>397984</v>
      </c>
      <c r="B55" t="s">
        <v>237</v>
      </c>
      <c r="C55">
        <v>1009288.59296292</v>
      </c>
      <c r="D55">
        <v>0</v>
      </c>
      <c r="E55">
        <v>161486.17487406719</v>
      </c>
      <c r="F55">
        <v>1170774.76</v>
      </c>
      <c r="J55">
        <v>0</v>
      </c>
      <c r="K55">
        <v>996068.37296292</v>
      </c>
      <c r="L55">
        <v>0</v>
      </c>
      <c r="M55">
        <v>159370.9348740672</v>
      </c>
      <c r="N55">
        <v>1155439.3078369871</v>
      </c>
      <c r="O55">
        <v>13220.22</v>
      </c>
      <c r="P55">
        <v>0</v>
      </c>
      <c r="Q55">
        <v>2115.2399999999998</v>
      </c>
      <c r="R55">
        <v>15335.46</v>
      </c>
      <c r="S55">
        <v>0</v>
      </c>
      <c r="T55">
        <v>0</v>
      </c>
      <c r="U55" t="s">
        <v>59</v>
      </c>
      <c r="V55" t="s">
        <v>75</v>
      </c>
      <c r="W55">
        <v>4</v>
      </c>
      <c r="Y55" t="s">
        <v>238</v>
      </c>
      <c r="AB55">
        <v>0</v>
      </c>
      <c r="AD55">
        <v>0</v>
      </c>
      <c r="AE55">
        <v>1170774.76</v>
      </c>
      <c r="AF55">
        <v>0</v>
      </c>
      <c r="AG55">
        <v>0</v>
      </c>
      <c r="AH55">
        <v>1170774.76</v>
      </c>
      <c r="AI55">
        <v>6</v>
      </c>
      <c r="AJ55" s="130">
        <v>46058</v>
      </c>
      <c r="AK55">
        <v>0</v>
      </c>
    </row>
    <row r="56" spans="1:37" x14ac:dyDescent="0.25">
      <c r="A56">
        <v>383349</v>
      </c>
      <c r="B56" t="s">
        <v>241</v>
      </c>
      <c r="C56">
        <v>1141553.9842472</v>
      </c>
      <c r="D56">
        <v>0</v>
      </c>
      <c r="E56">
        <v>0</v>
      </c>
      <c r="F56">
        <v>1141553.99</v>
      </c>
      <c r="J56">
        <v>0</v>
      </c>
      <c r="K56">
        <v>1141553.9842472</v>
      </c>
      <c r="L56">
        <v>0</v>
      </c>
      <c r="M56">
        <v>0</v>
      </c>
      <c r="N56">
        <v>1141553.9842472</v>
      </c>
      <c r="R56">
        <v>0</v>
      </c>
      <c r="S56">
        <v>0</v>
      </c>
      <c r="T56">
        <v>0</v>
      </c>
      <c r="U56" t="s">
        <v>59</v>
      </c>
      <c r="V56" t="s">
        <v>75</v>
      </c>
      <c r="W56">
        <v>4</v>
      </c>
      <c r="Y56" t="s">
        <v>73</v>
      </c>
      <c r="Z56">
        <v>1141553.9842472</v>
      </c>
      <c r="AA56">
        <v>1141553.9842472</v>
      </c>
      <c r="AB56" t="s">
        <v>242</v>
      </c>
      <c r="AD56">
        <v>0</v>
      </c>
      <c r="AE56">
        <v>0</v>
      </c>
      <c r="AF56">
        <v>1141553.99</v>
      </c>
      <c r="AG56">
        <v>1141553.99</v>
      </c>
      <c r="AJ56" s="130">
        <v>46048</v>
      </c>
      <c r="AK56">
        <v>0</v>
      </c>
    </row>
    <row r="57" spans="1:37" x14ac:dyDescent="0.25">
      <c r="A57">
        <v>5330</v>
      </c>
      <c r="B57" t="s">
        <v>245</v>
      </c>
      <c r="C57">
        <v>961798.11</v>
      </c>
      <c r="D57">
        <v>0</v>
      </c>
      <c r="E57">
        <v>153887.69760000001</v>
      </c>
      <c r="F57">
        <v>1115685.82</v>
      </c>
      <c r="J57">
        <v>0</v>
      </c>
      <c r="K57">
        <v>961798.11</v>
      </c>
      <c r="L57">
        <v>0</v>
      </c>
      <c r="M57">
        <v>153887.69760000001</v>
      </c>
      <c r="N57">
        <v>1115685.8075999999</v>
      </c>
      <c r="R57">
        <v>0</v>
      </c>
      <c r="S57">
        <v>0</v>
      </c>
      <c r="T57">
        <v>0</v>
      </c>
      <c r="U57" t="s">
        <v>59</v>
      </c>
      <c r="V57" t="s">
        <v>75</v>
      </c>
      <c r="W57">
        <v>4</v>
      </c>
      <c r="Y57" t="s">
        <v>73</v>
      </c>
      <c r="Z57">
        <v>961798.11</v>
      </c>
      <c r="AA57">
        <v>1115685.8075999999</v>
      </c>
      <c r="AB57" t="s">
        <v>246</v>
      </c>
      <c r="AD57">
        <v>0</v>
      </c>
      <c r="AE57">
        <v>0</v>
      </c>
      <c r="AF57">
        <v>1115685.82</v>
      </c>
      <c r="AG57">
        <v>1115685.82</v>
      </c>
      <c r="AH57">
        <v>1115685.82</v>
      </c>
      <c r="AI57">
        <v>3</v>
      </c>
      <c r="AJ57" s="130">
        <v>46041</v>
      </c>
      <c r="AK57">
        <v>3</v>
      </c>
    </row>
    <row r="58" spans="1:37" x14ac:dyDescent="0.25">
      <c r="A58">
        <v>21845</v>
      </c>
      <c r="B58" t="s">
        <v>249</v>
      </c>
      <c r="C58">
        <v>1064364.890078437</v>
      </c>
      <c r="D58">
        <v>0</v>
      </c>
      <c r="E58">
        <v>0</v>
      </c>
      <c r="F58">
        <v>1064364.8899999999</v>
      </c>
      <c r="J58">
        <v>0</v>
      </c>
      <c r="K58">
        <v>1064364.890078437</v>
      </c>
      <c r="L58">
        <v>0</v>
      </c>
      <c r="M58">
        <v>0</v>
      </c>
      <c r="N58">
        <v>1064364.890078437</v>
      </c>
      <c r="R58">
        <v>0</v>
      </c>
      <c r="S58">
        <v>0</v>
      </c>
      <c r="T58" t="s">
        <v>875</v>
      </c>
      <c r="U58" t="s">
        <v>59</v>
      </c>
      <c r="V58" t="s">
        <v>90</v>
      </c>
      <c r="W58">
        <v>4</v>
      </c>
      <c r="X58">
        <v>1</v>
      </c>
      <c r="Y58" t="s">
        <v>73</v>
      </c>
      <c r="Z58">
        <v>1064364.890078437</v>
      </c>
      <c r="AA58">
        <v>1064364.890078437</v>
      </c>
      <c r="AB58">
        <v>0</v>
      </c>
      <c r="AD58">
        <v>0</v>
      </c>
      <c r="AE58">
        <v>0</v>
      </c>
      <c r="AF58">
        <v>1064364.8899999999</v>
      </c>
      <c r="AG58">
        <v>1064364.8899999999</v>
      </c>
      <c r="AK58">
        <v>0</v>
      </c>
    </row>
    <row r="59" spans="1:37" x14ac:dyDescent="0.25">
      <c r="A59">
        <v>22068</v>
      </c>
      <c r="B59" t="s">
        <v>250</v>
      </c>
      <c r="C59">
        <v>1060303.720335548</v>
      </c>
      <c r="D59">
        <v>0</v>
      </c>
      <c r="E59">
        <v>0</v>
      </c>
      <c r="F59">
        <v>1060303.73</v>
      </c>
      <c r="J59">
        <v>0</v>
      </c>
      <c r="K59">
        <v>1060303.720335548</v>
      </c>
      <c r="L59">
        <v>0</v>
      </c>
      <c r="M59">
        <v>0</v>
      </c>
      <c r="N59">
        <v>1060303.720335548</v>
      </c>
      <c r="R59">
        <v>0</v>
      </c>
      <c r="S59">
        <v>0</v>
      </c>
      <c r="T59" t="s">
        <v>875</v>
      </c>
      <c r="U59" t="s">
        <v>59</v>
      </c>
      <c r="V59" t="s">
        <v>90</v>
      </c>
      <c r="W59">
        <v>4</v>
      </c>
      <c r="X59">
        <v>1</v>
      </c>
      <c r="Y59" t="s">
        <v>73</v>
      </c>
      <c r="Z59">
        <v>1060303.720335548</v>
      </c>
      <c r="AA59">
        <v>1060303.720335548</v>
      </c>
      <c r="AB59">
        <v>0</v>
      </c>
      <c r="AD59">
        <v>0</v>
      </c>
      <c r="AE59">
        <v>0</v>
      </c>
      <c r="AF59">
        <v>1060303.73</v>
      </c>
      <c r="AG59">
        <v>1060303.73</v>
      </c>
      <c r="AK59">
        <v>0</v>
      </c>
    </row>
    <row r="60" spans="1:37" x14ac:dyDescent="0.25">
      <c r="A60">
        <v>58958</v>
      </c>
      <c r="B60" t="s">
        <v>251</v>
      </c>
      <c r="C60">
        <v>912839.39000000013</v>
      </c>
      <c r="D60">
        <v>0</v>
      </c>
      <c r="E60">
        <v>146054.3559</v>
      </c>
      <c r="F60">
        <v>1058893.69</v>
      </c>
      <c r="J60">
        <v>0</v>
      </c>
      <c r="K60">
        <v>912839.39000000013</v>
      </c>
      <c r="L60">
        <v>0</v>
      </c>
      <c r="M60">
        <v>146054.3559</v>
      </c>
      <c r="N60">
        <v>1058893.7459</v>
      </c>
      <c r="R60">
        <v>0</v>
      </c>
      <c r="S60">
        <v>0</v>
      </c>
      <c r="T60">
        <v>0</v>
      </c>
      <c r="U60" t="s">
        <v>256</v>
      </c>
      <c r="V60" t="s">
        <v>90</v>
      </c>
      <c r="W60">
        <v>4</v>
      </c>
      <c r="Y60" t="s">
        <v>73</v>
      </c>
      <c r="Z60">
        <v>912839.39000000013</v>
      </c>
      <c r="AA60">
        <v>1058893.7459</v>
      </c>
      <c r="AB60" t="s">
        <v>252</v>
      </c>
      <c r="AD60">
        <v>0</v>
      </c>
      <c r="AE60">
        <v>0</v>
      </c>
      <c r="AF60">
        <v>1058893.69</v>
      </c>
      <c r="AG60">
        <v>1058893.69</v>
      </c>
      <c r="AK60">
        <v>0</v>
      </c>
    </row>
    <row r="61" spans="1:37" x14ac:dyDescent="0.25">
      <c r="A61">
        <v>387183</v>
      </c>
      <c r="B61" t="s">
        <v>253</v>
      </c>
      <c r="C61">
        <v>866011.34979124658</v>
      </c>
      <c r="D61">
        <v>0</v>
      </c>
      <c r="E61">
        <v>138561.2374665995</v>
      </c>
      <c r="F61">
        <v>1004572.63</v>
      </c>
      <c r="J61">
        <v>0</v>
      </c>
      <c r="K61">
        <v>866011.34979124658</v>
      </c>
      <c r="L61">
        <v>0</v>
      </c>
      <c r="M61">
        <v>138561.2374665995</v>
      </c>
      <c r="N61">
        <v>1004572.587257846</v>
      </c>
      <c r="R61">
        <v>0</v>
      </c>
      <c r="S61">
        <v>0</v>
      </c>
      <c r="T61">
        <v>0</v>
      </c>
      <c r="U61" t="s">
        <v>59</v>
      </c>
      <c r="V61" t="s">
        <v>75</v>
      </c>
      <c r="W61">
        <v>4</v>
      </c>
      <c r="X61">
        <v>1</v>
      </c>
      <c r="Y61" t="s">
        <v>73</v>
      </c>
      <c r="Z61">
        <v>866011.34979124658</v>
      </c>
      <c r="AA61">
        <v>1004572.587257846</v>
      </c>
      <c r="AB61" t="s">
        <v>215</v>
      </c>
      <c r="AD61">
        <v>0</v>
      </c>
      <c r="AE61">
        <v>0</v>
      </c>
      <c r="AF61">
        <v>1004572.63</v>
      </c>
      <c r="AG61">
        <v>1004572.63</v>
      </c>
      <c r="AH61">
        <v>1004572.63</v>
      </c>
      <c r="AI61">
        <v>7</v>
      </c>
      <c r="AJ61" s="130">
        <v>46042</v>
      </c>
      <c r="AK61">
        <v>1</v>
      </c>
    </row>
    <row r="62" spans="1:37" x14ac:dyDescent="0.25">
      <c r="A62">
        <v>81422</v>
      </c>
      <c r="B62" t="s">
        <v>255</v>
      </c>
      <c r="C62">
        <v>862425.72</v>
      </c>
      <c r="D62">
        <v>0</v>
      </c>
      <c r="E62">
        <v>137988.1152</v>
      </c>
      <c r="F62">
        <v>1000413.84</v>
      </c>
      <c r="J62">
        <v>0</v>
      </c>
      <c r="K62">
        <v>862425.72</v>
      </c>
      <c r="L62">
        <v>0</v>
      </c>
      <c r="M62">
        <v>137988.1152</v>
      </c>
      <c r="N62">
        <v>1000413.8352</v>
      </c>
      <c r="R62">
        <v>0</v>
      </c>
      <c r="S62">
        <v>0</v>
      </c>
      <c r="T62">
        <v>0</v>
      </c>
      <c r="U62" t="s">
        <v>256</v>
      </c>
      <c r="V62" t="s">
        <v>90</v>
      </c>
      <c r="W62">
        <v>4</v>
      </c>
      <c r="Y62" t="s">
        <v>73</v>
      </c>
      <c r="Z62">
        <v>862425.72</v>
      </c>
      <c r="AA62">
        <v>1000413.8352</v>
      </c>
      <c r="AB62">
        <v>0</v>
      </c>
      <c r="AD62">
        <v>0</v>
      </c>
      <c r="AE62">
        <v>0</v>
      </c>
      <c r="AF62">
        <v>1000413.84</v>
      </c>
      <c r="AG62">
        <v>1000413.84</v>
      </c>
      <c r="AK62">
        <v>0</v>
      </c>
    </row>
    <row r="63" spans="1:37" x14ac:dyDescent="0.25">
      <c r="A63">
        <v>394189</v>
      </c>
      <c r="B63" t="s">
        <v>257</v>
      </c>
      <c r="C63">
        <v>861532.13134624402</v>
      </c>
      <c r="D63">
        <v>0</v>
      </c>
      <c r="E63">
        <v>137845.299415399</v>
      </c>
      <c r="F63">
        <v>999377.42</v>
      </c>
      <c r="J63">
        <v>0</v>
      </c>
      <c r="K63">
        <v>861532.13134624402</v>
      </c>
      <c r="L63">
        <v>0</v>
      </c>
      <c r="M63">
        <v>137845.299415399</v>
      </c>
      <c r="N63">
        <v>999377.43076164299</v>
      </c>
      <c r="R63">
        <v>0</v>
      </c>
      <c r="S63">
        <v>0</v>
      </c>
      <c r="T63">
        <v>0</v>
      </c>
      <c r="U63" t="s">
        <v>256</v>
      </c>
      <c r="V63" t="s">
        <v>90</v>
      </c>
      <c r="W63">
        <v>4</v>
      </c>
      <c r="Y63" t="s">
        <v>73</v>
      </c>
      <c r="Z63">
        <v>861532.13134624402</v>
      </c>
      <c r="AA63">
        <v>999377.43076164299</v>
      </c>
      <c r="AB63" t="s">
        <v>259</v>
      </c>
      <c r="AD63">
        <v>0</v>
      </c>
      <c r="AE63">
        <v>0</v>
      </c>
      <c r="AF63">
        <v>999377.41999999993</v>
      </c>
      <c r="AG63">
        <v>999377.42</v>
      </c>
      <c r="AK63">
        <v>0</v>
      </c>
    </row>
    <row r="64" spans="1:37" x14ac:dyDescent="0.25">
      <c r="A64">
        <v>53256</v>
      </c>
      <c r="B64" t="s">
        <v>260</v>
      </c>
      <c r="C64">
        <v>825790.18705603993</v>
      </c>
      <c r="D64">
        <v>0</v>
      </c>
      <c r="E64">
        <v>132126.43003424001</v>
      </c>
      <c r="F64">
        <v>957916.60030000005</v>
      </c>
      <c r="G64">
        <v>701416.69705603993</v>
      </c>
      <c r="H64">
        <v>0</v>
      </c>
      <c r="I64">
        <v>112226.67003424</v>
      </c>
      <c r="J64">
        <v>813643.36709027993</v>
      </c>
      <c r="K64">
        <v>0</v>
      </c>
      <c r="L64">
        <v>0</v>
      </c>
      <c r="M64">
        <v>0</v>
      </c>
      <c r="N64">
        <v>0</v>
      </c>
      <c r="O64">
        <v>124373.49</v>
      </c>
      <c r="P64">
        <v>0</v>
      </c>
      <c r="Q64">
        <v>19899.759999999998</v>
      </c>
      <c r="R64">
        <v>144273.25</v>
      </c>
      <c r="S64">
        <v>0</v>
      </c>
      <c r="T64">
        <v>0</v>
      </c>
      <c r="U64" t="s">
        <v>59</v>
      </c>
      <c r="V64" t="s">
        <v>82</v>
      </c>
      <c r="W64">
        <v>4</v>
      </c>
      <c r="Y64" t="s">
        <v>81</v>
      </c>
      <c r="Z64">
        <v>701416.69705603993</v>
      </c>
      <c r="AA64">
        <v>813643.36709027993</v>
      </c>
      <c r="AB64">
        <v>0</v>
      </c>
      <c r="AD64">
        <v>0</v>
      </c>
      <c r="AE64">
        <v>0</v>
      </c>
      <c r="AF64">
        <v>957916.60000000009</v>
      </c>
      <c r="AG64">
        <v>957916.60030000005</v>
      </c>
      <c r="AH64">
        <v>268439.49</v>
      </c>
      <c r="AI64">
        <v>1</v>
      </c>
      <c r="AJ64" s="130">
        <v>46048</v>
      </c>
      <c r="AK64">
        <v>0</v>
      </c>
    </row>
    <row r="65" spans="1:37" x14ac:dyDescent="0.25">
      <c r="A65">
        <v>16068</v>
      </c>
      <c r="B65" t="s">
        <v>263</v>
      </c>
      <c r="C65">
        <v>821068.10881523206</v>
      </c>
      <c r="D65">
        <v>0</v>
      </c>
      <c r="E65">
        <v>131370.88085000511</v>
      </c>
      <c r="F65">
        <v>952439.06780000008</v>
      </c>
      <c r="J65">
        <v>0</v>
      </c>
      <c r="K65">
        <v>821068.10881523206</v>
      </c>
      <c r="L65">
        <v>0</v>
      </c>
      <c r="M65">
        <v>131370.88085000511</v>
      </c>
      <c r="N65">
        <v>952438.98966523714</v>
      </c>
      <c r="R65">
        <v>0</v>
      </c>
      <c r="S65">
        <v>0</v>
      </c>
      <c r="T65">
        <v>0</v>
      </c>
      <c r="U65" t="s">
        <v>256</v>
      </c>
      <c r="V65" t="s">
        <v>90</v>
      </c>
      <c r="W65">
        <v>4</v>
      </c>
      <c r="Y65" t="s">
        <v>238</v>
      </c>
      <c r="AB65" t="s">
        <v>212</v>
      </c>
      <c r="AD65">
        <v>0</v>
      </c>
      <c r="AE65">
        <v>952439.05</v>
      </c>
      <c r="AF65">
        <v>0</v>
      </c>
      <c r="AG65">
        <v>1.780000003054738E-2</v>
      </c>
      <c r="AK65">
        <v>0</v>
      </c>
    </row>
    <row r="66" spans="1:37" x14ac:dyDescent="0.25">
      <c r="A66">
        <v>33571</v>
      </c>
      <c r="B66" t="s">
        <v>264</v>
      </c>
      <c r="C66">
        <v>945096.76</v>
      </c>
      <c r="D66">
        <v>0</v>
      </c>
      <c r="E66">
        <v>0</v>
      </c>
      <c r="F66">
        <v>945096.76</v>
      </c>
      <c r="J66">
        <v>0</v>
      </c>
      <c r="K66">
        <v>945096.76</v>
      </c>
      <c r="L66">
        <v>0</v>
      </c>
      <c r="M66">
        <v>0</v>
      </c>
      <c r="N66">
        <v>945096.76</v>
      </c>
      <c r="R66">
        <v>0</v>
      </c>
      <c r="S66">
        <v>0</v>
      </c>
      <c r="T66">
        <v>0</v>
      </c>
      <c r="U66" t="s">
        <v>256</v>
      </c>
      <c r="V66" t="s">
        <v>90</v>
      </c>
      <c r="W66">
        <v>4</v>
      </c>
      <c r="Y66" t="s">
        <v>73</v>
      </c>
      <c r="Z66">
        <v>945096.76</v>
      </c>
      <c r="AA66">
        <v>945096.76</v>
      </c>
      <c r="AB66">
        <v>0</v>
      </c>
      <c r="AD66">
        <v>0</v>
      </c>
      <c r="AE66">
        <v>0</v>
      </c>
      <c r="AF66">
        <v>945096.75999999989</v>
      </c>
      <c r="AG66">
        <v>945096.76</v>
      </c>
      <c r="AK66">
        <v>0</v>
      </c>
    </row>
    <row r="67" spans="1:37" x14ac:dyDescent="0.25">
      <c r="A67">
        <v>304196</v>
      </c>
      <c r="B67" t="s">
        <v>265</v>
      </c>
      <c r="C67">
        <v>927389.66162400006</v>
      </c>
      <c r="D67">
        <v>0</v>
      </c>
      <c r="E67">
        <v>0</v>
      </c>
      <c r="F67">
        <v>927389.66160000011</v>
      </c>
      <c r="J67">
        <v>0</v>
      </c>
      <c r="K67">
        <v>927389.66162400006</v>
      </c>
      <c r="L67">
        <v>0</v>
      </c>
      <c r="M67">
        <v>0</v>
      </c>
      <c r="N67">
        <v>927389.66162400006</v>
      </c>
      <c r="R67">
        <v>0</v>
      </c>
      <c r="S67">
        <v>0</v>
      </c>
      <c r="T67">
        <v>0</v>
      </c>
      <c r="U67" t="s">
        <v>256</v>
      </c>
      <c r="V67" t="s">
        <v>90</v>
      </c>
      <c r="W67">
        <v>4</v>
      </c>
      <c r="Y67" t="s">
        <v>73</v>
      </c>
      <c r="Z67">
        <v>927389.66162400006</v>
      </c>
      <c r="AA67">
        <v>927389.66162400006</v>
      </c>
      <c r="AB67">
        <v>0</v>
      </c>
      <c r="AD67">
        <v>0</v>
      </c>
      <c r="AE67">
        <v>0</v>
      </c>
      <c r="AF67">
        <v>927389.66000000015</v>
      </c>
      <c r="AG67">
        <v>927389.66160000011</v>
      </c>
      <c r="AK67">
        <v>0</v>
      </c>
    </row>
    <row r="68" spans="1:37" x14ac:dyDescent="0.25">
      <c r="A68">
        <v>306225</v>
      </c>
      <c r="B68" t="s">
        <v>266</v>
      </c>
      <c r="C68">
        <v>803396.8</v>
      </c>
      <c r="D68">
        <v>6186.5016000000014</v>
      </c>
      <c r="E68">
        <v>106913.5808</v>
      </c>
      <c r="F68">
        <v>916496.61</v>
      </c>
      <c r="J68">
        <v>0</v>
      </c>
      <c r="K68">
        <v>803396.8</v>
      </c>
      <c r="L68">
        <v>6186.5016000000014</v>
      </c>
      <c r="M68">
        <v>106913.5808</v>
      </c>
      <c r="N68">
        <v>916496.8824</v>
      </c>
      <c r="R68">
        <v>0</v>
      </c>
      <c r="S68">
        <v>0</v>
      </c>
      <c r="T68">
        <v>0</v>
      </c>
      <c r="U68" t="s">
        <v>256</v>
      </c>
      <c r="V68" t="s">
        <v>90</v>
      </c>
      <c r="W68">
        <v>4</v>
      </c>
      <c r="Y68" t="s">
        <v>73</v>
      </c>
      <c r="Z68">
        <v>803396.8</v>
      </c>
      <c r="AA68">
        <v>916496.8824</v>
      </c>
      <c r="AB68" t="s">
        <v>267</v>
      </c>
      <c r="AD68">
        <v>0</v>
      </c>
      <c r="AE68">
        <v>0</v>
      </c>
      <c r="AF68">
        <v>916496.60999999975</v>
      </c>
      <c r="AG68">
        <v>916496.61</v>
      </c>
      <c r="AK68">
        <v>0</v>
      </c>
    </row>
    <row r="69" spans="1:37" x14ac:dyDescent="0.25">
      <c r="A69">
        <v>11361</v>
      </c>
      <c r="B69" t="s">
        <v>268</v>
      </c>
      <c r="C69">
        <v>786706.16157826397</v>
      </c>
      <c r="D69">
        <v>0</v>
      </c>
      <c r="E69">
        <v>125873.0188525222</v>
      </c>
      <c r="F69">
        <v>912579.2699999999</v>
      </c>
      <c r="J69">
        <v>0</v>
      </c>
      <c r="K69">
        <v>786706.16157826397</v>
      </c>
      <c r="L69">
        <v>0</v>
      </c>
      <c r="M69">
        <v>125873.0188525222</v>
      </c>
      <c r="N69">
        <v>912579.18043078622</v>
      </c>
      <c r="R69">
        <v>0</v>
      </c>
      <c r="S69">
        <v>0</v>
      </c>
      <c r="T69" t="s">
        <v>874</v>
      </c>
      <c r="U69" t="s">
        <v>59</v>
      </c>
      <c r="V69" t="s">
        <v>75</v>
      </c>
      <c r="W69">
        <v>4</v>
      </c>
      <c r="X69">
        <v>10</v>
      </c>
      <c r="Y69" t="s">
        <v>73</v>
      </c>
      <c r="Z69">
        <v>786706.16157826397</v>
      </c>
      <c r="AA69">
        <v>912579.18043078622</v>
      </c>
      <c r="AB69" t="s">
        <v>269</v>
      </c>
      <c r="AD69">
        <v>0</v>
      </c>
      <c r="AE69">
        <v>0</v>
      </c>
      <c r="AF69">
        <v>912579.2699999999</v>
      </c>
      <c r="AG69">
        <v>912579.2699999999</v>
      </c>
      <c r="AK69">
        <v>10</v>
      </c>
    </row>
    <row r="70" spans="1:37" x14ac:dyDescent="0.25">
      <c r="A70">
        <v>384776</v>
      </c>
      <c r="B70" t="s">
        <v>270</v>
      </c>
      <c r="C70">
        <v>603036.43118287146</v>
      </c>
      <c r="D70">
        <v>160860.24754408319</v>
      </c>
      <c r="E70">
        <v>122223.4685763125</v>
      </c>
      <c r="F70">
        <v>886120.11999999988</v>
      </c>
      <c r="J70">
        <v>0</v>
      </c>
      <c r="K70">
        <v>603036.43118287146</v>
      </c>
      <c r="L70">
        <v>160860.24754408319</v>
      </c>
      <c r="M70">
        <v>122223.4685763125</v>
      </c>
      <c r="N70">
        <v>886120.14730326715</v>
      </c>
      <c r="R70">
        <v>0</v>
      </c>
      <c r="S70">
        <v>0</v>
      </c>
      <c r="T70">
        <v>0</v>
      </c>
      <c r="U70" t="s">
        <v>59</v>
      </c>
      <c r="V70" t="s">
        <v>75</v>
      </c>
      <c r="W70">
        <v>4</v>
      </c>
      <c r="Y70" t="s">
        <v>57</v>
      </c>
      <c r="AB70" t="s">
        <v>271</v>
      </c>
      <c r="AD70">
        <v>0</v>
      </c>
      <c r="AE70">
        <v>0</v>
      </c>
      <c r="AF70">
        <v>886120.12</v>
      </c>
      <c r="AG70">
        <v>886120.11999999988</v>
      </c>
      <c r="AH70">
        <v>886120.11999999988</v>
      </c>
      <c r="AJ70" s="130">
        <v>46042</v>
      </c>
      <c r="AK70">
        <v>4</v>
      </c>
    </row>
    <row r="71" spans="1:37" x14ac:dyDescent="0.25">
      <c r="A71">
        <v>55798</v>
      </c>
      <c r="B71" t="s">
        <v>273</v>
      </c>
      <c r="C71">
        <v>742175.06802572915</v>
      </c>
      <c r="D71">
        <v>0</v>
      </c>
      <c r="E71">
        <v>118748.0382841166</v>
      </c>
      <c r="F71">
        <v>860923.08000000007</v>
      </c>
      <c r="J71">
        <v>0</v>
      </c>
      <c r="K71">
        <v>742175.06802572915</v>
      </c>
      <c r="L71">
        <v>0</v>
      </c>
      <c r="M71">
        <v>118748.0382841166</v>
      </c>
      <c r="N71">
        <v>860923.10630984581</v>
      </c>
      <c r="R71">
        <v>0</v>
      </c>
      <c r="S71">
        <v>0</v>
      </c>
      <c r="T71">
        <v>0</v>
      </c>
      <c r="U71" t="s">
        <v>256</v>
      </c>
      <c r="V71" t="s">
        <v>90</v>
      </c>
      <c r="W71">
        <v>4</v>
      </c>
      <c r="Y71" t="s">
        <v>73</v>
      </c>
      <c r="Z71">
        <v>742175.06802572915</v>
      </c>
      <c r="AA71">
        <v>860923.10630984581</v>
      </c>
      <c r="AB71" t="s">
        <v>274</v>
      </c>
      <c r="AD71">
        <v>0</v>
      </c>
      <c r="AE71">
        <v>0</v>
      </c>
      <c r="AF71">
        <v>860923.08</v>
      </c>
      <c r="AG71">
        <v>860923.08000000007</v>
      </c>
      <c r="AK71">
        <v>0</v>
      </c>
    </row>
    <row r="72" spans="1:37" x14ac:dyDescent="0.25">
      <c r="A72">
        <v>85902</v>
      </c>
      <c r="B72" t="s">
        <v>275</v>
      </c>
      <c r="C72">
        <v>725653.97848085605</v>
      </c>
      <c r="D72">
        <v>0</v>
      </c>
      <c r="E72">
        <v>116104.6303569369</v>
      </c>
      <c r="F72">
        <v>841758.62999999989</v>
      </c>
      <c r="J72">
        <v>0</v>
      </c>
      <c r="K72">
        <v>725653.97848085605</v>
      </c>
      <c r="L72">
        <v>0</v>
      </c>
      <c r="M72">
        <v>116104.6303569369</v>
      </c>
      <c r="N72">
        <v>841758.608837793</v>
      </c>
      <c r="R72">
        <v>0</v>
      </c>
      <c r="S72">
        <v>0</v>
      </c>
      <c r="T72">
        <v>0</v>
      </c>
      <c r="U72" t="s">
        <v>256</v>
      </c>
      <c r="V72" t="s">
        <v>90</v>
      </c>
      <c r="W72">
        <v>4</v>
      </c>
      <c r="Y72" t="s">
        <v>238</v>
      </c>
      <c r="AB72">
        <v>0</v>
      </c>
      <c r="AD72">
        <v>841758.63000000012</v>
      </c>
      <c r="AE72">
        <v>0</v>
      </c>
      <c r="AF72">
        <v>0</v>
      </c>
      <c r="AG72">
        <v>841758.62999999989</v>
      </c>
      <c r="AK72">
        <v>0</v>
      </c>
    </row>
    <row r="73" spans="1:37" x14ac:dyDescent="0.25">
      <c r="A73">
        <v>62760</v>
      </c>
      <c r="B73" t="s">
        <v>276</v>
      </c>
      <c r="C73">
        <v>721247.01</v>
      </c>
      <c r="D73">
        <v>0</v>
      </c>
      <c r="E73">
        <v>115399.52159999999</v>
      </c>
      <c r="F73">
        <v>836646.48999999987</v>
      </c>
      <c r="J73">
        <v>0</v>
      </c>
      <c r="K73">
        <v>721247.01</v>
      </c>
      <c r="L73">
        <v>0</v>
      </c>
      <c r="M73">
        <v>115399.52159999999</v>
      </c>
      <c r="N73">
        <v>836646.53159999999</v>
      </c>
      <c r="R73">
        <v>0</v>
      </c>
      <c r="S73">
        <v>0</v>
      </c>
      <c r="T73">
        <v>0</v>
      </c>
      <c r="U73" t="s">
        <v>256</v>
      </c>
      <c r="V73" t="s">
        <v>90</v>
      </c>
      <c r="W73">
        <v>4</v>
      </c>
      <c r="Y73" t="s">
        <v>73</v>
      </c>
      <c r="Z73">
        <v>721247.01</v>
      </c>
      <c r="AA73">
        <v>836646.53159999999</v>
      </c>
      <c r="AB73">
        <v>0</v>
      </c>
      <c r="AD73">
        <v>0</v>
      </c>
      <c r="AE73">
        <v>0</v>
      </c>
      <c r="AF73">
        <v>836646.49</v>
      </c>
      <c r="AG73">
        <v>836646.48999999987</v>
      </c>
      <c r="AK73">
        <v>0</v>
      </c>
    </row>
    <row r="74" spans="1:37" x14ac:dyDescent="0.25">
      <c r="A74">
        <v>10348</v>
      </c>
      <c r="B74" t="s">
        <v>277</v>
      </c>
      <c r="C74">
        <v>698397.79315488087</v>
      </c>
      <c r="D74">
        <v>0</v>
      </c>
      <c r="E74">
        <v>111743.64690478089</v>
      </c>
      <c r="F74">
        <v>810141.39999999991</v>
      </c>
      <c r="J74">
        <v>0</v>
      </c>
      <c r="K74">
        <v>698397.79315488087</v>
      </c>
      <c r="L74">
        <v>0</v>
      </c>
      <c r="M74">
        <v>111743.64690478089</v>
      </c>
      <c r="N74">
        <v>810141.44005966175</v>
      </c>
      <c r="R74">
        <v>0</v>
      </c>
      <c r="S74">
        <v>0</v>
      </c>
      <c r="T74">
        <v>0</v>
      </c>
      <c r="U74" t="s">
        <v>256</v>
      </c>
      <c r="V74" t="s">
        <v>90</v>
      </c>
      <c r="W74">
        <v>4</v>
      </c>
      <c r="Y74" t="s">
        <v>73</v>
      </c>
      <c r="Z74">
        <v>698397.79315488087</v>
      </c>
      <c r="AA74">
        <v>810141.44005966175</v>
      </c>
      <c r="AB74">
        <v>0</v>
      </c>
      <c r="AD74">
        <v>0</v>
      </c>
      <c r="AE74">
        <v>0</v>
      </c>
      <c r="AF74">
        <v>810141.39999999991</v>
      </c>
      <c r="AG74">
        <v>810141.39999999991</v>
      </c>
      <c r="AK74">
        <v>0</v>
      </c>
    </row>
    <row r="75" spans="1:37" x14ac:dyDescent="0.25">
      <c r="A75">
        <v>39057</v>
      </c>
      <c r="B75" t="s">
        <v>278</v>
      </c>
      <c r="C75">
        <v>678987.00754677306</v>
      </c>
      <c r="D75">
        <v>0</v>
      </c>
      <c r="E75">
        <v>108638.06510748369</v>
      </c>
      <c r="F75">
        <v>787624.9700000002</v>
      </c>
      <c r="J75">
        <v>0</v>
      </c>
      <c r="K75">
        <v>678987.00754677306</v>
      </c>
      <c r="L75">
        <v>0</v>
      </c>
      <c r="M75">
        <v>108638.06510748369</v>
      </c>
      <c r="N75">
        <v>787625.07265425671</v>
      </c>
      <c r="R75">
        <v>0</v>
      </c>
      <c r="S75">
        <v>0</v>
      </c>
      <c r="T75">
        <v>0</v>
      </c>
      <c r="U75" t="s">
        <v>256</v>
      </c>
      <c r="V75" t="s">
        <v>90</v>
      </c>
      <c r="W75">
        <v>4</v>
      </c>
      <c r="Y75" t="s">
        <v>73</v>
      </c>
      <c r="Z75">
        <v>678987.00754677306</v>
      </c>
      <c r="AA75">
        <v>787625.07265425671</v>
      </c>
      <c r="AB75" t="s">
        <v>279</v>
      </c>
      <c r="AD75">
        <v>0</v>
      </c>
      <c r="AE75">
        <v>0</v>
      </c>
      <c r="AF75">
        <v>787624.97000000009</v>
      </c>
      <c r="AG75">
        <v>787624.9700000002</v>
      </c>
      <c r="AK75">
        <v>0</v>
      </c>
    </row>
    <row r="76" spans="1:37" x14ac:dyDescent="0.25">
      <c r="A76">
        <v>52480</v>
      </c>
      <c r="B76" t="s">
        <v>280</v>
      </c>
      <c r="C76">
        <v>740317.29</v>
      </c>
      <c r="D76">
        <v>0</v>
      </c>
      <c r="E76">
        <v>0</v>
      </c>
      <c r="F76">
        <v>740317.29</v>
      </c>
      <c r="J76">
        <v>0</v>
      </c>
      <c r="K76">
        <v>740317.29</v>
      </c>
      <c r="L76">
        <v>0</v>
      </c>
      <c r="M76">
        <v>0</v>
      </c>
      <c r="N76">
        <v>740317.29</v>
      </c>
      <c r="R76">
        <v>0</v>
      </c>
      <c r="S76">
        <v>0</v>
      </c>
      <c r="T76">
        <v>0</v>
      </c>
      <c r="U76" t="s">
        <v>256</v>
      </c>
      <c r="V76" t="s">
        <v>90</v>
      </c>
      <c r="W76">
        <v>4</v>
      </c>
      <c r="Y76" t="s">
        <v>73</v>
      </c>
      <c r="Z76">
        <v>740317.29</v>
      </c>
      <c r="AA76">
        <v>740317.29</v>
      </c>
      <c r="AB76">
        <v>0</v>
      </c>
      <c r="AD76">
        <v>0</v>
      </c>
      <c r="AE76">
        <v>0</v>
      </c>
      <c r="AF76">
        <v>740317.28999999992</v>
      </c>
      <c r="AG76">
        <v>740317.29</v>
      </c>
      <c r="AK76">
        <v>0</v>
      </c>
    </row>
    <row r="77" spans="1:37" x14ac:dyDescent="0.25">
      <c r="A77">
        <v>43463</v>
      </c>
      <c r="B77" t="s">
        <v>281</v>
      </c>
      <c r="C77">
        <v>631186.37458869594</v>
      </c>
      <c r="D77">
        <v>0</v>
      </c>
      <c r="E77">
        <v>100989.8732341914</v>
      </c>
      <c r="F77">
        <v>732176.24343151087</v>
      </c>
      <c r="J77">
        <v>0</v>
      </c>
      <c r="K77">
        <v>631186.37458869594</v>
      </c>
      <c r="L77">
        <v>0</v>
      </c>
      <c r="M77">
        <v>100989.8732341914</v>
      </c>
      <c r="N77">
        <v>732176.24782288726</v>
      </c>
      <c r="R77">
        <v>0</v>
      </c>
      <c r="S77">
        <v>0</v>
      </c>
      <c r="T77">
        <v>0</v>
      </c>
      <c r="U77" t="s">
        <v>256</v>
      </c>
      <c r="V77" t="s">
        <v>90</v>
      </c>
      <c r="W77">
        <v>4</v>
      </c>
      <c r="Y77" t="s">
        <v>73</v>
      </c>
      <c r="Z77">
        <v>631186.37458869594</v>
      </c>
      <c r="AA77">
        <v>732176.24782288726</v>
      </c>
      <c r="AB77">
        <v>0</v>
      </c>
      <c r="AD77">
        <v>0</v>
      </c>
      <c r="AE77">
        <v>0</v>
      </c>
      <c r="AF77">
        <v>732176.25</v>
      </c>
      <c r="AG77">
        <v>732176.24343151087</v>
      </c>
      <c r="AK77">
        <v>0</v>
      </c>
    </row>
    <row r="78" spans="1:37" x14ac:dyDescent="0.25">
      <c r="A78">
        <v>12995</v>
      </c>
      <c r="B78" t="s">
        <v>282</v>
      </c>
      <c r="C78">
        <v>630471.06707563309</v>
      </c>
      <c r="D78">
        <v>0</v>
      </c>
      <c r="E78">
        <v>100875.3706875733</v>
      </c>
      <c r="F78">
        <v>731346.26269999996</v>
      </c>
      <c r="J78">
        <v>0</v>
      </c>
      <c r="K78">
        <v>630471.06707563309</v>
      </c>
      <c r="L78">
        <v>0</v>
      </c>
      <c r="M78">
        <v>100875.3706875733</v>
      </c>
      <c r="N78">
        <v>731346.43776320643</v>
      </c>
      <c r="R78">
        <v>0</v>
      </c>
      <c r="S78">
        <v>0</v>
      </c>
      <c r="T78">
        <v>0</v>
      </c>
      <c r="U78" t="s">
        <v>256</v>
      </c>
      <c r="V78" t="s">
        <v>90</v>
      </c>
      <c r="W78">
        <v>4</v>
      </c>
      <c r="Y78" t="s">
        <v>73</v>
      </c>
      <c r="Z78">
        <v>630471.06707563309</v>
      </c>
      <c r="AA78">
        <v>731346.43776320643</v>
      </c>
      <c r="AB78">
        <v>0</v>
      </c>
      <c r="AD78">
        <v>0</v>
      </c>
      <c r="AE78">
        <v>0</v>
      </c>
      <c r="AF78">
        <v>731346.26</v>
      </c>
      <c r="AG78">
        <v>731346.26269999996</v>
      </c>
      <c r="AK78">
        <v>0</v>
      </c>
    </row>
    <row r="79" spans="1:37" x14ac:dyDescent="0.25">
      <c r="A79">
        <v>37481</v>
      </c>
      <c r="B79" t="s">
        <v>283</v>
      </c>
      <c r="C79">
        <v>624993.07259760099</v>
      </c>
      <c r="D79">
        <v>0</v>
      </c>
      <c r="E79">
        <v>99998.902115616162</v>
      </c>
      <c r="F79">
        <v>724991.97720000008</v>
      </c>
      <c r="J79">
        <v>0</v>
      </c>
      <c r="K79">
        <v>624993.07259760099</v>
      </c>
      <c r="L79">
        <v>0</v>
      </c>
      <c r="M79">
        <v>99998.902115616162</v>
      </c>
      <c r="N79">
        <v>724991.97471321712</v>
      </c>
      <c r="R79">
        <v>0</v>
      </c>
      <c r="S79">
        <v>0</v>
      </c>
      <c r="T79">
        <v>0</v>
      </c>
      <c r="U79" t="s">
        <v>256</v>
      </c>
      <c r="V79" t="s">
        <v>90</v>
      </c>
      <c r="W79">
        <v>4</v>
      </c>
      <c r="Y79" t="s">
        <v>73</v>
      </c>
      <c r="Z79">
        <v>624993.07259760099</v>
      </c>
      <c r="AA79">
        <v>724991.97471321712</v>
      </c>
      <c r="AB79">
        <v>0</v>
      </c>
      <c r="AD79">
        <v>0</v>
      </c>
      <c r="AE79">
        <v>0</v>
      </c>
      <c r="AF79">
        <v>724991.97</v>
      </c>
      <c r="AG79">
        <v>724991.97720000008</v>
      </c>
      <c r="AK79">
        <v>0</v>
      </c>
    </row>
    <row r="80" spans="1:37" x14ac:dyDescent="0.25">
      <c r="A80">
        <v>318196</v>
      </c>
      <c r="B80" t="s">
        <v>284</v>
      </c>
      <c r="C80">
        <v>624613.84269068798</v>
      </c>
      <c r="D80">
        <v>0</v>
      </c>
      <c r="E80">
        <v>99938.289235470074</v>
      </c>
      <c r="F80">
        <v>724552.14970000007</v>
      </c>
      <c r="G80">
        <v>584855.57335068798</v>
      </c>
      <c r="I80">
        <v>93576.891736110076</v>
      </c>
      <c r="J80">
        <v>678432.46508679807</v>
      </c>
      <c r="L80">
        <v>0</v>
      </c>
      <c r="M80">
        <v>3.559935999874142E-2</v>
      </c>
      <c r="N80">
        <v>3.559935999874142E-2</v>
      </c>
      <c r="O80">
        <v>39758.269339999999</v>
      </c>
      <c r="Q80">
        <v>6361.3618999999999</v>
      </c>
      <c r="R80">
        <v>46119.631240000002</v>
      </c>
      <c r="S80">
        <v>0</v>
      </c>
      <c r="T80">
        <v>0</v>
      </c>
      <c r="U80" t="s">
        <v>59</v>
      </c>
      <c r="V80" t="s">
        <v>82</v>
      </c>
      <c r="W80">
        <v>4</v>
      </c>
      <c r="Y80" t="s">
        <v>81</v>
      </c>
      <c r="Z80">
        <v>584855.57335068798</v>
      </c>
      <c r="AA80">
        <v>678432.50068615808</v>
      </c>
      <c r="AB80" t="s">
        <v>285</v>
      </c>
      <c r="AD80">
        <v>0</v>
      </c>
      <c r="AE80">
        <v>0</v>
      </c>
      <c r="AF80">
        <v>724552.12000000011</v>
      </c>
      <c r="AG80">
        <v>724552.14970000007</v>
      </c>
      <c r="AH80">
        <v>724552.15</v>
      </c>
      <c r="AI80">
        <v>9</v>
      </c>
      <c r="AJ80" s="130">
        <v>46056</v>
      </c>
      <c r="AK80">
        <v>0</v>
      </c>
    </row>
    <row r="81" spans="1:37" x14ac:dyDescent="0.25">
      <c r="A81">
        <v>48298</v>
      </c>
      <c r="B81" t="s">
        <v>287</v>
      </c>
      <c r="C81">
        <v>619104.2478109689</v>
      </c>
      <c r="D81">
        <v>0</v>
      </c>
      <c r="E81">
        <v>99056.696149754876</v>
      </c>
      <c r="F81">
        <v>718160.95000000007</v>
      </c>
      <c r="J81">
        <v>0</v>
      </c>
      <c r="K81">
        <v>344949.3178109689</v>
      </c>
      <c r="L81">
        <v>0</v>
      </c>
      <c r="M81">
        <v>55191.907349754867</v>
      </c>
      <c r="N81">
        <v>400141.22516072378</v>
      </c>
      <c r="O81">
        <v>274154.93</v>
      </c>
      <c r="Q81">
        <v>43864.788800000002</v>
      </c>
      <c r="R81">
        <v>318019.71879999997</v>
      </c>
      <c r="S81">
        <v>0</v>
      </c>
      <c r="T81">
        <v>0</v>
      </c>
      <c r="U81" t="s">
        <v>59</v>
      </c>
      <c r="V81" t="s">
        <v>133</v>
      </c>
      <c r="W81">
        <v>4</v>
      </c>
      <c r="Y81" t="s">
        <v>57</v>
      </c>
      <c r="AB81" t="s">
        <v>892</v>
      </c>
      <c r="AD81">
        <v>0</v>
      </c>
      <c r="AE81">
        <v>0</v>
      </c>
      <c r="AF81">
        <v>718160.95000000007</v>
      </c>
      <c r="AG81">
        <v>718160.95000000007</v>
      </c>
      <c r="AH81">
        <v>718160.95000000007</v>
      </c>
      <c r="AI81">
        <v>3</v>
      </c>
      <c r="AJ81" s="130">
        <v>46042</v>
      </c>
      <c r="AK81">
        <v>0</v>
      </c>
    </row>
    <row r="82" spans="1:37" x14ac:dyDescent="0.25">
      <c r="A82">
        <v>44883</v>
      </c>
      <c r="B82" t="s">
        <v>290</v>
      </c>
      <c r="C82">
        <v>423883.77000000008</v>
      </c>
      <c r="D82">
        <v>195142.95110000001</v>
      </c>
      <c r="E82">
        <v>99044.275200000033</v>
      </c>
      <c r="F82">
        <v>718071.01</v>
      </c>
      <c r="J82">
        <v>0</v>
      </c>
      <c r="K82">
        <v>423883.77000000008</v>
      </c>
      <c r="L82">
        <v>195142.95110000001</v>
      </c>
      <c r="M82">
        <v>99044.275200000033</v>
      </c>
      <c r="N82">
        <v>718070.99630000012</v>
      </c>
      <c r="R82">
        <v>0</v>
      </c>
      <c r="S82">
        <v>0</v>
      </c>
      <c r="T82">
        <v>0</v>
      </c>
      <c r="U82" t="s">
        <v>256</v>
      </c>
      <c r="V82" t="s">
        <v>90</v>
      </c>
      <c r="W82">
        <v>4</v>
      </c>
      <c r="Y82" t="s">
        <v>73</v>
      </c>
      <c r="Z82">
        <v>423883.77000000008</v>
      </c>
      <c r="AA82">
        <v>718070.99630000012</v>
      </c>
      <c r="AB82" t="s">
        <v>212</v>
      </c>
      <c r="AD82">
        <v>0</v>
      </c>
      <c r="AE82">
        <v>0</v>
      </c>
      <c r="AF82">
        <v>718071.01</v>
      </c>
      <c r="AG82">
        <v>718071.01</v>
      </c>
      <c r="AK82">
        <v>0</v>
      </c>
    </row>
    <row r="83" spans="1:37" x14ac:dyDescent="0.25">
      <c r="A83">
        <v>316877</v>
      </c>
      <c r="B83" t="s">
        <v>291</v>
      </c>
      <c r="C83">
        <v>616995.11</v>
      </c>
      <c r="D83">
        <v>0</v>
      </c>
      <c r="E83">
        <v>98719.211199999991</v>
      </c>
      <c r="F83">
        <v>715714.33000000007</v>
      </c>
      <c r="J83">
        <v>0</v>
      </c>
      <c r="K83">
        <v>616995.11</v>
      </c>
      <c r="L83">
        <v>0</v>
      </c>
      <c r="M83">
        <v>98719.211199999991</v>
      </c>
      <c r="N83">
        <v>715714.32120000001</v>
      </c>
      <c r="R83">
        <v>0</v>
      </c>
      <c r="S83">
        <v>0</v>
      </c>
      <c r="T83">
        <v>0</v>
      </c>
      <c r="U83" t="s">
        <v>256</v>
      </c>
      <c r="V83" t="s">
        <v>90</v>
      </c>
      <c r="W83">
        <v>4</v>
      </c>
      <c r="Y83" t="s">
        <v>73</v>
      </c>
      <c r="Z83">
        <v>616995.11</v>
      </c>
      <c r="AA83">
        <v>715714.32120000001</v>
      </c>
      <c r="AB83">
        <v>0</v>
      </c>
      <c r="AD83">
        <v>0</v>
      </c>
      <c r="AE83">
        <v>0</v>
      </c>
      <c r="AF83">
        <v>715714.33000000007</v>
      </c>
      <c r="AG83">
        <v>715714.33000000007</v>
      </c>
      <c r="AK83">
        <v>0</v>
      </c>
    </row>
    <row r="84" spans="1:37" x14ac:dyDescent="0.25">
      <c r="A84">
        <v>71233</v>
      </c>
      <c r="B84" t="s">
        <v>292</v>
      </c>
      <c r="C84">
        <v>611494.40000000002</v>
      </c>
      <c r="D84">
        <v>0</v>
      </c>
      <c r="E84">
        <v>97839.212499999994</v>
      </c>
      <c r="F84">
        <v>709333.64000000025</v>
      </c>
      <c r="J84">
        <v>0</v>
      </c>
      <c r="K84">
        <v>611494.40000000002</v>
      </c>
      <c r="L84">
        <v>0</v>
      </c>
      <c r="M84">
        <v>97839.212499999994</v>
      </c>
      <c r="N84">
        <v>709333.61250000005</v>
      </c>
      <c r="R84">
        <v>0</v>
      </c>
      <c r="S84">
        <v>0</v>
      </c>
      <c r="T84">
        <v>0</v>
      </c>
      <c r="U84" t="s">
        <v>256</v>
      </c>
      <c r="V84" t="s">
        <v>90</v>
      </c>
      <c r="W84">
        <v>4</v>
      </c>
      <c r="X84">
        <v>2</v>
      </c>
      <c r="Y84" t="s">
        <v>57</v>
      </c>
      <c r="AB84" t="s">
        <v>893</v>
      </c>
      <c r="AD84">
        <v>0</v>
      </c>
      <c r="AE84">
        <v>0</v>
      </c>
      <c r="AF84">
        <v>709333.64</v>
      </c>
      <c r="AG84">
        <v>709333.64000000025</v>
      </c>
      <c r="AK84">
        <v>2</v>
      </c>
    </row>
    <row r="85" spans="1:37" x14ac:dyDescent="0.25">
      <c r="A85">
        <v>208892</v>
      </c>
      <c r="B85" t="s">
        <v>295</v>
      </c>
      <c r="C85">
        <v>686095.39441664924</v>
      </c>
      <c r="D85">
        <v>0</v>
      </c>
      <c r="E85">
        <v>0</v>
      </c>
      <c r="F85">
        <v>686095.39000000013</v>
      </c>
      <c r="J85">
        <v>0</v>
      </c>
      <c r="K85">
        <v>686095.39441664924</v>
      </c>
      <c r="L85">
        <v>0</v>
      </c>
      <c r="M85">
        <v>0</v>
      </c>
      <c r="N85">
        <v>686095.39441664924</v>
      </c>
      <c r="R85">
        <v>0</v>
      </c>
      <c r="S85">
        <v>0</v>
      </c>
      <c r="T85">
        <v>0</v>
      </c>
      <c r="U85" t="s">
        <v>256</v>
      </c>
      <c r="V85" t="s">
        <v>90</v>
      </c>
      <c r="W85">
        <v>4</v>
      </c>
      <c r="Y85" t="s">
        <v>73</v>
      </c>
      <c r="Z85">
        <v>686095.39441664924</v>
      </c>
      <c r="AA85">
        <v>686095.39441664924</v>
      </c>
      <c r="AB85" t="s">
        <v>296</v>
      </c>
      <c r="AD85">
        <v>0</v>
      </c>
      <c r="AE85">
        <v>0</v>
      </c>
      <c r="AF85">
        <v>686095.39</v>
      </c>
      <c r="AG85">
        <v>686095.39000000013</v>
      </c>
      <c r="AK85">
        <v>0</v>
      </c>
    </row>
    <row r="86" spans="1:37" x14ac:dyDescent="0.25">
      <c r="A86">
        <v>13860</v>
      </c>
      <c r="B86" t="s">
        <v>297</v>
      </c>
      <c r="C86">
        <v>591083.07880170015</v>
      </c>
      <c r="D86">
        <v>0</v>
      </c>
      <c r="E86">
        <v>94573.292608272008</v>
      </c>
      <c r="F86">
        <v>685656.36744799837</v>
      </c>
      <c r="J86">
        <v>0</v>
      </c>
      <c r="K86">
        <v>591083.07880170015</v>
      </c>
      <c r="L86">
        <v>0</v>
      </c>
      <c r="M86">
        <v>94573.292608272008</v>
      </c>
      <c r="N86">
        <v>685656.3714099722</v>
      </c>
      <c r="R86">
        <v>0</v>
      </c>
      <c r="S86">
        <v>0</v>
      </c>
      <c r="T86">
        <v>0</v>
      </c>
      <c r="U86" t="s">
        <v>59</v>
      </c>
      <c r="V86" t="s">
        <v>75</v>
      </c>
      <c r="W86">
        <v>4</v>
      </c>
      <c r="X86">
        <v>1</v>
      </c>
      <c r="Y86" t="s">
        <v>73</v>
      </c>
      <c r="Z86">
        <v>591083.07880170015</v>
      </c>
      <c r="AA86">
        <v>685656.3714099722</v>
      </c>
      <c r="AB86" t="s">
        <v>298</v>
      </c>
      <c r="AD86">
        <v>0</v>
      </c>
      <c r="AE86">
        <v>0</v>
      </c>
      <c r="AF86">
        <v>685656.36</v>
      </c>
      <c r="AG86">
        <v>685656.36744799837</v>
      </c>
      <c r="AH86">
        <v>685656.36744799837</v>
      </c>
      <c r="AJ86" s="130">
        <v>46041</v>
      </c>
      <c r="AK86">
        <v>1</v>
      </c>
    </row>
    <row r="87" spans="1:37" x14ac:dyDescent="0.25">
      <c r="A87">
        <v>64014</v>
      </c>
      <c r="B87" t="s">
        <v>300</v>
      </c>
      <c r="C87">
        <v>665488.12225527596</v>
      </c>
      <c r="D87">
        <v>13582.22646958328</v>
      </c>
      <c r="E87">
        <v>0</v>
      </c>
      <c r="F87">
        <v>679070.33510000003</v>
      </c>
      <c r="G87">
        <v>661087.93000000005</v>
      </c>
      <c r="H87">
        <v>13582.23</v>
      </c>
      <c r="J87">
        <v>674670.16</v>
      </c>
      <c r="L87">
        <v>-3.530416721332585E-3</v>
      </c>
      <c r="M87">
        <v>0</v>
      </c>
      <c r="N87">
        <v>-3.530416721332585E-3</v>
      </c>
      <c r="O87">
        <v>4400.2</v>
      </c>
      <c r="R87">
        <v>4400.2</v>
      </c>
      <c r="S87">
        <v>0</v>
      </c>
      <c r="T87">
        <v>0</v>
      </c>
      <c r="U87" t="s">
        <v>59</v>
      </c>
      <c r="V87" t="s">
        <v>82</v>
      </c>
      <c r="W87">
        <v>4</v>
      </c>
      <c r="Y87" t="s">
        <v>81</v>
      </c>
      <c r="Z87">
        <v>661087.93000000005</v>
      </c>
      <c r="AA87">
        <v>674670.15646958328</v>
      </c>
      <c r="AB87">
        <v>0</v>
      </c>
      <c r="AD87">
        <v>0</v>
      </c>
      <c r="AE87">
        <v>0</v>
      </c>
      <c r="AF87">
        <v>679070.30999999982</v>
      </c>
      <c r="AG87">
        <v>679070.33510000003</v>
      </c>
      <c r="AH87">
        <v>4400.1899999999996</v>
      </c>
      <c r="AJ87" s="130">
        <v>46056</v>
      </c>
      <c r="AK87">
        <v>0</v>
      </c>
    </row>
    <row r="88" spans="1:37" x14ac:dyDescent="0.25">
      <c r="A88">
        <v>21853</v>
      </c>
      <c r="B88" t="s">
        <v>301</v>
      </c>
      <c r="C88">
        <v>674473.87769096904</v>
      </c>
      <c r="D88">
        <v>0</v>
      </c>
      <c r="E88">
        <v>0</v>
      </c>
      <c r="F88">
        <v>674473.88</v>
      </c>
      <c r="J88">
        <v>0</v>
      </c>
      <c r="K88">
        <v>674473.87769096904</v>
      </c>
      <c r="L88">
        <v>0</v>
      </c>
      <c r="M88">
        <v>0</v>
      </c>
      <c r="N88">
        <v>674473.87769096904</v>
      </c>
      <c r="R88">
        <v>0</v>
      </c>
      <c r="S88">
        <v>0</v>
      </c>
      <c r="T88">
        <v>0</v>
      </c>
      <c r="U88" t="s">
        <v>256</v>
      </c>
      <c r="V88" t="s">
        <v>90</v>
      </c>
      <c r="W88">
        <v>4</v>
      </c>
      <c r="Y88" t="s">
        <v>73</v>
      </c>
      <c r="Z88">
        <v>674473.87769096904</v>
      </c>
      <c r="AA88">
        <v>674473.87769096904</v>
      </c>
      <c r="AB88">
        <v>0</v>
      </c>
      <c r="AD88">
        <v>0</v>
      </c>
      <c r="AE88">
        <v>0</v>
      </c>
      <c r="AF88">
        <v>674473.88000000012</v>
      </c>
      <c r="AG88">
        <v>674473.88</v>
      </c>
      <c r="AK88">
        <v>0</v>
      </c>
    </row>
    <row r="89" spans="1:37" x14ac:dyDescent="0.25">
      <c r="A89">
        <v>3137</v>
      </c>
      <c r="B89" t="s">
        <v>302</v>
      </c>
      <c r="C89">
        <v>578799.46621350304</v>
      </c>
      <c r="D89">
        <v>0</v>
      </c>
      <c r="E89">
        <v>92607.886794160484</v>
      </c>
      <c r="F89">
        <v>671407.36</v>
      </c>
      <c r="G89">
        <v>258104.83</v>
      </c>
      <c r="H89">
        <v>0</v>
      </c>
      <c r="I89">
        <v>41296.74</v>
      </c>
      <c r="J89">
        <v>299401.57</v>
      </c>
      <c r="K89">
        <v>0</v>
      </c>
      <c r="L89">
        <v>0</v>
      </c>
      <c r="N89">
        <v>0</v>
      </c>
      <c r="O89">
        <v>320694.64</v>
      </c>
      <c r="P89">
        <v>0</v>
      </c>
      <c r="Q89">
        <v>51311.14</v>
      </c>
      <c r="R89">
        <v>372005.78</v>
      </c>
      <c r="S89">
        <v>0</v>
      </c>
      <c r="T89" t="s">
        <v>894</v>
      </c>
      <c r="U89" t="s">
        <v>59</v>
      </c>
      <c r="V89" t="s">
        <v>82</v>
      </c>
      <c r="W89">
        <v>4</v>
      </c>
      <c r="Y89" t="s">
        <v>303</v>
      </c>
      <c r="AB89" t="s">
        <v>304</v>
      </c>
      <c r="AC89" t="s">
        <v>304</v>
      </c>
      <c r="AD89">
        <v>671407.36</v>
      </c>
      <c r="AE89">
        <v>0</v>
      </c>
      <c r="AF89">
        <v>0</v>
      </c>
      <c r="AG89">
        <v>671407.36</v>
      </c>
      <c r="AK89">
        <v>0</v>
      </c>
    </row>
    <row r="90" spans="1:37" x14ac:dyDescent="0.25">
      <c r="A90">
        <v>86520</v>
      </c>
      <c r="B90" t="s">
        <v>305</v>
      </c>
      <c r="C90">
        <v>578790.19352323993</v>
      </c>
      <c r="D90">
        <v>0</v>
      </c>
      <c r="E90">
        <v>92606.430963718405</v>
      </c>
      <c r="F90">
        <v>671396.60999999987</v>
      </c>
      <c r="J90">
        <v>0</v>
      </c>
      <c r="K90">
        <v>578790.19352323993</v>
      </c>
      <c r="L90">
        <v>0</v>
      </c>
      <c r="M90">
        <v>92606.430963718405</v>
      </c>
      <c r="N90">
        <v>671396.62448695838</v>
      </c>
      <c r="R90">
        <v>0</v>
      </c>
      <c r="S90">
        <v>0</v>
      </c>
      <c r="T90">
        <v>0</v>
      </c>
      <c r="U90" t="s">
        <v>256</v>
      </c>
      <c r="V90" t="s">
        <v>90</v>
      </c>
      <c r="W90">
        <v>4</v>
      </c>
      <c r="Y90" t="s">
        <v>73</v>
      </c>
      <c r="Z90">
        <v>578790.19352323993</v>
      </c>
      <c r="AA90">
        <v>671396.62448695838</v>
      </c>
      <c r="AB90">
        <v>0</v>
      </c>
      <c r="AD90">
        <v>0</v>
      </c>
      <c r="AE90">
        <v>0</v>
      </c>
      <c r="AF90">
        <v>671396.61</v>
      </c>
      <c r="AG90">
        <v>671396.60999999987</v>
      </c>
      <c r="AK90">
        <v>0</v>
      </c>
    </row>
    <row r="91" spans="1:37" x14ac:dyDescent="0.25">
      <c r="A91">
        <v>306571</v>
      </c>
      <c r="B91" t="s">
        <v>306</v>
      </c>
      <c r="C91">
        <v>597144.21234794031</v>
      </c>
      <c r="D91">
        <v>0</v>
      </c>
      <c r="E91">
        <v>63014.278434710417</v>
      </c>
      <c r="F91">
        <v>660158.43999999994</v>
      </c>
      <c r="J91">
        <v>0</v>
      </c>
      <c r="K91">
        <v>597144.21234794031</v>
      </c>
      <c r="L91">
        <v>0</v>
      </c>
      <c r="M91">
        <v>63014.278434710417</v>
      </c>
      <c r="N91">
        <v>660158.49078265077</v>
      </c>
      <c r="R91">
        <v>0</v>
      </c>
      <c r="S91">
        <v>0</v>
      </c>
      <c r="T91">
        <v>0</v>
      </c>
      <c r="U91" t="s">
        <v>256</v>
      </c>
      <c r="V91" t="s">
        <v>90</v>
      </c>
      <c r="W91">
        <v>4</v>
      </c>
      <c r="Y91" t="s">
        <v>238</v>
      </c>
      <c r="AB91">
        <v>0</v>
      </c>
      <c r="AD91">
        <v>660158.43999999994</v>
      </c>
      <c r="AE91">
        <v>0</v>
      </c>
      <c r="AF91">
        <v>0</v>
      </c>
      <c r="AG91">
        <v>660158.43999999994</v>
      </c>
      <c r="AH91">
        <v>660158.43999999994</v>
      </c>
      <c r="AK91">
        <v>0</v>
      </c>
    </row>
    <row r="92" spans="1:37" x14ac:dyDescent="0.25">
      <c r="A92">
        <v>13642</v>
      </c>
      <c r="B92" t="s">
        <v>268</v>
      </c>
      <c r="C92">
        <v>556101.1776076979</v>
      </c>
      <c r="D92">
        <v>0</v>
      </c>
      <c r="E92">
        <v>88976.136517231673</v>
      </c>
      <c r="F92">
        <v>645077.30999999994</v>
      </c>
      <c r="J92">
        <v>0</v>
      </c>
      <c r="K92">
        <v>556101.1776076979</v>
      </c>
      <c r="L92">
        <v>0</v>
      </c>
      <c r="M92">
        <v>88976.136517231673</v>
      </c>
      <c r="N92">
        <v>645077.3141249296</v>
      </c>
      <c r="R92">
        <v>0</v>
      </c>
      <c r="S92">
        <v>0</v>
      </c>
      <c r="T92" t="s">
        <v>874</v>
      </c>
      <c r="U92" t="s">
        <v>59</v>
      </c>
      <c r="V92" t="s">
        <v>75</v>
      </c>
      <c r="W92">
        <v>4</v>
      </c>
      <c r="Y92" t="s">
        <v>73</v>
      </c>
      <c r="Z92">
        <v>556101.1776076979</v>
      </c>
      <c r="AA92">
        <v>645077.3141249296</v>
      </c>
      <c r="AB92" t="s">
        <v>309</v>
      </c>
      <c r="AD92">
        <v>0</v>
      </c>
      <c r="AE92">
        <v>0</v>
      </c>
      <c r="AF92">
        <v>645077.30999999994</v>
      </c>
      <c r="AG92">
        <v>645077.30999999994</v>
      </c>
      <c r="AK92">
        <v>0</v>
      </c>
    </row>
    <row r="93" spans="1:37" x14ac:dyDescent="0.25">
      <c r="A93">
        <v>21869</v>
      </c>
      <c r="B93" t="s">
        <v>116</v>
      </c>
      <c r="C93">
        <v>621522.28741595196</v>
      </c>
      <c r="D93">
        <v>0</v>
      </c>
      <c r="E93">
        <v>0</v>
      </c>
      <c r="F93">
        <v>621522.28</v>
      </c>
      <c r="J93">
        <v>0</v>
      </c>
      <c r="K93">
        <v>621522.28741595196</v>
      </c>
      <c r="L93">
        <v>0</v>
      </c>
      <c r="M93">
        <v>0</v>
      </c>
      <c r="N93">
        <v>621522.28741595196</v>
      </c>
      <c r="R93">
        <v>0</v>
      </c>
      <c r="S93">
        <v>0</v>
      </c>
      <c r="T93">
        <v>0</v>
      </c>
      <c r="U93" t="s">
        <v>256</v>
      </c>
      <c r="V93" t="s">
        <v>90</v>
      </c>
      <c r="W93">
        <v>4</v>
      </c>
      <c r="Y93" t="s">
        <v>73</v>
      </c>
      <c r="Z93">
        <v>621522.28741595196</v>
      </c>
      <c r="AA93">
        <v>621522.28741595196</v>
      </c>
      <c r="AB93">
        <v>0</v>
      </c>
      <c r="AD93">
        <v>0</v>
      </c>
      <c r="AE93">
        <v>0</v>
      </c>
      <c r="AF93">
        <v>621522.28</v>
      </c>
      <c r="AG93">
        <v>621522.28</v>
      </c>
      <c r="AK93">
        <v>0</v>
      </c>
    </row>
    <row r="94" spans="1:37" x14ac:dyDescent="0.25">
      <c r="A94">
        <v>79087</v>
      </c>
      <c r="B94" t="s">
        <v>310</v>
      </c>
      <c r="C94">
        <v>532651.81000000006</v>
      </c>
      <c r="D94">
        <v>0</v>
      </c>
      <c r="E94">
        <v>85224.289599999989</v>
      </c>
      <c r="F94">
        <v>617876.1100000001</v>
      </c>
      <c r="J94">
        <v>0</v>
      </c>
      <c r="K94">
        <v>101785.73</v>
      </c>
      <c r="L94">
        <v>0</v>
      </c>
      <c r="M94">
        <v>16285.71959999998</v>
      </c>
      <c r="N94">
        <v>118071.44960000001</v>
      </c>
      <c r="O94">
        <v>430866.08</v>
      </c>
      <c r="Q94">
        <v>68938.570000000007</v>
      </c>
      <c r="R94">
        <v>499804.65</v>
      </c>
      <c r="S94">
        <v>0</v>
      </c>
      <c r="T94" t="s">
        <v>894</v>
      </c>
      <c r="U94" t="s">
        <v>59</v>
      </c>
      <c r="V94" t="s">
        <v>133</v>
      </c>
      <c r="W94">
        <v>4</v>
      </c>
      <c r="Y94" t="s">
        <v>73</v>
      </c>
      <c r="Z94">
        <v>101785.73</v>
      </c>
      <c r="AA94">
        <v>118071.44960000001</v>
      </c>
      <c r="AB94" t="s">
        <v>895</v>
      </c>
      <c r="AD94">
        <v>0</v>
      </c>
      <c r="AE94">
        <v>0</v>
      </c>
      <c r="AF94">
        <v>617876.11</v>
      </c>
      <c r="AG94">
        <v>617876.1100000001</v>
      </c>
      <c r="AK94">
        <v>0</v>
      </c>
    </row>
    <row r="95" spans="1:37" x14ac:dyDescent="0.25">
      <c r="A95">
        <v>32953</v>
      </c>
      <c r="B95" t="s">
        <v>313</v>
      </c>
      <c r="C95">
        <v>526702.41254543397</v>
      </c>
      <c r="D95">
        <v>0</v>
      </c>
      <c r="E95">
        <v>84272.3794072694</v>
      </c>
      <c r="F95">
        <v>610975.08000000007</v>
      </c>
      <c r="G95">
        <v>356190</v>
      </c>
      <c r="H95">
        <v>0</v>
      </c>
      <c r="I95">
        <v>56990.39</v>
      </c>
      <c r="J95">
        <v>413180.39</v>
      </c>
      <c r="K95">
        <v>65434.19</v>
      </c>
      <c r="L95">
        <v>0</v>
      </c>
      <c r="M95">
        <v>10469.4694072694</v>
      </c>
      <c r="N95">
        <v>75903.659407269399</v>
      </c>
      <c r="O95">
        <v>105078.23</v>
      </c>
      <c r="P95">
        <v>0</v>
      </c>
      <c r="Q95">
        <v>16812.52</v>
      </c>
      <c r="R95">
        <v>121890.75</v>
      </c>
      <c r="S95">
        <v>0</v>
      </c>
      <c r="T95">
        <v>0</v>
      </c>
      <c r="U95" t="s">
        <v>59</v>
      </c>
      <c r="V95" t="s">
        <v>75</v>
      </c>
      <c r="W95">
        <v>4</v>
      </c>
      <c r="Y95" t="s">
        <v>73</v>
      </c>
      <c r="Z95">
        <v>421624.19</v>
      </c>
      <c r="AA95">
        <v>489084.0494072694</v>
      </c>
      <c r="AB95">
        <v>0</v>
      </c>
      <c r="AD95">
        <v>0</v>
      </c>
      <c r="AE95">
        <v>0</v>
      </c>
      <c r="AF95">
        <v>610975.07999999996</v>
      </c>
      <c r="AG95">
        <v>610975.08000000007</v>
      </c>
      <c r="AK95">
        <v>0</v>
      </c>
    </row>
    <row r="96" spans="1:37" x14ac:dyDescent="0.25">
      <c r="A96">
        <v>11716</v>
      </c>
      <c r="B96" t="s">
        <v>316</v>
      </c>
      <c r="C96">
        <v>507093.83</v>
      </c>
      <c r="D96">
        <v>0</v>
      </c>
      <c r="E96">
        <v>81134.982600000018</v>
      </c>
      <c r="F96">
        <v>588228.75</v>
      </c>
      <c r="J96">
        <v>0</v>
      </c>
      <c r="K96">
        <v>507093.83</v>
      </c>
      <c r="L96">
        <v>0</v>
      </c>
      <c r="M96">
        <v>81134.982600000018</v>
      </c>
      <c r="N96">
        <v>588228.81259999995</v>
      </c>
      <c r="R96">
        <v>0</v>
      </c>
      <c r="S96">
        <v>0</v>
      </c>
      <c r="T96">
        <v>0</v>
      </c>
      <c r="U96" t="s">
        <v>256</v>
      </c>
      <c r="V96" t="s">
        <v>90</v>
      </c>
      <c r="W96">
        <v>4</v>
      </c>
      <c r="Y96" t="s">
        <v>73</v>
      </c>
      <c r="Z96">
        <v>507093.83</v>
      </c>
      <c r="AA96">
        <v>588228.81259999995</v>
      </c>
      <c r="AB96">
        <v>0</v>
      </c>
      <c r="AD96">
        <v>0</v>
      </c>
      <c r="AE96">
        <v>0</v>
      </c>
      <c r="AF96">
        <v>588228.75</v>
      </c>
      <c r="AG96">
        <v>588228.75</v>
      </c>
      <c r="AK96">
        <v>0</v>
      </c>
    </row>
    <row r="97" spans="1:37" x14ac:dyDescent="0.25">
      <c r="A97">
        <v>312397</v>
      </c>
      <c r="B97" t="s">
        <v>317</v>
      </c>
      <c r="C97">
        <v>556338.23</v>
      </c>
      <c r="D97">
        <v>29630.807199999999</v>
      </c>
      <c r="E97">
        <v>0</v>
      </c>
      <c r="F97">
        <v>585969.03</v>
      </c>
      <c r="J97">
        <v>0</v>
      </c>
      <c r="K97">
        <v>556338.23</v>
      </c>
      <c r="L97">
        <v>29630.807199999999</v>
      </c>
      <c r="M97">
        <v>0</v>
      </c>
      <c r="N97">
        <v>585969.03720000002</v>
      </c>
      <c r="R97">
        <v>0</v>
      </c>
      <c r="S97">
        <v>0</v>
      </c>
      <c r="T97">
        <v>0</v>
      </c>
      <c r="U97" t="s">
        <v>256</v>
      </c>
      <c r="V97" t="s">
        <v>90</v>
      </c>
      <c r="W97">
        <v>4</v>
      </c>
      <c r="Y97" t="s">
        <v>238</v>
      </c>
      <c r="AB97">
        <v>0</v>
      </c>
      <c r="AD97">
        <v>0</v>
      </c>
      <c r="AE97">
        <v>585969.03</v>
      </c>
      <c r="AF97">
        <v>0</v>
      </c>
      <c r="AG97">
        <v>0</v>
      </c>
      <c r="AK97">
        <v>0</v>
      </c>
    </row>
    <row r="98" spans="1:37" x14ac:dyDescent="0.25">
      <c r="A98">
        <v>58487</v>
      </c>
      <c r="B98" t="s">
        <v>318</v>
      </c>
      <c r="C98">
        <v>487893.67200947099</v>
      </c>
      <c r="D98">
        <v>0</v>
      </c>
      <c r="E98">
        <v>78062.917121515362</v>
      </c>
      <c r="F98">
        <v>565956.6</v>
      </c>
      <c r="J98">
        <v>0</v>
      </c>
      <c r="K98">
        <v>487893.67200947099</v>
      </c>
      <c r="L98">
        <v>0</v>
      </c>
      <c r="M98">
        <v>78062.917121515362</v>
      </c>
      <c r="N98">
        <v>565956.58913098637</v>
      </c>
      <c r="R98">
        <v>0</v>
      </c>
      <c r="S98">
        <v>0</v>
      </c>
      <c r="T98">
        <v>0</v>
      </c>
      <c r="U98" t="s">
        <v>256</v>
      </c>
      <c r="V98" t="s">
        <v>90</v>
      </c>
      <c r="W98">
        <v>4</v>
      </c>
      <c r="Y98" t="s">
        <v>73</v>
      </c>
      <c r="Z98">
        <v>487893.67200947099</v>
      </c>
      <c r="AA98">
        <v>565956.58913098637</v>
      </c>
      <c r="AB98" t="s">
        <v>259</v>
      </c>
      <c r="AD98">
        <v>0</v>
      </c>
      <c r="AE98">
        <v>0</v>
      </c>
      <c r="AF98">
        <v>565956.59999999986</v>
      </c>
      <c r="AG98">
        <v>565956.6</v>
      </c>
      <c r="AK98">
        <v>0</v>
      </c>
    </row>
    <row r="99" spans="1:37" x14ac:dyDescent="0.25">
      <c r="A99">
        <v>82370</v>
      </c>
      <c r="B99" t="s">
        <v>319</v>
      </c>
      <c r="C99">
        <v>547009.90346483048</v>
      </c>
      <c r="D99">
        <v>3115.9219196570002</v>
      </c>
      <c r="E99">
        <v>0</v>
      </c>
      <c r="F99">
        <v>550125.81959999993</v>
      </c>
      <c r="J99">
        <v>0</v>
      </c>
      <c r="K99">
        <v>547009.90346483048</v>
      </c>
      <c r="L99">
        <v>3115.9219196570002</v>
      </c>
      <c r="M99">
        <v>0</v>
      </c>
      <c r="N99">
        <v>550125.82538448751</v>
      </c>
      <c r="R99">
        <v>0</v>
      </c>
      <c r="S99">
        <v>0</v>
      </c>
      <c r="T99">
        <v>0</v>
      </c>
      <c r="U99" t="s">
        <v>59</v>
      </c>
      <c r="V99" t="s">
        <v>75</v>
      </c>
      <c r="W99">
        <v>4</v>
      </c>
      <c r="Y99" t="s">
        <v>73</v>
      </c>
      <c r="Z99">
        <v>547009.90346483048</v>
      </c>
      <c r="AA99">
        <v>550125.82538448751</v>
      </c>
      <c r="AB99" t="s">
        <v>320</v>
      </c>
      <c r="AD99">
        <v>0</v>
      </c>
      <c r="AE99">
        <v>0</v>
      </c>
      <c r="AF99">
        <v>550125.81000000006</v>
      </c>
      <c r="AG99">
        <v>550125.81959999993</v>
      </c>
      <c r="AH99">
        <v>123635.65</v>
      </c>
      <c r="AI99">
        <v>1</v>
      </c>
      <c r="AJ99" s="130">
        <v>46044</v>
      </c>
      <c r="AK99">
        <v>0</v>
      </c>
    </row>
    <row r="100" spans="1:37" x14ac:dyDescent="0.25">
      <c r="A100">
        <v>328724</v>
      </c>
      <c r="B100" t="s">
        <v>322</v>
      </c>
      <c r="C100">
        <v>464092.44210711739</v>
      </c>
      <c r="D100">
        <v>0</v>
      </c>
      <c r="E100">
        <v>74254.780237138795</v>
      </c>
      <c r="F100">
        <v>538347.22000000009</v>
      </c>
      <c r="J100">
        <v>0</v>
      </c>
      <c r="K100">
        <v>464092.44210711739</v>
      </c>
      <c r="L100">
        <v>0</v>
      </c>
      <c r="M100">
        <v>74254.780237138795</v>
      </c>
      <c r="N100">
        <v>538347.22234425624</v>
      </c>
      <c r="R100">
        <v>0</v>
      </c>
      <c r="S100">
        <v>0</v>
      </c>
      <c r="T100">
        <v>0</v>
      </c>
      <c r="U100" t="s">
        <v>256</v>
      </c>
      <c r="V100" t="s">
        <v>90</v>
      </c>
      <c r="W100">
        <v>4</v>
      </c>
      <c r="Y100" t="s">
        <v>73</v>
      </c>
      <c r="Z100">
        <v>464092.44210711739</v>
      </c>
      <c r="AA100">
        <v>538347.22234425624</v>
      </c>
      <c r="AB100" t="s">
        <v>323</v>
      </c>
      <c r="AD100">
        <v>0</v>
      </c>
      <c r="AE100">
        <v>0</v>
      </c>
      <c r="AF100">
        <v>538347.22000000009</v>
      </c>
      <c r="AG100">
        <v>538347.22000000009</v>
      </c>
      <c r="AK100">
        <v>0</v>
      </c>
    </row>
    <row r="101" spans="1:37" x14ac:dyDescent="0.25">
      <c r="A101">
        <v>5766</v>
      </c>
      <c r="B101" t="s">
        <v>230</v>
      </c>
      <c r="C101">
        <v>497065.24765470042</v>
      </c>
      <c r="D101">
        <v>39752.194212376038</v>
      </c>
      <c r="E101">
        <v>0</v>
      </c>
      <c r="F101">
        <v>536817.44000000006</v>
      </c>
      <c r="J101">
        <v>0</v>
      </c>
      <c r="K101">
        <v>497065.24765470042</v>
      </c>
      <c r="L101">
        <v>39752.194212376038</v>
      </c>
      <c r="M101">
        <v>0</v>
      </c>
      <c r="N101">
        <v>536817.44186707644</v>
      </c>
      <c r="R101">
        <v>0</v>
      </c>
      <c r="S101">
        <v>0</v>
      </c>
      <c r="T101">
        <v>0</v>
      </c>
      <c r="U101" t="s">
        <v>256</v>
      </c>
      <c r="V101" t="s">
        <v>90</v>
      </c>
      <c r="W101">
        <v>4</v>
      </c>
      <c r="Y101" t="s">
        <v>238</v>
      </c>
      <c r="AB101">
        <v>0</v>
      </c>
      <c r="AD101">
        <v>0</v>
      </c>
      <c r="AE101">
        <v>536817.43999999994</v>
      </c>
      <c r="AF101">
        <v>0</v>
      </c>
      <c r="AG101">
        <v>0</v>
      </c>
      <c r="AK101">
        <v>0</v>
      </c>
    </row>
    <row r="102" spans="1:37" x14ac:dyDescent="0.25">
      <c r="A102">
        <v>98327</v>
      </c>
      <c r="B102" t="s">
        <v>324</v>
      </c>
      <c r="C102">
        <v>454531.92000000022</v>
      </c>
      <c r="D102">
        <v>0</v>
      </c>
      <c r="E102">
        <v>72725.107200000013</v>
      </c>
      <c r="F102">
        <v>527257.07999999984</v>
      </c>
      <c r="G102">
        <v>0</v>
      </c>
      <c r="J102">
        <v>0</v>
      </c>
      <c r="K102">
        <v>0</v>
      </c>
      <c r="L102">
        <v>0</v>
      </c>
      <c r="M102">
        <v>0</v>
      </c>
      <c r="N102">
        <v>0</v>
      </c>
      <c r="O102">
        <v>454531.92</v>
      </c>
      <c r="Q102">
        <v>72725.107199999999</v>
      </c>
      <c r="R102">
        <v>527257.02720000001</v>
      </c>
      <c r="S102">
        <v>0</v>
      </c>
      <c r="T102">
        <v>0</v>
      </c>
      <c r="U102" t="s">
        <v>59</v>
      </c>
      <c r="V102" t="s">
        <v>82</v>
      </c>
      <c r="W102">
        <v>4</v>
      </c>
      <c r="Y102" t="s">
        <v>325</v>
      </c>
      <c r="AB102" t="s">
        <v>326</v>
      </c>
      <c r="AC102" t="s">
        <v>326</v>
      </c>
      <c r="AD102">
        <v>0</v>
      </c>
      <c r="AE102">
        <v>0</v>
      </c>
      <c r="AF102">
        <v>527257.07999999996</v>
      </c>
      <c r="AG102">
        <v>527257.07999999984</v>
      </c>
      <c r="AH102">
        <v>527257.07999999996</v>
      </c>
      <c r="AI102">
        <v>1</v>
      </c>
      <c r="AJ102" s="130">
        <v>46041</v>
      </c>
      <c r="AK102">
        <v>0</v>
      </c>
    </row>
    <row r="103" spans="1:37" x14ac:dyDescent="0.25">
      <c r="A103">
        <v>8599</v>
      </c>
      <c r="B103" t="s">
        <v>313</v>
      </c>
      <c r="C103">
        <v>507149.52</v>
      </c>
      <c r="D103">
        <v>0</v>
      </c>
      <c r="E103">
        <v>0</v>
      </c>
      <c r="F103">
        <v>507149.52</v>
      </c>
      <c r="J103">
        <v>0</v>
      </c>
      <c r="K103">
        <v>507149.52</v>
      </c>
      <c r="L103">
        <v>0</v>
      </c>
      <c r="M103">
        <v>0</v>
      </c>
      <c r="N103">
        <v>507149.52</v>
      </c>
      <c r="R103">
        <v>0</v>
      </c>
      <c r="S103">
        <v>0</v>
      </c>
      <c r="T103">
        <v>0</v>
      </c>
      <c r="U103" t="s">
        <v>59</v>
      </c>
      <c r="V103" t="s">
        <v>133</v>
      </c>
      <c r="W103">
        <v>4</v>
      </c>
      <c r="Y103" t="s">
        <v>57</v>
      </c>
      <c r="AB103">
        <v>0</v>
      </c>
      <c r="AD103">
        <v>0</v>
      </c>
      <c r="AE103">
        <v>0</v>
      </c>
      <c r="AF103">
        <v>507149.52</v>
      </c>
      <c r="AG103">
        <v>507149.52</v>
      </c>
      <c r="AH103">
        <v>507149.52</v>
      </c>
      <c r="AJ103" s="130">
        <v>46038</v>
      </c>
      <c r="AK103">
        <v>0</v>
      </c>
    </row>
    <row r="104" spans="1:37" x14ac:dyDescent="0.25">
      <c r="A104">
        <v>225839</v>
      </c>
      <c r="B104" t="s">
        <v>331</v>
      </c>
      <c r="C104">
        <v>480373.39701517503</v>
      </c>
      <c r="D104">
        <v>18743.065999999999</v>
      </c>
      <c r="E104">
        <v>0</v>
      </c>
      <c r="F104">
        <v>499116.47749999998</v>
      </c>
      <c r="J104">
        <v>0</v>
      </c>
      <c r="K104">
        <v>480373.39701517503</v>
      </c>
      <c r="L104">
        <v>18743.065999999999</v>
      </c>
      <c r="M104">
        <v>0</v>
      </c>
      <c r="N104">
        <v>499116.46301517502</v>
      </c>
      <c r="R104">
        <v>0</v>
      </c>
      <c r="S104">
        <v>0</v>
      </c>
      <c r="T104">
        <v>0</v>
      </c>
      <c r="U104" t="s">
        <v>256</v>
      </c>
      <c r="V104" t="s">
        <v>90</v>
      </c>
      <c r="W104">
        <v>4</v>
      </c>
      <c r="Y104" t="s">
        <v>238</v>
      </c>
      <c r="AB104">
        <v>0</v>
      </c>
      <c r="AD104">
        <v>499116.50000000012</v>
      </c>
      <c r="AE104">
        <v>0</v>
      </c>
      <c r="AF104">
        <v>0</v>
      </c>
      <c r="AG104">
        <v>499116.47749999998</v>
      </c>
      <c r="AK104">
        <v>0</v>
      </c>
    </row>
    <row r="105" spans="1:37" x14ac:dyDescent="0.25">
      <c r="A105">
        <v>373894</v>
      </c>
      <c r="B105" t="s">
        <v>332</v>
      </c>
      <c r="C105">
        <v>426658.74</v>
      </c>
      <c r="D105">
        <v>0</v>
      </c>
      <c r="E105">
        <v>68265.398400000005</v>
      </c>
      <c r="F105">
        <v>494924.13</v>
      </c>
      <c r="J105">
        <v>0</v>
      </c>
      <c r="K105">
        <v>426658.74</v>
      </c>
      <c r="L105">
        <v>0</v>
      </c>
      <c r="M105">
        <v>68265.398400000005</v>
      </c>
      <c r="N105">
        <v>494924.1384</v>
      </c>
      <c r="R105">
        <v>0</v>
      </c>
      <c r="S105">
        <v>0</v>
      </c>
      <c r="T105">
        <v>0</v>
      </c>
      <c r="U105" t="s">
        <v>256</v>
      </c>
      <c r="V105" t="s">
        <v>90</v>
      </c>
      <c r="W105">
        <v>4</v>
      </c>
      <c r="Y105" t="s">
        <v>73</v>
      </c>
      <c r="Z105">
        <v>426658.74</v>
      </c>
      <c r="AA105">
        <v>494924.1384</v>
      </c>
      <c r="AB105" t="s">
        <v>333</v>
      </c>
      <c r="AD105">
        <v>0</v>
      </c>
      <c r="AE105">
        <v>0</v>
      </c>
      <c r="AF105">
        <v>494924.12999999989</v>
      </c>
      <c r="AG105">
        <v>494924.13</v>
      </c>
      <c r="AK105">
        <v>0</v>
      </c>
    </row>
    <row r="106" spans="1:37" x14ac:dyDescent="0.25">
      <c r="A106">
        <v>76067</v>
      </c>
      <c r="B106" t="s">
        <v>334</v>
      </c>
      <c r="C106">
        <v>420730.38</v>
      </c>
      <c r="D106">
        <v>0</v>
      </c>
      <c r="E106">
        <v>67316.576799999995</v>
      </c>
      <c r="F106">
        <v>488046.62999999989</v>
      </c>
      <c r="J106">
        <v>0</v>
      </c>
      <c r="K106">
        <v>420730.38</v>
      </c>
      <c r="L106">
        <v>0</v>
      </c>
      <c r="M106">
        <v>67316.576799999995</v>
      </c>
      <c r="N106">
        <v>488046.95679999999</v>
      </c>
      <c r="R106">
        <v>0</v>
      </c>
      <c r="S106">
        <v>0</v>
      </c>
      <c r="T106">
        <v>0</v>
      </c>
      <c r="U106" t="s">
        <v>256</v>
      </c>
      <c r="V106" t="s">
        <v>90</v>
      </c>
      <c r="W106">
        <v>4</v>
      </c>
      <c r="Y106" t="s">
        <v>73</v>
      </c>
      <c r="Z106">
        <v>420730.38</v>
      </c>
      <c r="AA106">
        <v>488046.95679999999</v>
      </c>
      <c r="AB106" t="s">
        <v>212</v>
      </c>
      <c r="AD106">
        <v>0</v>
      </c>
      <c r="AE106">
        <v>0</v>
      </c>
      <c r="AF106">
        <v>488046.63</v>
      </c>
      <c r="AG106">
        <v>488046.62999999989</v>
      </c>
      <c r="AK106">
        <v>0</v>
      </c>
    </row>
    <row r="107" spans="1:37" x14ac:dyDescent="0.25">
      <c r="A107">
        <v>339564</v>
      </c>
      <c r="B107" t="s">
        <v>335</v>
      </c>
      <c r="C107">
        <v>411450.46955945302</v>
      </c>
      <c r="D107">
        <v>0</v>
      </c>
      <c r="E107">
        <v>65832.075129512479</v>
      </c>
      <c r="F107">
        <v>477282.55</v>
      </c>
      <c r="J107">
        <v>0</v>
      </c>
      <c r="K107">
        <v>411450.46955945302</v>
      </c>
      <c r="L107">
        <v>0</v>
      </c>
      <c r="M107">
        <v>65832.075129512479</v>
      </c>
      <c r="N107">
        <v>477282.54468896548</v>
      </c>
      <c r="R107">
        <v>0</v>
      </c>
      <c r="S107">
        <v>0</v>
      </c>
      <c r="T107">
        <v>0</v>
      </c>
      <c r="U107" t="s">
        <v>256</v>
      </c>
      <c r="V107" t="s">
        <v>90</v>
      </c>
      <c r="W107">
        <v>4</v>
      </c>
      <c r="Y107" t="s">
        <v>73</v>
      </c>
      <c r="Z107">
        <v>411450.46955945302</v>
      </c>
      <c r="AA107">
        <v>477282.54468896548</v>
      </c>
      <c r="AB107">
        <v>0</v>
      </c>
      <c r="AD107">
        <v>0</v>
      </c>
      <c r="AE107">
        <v>0</v>
      </c>
      <c r="AF107">
        <v>477282.55</v>
      </c>
      <c r="AG107">
        <v>477282.55</v>
      </c>
      <c r="AK107">
        <v>0</v>
      </c>
    </row>
    <row r="108" spans="1:37" x14ac:dyDescent="0.25">
      <c r="A108">
        <v>381467</v>
      </c>
      <c r="B108" t="s">
        <v>336</v>
      </c>
      <c r="C108">
        <v>440139.47854174161</v>
      </c>
      <c r="D108">
        <v>33452.155102484117</v>
      </c>
      <c r="E108">
        <v>3518.0063</v>
      </c>
      <c r="F108">
        <v>477109.64500000002</v>
      </c>
      <c r="J108">
        <v>0</v>
      </c>
      <c r="K108">
        <v>60783.15</v>
      </c>
      <c r="L108">
        <v>4862.6551024841247</v>
      </c>
      <c r="M108">
        <v>-3.700000000208092E-3</v>
      </c>
      <c r="N108">
        <v>65645.801402484125</v>
      </c>
      <c r="O108">
        <v>379356.33</v>
      </c>
      <c r="P108">
        <v>28589.5</v>
      </c>
      <c r="Q108">
        <v>3518.01</v>
      </c>
      <c r="R108">
        <v>411463.84</v>
      </c>
      <c r="S108">
        <v>0</v>
      </c>
      <c r="T108">
        <v>0</v>
      </c>
      <c r="U108" t="s">
        <v>59</v>
      </c>
      <c r="V108" t="s">
        <v>75</v>
      </c>
      <c r="W108">
        <v>4</v>
      </c>
      <c r="X108">
        <v>5</v>
      </c>
      <c r="Y108" t="s">
        <v>73</v>
      </c>
      <c r="Z108">
        <v>60783.15</v>
      </c>
      <c r="AA108">
        <v>65645.801402484125</v>
      </c>
      <c r="AB108" t="s">
        <v>337</v>
      </c>
      <c r="AD108">
        <v>0</v>
      </c>
      <c r="AE108">
        <v>0</v>
      </c>
      <c r="AF108">
        <v>477109.66</v>
      </c>
      <c r="AG108">
        <v>477109.64500000002</v>
      </c>
      <c r="AH108">
        <v>477109.64500000002</v>
      </c>
      <c r="AJ108" s="130">
        <v>46048</v>
      </c>
      <c r="AK108">
        <v>5</v>
      </c>
    </row>
    <row r="109" spans="1:37" x14ac:dyDescent="0.25">
      <c r="A109">
        <v>379719</v>
      </c>
      <c r="B109" t="s">
        <v>341</v>
      </c>
      <c r="C109">
        <v>407793.90119752201</v>
      </c>
      <c r="D109">
        <v>0</v>
      </c>
      <c r="E109">
        <v>65247.044567731507</v>
      </c>
      <c r="F109">
        <v>473040.94130000001</v>
      </c>
      <c r="J109">
        <v>0</v>
      </c>
      <c r="K109">
        <v>407793.90119752201</v>
      </c>
      <c r="L109">
        <v>0</v>
      </c>
      <c r="M109">
        <v>65247.044567731507</v>
      </c>
      <c r="N109">
        <v>473040.94576525351</v>
      </c>
      <c r="R109">
        <v>0</v>
      </c>
      <c r="S109">
        <v>0</v>
      </c>
      <c r="T109">
        <v>0</v>
      </c>
      <c r="U109" t="s">
        <v>256</v>
      </c>
      <c r="V109" t="s">
        <v>90</v>
      </c>
      <c r="W109">
        <v>4</v>
      </c>
      <c r="Y109" t="s">
        <v>73</v>
      </c>
      <c r="Z109">
        <v>407793.90119752201</v>
      </c>
      <c r="AA109">
        <v>473040.94576525351</v>
      </c>
      <c r="AB109" t="s">
        <v>279</v>
      </c>
      <c r="AD109">
        <v>0</v>
      </c>
      <c r="AE109">
        <v>0</v>
      </c>
      <c r="AF109">
        <v>473040.94</v>
      </c>
      <c r="AG109">
        <v>473040.94130000001</v>
      </c>
      <c r="AK109">
        <v>0</v>
      </c>
    </row>
    <row r="110" spans="1:37" x14ac:dyDescent="0.25">
      <c r="A110">
        <v>696</v>
      </c>
      <c r="B110" t="s">
        <v>342</v>
      </c>
      <c r="C110">
        <v>401413.08193307603</v>
      </c>
      <c r="D110">
        <v>0</v>
      </c>
      <c r="E110">
        <v>64226.074909292161</v>
      </c>
      <c r="F110">
        <v>465639.16</v>
      </c>
      <c r="G110">
        <v>30098.71</v>
      </c>
      <c r="I110">
        <v>4815.79</v>
      </c>
      <c r="J110">
        <v>34914.5</v>
      </c>
      <c r="L110">
        <v>0</v>
      </c>
      <c r="N110">
        <v>0</v>
      </c>
      <c r="O110">
        <v>371314.36</v>
      </c>
      <c r="Q110">
        <v>59410.3</v>
      </c>
      <c r="R110">
        <v>430724.66</v>
      </c>
      <c r="S110">
        <v>0</v>
      </c>
      <c r="T110" t="s">
        <v>896</v>
      </c>
      <c r="U110" t="s">
        <v>59</v>
      </c>
      <c r="V110" t="s">
        <v>82</v>
      </c>
      <c r="W110">
        <v>4</v>
      </c>
      <c r="Y110" t="s">
        <v>303</v>
      </c>
      <c r="AB110" t="s">
        <v>343</v>
      </c>
      <c r="AC110" t="s">
        <v>343</v>
      </c>
      <c r="AD110">
        <v>465639.16</v>
      </c>
      <c r="AE110">
        <v>0</v>
      </c>
      <c r="AF110">
        <v>0</v>
      </c>
      <c r="AG110">
        <v>465639.16</v>
      </c>
      <c r="AK110">
        <v>0</v>
      </c>
    </row>
    <row r="111" spans="1:37" x14ac:dyDescent="0.25">
      <c r="A111">
        <v>49890</v>
      </c>
      <c r="B111" t="s">
        <v>345</v>
      </c>
      <c r="C111">
        <v>395077.86580347252</v>
      </c>
      <c r="D111">
        <v>0</v>
      </c>
      <c r="E111">
        <v>63212.458528555602</v>
      </c>
      <c r="F111">
        <v>458290.34</v>
      </c>
      <c r="J111">
        <v>0</v>
      </c>
      <c r="K111">
        <v>395077.86580347252</v>
      </c>
      <c r="L111">
        <v>0</v>
      </c>
      <c r="M111">
        <v>63212.458528555602</v>
      </c>
      <c r="N111">
        <v>458290.32433202799</v>
      </c>
      <c r="R111">
        <v>0</v>
      </c>
      <c r="S111">
        <v>0</v>
      </c>
      <c r="T111">
        <v>0</v>
      </c>
      <c r="U111" t="s">
        <v>59</v>
      </c>
      <c r="V111" t="s">
        <v>75</v>
      </c>
      <c r="W111">
        <v>4</v>
      </c>
      <c r="Y111" t="s">
        <v>73</v>
      </c>
      <c r="Z111">
        <v>395077.86580347252</v>
      </c>
      <c r="AA111">
        <v>458290.32433202799</v>
      </c>
      <c r="AB111" t="s">
        <v>346</v>
      </c>
      <c r="AD111">
        <v>0</v>
      </c>
      <c r="AE111">
        <v>0</v>
      </c>
      <c r="AF111">
        <v>458290.34</v>
      </c>
      <c r="AG111">
        <v>458290.34</v>
      </c>
      <c r="AJ111" s="130">
        <v>46050</v>
      </c>
      <c r="AK111">
        <v>0</v>
      </c>
    </row>
    <row r="112" spans="1:37" x14ac:dyDescent="0.25">
      <c r="A112">
        <v>20512</v>
      </c>
      <c r="B112" t="s">
        <v>348</v>
      </c>
      <c r="C112">
        <v>392647.01902704901</v>
      </c>
      <c r="D112">
        <v>0</v>
      </c>
      <c r="E112">
        <v>62823.529244327838</v>
      </c>
      <c r="F112">
        <v>455470.56000000011</v>
      </c>
      <c r="J112">
        <v>0</v>
      </c>
      <c r="K112">
        <v>392647.01902704901</v>
      </c>
      <c r="L112">
        <v>0</v>
      </c>
      <c r="M112">
        <v>62823.529244327838</v>
      </c>
      <c r="N112">
        <v>455470.54827137681</v>
      </c>
      <c r="R112">
        <v>0</v>
      </c>
      <c r="S112">
        <v>0</v>
      </c>
      <c r="T112">
        <v>0</v>
      </c>
      <c r="U112" t="s">
        <v>256</v>
      </c>
      <c r="V112" t="s">
        <v>90</v>
      </c>
      <c r="W112">
        <v>4</v>
      </c>
      <c r="Y112" t="s">
        <v>73</v>
      </c>
      <c r="Z112">
        <v>392647.01902704901</v>
      </c>
      <c r="AA112">
        <v>455470.54827137681</v>
      </c>
      <c r="AB112">
        <v>0</v>
      </c>
      <c r="AD112">
        <v>0</v>
      </c>
      <c r="AE112">
        <v>0</v>
      </c>
      <c r="AF112">
        <v>455470.56</v>
      </c>
      <c r="AG112">
        <v>455470.56000000011</v>
      </c>
      <c r="AK112">
        <v>0</v>
      </c>
    </row>
    <row r="113" spans="1:37" x14ac:dyDescent="0.25">
      <c r="A113">
        <v>387860</v>
      </c>
      <c r="B113" t="s">
        <v>349</v>
      </c>
      <c r="C113">
        <v>426983.94794031</v>
      </c>
      <c r="D113">
        <v>0</v>
      </c>
      <c r="E113">
        <v>0</v>
      </c>
      <c r="F113">
        <v>426983.95</v>
      </c>
      <c r="J113">
        <v>0</v>
      </c>
      <c r="K113">
        <v>426983.94794031</v>
      </c>
      <c r="L113">
        <v>0</v>
      </c>
      <c r="M113">
        <v>0</v>
      </c>
      <c r="N113">
        <v>426983.94794031</v>
      </c>
      <c r="R113">
        <v>0</v>
      </c>
      <c r="S113">
        <v>0</v>
      </c>
      <c r="T113">
        <v>0</v>
      </c>
      <c r="U113" t="s">
        <v>256</v>
      </c>
      <c r="V113" t="s">
        <v>90</v>
      </c>
      <c r="W113">
        <v>4</v>
      </c>
      <c r="Y113" t="s">
        <v>73</v>
      </c>
      <c r="Z113">
        <v>426983.94794031</v>
      </c>
      <c r="AA113">
        <v>426983.94794031</v>
      </c>
      <c r="AB113" t="s">
        <v>333</v>
      </c>
      <c r="AD113">
        <v>0</v>
      </c>
      <c r="AE113">
        <v>0</v>
      </c>
      <c r="AF113">
        <v>426983.95</v>
      </c>
      <c r="AG113">
        <v>426983.95</v>
      </c>
      <c r="AK113">
        <v>0</v>
      </c>
    </row>
    <row r="114" spans="1:37" x14ac:dyDescent="0.25">
      <c r="A114">
        <v>384446</v>
      </c>
      <c r="B114" t="s">
        <v>350</v>
      </c>
      <c r="C114">
        <v>379101.52611303021</v>
      </c>
      <c r="D114">
        <v>13952.684859557599</v>
      </c>
      <c r="E114">
        <v>32750.780758969599</v>
      </c>
      <c r="F114">
        <v>425805.37</v>
      </c>
      <c r="J114">
        <v>0</v>
      </c>
      <c r="K114">
        <v>379101.52611303021</v>
      </c>
      <c r="L114">
        <v>13952.684859557599</v>
      </c>
      <c r="M114">
        <v>32750.780758969599</v>
      </c>
      <c r="N114">
        <v>425804.99173155741</v>
      </c>
      <c r="R114">
        <v>0</v>
      </c>
      <c r="S114">
        <v>0</v>
      </c>
      <c r="T114">
        <v>0</v>
      </c>
      <c r="U114" t="s">
        <v>256</v>
      </c>
      <c r="V114" t="s">
        <v>90</v>
      </c>
      <c r="W114">
        <v>4</v>
      </c>
      <c r="Y114" t="s">
        <v>73</v>
      </c>
      <c r="Z114">
        <v>379101.52611303021</v>
      </c>
      <c r="AA114">
        <v>425804.99173155741</v>
      </c>
      <c r="AB114">
        <v>0</v>
      </c>
      <c r="AD114">
        <v>0</v>
      </c>
      <c r="AE114">
        <v>0</v>
      </c>
      <c r="AF114">
        <v>425805.37</v>
      </c>
      <c r="AG114">
        <v>425805.37</v>
      </c>
      <c r="AK114">
        <v>0</v>
      </c>
    </row>
    <row r="115" spans="1:37" x14ac:dyDescent="0.25">
      <c r="A115">
        <v>20851</v>
      </c>
      <c r="B115" t="s">
        <v>351</v>
      </c>
      <c r="C115">
        <v>232797.77352597399</v>
      </c>
      <c r="D115">
        <v>123152.2552287662</v>
      </c>
      <c r="E115">
        <v>56952.004448758431</v>
      </c>
      <c r="F115">
        <v>412902.01</v>
      </c>
      <c r="J115">
        <v>0</v>
      </c>
      <c r="K115">
        <v>232797.77352597399</v>
      </c>
      <c r="L115">
        <v>123152.2552287662</v>
      </c>
      <c r="M115">
        <v>56952.004448758431</v>
      </c>
      <c r="N115">
        <v>412902.03320349869</v>
      </c>
      <c r="R115">
        <v>0</v>
      </c>
      <c r="S115">
        <v>0</v>
      </c>
      <c r="T115">
        <v>0</v>
      </c>
      <c r="U115" t="s">
        <v>256</v>
      </c>
      <c r="V115" t="s">
        <v>90</v>
      </c>
      <c r="W115">
        <v>4</v>
      </c>
      <c r="Y115" t="s">
        <v>73</v>
      </c>
      <c r="Z115">
        <v>232797.77352597399</v>
      </c>
      <c r="AA115">
        <v>412902.03320349869</v>
      </c>
      <c r="AB115">
        <v>0</v>
      </c>
      <c r="AD115">
        <v>0</v>
      </c>
      <c r="AE115">
        <v>0</v>
      </c>
      <c r="AF115">
        <v>412902.01</v>
      </c>
      <c r="AG115">
        <v>412902.01</v>
      </c>
      <c r="AK115">
        <v>0</v>
      </c>
    </row>
    <row r="116" spans="1:37" x14ac:dyDescent="0.25">
      <c r="A116">
        <v>716</v>
      </c>
      <c r="B116" t="s">
        <v>352</v>
      </c>
      <c r="C116">
        <v>354374.51104173751</v>
      </c>
      <c r="D116">
        <v>0</v>
      </c>
      <c r="E116">
        <v>56699.921766678002</v>
      </c>
      <c r="F116">
        <v>411074.43000000011</v>
      </c>
      <c r="G116">
        <v>78028.721041737474</v>
      </c>
      <c r="I116">
        <v>12484.6</v>
      </c>
      <c r="J116">
        <v>90513.321041737479</v>
      </c>
      <c r="K116">
        <v>0</v>
      </c>
      <c r="L116">
        <v>0</v>
      </c>
      <c r="M116">
        <v>1.766677996783983E-3</v>
      </c>
      <c r="N116">
        <v>1.766677996783983E-3</v>
      </c>
      <c r="O116">
        <v>276345.78999999998</v>
      </c>
      <c r="Q116">
        <v>44215.32</v>
      </c>
      <c r="R116">
        <v>320561.11</v>
      </c>
      <c r="S116">
        <v>0</v>
      </c>
      <c r="T116">
        <v>0</v>
      </c>
      <c r="U116" t="s">
        <v>59</v>
      </c>
      <c r="V116" t="s">
        <v>82</v>
      </c>
      <c r="W116">
        <v>4</v>
      </c>
      <c r="Y116" t="s">
        <v>81</v>
      </c>
      <c r="Z116">
        <v>78028.721041737474</v>
      </c>
      <c r="AA116">
        <v>90513.322808415483</v>
      </c>
      <c r="AB116" t="s">
        <v>285</v>
      </c>
      <c r="AD116">
        <v>0</v>
      </c>
      <c r="AE116">
        <v>0</v>
      </c>
      <c r="AF116">
        <v>411074.43</v>
      </c>
      <c r="AG116">
        <v>411074.43000000011</v>
      </c>
      <c r="AH116">
        <v>320561.12</v>
      </c>
      <c r="AI116">
        <v>1</v>
      </c>
      <c r="AJ116" s="130">
        <v>46042</v>
      </c>
      <c r="AK116">
        <v>0</v>
      </c>
    </row>
    <row r="117" spans="1:37" x14ac:dyDescent="0.25">
      <c r="A117">
        <v>32169</v>
      </c>
      <c r="B117" t="s">
        <v>355</v>
      </c>
      <c r="C117">
        <v>350559.26460213598</v>
      </c>
      <c r="D117">
        <v>0</v>
      </c>
      <c r="E117">
        <v>56089.482336341753</v>
      </c>
      <c r="F117">
        <v>406648.74</v>
      </c>
      <c r="J117">
        <v>0</v>
      </c>
      <c r="K117">
        <v>350559.26460213598</v>
      </c>
      <c r="L117">
        <v>0</v>
      </c>
      <c r="M117">
        <v>56089.482336341753</v>
      </c>
      <c r="N117">
        <v>406648.74693847768</v>
      </c>
      <c r="R117">
        <v>0</v>
      </c>
      <c r="S117">
        <v>0</v>
      </c>
      <c r="T117">
        <v>0</v>
      </c>
      <c r="U117" t="s">
        <v>256</v>
      </c>
      <c r="V117" t="s">
        <v>90</v>
      </c>
      <c r="W117">
        <v>4</v>
      </c>
      <c r="Y117" t="s">
        <v>238</v>
      </c>
      <c r="AB117">
        <v>0</v>
      </c>
      <c r="AD117">
        <v>406648.74</v>
      </c>
      <c r="AE117">
        <v>0</v>
      </c>
      <c r="AF117">
        <v>0</v>
      </c>
      <c r="AG117">
        <v>406648.74</v>
      </c>
      <c r="AK117">
        <v>0</v>
      </c>
    </row>
    <row r="118" spans="1:37" x14ac:dyDescent="0.25">
      <c r="A118">
        <v>325373</v>
      </c>
      <c r="B118" t="s">
        <v>356</v>
      </c>
      <c r="C118">
        <v>374998.65179602802</v>
      </c>
      <c r="D118">
        <v>29999.892143682238</v>
      </c>
      <c r="E118">
        <v>0</v>
      </c>
      <c r="F118">
        <v>404998.55</v>
      </c>
      <c r="J118">
        <v>0</v>
      </c>
      <c r="K118">
        <v>374998.65179602802</v>
      </c>
      <c r="L118">
        <v>29999.892143682238</v>
      </c>
      <c r="M118">
        <v>0</v>
      </c>
      <c r="N118">
        <v>404998.54393971019</v>
      </c>
      <c r="R118">
        <v>0</v>
      </c>
      <c r="S118">
        <v>0</v>
      </c>
      <c r="T118">
        <v>0</v>
      </c>
      <c r="U118" t="s">
        <v>256</v>
      </c>
      <c r="V118" t="s">
        <v>90</v>
      </c>
      <c r="W118">
        <v>4</v>
      </c>
      <c r="Y118" t="s">
        <v>73</v>
      </c>
      <c r="Z118">
        <v>374998.65179602802</v>
      </c>
      <c r="AA118">
        <v>404998.54393971019</v>
      </c>
      <c r="AB118">
        <v>0</v>
      </c>
      <c r="AD118">
        <v>0</v>
      </c>
      <c r="AE118">
        <v>0</v>
      </c>
      <c r="AF118">
        <v>404998.55</v>
      </c>
      <c r="AG118">
        <v>404998.55</v>
      </c>
      <c r="AK118">
        <v>0</v>
      </c>
    </row>
    <row r="119" spans="1:37" x14ac:dyDescent="0.25">
      <c r="A119">
        <v>14680</v>
      </c>
      <c r="B119" t="s">
        <v>357</v>
      </c>
      <c r="C119">
        <v>344660.56086255237</v>
      </c>
      <c r="D119">
        <v>0</v>
      </c>
      <c r="E119">
        <v>55145.689738008383</v>
      </c>
      <c r="F119">
        <v>399806.26</v>
      </c>
      <c r="J119">
        <v>0</v>
      </c>
      <c r="K119">
        <v>344660.56086255237</v>
      </c>
      <c r="L119">
        <v>0</v>
      </c>
      <c r="M119">
        <v>55145.689738008383</v>
      </c>
      <c r="N119">
        <v>399806.2506005608</v>
      </c>
      <c r="R119">
        <v>0</v>
      </c>
      <c r="S119">
        <v>0</v>
      </c>
      <c r="T119">
        <v>0</v>
      </c>
      <c r="U119" t="s">
        <v>256</v>
      </c>
      <c r="V119" t="s">
        <v>90</v>
      </c>
      <c r="W119">
        <v>4</v>
      </c>
      <c r="Y119" t="s">
        <v>73</v>
      </c>
      <c r="Z119">
        <v>344660.56086255237</v>
      </c>
      <c r="AA119">
        <v>399806.2506005608</v>
      </c>
      <c r="AB119">
        <v>0</v>
      </c>
      <c r="AD119">
        <v>0</v>
      </c>
      <c r="AE119">
        <v>0</v>
      </c>
      <c r="AF119">
        <v>399806.26</v>
      </c>
      <c r="AG119">
        <v>399806.26</v>
      </c>
      <c r="AK119">
        <v>0</v>
      </c>
    </row>
    <row r="120" spans="1:37" x14ac:dyDescent="0.25">
      <c r="A120">
        <v>3806</v>
      </c>
      <c r="B120" t="s">
        <v>358</v>
      </c>
      <c r="C120">
        <v>336807.9</v>
      </c>
      <c r="D120">
        <v>0</v>
      </c>
      <c r="E120">
        <v>53889.282500000001</v>
      </c>
      <c r="F120">
        <v>390697.21000000008</v>
      </c>
      <c r="J120">
        <v>0</v>
      </c>
      <c r="K120">
        <v>336807.9</v>
      </c>
      <c r="L120">
        <v>0</v>
      </c>
      <c r="M120">
        <v>53889.282500000001</v>
      </c>
      <c r="N120">
        <v>390697.1825</v>
      </c>
      <c r="R120">
        <v>0</v>
      </c>
      <c r="S120">
        <v>0</v>
      </c>
      <c r="T120">
        <v>0</v>
      </c>
      <c r="U120" t="s">
        <v>256</v>
      </c>
      <c r="V120" t="s">
        <v>90</v>
      </c>
      <c r="W120">
        <v>4</v>
      </c>
      <c r="Y120" t="s">
        <v>73</v>
      </c>
      <c r="Z120">
        <v>336807.9</v>
      </c>
      <c r="AA120">
        <v>390697.1825</v>
      </c>
      <c r="AB120">
        <v>0</v>
      </c>
      <c r="AD120">
        <v>0</v>
      </c>
      <c r="AE120">
        <v>0</v>
      </c>
      <c r="AF120">
        <v>390697.21</v>
      </c>
      <c r="AG120">
        <v>390697.21000000008</v>
      </c>
      <c r="AK120">
        <v>0</v>
      </c>
    </row>
    <row r="121" spans="1:37" x14ac:dyDescent="0.25">
      <c r="A121">
        <v>76216</v>
      </c>
      <c r="B121" t="s">
        <v>359</v>
      </c>
      <c r="C121">
        <v>335959.94000000012</v>
      </c>
      <c r="D121">
        <v>0</v>
      </c>
      <c r="E121">
        <v>53753.590400000001</v>
      </c>
      <c r="F121">
        <v>389713.54</v>
      </c>
      <c r="J121">
        <v>0</v>
      </c>
      <c r="K121">
        <v>335959.94000000012</v>
      </c>
      <c r="L121">
        <v>0</v>
      </c>
      <c r="M121">
        <v>53753.590400000001</v>
      </c>
      <c r="N121">
        <v>389713.53039999999</v>
      </c>
      <c r="R121">
        <v>0</v>
      </c>
      <c r="S121">
        <v>0</v>
      </c>
      <c r="T121">
        <v>0</v>
      </c>
      <c r="U121" t="s">
        <v>256</v>
      </c>
      <c r="V121" t="s">
        <v>90</v>
      </c>
      <c r="W121">
        <v>4</v>
      </c>
      <c r="Y121" t="s">
        <v>238</v>
      </c>
      <c r="AB121">
        <v>0</v>
      </c>
      <c r="AD121">
        <v>389713.54</v>
      </c>
      <c r="AE121">
        <v>0</v>
      </c>
      <c r="AF121">
        <v>0</v>
      </c>
      <c r="AG121">
        <v>389713.54</v>
      </c>
      <c r="AK121">
        <v>0</v>
      </c>
    </row>
    <row r="122" spans="1:37" x14ac:dyDescent="0.25">
      <c r="A122">
        <v>54999</v>
      </c>
      <c r="B122" t="s">
        <v>360</v>
      </c>
      <c r="C122">
        <v>380655.67669473402</v>
      </c>
      <c r="D122">
        <v>0</v>
      </c>
      <c r="E122">
        <v>0</v>
      </c>
      <c r="F122">
        <v>380655.67560000002</v>
      </c>
      <c r="J122">
        <v>0</v>
      </c>
      <c r="K122">
        <v>380655.67669473402</v>
      </c>
      <c r="L122">
        <v>0</v>
      </c>
      <c r="M122">
        <v>0</v>
      </c>
      <c r="N122">
        <v>380655.67669473402</v>
      </c>
      <c r="R122">
        <v>0</v>
      </c>
      <c r="S122">
        <v>0</v>
      </c>
      <c r="T122">
        <v>0</v>
      </c>
      <c r="U122" t="s">
        <v>256</v>
      </c>
      <c r="V122" t="s">
        <v>90</v>
      </c>
      <c r="W122">
        <v>4</v>
      </c>
      <c r="Y122" t="s">
        <v>73</v>
      </c>
      <c r="Z122">
        <v>380655.67669473402</v>
      </c>
      <c r="AA122">
        <v>380655.67669473402</v>
      </c>
      <c r="AB122" t="s">
        <v>296</v>
      </c>
      <c r="AD122">
        <v>0</v>
      </c>
      <c r="AE122">
        <v>0</v>
      </c>
      <c r="AF122">
        <v>380655.66</v>
      </c>
      <c r="AG122">
        <v>380655.67560000002</v>
      </c>
      <c r="AK122">
        <v>0</v>
      </c>
    </row>
    <row r="123" spans="1:37" x14ac:dyDescent="0.25">
      <c r="A123">
        <v>50153</v>
      </c>
      <c r="B123" t="s">
        <v>361</v>
      </c>
      <c r="C123">
        <v>374842.02</v>
      </c>
      <c r="D123">
        <v>0</v>
      </c>
      <c r="E123">
        <v>0</v>
      </c>
      <c r="F123">
        <v>374842.02</v>
      </c>
      <c r="J123">
        <v>0</v>
      </c>
      <c r="K123">
        <v>374842.02</v>
      </c>
      <c r="L123">
        <v>0</v>
      </c>
      <c r="M123">
        <v>0</v>
      </c>
      <c r="N123">
        <v>374842.02</v>
      </c>
      <c r="R123">
        <v>0</v>
      </c>
      <c r="S123">
        <v>0</v>
      </c>
      <c r="T123">
        <v>0</v>
      </c>
      <c r="U123" t="s">
        <v>256</v>
      </c>
      <c r="V123" t="s">
        <v>90</v>
      </c>
      <c r="W123">
        <v>4</v>
      </c>
      <c r="Y123" t="s">
        <v>238</v>
      </c>
      <c r="AB123">
        <v>0</v>
      </c>
      <c r="AD123">
        <v>0</v>
      </c>
      <c r="AE123">
        <v>374842.02000000008</v>
      </c>
      <c r="AF123">
        <v>0</v>
      </c>
      <c r="AG123">
        <v>0</v>
      </c>
      <c r="AK123">
        <v>0</v>
      </c>
    </row>
    <row r="124" spans="1:37" x14ac:dyDescent="0.25">
      <c r="A124">
        <v>6346</v>
      </c>
      <c r="B124" t="s">
        <v>362</v>
      </c>
      <c r="C124">
        <v>317346.71850135003</v>
      </c>
      <c r="D124">
        <v>0</v>
      </c>
      <c r="E124">
        <v>50775.474960216001</v>
      </c>
      <c r="F124">
        <v>368122.19</v>
      </c>
      <c r="J124">
        <v>0</v>
      </c>
      <c r="K124">
        <v>317346.71850135003</v>
      </c>
      <c r="L124">
        <v>0</v>
      </c>
      <c r="M124">
        <v>50775.474960216001</v>
      </c>
      <c r="N124">
        <v>368122.193461566</v>
      </c>
      <c r="R124">
        <v>0</v>
      </c>
      <c r="S124">
        <v>0</v>
      </c>
      <c r="T124">
        <v>0</v>
      </c>
      <c r="U124" t="s">
        <v>59</v>
      </c>
      <c r="V124" t="s">
        <v>75</v>
      </c>
      <c r="W124">
        <v>4</v>
      </c>
      <c r="Y124" t="s">
        <v>73</v>
      </c>
      <c r="Z124">
        <v>317346.71850135003</v>
      </c>
      <c r="AA124">
        <v>368122.193461566</v>
      </c>
      <c r="AB124" t="s">
        <v>363</v>
      </c>
      <c r="AD124">
        <v>0</v>
      </c>
      <c r="AE124">
        <v>0</v>
      </c>
      <c r="AF124">
        <v>368122.19</v>
      </c>
      <c r="AG124">
        <v>368122.19</v>
      </c>
      <c r="AH124">
        <v>316392.8</v>
      </c>
      <c r="AI124">
        <v>5</v>
      </c>
      <c r="AJ124" s="130">
        <v>46041</v>
      </c>
      <c r="AK124">
        <v>0</v>
      </c>
    </row>
    <row r="125" spans="1:37" x14ac:dyDescent="0.25">
      <c r="A125">
        <v>391177</v>
      </c>
      <c r="B125" t="s">
        <v>365</v>
      </c>
      <c r="C125">
        <v>309144.48</v>
      </c>
      <c r="D125">
        <v>0</v>
      </c>
      <c r="E125">
        <v>49463.116800000003</v>
      </c>
      <c r="F125">
        <v>358607.61</v>
      </c>
      <c r="J125">
        <v>0</v>
      </c>
      <c r="K125">
        <v>309144.48</v>
      </c>
      <c r="L125">
        <v>0</v>
      </c>
      <c r="M125">
        <v>49463.116800000003</v>
      </c>
      <c r="N125">
        <v>358607.5968</v>
      </c>
      <c r="R125">
        <v>0</v>
      </c>
      <c r="S125">
        <v>0</v>
      </c>
      <c r="T125">
        <v>0</v>
      </c>
      <c r="U125" t="s">
        <v>256</v>
      </c>
      <c r="V125" t="s">
        <v>90</v>
      </c>
      <c r="W125">
        <v>4</v>
      </c>
      <c r="Y125" t="s">
        <v>73</v>
      </c>
      <c r="Z125">
        <v>309144.48</v>
      </c>
      <c r="AA125">
        <v>358607.5968</v>
      </c>
      <c r="AB125">
        <v>0</v>
      </c>
      <c r="AD125">
        <v>0</v>
      </c>
      <c r="AE125">
        <v>0</v>
      </c>
      <c r="AF125">
        <v>358607.61</v>
      </c>
      <c r="AG125">
        <v>358607.61</v>
      </c>
      <c r="AK125">
        <v>0</v>
      </c>
    </row>
    <row r="126" spans="1:37" x14ac:dyDescent="0.25">
      <c r="A126">
        <v>15606</v>
      </c>
      <c r="B126" t="s">
        <v>366</v>
      </c>
      <c r="C126">
        <v>303210.96441707999</v>
      </c>
      <c r="D126">
        <v>0</v>
      </c>
      <c r="E126">
        <v>48513.754306732793</v>
      </c>
      <c r="F126">
        <v>351724.75000000017</v>
      </c>
      <c r="J126">
        <v>0</v>
      </c>
      <c r="K126">
        <v>303210.96441707999</v>
      </c>
      <c r="L126">
        <v>0</v>
      </c>
      <c r="M126">
        <v>48513.754306732793</v>
      </c>
      <c r="N126">
        <v>351724.71872381278</v>
      </c>
      <c r="R126">
        <v>0</v>
      </c>
      <c r="S126">
        <v>0</v>
      </c>
      <c r="T126">
        <v>0</v>
      </c>
      <c r="U126" t="s">
        <v>256</v>
      </c>
      <c r="V126" t="s">
        <v>90</v>
      </c>
      <c r="W126">
        <v>4</v>
      </c>
      <c r="Y126" t="s">
        <v>238</v>
      </c>
      <c r="AB126">
        <v>0</v>
      </c>
      <c r="AD126">
        <v>351724.75</v>
      </c>
      <c r="AE126">
        <v>0</v>
      </c>
      <c r="AF126">
        <v>0</v>
      </c>
      <c r="AG126">
        <v>351724.75000000017</v>
      </c>
      <c r="AK126">
        <v>0</v>
      </c>
    </row>
    <row r="127" spans="1:37" x14ac:dyDescent="0.25">
      <c r="A127">
        <v>20436</v>
      </c>
      <c r="B127" t="s">
        <v>367</v>
      </c>
      <c r="C127">
        <v>197985.4818132885</v>
      </c>
      <c r="D127">
        <v>104932.30536104291</v>
      </c>
      <c r="E127">
        <v>48466.845983893028</v>
      </c>
      <c r="F127">
        <v>351384.56621600001</v>
      </c>
      <c r="J127">
        <v>0</v>
      </c>
      <c r="K127">
        <v>197985.4818132885</v>
      </c>
      <c r="L127">
        <v>104932.30536104291</v>
      </c>
      <c r="M127">
        <v>48466.845983893028</v>
      </c>
      <c r="N127">
        <v>351384.6331582244</v>
      </c>
      <c r="R127">
        <v>0</v>
      </c>
      <c r="S127">
        <v>0</v>
      </c>
      <c r="T127">
        <v>0</v>
      </c>
      <c r="U127" t="s">
        <v>256</v>
      </c>
      <c r="V127" t="s">
        <v>90</v>
      </c>
      <c r="W127">
        <v>4</v>
      </c>
      <c r="Y127" t="s">
        <v>73</v>
      </c>
      <c r="Z127">
        <v>197985.4818132885</v>
      </c>
      <c r="AA127">
        <v>351384.6331582244</v>
      </c>
      <c r="AB127">
        <v>0</v>
      </c>
      <c r="AD127">
        <v>0</v>
      </c>
      <c r="AE127">
        <v>0</v>
      </c>
      <c r="AF127">
        <v>351384.57000000012</v>
      </c>
      <c r="AG127">
        <v>351384.56621600001</v>
      </c>
      <c r="AK127">
        <v>0</v>
      </c>
    </row>
    <row r="128" spans="1:37" x14ac:dyDescent="0.25">
      <c r="A128">
        <v>97071</v>
      </c>
      <c r="B128" t="s">
        <v>368</v>
      </c>
      <c r="C128">
        <v>321220.79999999987</v>
      </c>
      <c r="D128">
        <v>0</v>
      </c>
      <c r="E128">
        <v>27715.814399999999</v>
      </c>
      <c r="F128">
        <v>348936.59</v>
      </c>
      <c r="J128">
        <v>0</v>
      </c>
      <c r="K128">
        <v>321220.79999999987</v>
      </c>
      <c r="L128">
        <v>0</v>
      </c>
      <c r="M128">
        <v>27715.814399999999</v>
      </c>
      <c r="N128">
        <v>348936.61440000002</v>
      </c>
      <c r="R128">
        <v>0</v>
      </c>
      <c r="S128">
        <v>0</v>
      </c>
      <c r="T128">
        <v>0</v>
      </c>
      <c r="U128" t="s">
        <v>256</v>
      </c>
      <c r="V128" t="s">
        <v>90</v>
      </c>
      <c r="W128">
        <v>4</v>
      </c>
      <c r="Y128" t="s">
        <v>238</v>
      </c>
      <c r="AB128">
        <v>0</v>
      </c>
      <c r="AD128">
        <v>348936.59</v>
      </c>
      <c r="AE128">
        <v>0</v>
      </c>
      <c r="AF128">
        <v>0</v>
      </c>
      <c r="AG128">
        <v>348936.59</v>
      </c>
      <c r="AK128">
        <v>0</v>
      </c>
    </row>
    <row r="129" spans="1:37" x14ac:dyDescent="0.25">
      <c r="A129">
        <v>11544</v>
      </c>
      <c r="B129" t="s">
        <v>369</v>
      </c>
      <c r="C129">
        <v>321758.43324456509</v>
      </c>
      <c r="D129">
        <v>19495.62775956521</v>
      </c>
      <c r="E129">
        <v>399.11200000000002</v>
      </c>
      <c r="F129">
        <v>341653.16999999993</v>
      </c>
      <c r="J129">
        <v>0</v>
      </c>
      <c r="K129">
        <v>321758.43324456509</v>
      </c>
      <c r="L129">
        <v>19495.62775956521</v>
      </c>
      <c r="M129">
        <v>399.11200000000002</v>
      </c>
      <c r="N129">
        <v>341653.17300413031</v>
      </c>
      <c r="R129">
        <v>0</v>
      </c>
      <c r="S129">
        <v>0</v>
      </c>
      <c r="T129">
        <v>0</v>
      </c>
      <c r="U129" t="s">
        <v>256</v>
      </c>
      <c r="V129" t="s">
        <v>90</v>
      </c>
      <c r="W129">
        <v>4</v>
      </c>
      <c r="Y129" t="s">
        <v>238</v>
      </c>
      <c r="AB129">
        <v>0</v>
      </c>
      <c r="AD129">
        <v>341653.17</v>
      </c>
      <c r="AE129">
        <v>0</v>
      </c>
      <c r="AF129">
        <v>0</v>
      </c>
      <c r="AG129">
        <v>341653.16999999993</v>
      </c>
      <c r="AK129">
        <v>0</v>
      </c>
    </row>
    <row r="130" spans="1:37" x14ac:dyDescent="0.25">
      <c r="A130">
        <v>26831</v>
      </c>
      <c r="B130" t="s">
        <v>370</v>
      </c>
      <c r="C130">
        <v>336250.07908752398</v>
      </c>
      <c r="D130">
        <v>0</v>
      </c>
      <c r="E130">
        <v>0</v>
      </c>
      <c r="F130">
        <v>336250.08</v>
      </c>
      <c r="J130">
        <v>0</v>
      </c>
      <c r="K130">
        <v>336250.07908752398</v>
      </c>
      <c r="L130">
        <v>0</v>
      </c>
      <c r="M130">
        <v>0</v>
      </c>
      <c r="N130">
        <v>336250.07908752398</v>
      </c>
      <c r="R130">
        <v>0</v>
      </c>
      <c r="S130">
        <v>0</v>
      </c>
      <c r="T130">
        <v>0</v>
      </c>
      <c r="U130" t="s">
        <v>59</v>
      </c>
      <c r="V130" t="s">
        <v>75</v>
      </c>
      <c r="W130">
        <v>4</v>
      </c>
      <c r="Y130" t="s">
        <v>73</v>
      </c>
      <c r="Z130">
        <v>336250.07908752398</v>
      </c>
      <c r="AA130">
        <v>336250.07908752398</v>
      </c>
      <c r="AB130">
        <v>0</v>
      </c>
      <c r="AD130">
        <v>0</v>
      </c>
      <c r="AE130">
        <v>0</v>
      </c>
      <c r="AF130">
        <v>336250.08</v>
      </c>
      <c r="AG130">
        <v>336250.08</v>
      </c>
      <c r="AH130">
        <v>336250.08</v>
      </c>
      <c r="AI130">
        <v>6</v>
      </c>
      <c r="AJ130" s="130">
        <v>46041</v>
      </c>
      <c r="AK130">
        <v>0</v>
      </c>
    </row>
    <row r="131" spans="1:37" x14ac:dyDescent="0.25">
      <c r="A131">
        <v>315838</v>
      </c>
      <c r="B131" t="s">
        <v>372</v>
      </c>
      <c r="C131">
        <v>280053.8</v>
      </c>
      <c r="D131">
        <v>0</v>
      </c>
      <c r="E131">
        <v>44808.611699999987</v>
      </c>
      <c r="F131">
        <v>324862.33</v>
      </c>
      <c r="J131">
        <v>0</v>
      </c>
      <c r="K131">
        <v>280053.8</v>
      </c>
      <c r="L131">
        <v>0</v>
      </c>
      <c r="M131">
        <v>44808.611699999987</v>
      </c>
      <c r="N131">
        <v>324862.4117</v>
      </c>
      <c r="R131">
        <v>0</v>
      </c>
      <c r="S131">
        <v>0</v>
      </c>
      <c r="T131">
        <v>0</v>
      </c>
      <c r="U131" t="s">
        <v>59</v>
      </c>
      <c r="V131" t="s">
        <v>75</v>
      </c>
      <c r="W131">
        <v>4</v>
      </c>
      <c r="Y131" t="s">
        <v>73</v>
      </c>
      <c r="Z131">
        <v>280053.8</v>
      </c>
      <c r="AA131">
        <v>324862.4117</v>
      </c>
      <c r="AB131" t="s">
        <v>373</v>
      </c>
      <c r="AD131">
        <v>0</v>
      </c>
      <c r="AE131">
        <v>0</v>
      </c>
      <c r="AF131">
        <v>324862.33</v>
      </c>
      <c r="AG131">
        <v>324862.33</v>
      </c>
      <c r="AH131">
        <v>324862.33</v>
      </c>
      <c r="AJ131" s="130">
        <v>46038</v>
      </c>
      <c r="AK131">
        <v>0</v>
      </c>
    </row>
    <row r="132" spans="1:37" x14ac:dyDescent="0.25">
      <c r="A132">
        <v>90589</v>
      </c>
      <c r="B132" t="s">
        <v>375</v>
      </c>
      <c r="C132">
        <v>323205.01837348699</v>
      </c>
      <c r="D132">
        <v>0</v>
      </c>
      <c r="E132">
        <v>0</v>
      </c>
      <c r="F132">
        <v>323205.07</v>
      </c>
      <c r="J132">
        <v>0</v>
      </c>
      <c r="K132">
        <v>323205.01837348699</v>
      </c>
      <c r="L132">
        <v>0</v>
      </c>
      <c r="M132">
        <v>0</v>
      </c>
      <c r="N132">
        <v>323205.01837348699</v>
      </c>
      <c r="R132">
        <v>0</v>
      </c>
      <c r="S132">
        <v>0</v>
      </c>
      <c r="T132">
        <v>0</v>
      </c>
      <c r="U132" t="s">
        <v>256</v>
      </c>
      <c r="V132" t="s">
        <v>90</v>
      </c>
      <c r="W132">
        <v>4</v>
      </c>
      <c r="Y132" t="s">
        <v>73</v>
      </c>
      <c r="Z132">
        <v>323205.01837348699</v>
      </c>
      <c r="AA132">
        <v>323205.01837348699</v>
      </c>
      <c r="AB132" t="s">
        <v>212</v>
      </c>
      <c r="AD132">
        <v>0</v>
      </c>
      <c r="AE132">
        <v>0</v>
      </c>
      <c r="AF132">
        <v>323205.06999999989</v>
      </c>
      <c r="AG132">
        <v>323205.07</v>
      </c>
      <c r="AK132">
        <v>0</v>
      </c>
    </row>
    <row r="133" spans="1:37" x14ac:dyDescent="0.25">
      <c r="A133">
        <v>7542</v>
      </c>
      <c r="B133" t="s">
        <v>376</v>
      </c>
      <c r="C133">
        <v>298118.80460872198</v>
      </c>
      <c r="D133">
        <v>23849.504368697759</v>
      </c>
      <c r="E133">
        <v>0</v>
      </c>
      <c r="F133">
        <v>321968.34999999998</v>
      </c>
      <c r="J133">
        <v>0</v>
      </c>
      <c r="K133">
        <v>298118.80460872198</v>
      </c>
      <c r="L133">
        <v>23849.504368697759</v>
      </c>
      <c r="M133">
        <v>0</v>
      </c>
      <c r="N133">
        <v>321968.30897741969</v>
      </c>
      <c r="R133">
        <v>0</v>
      </c>
      <c r="S133">
        <v>0</v>
      </c>
      <c r="T133">
        <v>0</v>
      </c>
      <c r="U133" t="s">
        <v>256</v>
      </c>
      <c r="V133" t="s">
        <v>90</v>
      </c>
      <c r="W133">
        <v>4</v>
      </c>
      <c r="Y133" t="s">
        <v>238</v>
      </c>
      <c r="AB133" t="s">
        <v>279</v>
      </c>
      <c r="AD133">
        <v>321968.34999999998</v>
      </c>
      <c r="AE133">
        <v>0</v>
      </c>
      <c r="AF133">
        <v>0</v>
      </c>
      <c r="AG133">
        <v>321968.34999999998</v>
      </c>
      <c r="AK133">
        <v>0</v>
      </c>
    </row>
    <row r="134" spans="1:37" x14ac:dyDescent="0.25">
      <c r="A134">
        <v>387977</v>
      </c>
      <c r="B134" t="s">
        <v>377</v>
      </c>
      <c r="C134">
        <v>275350.02938666398</v>
      </c>
      <c r="D134">
        <v>0</v>
      </c>
      <c r="E134">
        <v>44056.024201866239</v>
      </c>
      <c r="F134">
        <v>319406.03000000003</v>
      </c>
      <c r="J134">
        <v>0</v>
      </c>
      <c r="K134">
        <v>275350.02938666398</v>
      </c>
      <c r="L134">
        <v>0</v>
      </c>
      <c r="M134">
        <v>44056.024201866239</v>
      </c>
      <c r="N134">
        <v>319406.05358853028</v>
      </c>
      <c r="R134">
        <v>0</v>
      </c>
      <c r="S134">
        <v>0</v>
      </c>
      <c r="T134">
        <v>0</v>
      </c>
      <c r="U134" t="s">
        <v>256</v>
      </c>
      <c r="V134" t="s">
        <v>90</v>
      </c>
      <c r="W134">
        <v>4</v>
      </c>
      <c r="Y134" t="s">
        <v>73</v>
      </c>
      <c r="Z134">
        <v>275350.02938666398</v>
      </c>
      <c r="AA134">
        <v>319406.05358853028</v>
      </c>
      <c r="AB134">
        <v>0</v>
      </c>
      <c r="AD134">
        <v>0</v>
      </c>
      <c r="AE134">
        <v>0</v>
      </c>
      <c r="AF134">
        <v>319406.03000000003</v>
      </c>
      <c r="AG134">
        <v>319406.03000000003</v>
      </c>
      <c r="AK134">
        <v>0</v>
      </c>
    </row>
    <row r="135" spans="1:37" x14ac:dyDescent="0.25">
      <c r="A135">
        <v>93591</v>
      </c>
      <c r="B135" t="s">
        <v>378</v>
      </c>
      <c r="C135">
        <v>301946.31033576798</v>
      </c>
      <c r="D135">
        <v>0</v>
      </c>
      <c r="E135">
        <v>0</v>
      </c>
      <c r="F135">
        <v>301946.31</v>
      </c>
      <c r="J135">
        <v>0</v>
      </c>
      <c r="K135">
        <v>301946.31033576798</v>
      </c>
      <c r="L135">
        <v>0</v>
      </c>
      <c r="M135">
        <v>0</v>
      </c>
      <c r="N135">
        <v>301946.31033576798</v>
      </c>
      <c r="R135">
        <v>0</v>
      </c>
      <c r="S135">
        <v>0</v>
      </c>
      <c r="T135">
        <v>0</v>
      </c>
      <c r="U135" t="s">
        <v>59</v>
      </c>
      <c r="V135" t="s">
        <v>133</v>
      </c>
      <c r="W135">
        <v>4</v>
      </c>
      <c r="Y135" t="s">
        <v>238</v>
      </c>
      <c r="AB135">
        <v>0</v>
      </c>
      <c r="AD135">
        <v>301946.31</v>
      </c>
      <c r="AE135">
        <v>0</v>
      </c>
      <c r="AF135">
        <v>0</v>
      </c>
      <c r="AG135">
        <v>301946.31</v>
      </c>
      <c r="AH135">
        <v>301946.31</v>
      </c>
      <c r="AI135">
        <v>2</v>
      </c>
      <c r="AJ135" s="130">
        <v>46062</v>
      </c>
      <c r="AK135">
        <v>0</v>
      </c>
    </row>
    <row r="136" spans="1:37" x14ac:dyDescent="0.25">
      <c r="A136">
        <v>943</v>
      </c>
      <c r="B136" t="s">
        <v>380</v>
      </c>
      <c r="C136">
        <v>257653.60293545001</v>
      </c>
      <c r="D136">
        <v>0</v>
      </c>
      <c r="E136">
        <v>41224.659</v>
      </c>
      <c r="F136">
        <v>298878.25339999993</v>
      </c>
      <c r="J136">
        <v>0</v>
      </c>
      <c r="K136">
        <v>257653.60293545001</v>
      </c>
      <c r="L136">
        <v>0</v>
      </c>
      <c r="M136">
        <v>41224.659</v>
      </c>
      <c r="N136">
        <v>298878.26193545002</v>
      </c>
      <c r="R136">
        <v>0</v>
      </c>
      <c r="S136">
        <v>0</v>
      </c>
      <c r="T136">
        <v>0</v>
      </c>
      <c r="U136" t="s">
        <v>256</v>
      </c>
      <c r="V136" t="s">
        <v>90</v>
      </c>
      <c r="W136">
        <v>4</v>
      </c>
      <c r="Y136" t="s">
        <v>238</v>
      </c>
      <c r="AB136">
        <v>0</v>
      </c>
      <c r="AD136">
        <v>298878.24</v>
      </c>
      <c r="AE136">
        <v>0</v>
      </c>
      <c r="AF136">
        <v>0</v>
      </c>
      <c r="AG136">
        <v>298878.25339999993</v>
      </c>
      <c r="AK136">
        <v>0</v>
      </c>
    </row>
    <row r="137" spans="1:37" x14ac:dyDescent="0.25">
      <c r="A137">
        <v>36152</v>
      </c>
      <c r="B137" t="s">
        <v>382</v>
      </c>
      <c r="C137">
        <v>298263.64581100101</v>
      </c>
      <c r="D137">
        <v>0</v>
      </c>
      <c r="E137">
        <v>0</v>
      </c>
      <c r="F137">
        <v>298263.62999999989</v>
      </c>
      <c r="J137">
        <v>0</v>
      </c>
      <c r="K137">
        <v>298263.64581100101</v>
      </c>
      <c r="L137">
        <v>0</v>
      </c>
      <c r="M137">
        <v>0</v>
      </c>
      <c r="N137">
        <v>298263.64581100101</v>
      </c>
      <c r="R137">
        <v>0</v>
      </c>
      <c r="S137">
        <v>0</v>
      </c>
      <c r="T137">
        <v>0</v>
      </c>
      <c r="U137" t="s">
        <v>59</v>
      </c>
      <c r="V137" t="s">
        <v>75</v>
      </c>
      <c r="W137">
        <v>4</v>
      </c>
      <c r="X137">
        <v>1</v>
      </c>
      <c r="Y137" t="s">
        <v>73</v>
      </c>
      <c r="Z137">
        <v>298263.64581100101</v>
      </c>
      <c r="AA137">
        <v>298263.64581100101</v>
      </c>
      <c r="AB137" t="s">
        <v>383</v>
      </c>
      <c r="AD137">
        <v>0</v>
      </c>
      <c r="AE137">
        <v>0</v>
      </c>
      <c r="AF137">
        <v>298263.63000000012</v>
      </c>
      <c r="AG137">
        <v>298263.62999999989</v>
      </c>
      <c r="AH137">
        <v>298263.63</v>
      </c>
      <c r="AJ137" s="130">
        <v>46044</v>
      </c>
      <c r="AK137">
        <v>1</v>
      </c>
    </row>
    <row r="138" spans="1:37" x14ac:dyDescent="0.25">
      <c r="A138">
        <v>314815</v>
      </c>
      <c r="B138" t="s">
        <v>384</v>
      </c>
      <c r="C138">
        <v>292805.63561095798</v>
      </c>
      <c r="D138">
        <v>986.06320000000005</v>
      </c>
      <c r="E138">
        <v>125.12479999999999</v>
      </c>
      <c r="F138">
        <v>293916.81999999989</v>
      </c>
      <c r="J138">
        <v>0</v>
      </c>
      <c r="K138">
        <v>292805.63561095798</v>
      </c>
      <c r="L138">
        <v>986.06320000000005</v>
      </c>
      <c r="M138">
        <v>125.12479999999999</v>
      </c>
      <c r="N138">
        <v>293916.82361095789</v>
      </c>
      <c r="R138">
        <v>0</v>
      </c>
      <c r="S138">
        <v>0</v>
      </c>
      <c r="T138">
        <v>0</v>
      </c>
      <c r="U138" t="s">
        <v>256</v>
      </c>
      <c r="V138" t="s">
        <v>90</v>
      </c>
      <c r="W138">
        <v>4</v>
      </c>
      <c r="Y138" t="s">
        <v>238</v>
      </c>
      <c r="AB138">
        <v>0</v>
      </c>
      <c r="AD138">
        <v>0</v>
      </c>
      <c r="AE138">
        <v>293916.82</v>
      </c>
      <c r="AF138">
        <v>0</v>
      </c>
      <c r="AG138">
        <v>0</v>
      </c>
      <c r="AK138">
        <v>0</v>
      </c>
    </row>
    <row r="139" spans="1:37" x14ac:dyDescent="0.25">
      <c r="A139">
        <v>49601</v>
      </c>
      <c r="B139" t="s">
        <v>385</v>
      </c>
      <c r="C139">
        <v>249464.299644602</v>
      </c>
      <c r="D139">
        <v>0</v>
      </c>
      <c r="E139">
        <v>39914.287943136333</v>
      </c>
      <c r="F139">
        <v>289378.56</v>
      </c>
      <c r="J139">
        <v>0</v>
      </c>
      <c r="K139">
        <v>249464.299644602</v>
      </c>
      <c r="L139">
        <v>0</v>
      </c>
      <c r="M139">
        <v>39914.287943136333</v>
      </c>
      <c r="N139">
        <v>289378.58758773829</v>
      </c>
      <c r="R139">
        <v>0</v>
      </c>
      <c r="S139">
        <v>0</v>
      </c>
      <c r="T139">
        <v>0</v>
      </c>
      <c r="U139" t="s">
        <v>256</v>
      </c>
      <c r="V139" t="s">
        <v>90</v>
      </c>
      <c r="W139">
        <v>4</v>
      </c>
      <c r="Y139" t="s">
        <v>73</v>
      </c>
      <c r="Z139">
        <v>249464.299644602</v>
      </c>
      <c r="AA139">
        <v>289378.58758773829</v>
      </c>
      <c r="AB139" t="s">
        <v>386</v>
      </c>
      <c r="AD139">
        <v>0</v>
      </c>
      <c r="AE139">
        <v>0</v>
      </c>
      <c r="AF139">
        <v>289378.56000000011</v>
      </c>
      <c r="AG139">
        <v>289378.56</v>
      </c>
      <c r="AK139">
        <v>0</v>
      </c>
    </row>
    <row r="140" spans="1:37" x14ac:dyDescent="0.25">
      <c r="A140">
        <v>33241</v>
      </c>
      <c r="B140" t="s">
        <v>387</v>
      </c>
      <c r="C140">
        <v>249396.46418810051</v>
      </c>
      <c r="D140">
        <v>0</v>
      </c>
      <c r="E140">
        <v>39903.446170096067</v>
      </c>
      <c r="F140">
        <v>289299.92</v>
      </c>
      <c r="J140">
        <v>0</v>
      </c>
      <c r="K140">
        <v>249396.46418810051</v>
      </c>
      <c r="L140">
        <v>0</v>
      </c>
      <c r="M140">
        <v>39903.446170096067</v>
      </c>
      <c r="N140">
        <v>289299.91035819659</v>
      </c>
      <c r="R140">
        <v>0</v>
      </c>
      <c r="S140">
        <v>0</v>
      </c>
      <c r="T140">
        <v>0</v>
      </c>
      <c r="U140" t="s">
        <v>256</v>
      </c>
      <c r="V140" t="s">
        <v>90</v>
      </c>
      <c r="W140">
        <v>4</v>
      </c>
      <c r="Y140" t="s">
        <v>73</v>
      </c>
      <c r="Z140">
        <v>249396.46418810051</v>
      </c>
      <c r="AA140">
        <v>289299.91035819659</v>
      </c>
      <c r="AB140">
        <v>0</v>
      </c>
      <c r="AD140">
        <v>0</v>
      </c>
      <c r="AE140">
        <v>0</v>
      </c>
      <c r="AF140">
        <v>289299.92</v>
      </c>
      <c r="AG140">
        <v>289299.92</v>
      </c>
      <c r="AK140">
        <v>0</v>
      </c>
    </row>
    <row r="141" spans="1:37" x14ac:dyDescent="0.25">
      <c r="A141">
        <v>201</v>
      </c>
      <c r="B141" t="s">
        <v>388</v>
      </c>
      <c r="C141">
        <v>248399.84</v>
      </c>
      <c r="D141">
        <v>0</v>
      </c>
      <c r="E141">
        <v>39743.974399999999</v>
      </c>
      <c r="F141">
        <v>288143.83</v>
      </c>
      <c r="J141">
        <v>0</v>
      </c>
      <c r="K141">
        <v>248399.84</v>
      </c>
      <c r="L141">
        <v>0</v>
      </c>
      <c r="M141">
        <v>39743.974399999999</v>
      </c>
      <c r="N141">
        <v>288143.81439999997</v>
      </c>
      <c r="R141">
        <v>0</v>
      </c>
      <c r="S141">
        <v>0</v>
      </c>
      <c r="T141">
        <v>0</v>
      </c>
      <c r="U141" t="s">
        <v>256</v>
      </c>
      <c r="V141" t="s">
        <v>90</v>
      </c>
      <c r="W141">
        <v>4</v>
      </c>
      <c r="Y141" t="s">
        <v>73</v>
      </c>
      <c r="Z141">
        <v>248399.84</v>
      </c>
      <c r="AA141">
        <v>288143.81439999997</v>
      </c>
      <c r="AB141" t="s">
        <v>212</v>
      </c>
      <c r="AD141">
        <v>0</v>
      </c>
      <c r="AE141">
        <v>0</v>
      </c>
      <c r="AF141">
        <v>288143.83</v>
      </c>
      <c r="AG141">
        <v>288143.83</v>
      </c>
      <c r="AK141">
        <v>0</v>
      </c>
    </row>
    <row r="142" spans="1:37" x14ac:dyDescent="0.25">
      <c r="A142">
        <v>40279</v>
      </c>
      <c r="B142" t="s">
        <v>389</v>
      </c>
      <c r="C142">
        <v>261272.62853087601</v>
      </c>
      <c r="D142">
        <v>19988.847202774079</v>
      </c>
      <c r="E142">
        <v>0</v>
      </c>
      <c r="F142">
        <v>281261.6188</v>
      </c>
      <c r="J142">
        <v>0</v>
      </c>
      <c r="K142">
        <v>261272.62853087601</v>
      </c>
      <c r="L142">
        <v>19988.847202774079</v>
      </c>
      <c r="M142">
        <v>0</v>
      </c>
      <c r="N142">
        <v>281261.47573364998</v>
      </c>
      <c r="R142">
        <v>0</v>
      </c>
      <c r="S142">
        <v>0</v>
      </c>
      <c r="T142">
        <v>0</v>
      </c>
      <c r="U142" t="s">
        <v>256</v>
      </c>
      <c r="V142" t="s">
        <v>90</v>
      </c>
      <c r="W142">
        <v>4</v>
      </c>
      <c r="Y142" t="s">
        <v>73</v>
      </c>
      <c r="Z142">
        <v>261272.62853087601</v>
      </c>
      <c r="AA142">
        <v>281261.47573364998</v>
      </c>
      <c r="AB142" t="s">
        <v>279</v>
      </c>
      <c r="AD142">
        <v>0</v>
      </c>
      <c r="AE142">
        <v>0</v>
      </c>
      <c r="AF142">
        <v>281261.62000000011</v>
      </c>
      <c r="AG142">
        <v>281261.6188</v>
      </c>
      <c r="AK142">
        <v>0</v>
      </c>
    </row>
    <row r="143" spans="1:37" x14ac:dyDescent="0.25">
      <c r="A143">
        <v>26138</v>
      </c>
      <c r="B143" t="s">
        <v>390</v>
      </c>
      <c r="C143">
        <v>242077.98090947521</v>
      </c>
      <c r="D143">
        <v>0</v>
      </c>
      <c r="E143">
        <v>27285.856</v>
      </c>
      <c r="F143">
        <v>269363.86039999989</v>
      </c>
      <c r="J143">
        <v>0</v>
      </c>
      <c r="K143">
        <v>242077.98090947521</v>
      </c>
      <c r="L143">
        <v>0</v>
      </c>
      <c r="M143">
        <v>27285.856</v>
      </c>
      <c r="N143">
        <v>269363.83690947521</v>
      </c>
      <c r="R143">
        <v>0</v>
      </c>
      <c r="S143">
        <v>0</v>
      </c>
      <c r="T143">
        <v>0</v>
      </c>
      <c r="U143" t="s">
        <v>256</v>
      </c>
      <c r="V143" t="s">
        <v>90</v>
      </c>
      <c r="W143">
        <v>4</v>
      </c>
      <c r="Y143" t="s">
        <v>238</v>
      </c>
      <c r="AB143">
        <v>0</v>
      </c>
      <c r="AD143">
        <v>269363.86</v>
      </c>
      <c r="AE143">
        <v>0</v>
      </c>
      <c r="AF143">
        <v>0</v>
      </c>
      <c r="AG143">
        <v>269363.86039999989</v>
      </c>
      <c r="AK143">
        <v>0</v>
      </c>
    </row>
    <row r="144" spans="1:37" x14ac:dyDescent="0.25">
      <c r="A144">
        <v>24927</v>
      </c>
      <c r="B144" t="s">
        <v>391</v>
      </c>
      <c r="C144">
        <v>186146.19382640001</v>
      </c>
      <c r="D144">
        <v>46386.393900000003</v>
      </c>
      <c r="E144">
        <v>36231.527800000003</v>
      </c>
      <c r="F144">
        <v>268764.16019999998</v>
      </c>
      <c r="J144">
        <v>0</v>
      </c>
      <c r="K144">
        <v>186146.19382640001</v>
      </c>
      <c r="L144">
        <v>46386.393900000003</v>
      </c>
      <c r="M144">
        <v>36231.527800000003</v>
      </c>
      <c r="N144">
        <v>268764.11552639998</v>
      </c>
      <c r="R144">
        <v>0</v>
      </c>
      <c r="S144">
        <v>0</v>
      </c>
      <c r="T144">
        <v>0</v>
      </c>
      <c r="U144" t="s">
        <v>59</v>
      </c>
      <c r="V144" t="s">
        <v>75</v>
      </c>
      <c r="W144">
        <v>4</v>
      </c>
      <c r="Y144" t="s">
        <v>73</v>
      </c>
      <c r="Z144">
        <v>186146.19382640001</v>
      </c>
      <c r="AA144">
        <v>268764.11552639998</v>
      </c>
      <c r="AB144">
        <v>0</v>
      </c>
      <c r="AD144">
        <v>0</v>
      </c>
      <c r="AE144">
        <v>0</v>
      </c>
      <c r="AF144">
        <v>268764.15999999997</v>
      </c>
      <c r="AG144">
        <v>268764.16019999998</v>
      </c>
      <c r="AH144">
        <v>164846</v>
      </c>
      <c r="AI144">
        <v>2</v>
      </c>
      <c r="AJ144" s="130">
        <v>46056</v>
      </c>
      <c r="AK144">
        <v>0</v>
      </c>
    </row>
    <row r="145" spans="1:37" x14ac:dyDescent="0.25">
      <c r="A145">
        <v>327148</v>
      </c>
      <c r="B145" t="s">
        <v>395</v>
      </c>
      <c r="C145">
        <v>231474.16511999999</v>
      </c>
      <c r="D145">
        <v>0</v>
      </c>
      <c r="E145">
        <v>37035.866499999996</v>
      </c>
      <c r="F145">
        <v>268510.03519999998</v>
      </c>
      <c r="J145">
        <v>0</v>
      </c>
      <c r="K145">
        <v>231474.16511999999</v>
      </c>
      <c r="L145">
        <v>0</v>
      </c>
      <c r="M145">
        <v>37035.866499999996</v>
      </c>
      <c r="N145">
        <v>268510.03162000002</v>
      </c>
      <c r="R145">
        <v>0</v>
      </c>
      <c r="S145">
        <v>0</v>
      </c>
      <c r="T145">
        <v>0</v>
      </c>
      <c r="U145" t="s">
        <v>256</v>
      </c>
      <c r="V145" t="s">
        <v>90</v>
      </c>
      <c r="W145">
        <v>4</v>
      </c>
      <c r="Y145" t="s">
        <v>73</v>
      </c>
      <c r="Z145">
        <v>231474.16511999999</v>
      </c>
      <c r="AA145">
        <v>268510.03162000002</v>
      </c>
      <c r="AB145">
        <v>0</v>
      </c>
      <c r="AD145">
        <v>0</v>
      </c>
      <c r="AE145">
        <v>0</v>
      </c>
      <c r="AF145">
        <v>268510.03000000003</v>
      </c>
      <c r="AG145">
        <v>268510.03519999998</v>
      </c>
      <c r="AK145">
        <v>0</v>
      </c>
    </row>
    <row r="146" spans="1:37" x14ac:dyDescent="0.25">
      <c r="A146">
        <v>152561</v>
      </c>
      <c r="B146" t="s">
        <v>396</v>
      </c>
      <c r="C146">
        <v>229805.7333580892</v>
      </c>
      <c r="D146">
        <v>0</v>
      </c>
      <c r="E146">
        <v>36768.917337294268</v>
      </c>
      <c r="F146">
        <v>266574.65999999997</v>
      </c>
      <c r="J146">
        <v>0</v>
      </c>
      <c r="K146">
        <v>229805.7333580892</v>
      </c>
      <c r="L146">
        <v>0</v>
      </c>
      <c r="M146">
        <v>36768.917337294268</v>
      </c>
      <c r="N146">
        <v>266574.65069538349</v>
      </c>
      <c r="R146">
        <v>0</v>
      </c>
      <c r="S146">
        <v>0</v>
      </c>
      <c r="T146">
        <v>0</v>
      </c>
      <c r="U146" t="s">
        <v>256</v>
      </c>
      <c r="V146" t="s">
        <v>90</v>
      </c>
      <c r="W146">
        <v>4</v>
      </c>
      <c r="Y146" t="s">
        <v>238</v>
      </c>
      <c r="AB146">
        <v>0</v>
      </c>
      <c r="AD146">
        <v>266574.65999999997</v>
      </c>
      <c r="AE146">
        <v>0</v>
      </c>
      <c r="AF146">
        <v>0</v>
      </c>
      <c r="AG146">
        <v>266574.65999999997</v>
      </c>
      <c r="AK146">
        <v>0</v>
      </c>
    </row>
    <row r="147" spans="1:37" x14ac:dyDescent="0.25">
      <c r="A147">
        <v>332296</v>
      </c>
      <c r="B147" t="s">
        <v>397</v>
      </c>
      <c r="C147">
        <v>228117.72000000009</v>
      </c>
      <c r="D147">
        <v>0</v>
      </c>
      <c r="E147">
        <v>36498.826399999998</v>
      </c>
      <c r="F147">
        <v>264616.51</v>
      </c>
      <c r="J147">
        <v>0</v>
      </c>
      <c r="K147">
        <v>228117.72000000009</v>
      </c>
      <c r="L147">
        <v>0</v>
      </c>
      <c r="M147">
        <v>36498.826399999998</v>
      </c>
      <c r="N147">
        <v>264616.54640000011</v>
      </c>
      <c r="R147">
        <v>0</v>
      </c>
      <c r="S147">
        <v>0</v>
      </c>
      <c r="T147">
        <v>0</v>
      </c>
      <c r="U147" t="s">
        <v>256</v>
      </c>
      <c r="V147" t="s">
        <v>90</v>
      </c>
      <c r="W147">
        <v>4</v>
      </c>
      <c r="Y147" t="s">
        <v>73</v>
      </c>
      <c r="Z147">
        <v>228117.72000000009</v>
      </c>
      <c r="AA147">
        <v>264616.54640000011</v>
      </c>
      <c r="AB147">
        <v>0</v>
      </c>
      <c r="AD147">
        <v>0</v>
      </c>
      <c r="AE147">
        <v>0</v>
      </c>
      <c r="AF147">
        <v>264616.51</v>
      </c>
      <c r="AG147">
        <v>264616.51</v>
      </c>
      <c r="AK147">
        <v>0</v>
      </c>
    </row>
    <row r="148" spans="1:37" x14ac:dyDescent="0.25">
      <c r="A148">
        <v>328658</v>
      </c>
      <c r="B148" t="s">
        <v>398</v>
      </c>
      <c r="C148">
        <v>225683.12</v>
      </c>
      <c r="D148">
        <v>0</v>
      </c>
      <c r="E148">
        <v>36036.350899999998</v>
      </c>
      <c r="F148">
        <v>261719.65</v>
      </c>
      <c r="J148">
        <v>0</v>
      </c>
      <c r="K148">
        <v>225683.12</v>
      </c>
      <c r="L148">
        <v>0</v>
      </c>
      <c r="M148">
        <v>36036.350899999998</v>
      </c>
      <c r="N148">
        <v>261719.47089999999</v>
      </c>
      <c r="R148">
        <v>0</v>
      </c>
      <c r="S148">
        <v>0</v>
      </c>
      <c r="T148">
        <v>0</v>
      </c>
      <c r="U148" t="s">
        <v>256</v>
      </c>
      <c r="V148" t="s">
        <v>90</v>
      </c>
      <c r="W148">
        <v>4</v>
      </c>
      <c r="Y148" t="s">
        <v>73</v>
      </c>
      <c r="Z148">
        <v>225683.12</v>
      </c>
      <c r="AA148">
        <v>261719.47089999999</v>
      </c>
      <c r="AB148">
        <v>0</v>
      </c>
      <c r="AD148">
        <v>0</v>
      </c>
      <c r="AE148">
        <v>0</v>
      </c>
      <c r="AF148">
        <v>261719.65</v>
      </c>
      <c r="AG148">
        <v>261719.65</v>
      </c>
      <c r="AK148">
        <v>0</v>
      </c>
    </row>
    <row r="149" spans="1:37" x14ac:dyDescent="0.25">
      <c r="A149">
        <v>325670</v>
      </c>
      <c r="B149" t="s">
        <v>399</v>
      </c>
      <c r="C149">
        <v>227169.03894894349</v>
      </c>
      <c r="D149">
        <v>0</v>
      </c>
      <c r="E149">
        <v>33232.574619604238</v>
      </c>
      <c r="F149">
        <v>260401.57000000009</v>
      </c>
      <c r="J149">
        <v>0</v>
      </c>
      <c r="K149">
        <v>227169.03894894349</v>
      </c>
      <c r="L149">
        <v>0</v>
      </c>
      <c r="M149">
        <v>33232.574619604238</v>
      </c>
      <c r="N149">
        <v>260401.61356854771</v>
      </c>
      <c r="R149">
        <v>0</v>
      </c>
      <c r="S149">
        <v>0</v>
      </c>
      <c r="T149">
        <v>0</v>
      </c>
      <c r="U149" t="s">
        <v>256</v>
      </c>
      <c r="V149" t="s">
        <v>90</v>
      </c>
      <c r="W149">
        <v>4</v>
      </c>
      <c r="Y149" t="s">
        <v>238</v>
      </c>
      <c r="AB149">
        <v>0</v>
      </c>
      <c r="AD149">
        <v>0</v>
      </c>
      <c r="AE149">
        <v>260401.57</v>
      </c>
      <c r="AF149">
        <v>0</v>
      </c>
      <c r="AG149">
        <v>0</v>
      </c>
      <c r="AK149">
        <v>0</v>
      </c>
    </row>
    <row r="150" spans="1:37" x14ac:dyDescent="0.25">
      <c r="A150">
        <v>26393</v>
      </c>
      <c r="B150" t="s">
        <v>400</v>
      </c>
      <c r="C150">
        <v>223893.68</v>
      </c>
      <c r="D150">
        <v>0</v>
      </c>
      <c r="E150">
        <v>35822.988799999999</v>
      </c>
      <c r="F150">
        <v>259716.66</v>
      </c>
      <c r="G150">
        <v>223893.68</v>
      </c>
      <c r="I150">
        <v>35822.988799999999</v>
      </c>
      <c r="J150">
        <v>259716.66880000001</v>
      </c>
      <c r="L150">
        <v>0</v>
      </c>
      <c r="M150">
        <v>0</v>
      </c>
      <c r="N150">
        <v>0</v>
      </c>
      <c r="R150">
        <v>0</v>
      </c>
      <c r="S150" t="s">
        <v>401</v>
      </c>
      <c r="T150">
        <v>0</v>
      </c>
      <c r="U150" t="s">
        <v>59</v>
      </c>
      <c r="V150" t="s">
        <v>82</v>
      </c>
      <c r="W150">
        <v>4</v>
      </c>
      <c r="Y150" t="s">
        <v>238</v>
      </c>
      <c r="AB150" t="s">
        <v>285</v>
      </c>
      <c r="AD150">
        <v>259716.66</v>
      </c>
      <c r="AE150">
        <v>0</v>
      </c>
      <c r="AF150">
        <v>0</v>
      </c>
      <c r="AG150">
        <v>259716.66</v>
      </c>
      <c r="AH150">
        <v>259716.66</v>
      </c>
      <c r="AI150">
        <v>1</v>
      </c>
      <c r="AJ150" s="130">
        <v>46042</v>
      </c>
      <c r="AK150">
        <v>0</v>
      </c>
    </row>
    <row r="151" spans="1:37" x14ac:dyDescent="0.25">
      <c r="A151">
        <v>221226</v>
      </c>
      <c r="B151" t="s">
        <v>404</v>
      </c>
      <c r="C151">
        <v>258217.35592169201</v>
      </c>
      <c r="D151">
        <v>0</v>
      </c>
      <c r="E151">
        <v>0</v>
      </c>
      <c r="F151">
        <v>258217.37</v>
      </c>
      <c r="J151">
        <v>0</v>
      </c>
      <c r="K151">
        <v>258217.35592169201</v>
      </c>
      <c r="L151">
        <v>0</v>
      </c>
      <c r="M151">
        <v>0</v>
      </c>
      <c r="N151">
        <v>258217.35592169201</v>
      </c>
      <c r="R151">
        <v>0</v>
      </c>
      <c r="S151">
        <v>0</v>
      </c>
      <c r="T151">
        <v>0</v>
      </c>
      <c r="U151" t="s">
        <v>256</v>
      </c>
      <c r="V151" t="s">
        <v>90</v>
      </c>
      <c r="W151">
        <v>4</v>
      </c>
      <c r="Y151" t="s">
        <v>73</v>
      </c>
      <c r="Z151">
        <v>258217.35592169201</v>
      </c>
      <c r="AA151">
        <v>258217.35592169201</v>
      </c>
      <c r="AB151" t="s">
        <v>259</v>
      </c>
      <c r="AD151">
        <v>0</v>
      </c>
      <c r="AE151">
        <v>0</v>
      </c>
      <c r="AF151">
        <v>258217.37</v>
      </c>
      <c r="AG151">
        <v>258217.37</v>
      </c>
      <c r="AK151">
        <v>0</v>
      </c>
    </row>
    <row r="152" spans="1:37" x14ac:dyDescent="0.25">
      <c r="A152">
        <v>8613</v>
      </c>
      <c r="B152" t="s">
        <v>405</v>
      </c>
      <c r="C152">
        <v>222084.41116088399</v>
      </c>
      <c r="D152">
        <v>0</v>
      </c>
      <c r="E152">
        <v>35533.509978261442</v>
      </c>
      <c r="F152">
        <v>257617.9148</v>
      </c>
      <c r="G152">
        <v>182046.48</v>
      </c>
      <c r="I152">
        <v>29127.439999999999</v>
      </c>
      <c r="J152">
        <v>211173.92</v>
      </c>
      <c r="N152">
        <v>0</v>
      </c>
      <c r="O152">
        <v>40037.93</v>
      </c>
      <c r="Q152">
        <v>6406.07</v>
      </c>
      <c r="R152">
        <v>46444</v>
      </c>
      <c r="S152">
        <v>0</v>
      </c>
      <c r="T152">
        <v>0</v>
      </c>
      <c r="U152" t="s">
        <v>59</v>
      </c>
      <c r="V152" t="s">
        <v>82</v>
      </c>
      <c r="W152">
        <v>4</v>
      </c>
      <c r="Y152" t="s">
        <v>81</v>
      </c>
      <c r="Z152">
        <v>182046.48</v>
      </c>
      <c r="AA152">
        <v>211173.92</v>
      </c>
      <c r="AB152">
        <v>0</v>
      </c>
      <c r="AD152">
        <v>0</v>
      </c>
      <c r="AE152">
        <v>0</v>
      </c>
      <c r="AF152">
        <v>257617.91</v>
      </c>
      <c r="AG152">
        <v>257617.9148</v>
      </c>
      <c r="AH152">
        <v>159642.25</v>
      </c>
      <c r="AI152">
        <v>2</v>
      </c>
      <c r="AJ152" s="130">
        <v>46049</v>
      </c>
      <c r="AK152">
        <v>0</v>
      </c>
    </row>
    <row r="153" spans="1:37" x14ac:dyDescent="0.25">
      <c r="A153">
        <v>16636</v>
      </c>
      <c r="B153" t="s">
        <v>407</v>
      </c>
      <c r="C153">
        <v>257030.58446000001</v>
      </c>
      <c r="D153">
        <v>136.11600000000001</v>
      </c>
      <c r="E153">
        <v>0</v>
      </c>
      <c r="F153">
        <v>257166.70449999999</v>
      </c>
      <c r="J153">
        <v>0</v>
      </c>
      <c r="K153">
        <v>257030.58446000001</v>
      </c>
      <c r="L153">
        <v>136.11600000000001</v>
      </c>
      <c r="M153">
        <v>0</v>
      </c>
      <c r="N153">
        <v>257166.70045999999</v>
      </c>
      <c r="R153">
        <v>0</v>
      </c>
      <c r="S153">
        <v>0</v>
      </c>
      <c r="T153">
        <v>0</v>
      </c>
      <c r="U153" t="s">
        <v>256</v>
      </c>
      <c r="V153" t="s">
        <v>90</v>
      </c>
      <c r="W153">
        <v>4</v>
      </c>
      <c r="Y153" t="s">
        <v>73</v>
      </c>
      <c r="Z153">
        <v>257030.58446000001</v>
      </c>
      <c r="AA153">
        <v>257166.70045999999</v>
      </c>
      <c r="AB153" t="s">
        <v>333</v>
      </c>
      <c r="AD153">
        <v>0</v>
      </c>
      <c r="AE153">
        <v>0</v>
      </c>
      <c r="AF153">
        <v>257166.7</v>
      </c>
      <c r="AG153">
        <v>257166.70449999999</v>
      </c>
      <c r="AK153">
        <v>0</v>
      </c>
    </row>
    <row r="154" spans="1:37" x14ac:dyDescent="0.25">
      <c r="A154">
        <v>318980</v>
      </c>
      <c r="B154" t="s">
        <v>408</v>
      </c>
      <c r="C154">
        <v>211547.92</v>
      </c>
      <c r="D154">
        <v>0</v>
      </c>
      <c r="E154">
        <v>33847.6132</v>
      </c>
      <c r="F154">
        <v>245395.5</v>
      </c>
      <c r="J154">
        <v>0</v>
      </c>
      <c r="K154">
        <v>211547.92</v>
      </c>
      <c r="L154">
        <v>0</v>
      </c>
      <c r="M154">
        <v>33847.6132</v>
      </c>
      <c r="N154">
        <v>245395.53320000001</v>
      </c>
      <c r="R154">
        <v>0</v>
      </c>
      <c r="S154">
        <v>0</v>
      </c>
      <c r="T154">
        <v>0</v>
      </c>
      <c r="U154" t="s">
        <v>256</v>
      </c>
      <c r="V154" t="s">
        <v>90</v>
      </c>
      <c r="W154">
        <v>4</v>
      </c>
      <c r="Y154" t="s">
        <v>73</v>
      </c>
      <c r="Z154">
        <v>211547.92</v>
      </c>
      <c r="AA154">
        <v>245395.53320000001</v>
      </c>
      <c r="AB154">
        <v>0</v>
      </c>
      <c r="AD154">
        <v>0</v>
      </c>
      <c r="AE154">
        <v>0</v>
      </c>
      <c r="AF154">
        <v>245395.5</v>
      </c>
      <c r="AG154">
        <v>245395.5</v>
      </c>
      <c r="AK154">
        <v>0</v>
      </c>
    </row>
    <row r="155" spans="1:37" x14ac:dyDescent="0.25">
      <c r="A155">
        <v>398289</v>
      </c>
      <c r="B155" t="s">
        <v>409</v>
      </c>
      <c r="C155">
        <v>209333.7562529</v>
      </c>
      <c r="D155">
        <v>0</v>
      </c>
      <c r="E155">
        <v>33493.401100000003</v>
      </c>
      <c r="F155">
        <v>242827.15960000001</v>
      </c>
      <c r="J155">
        <v>0</v>
      </c>
      <c r="K155">
        <v>209333.7562529</v>
      </c>
      <c r="L155">
        <v>0</v>
      </c>
      <c r="M155">
        <v>33493.401100000003</v>
      </c>
      <c r="N155">
        <v>242827.15735289999</v>
      </c>
      <c r="R155">
        <v>0</v>
      </c>
      <c r="S155">
        <v>0</v>
      </c>
      <c r="T155">
        <v>0</v>
      </c>
      <c r="U155" t="s">
        <v>256</v>
      </c>
      <c r="V155" t="s">
        <v>90</v>
      </c>
      <c r="W155">
        <v>4</v>
      </c>
      <c r="Y155" t="s">
        <v>73</v>
      </c>
      <c r="Z155">
        <v>209333.7562529</v>
      </c>
      <c r="AA155">
        <v>242827.15735289999</v>
      </c>
      <c r="AB155">
        <v>0</v>
      </c>
      <c r="AD155">
        <v>0</v>
      </c>
      <c r="AE155">
        <v>0</v>
      </c>
      <c r="AF155">
        <v>242827.15</v>
      </c>
      <c r="AG155">
        <v>242827.15960000001</v>
      </c>
      <c r="AK155">
        <v>0</v>
      </c>
    </row>
    <row r="156" spans="1:37" x14ac:dyDescent="0.25">
      <c r="A156">
        <v>9943</v>
      </c>
      <c r="B156" t="s">
        <v>410</v>
      </c>
      <c r="C156">
        <v>232617.76827155001</v>
      </c>
      <c r="D156">
        <v>0</v>
      </c>
      <c r="E156">
        <v>7944.9552000000003</v>
      </c>
      <c r="F156">
        <v>240562.72820000001</v>
      </c>
      <c r="J156">
        <v>0</v>
      </c>
      <c r="K156">
        <v>232617.76827155001</v>
      </c>
      <c r="L156">
        <v>0</v>
      </c>
      <c r="M156">
        <v>7944.9552000000003</v>
      </c>
      <c r="N156">
        <v>240562.72347155001</v>
      </c>
      <c r="R156">
        <v>0</v>
      </c>
      <c r="S156">
        <v>0</v>
      </c>
      <c r="T156">
        <v>0</v>
      </c>
      <c r="U156" t="s">
        <v>256</v>
      </c>
      <c r="V156" t="s">
        <v>90</v>
      </c>
      <c r="W156">
        <v>4</v>
      </c>
      <c r="Y156" t="s">
        <v>238</v>
      </c>
      <c r="AB156">
        <v>0</v>
      </c>
      <c r="AD156">
        <v>240562.74</v>
      </c>
      <c r="AE156">
        <v>0</v>
      </c>
      <c r="AF156">
        <v>0</v>
      </c>
      <c r="AG156">
        <v>240562.72820000001</v>
      </c>
      <c r="AK156">
        <v>0</v>
      </c>
    </row>
    <row r="157" spans="1:37" x14ac:dyDescent="0.25">
      <c r="A157">
        <v>300210</v>
      </c>
      <c r="B157" t="s">
        <v>411</v>
      </c>
      <c r="C157">
        <v>203401.21</v>
      </c>
      <c r="D157">
        <v>0</v>
      </c>
      <c r="E157">
        <v>32544.193599999999</v>
      </c>
      <c r="F157">
        <v>235945.4</v>
      </c>
      <c r="J157">
        <v>0</v>
      </c>
      <c r="K157">
        <v>203401.21</v>
      </c>
      <c r="L157">
        <v>0</v>
      </c>
      <c r="M157">
        <v>32544.193599999999</v>
      </c>
      <c r="N157">
        <v>235945.40359999999</v>
      </c>
      <c r="R157">
        <v>0</v>
      </c>
      <c r="S157">
        <v>0</v>
      </c>
      <c r="T157">
        <v>0</v>
      </c>
      <c r="U157" t="s">
        <v>256</v>
      </c>
      <c r="V157" t="s">
        <v>90</v>
      </c>
      <c r="W157">
        <v>4</v>
      </c>
      <c r="Y157" t="s">
        <v>73</v>
      </c>
      <c r="Z157">
        <v>203401.21</v>
      </c>
      <c r="AA157">
        <v>235945.40359999999</v>
      </c>
      <c r="AB157" t="s">
        <v>212</v>
      </c>
      <c r="AD157">
        <v>0</v>
      </c>
      <c r="AE157">
        <v>0</v>
      </c>
      <c r="AF157">
        <v>235945.4</v>
      </c>
      <c r="AG157">
        <v>235945.4</v>
      </c>
      <c r="AK157">
        <v>0</v>
      </c>
    </row>
    <row r="158" spans="1:37" x14ac:dyDescent="0.25">
      <c r="A158">
        <v>319335</v>
      </c>
      <c r="B158" t="s">
        <v>412</v>
      </c>
      <c r="C158">
        <v>203208.97</v>
      </c>
      <c r="D158">
        <v>0</v>
      </c>
      <c r="E158">
        <v>32513.4352</v>
      </c>
      <c r="F158">
        <v>235722.38</v>
      </c>
      <c r="J158">
        <v>0</v>
      </c>
      <c r="K158">
        <v>203208.97</v>
      </c>
      <c r="L158">
        <v>0</v>
      </c>
      <c r="M158">
        <v>32513.4352</v>
      </c>
      <c r="N158">
        <v>235722.40520000001</v>
      </c>
      <c r="R158">
        <v>0</v>
      </c>
      <c r="S158">
        <v>0</v>
      </c>
      <c r="T158">
        <v>0</v>
      </c>
      <c r="U158" t="s">
        <v>256</v>
      </c>
      <c r="V158" t="s">
        <v>90</v>
      </c>
      <c r="W158">
        <v>4</v>
      </c>
      <c r="Y158" t="s">
        <v>238</v>
      </c>
      <c r="AB158" t="s">
        <v>274</v>
      </c>
      <c r="AD158">
        <v>235722.38</v>
      </c>
      <c r="AE158">
        <v>0</v>
      </c>
      <c r="AF158">
        <v>0</v>
      </c>
      <c r="AG158">
        <v>235722.38</v>
      </c>
      <c r="AK158">
        <v>0</v>
      </c>
    </row>
    <row r="159" spans="1:37" x14ac:dyDescent="0.25">
      <c r="A159">
        <v>22666</v>
      </c>
      <c r="B159" t="s">
        <v>413</v>
      </c>
      <c r="C159">
        <v>202342.81</v>
      </c>
      <c r="D159">
        <v>0</v>
      </c>
      <c r="E159">
        <v>32374.84959999999</v>
      </c>
      <c r="F159">
        <v>234717.6</v>
      </c>
      <c r="J159">
        <v>0</v>
      </c>
      <c r="K159">
        <v>202342.81</v>
      </c>
      <c r="L159">
        <v>0</v>
      </c>
      <c r="M159">
        <v>32374.84959999999</v>
      </c>
      <c r="N159">
        <v>234717.65960000001</v>
      </c>
      <c r="R159">
        <v>0</v>
      </c>
      <c r="S159">
        <v>0</v>
      </c>
      <c r="T159">
        <v>0</v>
      </c>
      <c r="U159" t="s">
        <v>59</v>
      </c>
      <c r="V159" t="s">
        <v>75</v>
      </c>
      <c r="W159">
        <v>4</v>
      </c>
      <c r="X159">
        <v>1</v>
      </c>
      <c r="Y159" t="s">
        <v>73</v>
      </c>
      <c r="Z159">
        <v>202342.81</v>
      </c>
      <c r="AA159">
        <v>234717.65960000001</v>
      </c>
      <c r="AB159" t="s">
        <v>414</v>
      </c>
      <c r="AD159">
        <v>0</v>
      </c>
      <c r="AE159">
        <v>0</v>
      </c>
      <c r="AF159">
        <v>234717.6</v>
      </c>
      <c r="AG159">
        <v>234717.6</v>
      </c>
      <c r="AH159">
        <v>234717.6</v>
      </c>
      <c r="AI159">
        <v>8</v>
      </c>
      <c r="AJ159" s="130">
        <v>46062</v>
      </c>
      <c r="AK159">
        <v>1</v>
      </c>
    </row>
    <row r="160" spans="1:37" x14ac:dyDescent="0.25">
      <c r="A160">
        <v>308651</v>
      </c>
      <c r="B160" t="s">
        <v>415</v>
      </c>
      <c r="C160">
        <v>232163.33</v>
      </c>
      <c r="D160">
        <v>0</v>
      </c>
      <c r="E160">
        <v>0</v>
      </c>
      <c r="F160">
        <v>232163.33</v>
      </c>
      <c r="J160">
        <v>0</v>
      </c>
      <c r="K160">
        <v>232163.33</v>
      </c>
      <c r="L160">
        <v>0</v>
      </c>
      <c r="M160">
        <v>0</v>
      </c>
      <c r="N160">
        <v>232163.33</v>
      </c>
      <c r="R160">
        <v>0</v>
      </c>
      <c r="S160">
        <v>0</v>
      </c>
      <c r="T160">
        <v>0</v>
      </c>
      <c r="U160" t="s">
        <v>256</v>
      </c>
      <c r="V160" t="s">
        <v>90</v>
      </c>
      <c r="W160">
        <v>4</v>
      </c>
      <c r="Y160" t="s">
        <v>73</v>
      </c>
      <c r="Z160">
        <v>232163.33</v>
      </c>
      <c r="AA160">
        <v>232163.33</v>
      </c>
      <c r="AB160">
        <v>0</v>
      </c>
      <c r="AD160">
        <v>0</v>
      </c>
      <c r="AE160">
        <v>0</v>
      </c>
      <c r="AF160">
        <v>232163.33</v>
      </c>
      <c r="AG160">
        <v>232163.33</v>
      </c>
      <c r="AK160">
        <v>0</v>
      </c>
    </row>
    <row r="161" spans="1:37" x14ac:dyDescent="0.25">
      <c r="A161">
        <v>9264</v>
      </c>
      <c r="B161" t="s">
        <v>416</v>
      </c>
      <c r="C161">
        <v>182778.689917838</v>
      </c>
      <c r="D161">
        <v>17247.516</v>
      </c>
      <c r="E161">
        <v>32004.19294685408</v>
      </c>
      <c r="F161">
        <v>232030.4</v>
      </c>
      <c r="J161">
        <v>0</v>
      </c>
      <c r="K161">
        <v>182778.689917838</v>
      </c>
      <c r="L161">
        <v>17247.516</v>
      </c>
      <c r="M161">
        <v>32004.19294685408</v>
      </c>
      <c r="N161">
        <v>232030.39886469199</v>
      </c>
      <c r="R161">
        <v>0</v>
      </c>
      <c r="S161">
        <v>0</v>
      </c>
      <c r="T161">
        <v>0</v>
      </c>
      <c r="U161" t="s">
        <v>59</v>
      </c>
      <c r="V161" t="s">
        <v>75</v>
      </c>
      <c r="W161">
        <v>4</v>
      </c>
      <c r="Y161" t="s">
        <v>238</v>
      </c>
      <c r="AB161">
        <v>0</v>
      </c>
      <c r="AD161">
        <v>0</v>
      </c>
      <c r="AE161">
        <v>232030.4</v>
      </c>
      <c r="AF161">
        <v>0</v>
      </c>
      <c r="AG161">
        <v>0</v>
      </c>
      <c r="AH161">
        <v>232030.4</v>
      </c>
      <c r="AJ161" s="130">
        <v>46050</v>
      </c>
      <c r="AK161">
        <v>0</v>
      </c>
    </row>
    <row r="162" spans="1:37" x14ac:dyDescent="0.25">
      <c r="A162">
        <v>13773</v>
      </c>
      <c r="B162" t="s">
        <v>418</v>
      </c>
      <c r="C162">
        <v>199289</v>
      </c>
      <c r="D162">
        <v>0</v>
      </c>
      <c r="E162">
        <v>31886.240000000002</v>
      </c>
      <c r="F162">
        <v>231175.24</v>
      </c>
      <c r="J162">
        <v>0</v>
      </c>
      <c r="K162">
        <v>199289</v>
      </c>
      <c r="L162">
        <v>0</v>
      </c>
      <c r="M162">
        <v>31886.240000000002</v>
      </c>
      <c r="N162">
        <v>231175.24</v>
      </c>
      <c r="R162">
        <v>0</v>
      </c>
      <c r="S162">
        <v>0</v>
      </c>
      <c r="T162">
        <v>0</v>
      </c>
      <c r="U162" t="s">
        <v>256</v>
      </c>
      <c r="V162" t="s">
        <v>90</v>
      </c>
      <c r="W162">
        <v>4</v>
      </c>
      <c r="Y162" t="s">
        <v>73</v>
      </c>
      <c r="Z162">
        <v>199289</v>
      </c>
      <c r="AA162">
        <v>231175.24</v>
      </c>
      <c r="AB162" t="s">
        <v>419</v>
      </c>
      <c r="AD162">
        <v>0</v>
      </c>
      <c r="AE162">
        <v>0</v>
      </c>
      <c r="AF162">
        <v>231175.24</v>
      </c>
      <c r="AG162">
        <v>231175.24</v>
      </c>
      <c r="AK162">
        <v>0</v>
      </c>
    </row>
    <row r="163" spans="1:37" x14ac:dyDescent="0.25">
      <c r="A163">
        <v>397315</v>
      </c>
      <c r="B163" t="s">
        <v>420</v>
      </c>
      <c r="C163">
        <v>228770.40825110499</v>
      </c>
      <c r="D163">
        <v>0</v>
      </c>
      <c r="E163">
        <v>2000.69721059776</v>
      </c>
      <c r="F163">
        <v>230771.1139</v>
      </c>
      <c r="J163">
        <v>0</v>
      </c>
      <c r="K163">
        <v>228770.40825110499</v>
      </c>
      <c r="L163">
        <v>0</v>
      </c>
      <c r="M163">
        <v>2000.69721059776</v>
      </c>
      <c r="N163">
        <v>230771.1054617028</v>
      </c>
      <c r="R163">
        <v>0</v>
      </c>
      <c r="S163">
        <v>0</v>
      </c>
      <c r="T163">
        <v>0</v>
      </c>
      <c r="U163" t="s">
        <v>256</v>
      </c>
      <c r="V163" t="s">
        <v>90</v>
      </c>
      <c r="W163">
        <v>4</v>
      </c>
      <c r="Y163" t="s">
        <v>73</v>
      </c>
      <c r="Z163">
        <v>228770.40825110499</v>
      </c>
      <c r="AA163">
        <v>230771.1054617028</v>
      </c>
      <c r="AB163" t="s">
        <v>212</v>
      </c>
      <c r="AD163">
        <v>0</v>
      </c>
      <c r="AE163">
        <v>0</v>
      </c>
      <c r="AF163">
        <v>230771.13</v>
      </c>
      <c r="AG163">
        <v>230771.1139</v>
      </c>
      <c r="AK163">
        <v>0</v>
      </c>
    </row>
    <row r="164" spans="1:37" x14ac:dyDescent="0.25">
      <c r="A164">
        <v>12560</v>
      </c>
      <c r="B164" t="s">
        <v>421</v>
      </c>
      <c r="C164">
        <v>195833.0795922681</v>
      </c>
      <c r="D164">
        <v>0</v>
      </c>
      <c r="E164">
        <v>31333.292734762879</v>
      </c>
      <c r="F164">
        <v>227166.32</v>
      </c>
      <c r="J164">
        <v>0</v>
      </c>
      <c r="K164">
        <v>195833.0795922681</v>
      </c>
      <c r="L164">
        <v>0</v>
      </c>
      <c r="M164">
        <v>31333.292734762879</v>
      </c>
      <c r="N164">
        <v>227166.37232703099</v>
      </c>
      <c r="R164">
        <v>0</v>
      </c>
      <c r="S164">
        <v>0</v>
      </c>
      <c r="T164">
        <v>0</v>
      </c>
      <c r="U164" t="s">
        <v>256</v>
      </c>
      <c r="V164" t="s">
        <v>90</v>
      </c>
      <c r="W164">
        <v>4</v>
      </c>
      <c r="Y164" t="s">
        <v>238</v>
      </c>
      <c r="AB164">
        <v>0</v>
      </c>
      <c r="AD164">
        <v>0</v>
      </c>
      <c r="AE164">
        <v>227166.32</v>
      </c>
      <c r="AF164">
        <v>0</v>
      </c>
      <c r="AG164">
        <v>0</v>
      </c>
      <c r="AK164">
        <v>0</v>
      </c>
    </row>
    <row r="165" spans="1:37" x14ac:dyDescent="0.25">
      <c r="A165">
        <v>318493</v>
      </c>
      <c r="B165" t="s">
        <v>422</v>
      </c>
      <c r="C165">
        <v>195274.96</v>
      </c>
      <c r="D165">
        <v>0</v>
      </c>
      <c r="E165">
        <v>31243.993600000002</v>
      </c>
      <c r="F165">
        <v>226518.94</v>
      </c>
      <c r="J165">
        <v>0</v>
      </c>
      <c r="K165">
        <v>195274.96</v>
      </c>
      <c r="L165">
        <v>0</v>
      </c>
      <c r="M165">
        <v>31243.993600000002</v>
      </c>
      <c r="N165">
        <v>226518.95360000001</v>
      </c>
      <c r="R165">
        <v>0</v>
      </c>
      <c r="S165">
        <v>0</v>
      </c>
      <c r="T165">
        <v>0</v>
      </c>
      <c r="U165" t="s">
        <v>256</v>
      </c>
      <c r="V165" t="s">
        <v>90</v>
      </c>
      <c r="W165">
        <v>4</v>
      </c>
      <c r="Y165" t="s">
        <v>238</v>
      </c>
      <c r="AB165">
        <v>0</v>
      </c>
      <c r="AD165">
        <v>226518.94</v>
      </c>
      <c r="AE165">
        <v>0</v>
      </c>
      <c r="AF165">
        <v>0</v>
      </c>
      <c r="AG165">
        <v>226518.94</v>
      </c>
      <c r="AK165">
        <v>0</v>
      </c>
    </row>
    <row r="166" spans="1:37" x14ac:dyDescent="0.25">
      <c r="A166">
        <v>8684</v>
      </c>
      <c r="B166" t="s">
        <v>423</v>
      </c>
      <c r="C166">
        <v>191150.91788764799</v>
      </c>
      <c r="D166">
        <v>0</v>
      </c>
      <c r="E166">
        <v>30584.14680810368</v>
      </c>
      <c r="F166">
        <v>221735.11489999999</v>
      </c>
      <c r="J166">
        <v>0</v>
      </c>
      <c r="K166">
        <v>191150.91788764799</v>
      </c>
      <c r="L166">
        <v>0</v>
      </c>
      <c r="M166">
        <v>30584.14680810368</v>
      </c>
      <c r="N166">
        <v>221735.0646957517</v>
      </c>
      <c r="R166">
        <v>0</v>
      </c>
      <c r="S166">
        <v>0</v>
      </c>
      <c r="T166">
        <v>0</v>
      </c>
      <c r="U166" t="s">
        <v>256</v>
      </c>
      <c r="V166" t="s">
        <v>90</v>
      </c>
      <c r="W166">
        <v>4</v>
      </c>
      <c r="Y166" t="s">
        <v>73</v>
      </c>
      <c r="Z166">
        <v>191150.91788764799</v>
      </c>
      <c r="AA166">
        <v>221735.0646957517</v>
      </c>
      <c r="AB166">
        <v>0</v>
      </c>
      <c r="AD166">
        <v>0</v>
      </c>
      <c r="AE166">
        <v>0</v>
      </c>
      <c r="AF166">
        <v>221735.12</v>
      </c>
      <c r="AG166">
        <v>221735.11489999999</v>
      </c>
      <c r="AK166">
        <v>0</v>
      </c>
    </row>
    <row r="167" spans="1:37" x14ac:dyDescent="0.25">
      <c r="A167">
        <v>11077</v>
      </c>
      <c r="B167" t="s">
        <v>424</v>
      </c>
      <c r="C167">
        <v>189864.61999999991</v>
      </c>
      <c r="D167">
        <v>0</v>
      </c>
      <c r="E167">
        <v>30378.339199999999</v>
      </c>
      <c r="F167">
        <v>220242.97</v>
      </c>
      <c r="J167">
        <v>0</v>
      </c>
      <c r="K167">
        <v>189864.61999999991</v>
      </c>
      <c r="L167">
        <v>0</v>
      </c>
      <c r="M167">
        <v>30378.339199999999</v>
      </c>
      <c r="N167">
        <v>220242.9591999999</v>
      </c>
      <c r="R167">
        <v>0</v>
      </c>
      <c r="S167">
        <v>0</v>
      </c>
      <c r="T167">
        <v>0</v>
      </c>
      <c r="U167" t="s">
        <v>256</v>
      </c>
      <c r="V167" t="s">
        <v>90</v>
      </c>
      <c r="W167">
        <v>4</v>
      </c>
      <c r="Y167" t="s">
        <v>238</v>
      </c>
      <c r="AB167" t="s">
        <v>212</v>
      </c>
      <c r="AD167">
        <v>220242.97</v>
      </c>
      <c r="AE167">
        <v>0</v>
      </c>
      <c r="AF167">
        <v>0</v>
      </c>
      <c r="AG167">
        <v>220242.97</v>
      </c>
      <c r="AK167">
        <v>0</v>
      </c>
    </row>
    <row r="168" spans="1:37" x14ac:dyDescent="0.25">
      <c r="A168">
        <v>311159</v>
      </c>
      <c r="B168" t="s">
        <v>425</v>
      </c>
      <c r="C168">
        <v>189068.27</v>
      </c>
      <c r="D168">
        <v>0</v>
      </c>
      <c r="E168">
        <v>29987.373800000001</v>
      </c>
      <c r="F168">
        <v>219055.65</v>
      </c>
      <c r="J168">
        <v>0</v>
      </c>
      <c r="K168">
        <v>189068.27</v>
      </c>
      <c r="L168">
        <v>0</v>
      </c>
      <c r="M168">
        <v>29987.373800000001</v>
      </c>
      <c r="N168">
        <v>219055.64379999999</v>
      </c>
      <c r="R168">
        <v>0</v>
      </c>
      <c r="S168">
        <v>0</v>
      </c>
      <c r="T168">
        <v>0</v>
      </c>
      <c r="U168" t="s">
        <v>59</v>
      </c>
      <c r="V168" t="s">
        <v>75</v>
      </c>
      <c r="W168">
        <v>4</v>
      </c>
      <c r="Y168" t="s">
        <v>57</v>
      </c>
      <c r="AB168" t="s">
        <v>426</v>
      </c>
      <c r="AD168">
        <v>0</v>
      </c>
      <c r="AE168">
        <v>0</v>
      </c>
      <c r="AF168">
        <v>219055.65</v>
      </c>
      <c r="AG168">
        <v>219055.65</v>
      </c>
      <c r="AH168">
        <v>180039.21</v>
      </c>
      <c r="AI168">
        <v>1</v>
      </c>
      <c r="AJ168" s="130">
        <v>46048</v>
      </c>
      <c r="AK168">
        <v>3</v>
      </c>
    </row>
    <row r="169" spans="1:37" x14ac:dyDescent="0.25">
      <c r="A169">
        <v>384552</v>
      </c>
      <c r="B169" t="s">
        <v>233</v>
      </c>
      <c r="C169">
        <v>188228.02470000001</v>
      </c>
      <c r="D169">
        <v>0</v>
      </c>
      <c r="E169">
        <v>30116.483899999999</v>
      </c>
      <c r="F169">
        <v>218344.47540000011</v>
      </c>
      <c r="J169">
        <v>0</v>
      </c>
      <c r="K169">
        <v>188228.02470000001</v>
      </c>
      <c r="L169">
        <v>0</v>
      </c>
      <c r="M169">
        <v>30116.483899999999</v>
      </c>
      <c r="N169">
        <v>218344.50859999991</v>
      </c>
      <c r="R169">
        <v>0</v>
      </c>
      <c r="S169">
        <v>0</v>
      </c>
      <c r="T169">
        <v>0</v>
      </c>
      <c r="U169" t="s">
        <v>256</v>
      </c>
      <c r="V169" t="s">
        <v>90</v>
      </c>
      <c r="W169">
        <v>4</v>
      </c>
      <c r="Y169" t="s">
        <v>73</v>
      </c>
      <c r="Z169">
        <v>188228.02470000001</v>
      </c>
      <c r="AA169">
        <v>218344.50859999991</v>
      </c>
      <c r="AB169" t="s">
        <v>333</v>
      </c>
      <c r="AD169">
        <v>0</v>
      </c>
      <c r="AE169">
        <v>0</v>
      </c>
      <c r="AF169">
        <v>218344.48</v>
      </c>
      <c r="AG169">
        <v>218344.47540000011</v>
      </c>
      <c r="AK169">
        <v>0</v>
      </c>
    </row>
    <row r="170" spans="1:37" x14ac:dyDescent="0.25">
      <c r="A170">
        <v>307900</v>
      </c>
      <c r="B170" t="s">
        <v>429</v>
      </c>
      <c r="C170">
        <v>186768.93732174</v>
      </c>
      <c r="D170">
        <v>0</v>
      </c>
      <c r="E170">
        <v>29883.029971478401</v>
      </c>
      <c r="F170">
        <v>216651.96</v>
      </c>
      <c r="J170">
        <v>0</v>
      </c>
      <c r="K170">
        <v>186768.93732174</v>
      </c>
      <c r="L170">
        <v>0</v>
      </c>
      <c r="M170">
        <v>29883.029971478401</v>
      </c>
      <c r="N170">
        <v>216651.96729321839</v>
      </c>
      <c r="R170">
        <v>0</v>
      </c>
      <c r="S170">
        <v>0</v>
      </c>
      <c r="T170">
        <v>0</v>
      </c>
      <c r="U170" t="s">
        <v>256</v>
      </c>
      <c r="V170" t="s">
        <v>90</v>
      </c>
      <c r="W170">
        <v>4</v>
      </c>
      <c r="Y170" t="s">
        <v>73</v>
      </c>
      <c r="Z170">
        <v>186768.93732174</v>
      </c>
      <c r="AA170">
        <v>216651.96729321839</v>
      </c>
      <c r="AB170" t="s">
        <v>259</v>
      </c>
      <c r="AD170">
        <v>0</v>
      </c>
      <c r="AE170">
        <v>0</v>
      </c>
      <c r="AF170">
        <v>216651.96</v>
      </c>
      <c r="AG170">
        <v>216651.96</v>
      </c>
      <c r="AK170">
        <v>0</v>
      </c>
    </row>
    <row r="171" spans="1:37" x14ac:dyDescent="0.25">
      <c r="A171">
        <v>229732</v>
      </c>
      <c r="B171" t="s">
        <v>430</v>
      </c>
      <c r="C171">
        <v>209443.383902723</v>
      </c>
      <c r="D171">
        <v>5848.1951621886001</v>
      </c>
      <c r="E171">
        <v>0</v>
      </c>
      <c r="F171">
        <v>215291.55</v>
      </c>
      <c r="J171">
        <v>0</v>
      </c>
      <c r="K171">
        <v>209443.383902723</v>
      </c>
      <c r="L171">
        <v>5848.1951621886001</v>
      </c>
      <c r="M171">
        <v>0</v>
      </c>
      <c r="N171">
        <v>215291.57906491161</v>
      </c>
      <c r="R171">
        <v>0</v>
      </c>
      <c r="S171">
        <v>0</v>
      </c>
      <c r="T171">
        <v>0</v>
      </c>
      <c r="U171" t="s">
        <v>256</v>
      </c>
      <c r="V171" t="s">
        <v>90</v>
      </c>
      <c r="W171">
        <v>4</v>
      </c>
      <c r="Y171" t="s">
        <v>238</v>
      </c>
      <c r="AB171">
        <v>0</v>
      </c>
      <c r="AD171">
        <v>215291.55</v>
      </c>
      <c r="AE171">
        <v>0</v>
      </c>
      <c r="AF171">
        <v>0</v>
      </c>
      <c r="AG171">
        <v>215291.55</v>
      </c>
      <c r="AK171">
        <v>0</v>
      </c>
    </row>
    <row r="172" spans="1:37" x14ac:dyDescent="0.25">
      <c r="A172">
        <v>206466</v>
      </c>
      <c r="B172" t="s">
        <v>432</v>
      </c>
      <c r="C172">
        <v>184141.24382747189</v>
      </c>
      <c r="D172">
        <v>0</v>
      </c>
      <c r="E172">
        <v>29462.599012395502</v>
      </c>
      <c r="F172">
        <v>213603.89</v>
      </c>
      <c r="J172">
        <v>0</v>
      </c>
      <c r="K172">
        <v>184141.24382747189</v>
      </c>
      <c r="L172">
        <v>0</v>
      </c>
      <c r="M172">
        <v>29462.599012395502</v>
      </c>
      <c r="N172">
        <v>213603.84283986749</v>
      </c>
      <c r="R172">
        <v>0</v>
      </c>
      <c r="S172">
        <v>0</v>
      </c>
      <c r="T172">
        <v>0</v>
      </c>
      <c r="U172" t="s">
        <v>256</v>
      </c>
      <c r="V172" t="s">
        <v>90</v>
      </c>
      <c r="W172">
        <v>4</v>
      </c>
      <c r="Y172" t="s">
        <v>73</v>
      </c>
      <c r="Z172">
        <v>184141.24382747189</v>
      </c>
      <c r="AA172">
        <v>213603.84283986749</v>
      </c>
      <c r="AB172" t="s">
        <v>212</v>
      </c>
      <c r="AD172">
        <v>0</v>
      </c>
      <c r="AE172">
        <v>0</v>
      </c>
      <c r="AF172">
        <v>213603.89</v>
      </c>
      <c r="AG172">
        <v>213603.89</v>
      </c>
      <c r="AK172">
        <v>0</v>
      </c>
    </row>
    <row r="173" spans="1:37" x14ac:dyDescent="0.25">
      <c r="A173">
        <v>70664</v>
      </c>
      <c r="B173" t="s">
        <v>433</v>
      </c>
      <c r="C173">
        <v>183038.017560129</v>
      </c>
      <c r="D173">
        <v>0</v>
      </c>
      <c r="E173">
        <v>29286.107309620638</v>
      </c>
      <c r="F173">
        <v>212324.08</v>
      </c>
      <c r="J173">
        <v>0</v>
      </c>
      <c r="K173">
        <v>183038.017560129</v>
      </c>
      <c r="L173">
        <v>0</v>
      </c>
      <c r="M173">
        <v>29286.107309620638</v>
      </c>
      <c r="N173">
        <v>212324.12486974959</v>
      </c>
      <c r="R173">
        <v>0</v>
      </c>
      <c r="S173">
        <v>0</v>
      </c>
      <c r="T173">
        <v>0</v>
      </c>
      <c r="U173" t="s">
        <v>256</v>
      </c>
      <c r="V173" t="s">
        <v>90</v>
      </c>
      <c r="W173">
        <v>4</v>
      </c>
      <c r="Y173" t="s">
        <v>238</v>
      </c>
      <c r="AB173">
        <v>0</v>
      </c>
      <c r="AD173">
        <v>212324.08</v>
      </c>
      <c r="AE173">
        <v>0</v>
      </c>
      <c r="AF173">
        <v>0</v>
      </c>
      <c r="AG173">
        <v>212324.08</v>
      </c>
      <c r="AK173">
        <v>0</v>
      </c>
    </row>
    <row r="174" spans="1:37" x14ac:dyDescent="0.25">
      <c r="A174">
        <v>333336</v>
      </c>
      <c r="B174" t="s">
        <v>434</v>
      </c>
      <c r="C174">
        <v>180561.54871439989</v>
      </c>
      <c r="D174">
        <v>0</v>
      </c>
      <c r="E174">
        <v>28889.847794304002</v>
      </c>
      <c r="F174">
        <v>209451.39</v>
      </c>
      <c r="J174">
        <v>0</v>
      </c>
      <c r="K174">
        <v>180561.54871439989</v>
      </c>
      <c r="L174">
        <v>0</v>
      </c>
      <c r="M174">
        <v>28889.847794304002</v>
      </c>
      <c r="N174">
        <v>209451.39650870391</v>
      </c>
      <c r="R174">
        <v>0</v>
      </c>
      <c r="S174">
        <v>0</v>
      </c>
      <c r="T174">
        <v>0</v>
      </c>
      <c r="U174" t="s">
        <v>256</v>
      </c>
      <c r="V174" t="s">
        <v>90</v>
      </c>
      <c r="W174">
        <v>4</v>
      </c>
      <c r="Y174" t="s">
        <v>73</v>
      </c>
      <c r="Z174">
        <v>180561.54871439989</v>
      </c>
      <c r="AA174">
        <v>209451.39650870391</v>
      </c>
      <c r="AB174">
        <v>0</v>
      </c>
      <c r="AD174">
        <v>0</v>
      </c>
      <c r="AE174">
        <v>0</v>
      </c>
      <c r="AF174">
        <v>209451.39</v>
      </c>
      <c r="AG174">
        <v>209451.39</v>
      </c>
      <c r="AK174">
        <v>0</v>
      </c>
    </row>
    <row r="175" spans="1:37" x14ac:dyDescent="0.25">
      <c r="A175">
        <v>3860</v>
      </c>
      <c r="B175" t="s">
        <v>435</v>
      </c>
      <c r="C175">
        <v>208872.34</v>
      </c>
      <c r="D175">
        <v>0</v>
      </c>
      <c r="E175">
        <v>0</v>
      </c>
      <c r="F175">
        <v>208872.34</v>
      </c>
      <c r="J175">
        <v>0</v>
      </c>
      <c r="K175">
        <v>208872.34</v>
      </c>
      <c r="L175">
        <v>0</v>
      </c>
      <c r="M175">
        <v>0</v>
      </c>
      <c r="N175">
        <v>208872.34</v>
      </c>
      <c r="R175">
        <v>0</v>
      </c>
      <c r="S175">
        <v>0</v>
      </c>
      <c r="T175">
        <v>0</v>
      </c>
      <c r="U175" t="s">
        <v>256</v>
      </c>
      <c r="V175" t="s">
        <v>90</v>
      </c>
      <c r="W175">
        <v>4</v>
      </c>
      <c r="Y175" t="s">
        <v>238</v>
      </c>
      <c r="AB175">
        <v>0</v>
      </c>
      <c r="AD175">
        <v>208872.34</v>
      </c>
      <c r="AE175">
        <v>0</v>
      </c>
      <c r="AF175">
        <v>0</v>
      </c>
      <c r="AG175">
        <v>208872.34</v>
      </c>
      <c r="AK175">
        <v>0</v>
      </c>
    </row>
    <row r="176" spans="1:37" x14ac:dyDescent="0.25">
      <c r="A176">
        <v>55004</v>
      </c>
      <c r="B176" t="s">
        <v>251</v>
      </c>
      <c r="C176">
        <v>177280.01</v>
      </c>
      <c r="D176">
        <v>0</v>
      </c>
      <c r="E176">
        <v>28364.801899999999</v>
      </c>
      <c r="F176">
        <v>205644.79</v>
      </c>
      <c r="J176">
        <v>0</v>
      </c>
      <c r="K176">
        <v>177280.01</v>
      </c>
      <c r="L176">
        <v>0</v>
      </c>
      <c r="M176">
        <v>28364.801899999999</v>
      </c>
      <c r="N176">
        <v>205644.8119</v>
      </c>
      <c r="R176">
        <v>0</v>
      </c>
      <c r="S176">
        <v>0</v>
      </c>
      <c r="T176">
        <v>0</v>
      </c>
      <c r="U176" t="s">
        <v>256</v>
      </c>
      <c r="V176" t="s">
        <v>90</v>
      </c>
      <c r="W176">
        <v>4</v>
      </c>
      <c r="Y176" t="s">
        <v>238</v>
      </c>
      <c r="AB176">
        <v>0</v>
      </c>
      <c r="AD176">
        <v>205644.79</v>
      </c>
      <c r="AE176">
        <v>0</v>
      </c>
      <c r="AF176">
        <v>0</v>
      </c>
      <c r="AG176">
        <v>205644.79</v>
      </c>
      <c r="AK176">
        <v>0</v>
      </c>
    </row>
    <row r="177" spans="1:37" x14ac:dyDescent="0.25">
      <c r="A177">
        <v>348557</v>
      </c>
      <c r="B177" t="s">
        <v>436</v>
      </c>
      <c r="C177">
        <v>174627.69</v>
      </c>
      <c r="D177">
        <v>0</v>
      </c>
      <c r="E177">
        <v>27940.430400000001</v>
      </c>
      <c r="F177">
        <v>202568.11</v>
      </c>
      <c r="J177">
        <v>0</v>
      </c>
      <c r="K177">
        <v>174627.69</v>
      </c>
      <c r="L177">
        <v>0</v>
      </c>
      <c r="M177">
        <v>27940.430400000001</v>
      </c>
      <c r="N177">
        <v>202568.12040000001</v>
      </c>
      <c r="R177">
        <v>0</v>
      </c>
      <c r="S177">
        <v>0</v>
      </c>
      <c r="T177">
        <v>0</v>
      </c>
      <c r="U177" t="s">
        <v>59</v>
      </c>
      <c r="V177" t="s">
        <v>75</v>
      </c>
      <c r="W177">
        <v>4</v>
      </c>
      <c r="X177">
        <v>2</v>
      </c>
      <c r="Y177" t="s">
        <v>73</v>
      </c>
      <c r="Z177">
        <v>174627.69</v>
      </c>
      <c r="AA177">
        <v>202568.12040000001</v>
      </c>
      <c r="AB177" t="s">
        <v>437</v>
      </c>
      <c r="AD177">
        <v>0</v>
      </c>
      <c r="AE177">
        <v>0</v>
      </c>
      <c r="AF177">
        <v>202568.11</v>
      </c>
      <c r="AG177">
        <v>202568.11</v>
      </c>
      <c r="AH177">
        <v>202568.11</v>
      </c>
      <c r="AJ177" s="130">
        <v>46048</v>
      </c>
      <c r="AK177">
        <v>2</v>
      </c>
    </row>
    <row r="178" spans="1:37" x14ac:dyDescent="0.25">
      <c r="A178">
        <v>52670</v>
      </c>
      <c r="B178" t="s">
        <v>438</v>
      </c>
      <c r="C178">
        <v>173040.32</v>
      </c>
      <c r="D178">
        <v>0</v>
      </c>
      <c r="E178">
        <v>27686.4512</v>
      </c>
      <c r="F178">
        <v>200726.8</v>
      </c>
      <c r="J178">
        <v>0</v>
      </c>
      <c r="K178">
        <v>173040.32</v>
      </c>
      <c r="L178">
        <v>0</v>
      </c>
      <c r="M178">
        <v>27686.4512</v>
      </c>
      <c r="N178">
        <v>200726.77119999999</v>
      </c>
      <c r="O178">
        <v>0</v>
      </c>
      <c r="R178">
        <v>0</v>
      </c>
      <c r="S178">
        <v>0</v>
      </c>
      <c r="T178">
        <v>0</v>
      </c>
      <c r="U178" t="s">
        <v>59</v>
      </c>
      <c r="V178" t="s">
        <v>60</v>
      </c>
      <c r="W178">
        <v>4</v>
      </c>
      <c r="X178">
        <v>2</v>
      </c>
      <c r="Y178" t="s">
        <v>57</v>
      </c>
      <c r="AB178" t="s">
        <v>439</v>
      </c>
      <c r="AD178">
        <v>0</v>
      </c>
      <c r="AE178">
        <v>0</v>
      </c>
      <c r="AF178">
        <v>200726.8</v>
      </c>
      <c r="AG178">
        <v>200726.8</v>
      </c>
      <c r="AK178">
        <v>2</v>
      </c>
    </row>
    <row r="179" spans="1:37" x14ac:dyDescent="0.25">
      <c r="A179">
        <v>17183</v>
      </c>
      <c r="B179" t="s">
        <v>441</v>
      </c>
      <c r="C179">
        <v>168591.6</v>
      </c>
      <c r="D179">
        <v>0</v>
      </c>
      <c r="E179">
        <v>26974.655999999999</v>
      </c>
      <c r="F179">
        <v>195566.3</v>
      </c>
      <c r="J179">
        <v>0</v>
      </c>
      <c r="K179">
        <v>168591.6</v>
      </c>
      <c r="L179">
        <v>0</v>
      </c>
      <c r="M179">
        <v>26974.655999999999</v>
      </c>
      <c r="N179">
        <v>195566.25599999999</v>
      </c>
      <c r="R179">
        <v>0</v>
      </c>
      <c r="S179">
        <v>0</v>
      </c>
      <c r="T179">
        <v>0</v>
      </c>
      <c r="U179" t="s">
        <v>256</v>
      </c>
      <c r="V179" t="s">
        <v>90</v>
      </c>
      <c r="W179">
        <v>4</v>
      </c>
      <c r="Y179" t="s">
        <v>73</v>
      </c>
      <c r="Z179">
        <v>168591.6</v>
      </c>
      <c r="AA179">
        <v>195566.25599999999</v>
      </c>
      <c r="AB179" t="s">
        <v>212</v>
      </c>
      <c r="AD179">
        <v>0</v>
      </c>
      <c r="AE179">
        <v>0</v>
      </c>
      <c r="AF179">
        <v>195566.3</v>
      </c>
      <c r="AG179">
        <v>195566.3</v>
      </c>
      <c r="AK179">
        <v>0</v>
      </c>
    </row>
    <row r="180" spans="1:37" x14ac:dyDescent="0.25">
      <c r="A180">
        <v>9263</v>
      </c>
      <c r="B180" t="s">
        <v>442</v>
      </c>
      <c r="C180">
        <v>168036.18</v>
      </c>
      <c r="D180">
        <v>0</v>
      </c>
      <c r="E180">
        <v>26885.7984</v>
      </c>
      <c r="F180">
        <v>194921.96</v>
      </c>
      <c r="J180">
        <v>0</v>
      </c>
      <c r="K180">
        <v>168036.18</v>
      </c>
      <c r="L180">
        <v>0</v>
      </c>
      <c r="M180">
        <v>26885.7984</v>
      </c>
      <c r="N180">
        <v>194921.97839999999</v>
      </c>
      <c r="R180">
        <v>0</v>
      </c>
      <c r="S180">
        <v>0</v>
      </c>
      <c r="T180">
        <v>0</v>
      </c>
      <c r="U180" t="s">
        <v>256</v>
      </c>
      <c r="V180" t="s">
        <v>90</v>
      </c>
      <c r="W180">
        <v>4</v>
      </c>
      <c r="Y180" t="s">
        <v>73</v>
      </c>
      <c r="Z180">
        <v>168036.18</v>
      </c>
      <c r="AA180">
        <v>194921.97839999999</v>
      </c>
      <c r="AB180" t="s">
        <v>333</v>
      </c>
      <c r="AD180">
        <v>0</v>
      </c>
      <c r="AE180">
        <v>0</v>
      </c>
      <c r="AF180">
        <v>194921.96</v>
      </c>
      <c r="AG180">
        <v>194921.96</v>
      </c>
      <c r="AK180">
        <v>0</v>
      </c>
    </row>
    <row r="181" spans="1:37" x14ac:dyDescent="0.25">
      <c r="A181">
        <v>885</v>
      </c>
      <c r="B181" t="s">
        <v>443</v>
      </c>
      <c r="C181">
        <v>162634</v>
      </c>
      <c r="D181">
        <v>0</v>
      </c>
      <c r="E181">
        <v>26021.455600000001</v>
      </c>
      <c r="F181">
        <v>188655.53</v>
      </c>
      <c r="J181">
        <v>0</v>
      </c>
      <c r="K181">
        <v>162634</v>
      </c>
      <c r="L181">
        <v>0</v>
      </c>
      <c r="M181">
        <v>26021.455600000001</v>
      </c>
      <c r="N181">
        <v>188655.45559999999</v>
      </c>
      <c r="R181">
        <v>0</v>
      </c>
      <c r="S181">
        <v>0</v>
      </c>
      <c r="T181">
        <v>0</v>
      </c>
      <c r="U181" t="s">
        <v>256</v>
      </c>
      <c r="V181" t="s">
        <v>90</v>
      </c>
      <c r="W181">
        <v>4</v>
      </c>
      <c r="Y181" t="s">
        <v>73</v>
      </c>
      <c r="Z181">
        <v>162634</v>
      </c>
      <c r="AA181">
        <v>188655.45559999999</v>
      </c>
      <c r="AB181" t="s">
        <v>212</v>
      </c>
      <c r="AD181">
        <v>0</v>
      </c>
      <c r="AE181">
        <v>0</v>
      </c>
      <c r="AF181">
        <v>188655.53</v>
      </c>
      <c r="AG181">
        <v>188655.53</v>
      </c>
      <c r="AK181">
        <v>0</v>
      </c>
    </row>
    <row r="182" spans="1:37" x14ac:dyDescent="0.25">
      <c r="A182">
        <v>206417</v>
      </c>
      <c r="B182" t="s">
        <v>444</v>
      </c>
      <c r="C182">
        <v>186580.5193328365</v>
      </c>
      <c r="D182">
        <v>0</v>
      </c>
      <c r="E182">
        <v>0</v>
      </c>
      <c r="F182">
        <v>186580.54</v>
      </c>
      <c r="J182">
        <v>0</v>
      </c>
      <c r="K182">
        <v>186580.5193328365</v>
      </c>
      <c r="L182">
        <v>0</v>
      </c>
      <c r="M182">
        <v>0</v>
      </c>
      <c r="N182">
        <v>186580.5193328365</v>
      </c>
      <c r="R182">
        <v>0</v>
      </c>
      <c r="S182">
        <v>0</v>
      </c>
      <c r="T182">
        <v>0</v>
      </c>
      <c r="U182" t="s">
        <v>256</v>
      </c>
      <c r="V182" t="s">
        <v>90</v>
      </c>
      <c r="W182">
        <v>4</v>
      </c>
      <c r="Y182" t="s">
        <v>238</v>
      </c>
      <c r="AB182">
        <v>0</v>
      </c>
      <c r="AD182">
        <v>186580.54</v>
      </c>
      <c r="AE182">
        <v>0</v>
      </c>
      <c r="AF182">
        <v>0</v>
      </c>
      <c r="AG182">
        <v>186580.54</v>
      </c>
      <c r="AK182">
        <v>0</v>
      </c>
    </row>
    <row r="183" spans="1:37" x14ac:dyDescent="0.25">
      <c r="A183">
        <v>9506</v>
      </c>
      <c r="B183" t="s">
        <v>445</v>
      </c>
      <c r="C183">
        <v>186479.82</v>
      </c>
      <c r="D183">
        <v>0</v>
      </c>
      <c r="E183">
        <v>0</v>
      </c>
      <c r="F183">
        <v>186479.82</v>
      </c>
      <c r="J183">
        <v>0</v>
      </c>
      <c r="K183">
        <v>186479.82</v>
      </c>
      <c r="L183">
        <v>0</v>
      </c>
      <c r="M183">
        <v>0</v>
      </c>
      <c r="N183">
        <v>186479.82</v>
      </c>
      <c r="R183">
        <v>0</v>
      </c>
      <c r="S183">
        <v>0</v>
      </c>
      <c r="T183">
        <v>0</v>
      </c>
      <c r="U183" t="s">
        <v>256</v>
      </c>
      <c r="V183" t="s">
        <v>90</v>
      </c>
      <c r="W183">
        <v>4</v>
      </c>
      <c r="Y183" t="s">
        <v>238</v>
      </c>
      <c r="AB183">
        <v>0</v>
      </c>
      <c r="AD183">
        <v>186479.82</v>
      </c>
      <c r="AE183">
        <v>0</v>
      </c>
      <c r="AF183">
        <v>0</v>
      </c>
      <c r="AG183">
        <v>186479.82</v>
      </c>
      <c r="AK183">
        <v>0</v>
      </c>
    </row>
    <row r="184" spans="1:37" x14ac:dyDescent="0.25">
      <c r="A184">
        <v>388801</v>
      </c>
      <c r="B184" t="s">
        <v>446</v>
      </c>
      <c r="C184">
        <v>156694.99968393499</v>
      </c>
      <c r="D184">
        <v>0</v>
      </c>
      <c r="E184">
        <v>25071.1999494296</v>
      </c>
      <c r="F184">
        <v>181766.26</v>
      </c>
      <c r="J184">
        <v>0</v>
      </c>
      <c r="K184">
        <v>156694.99968393499</v>
      </c>
      <c r="L184">
        <v>0</v>
      </c>
      <c r="M184">
        <v>25071.1999494296</v>
      </c>
      <c r="N184">
        <v>181766.19963336459</v>
      </c>
      <c r="R184">
        <v>0</v>
      </c>
      <c r="S184">
        <v>0</v>
      </c>
      <c r="T184">
        <v>0</v>
      </c>
      <c r="U184" t="s">
        <v>256</v>
      </c>
      <c r="V184" t="s">
        <v>90</v>
      </c>
      <c r="W184">
        <v>4</v>
      </c>
      <c r="Y184" t="s">
        <v>73</v>
      </c>
      <c r="Z184">
        <v>156694.99968393499</v>
      </c>
      <c r="AA184">
        <v>181766.19963336459</v>
      </c>
      <c r="AB184">
        <v>0</v>
      </c>
      <c r="AD184">
        <v>0</v>
      </c>
      <c r="AE184">
        <v>0</v>
      </c>
      <c r="AF184">
        <v>181766.26</v>
      </c>
      <c r="AG184">
        <v>181766.26</v>
      </c>
      <c r="AK184">
        <v>0</v>
      </c>
    </row>
    <row r="185" spans="1:37" x14ac:dyDescent="0.25">
      <c r="A185">
        <v>21844</v>
      </c>
      <c r="B185" t="s">
        <v>447</v>
      </c>
      <c r="C185">
        <v>180095.14889697559</v>
      </c>
      <c r="D185">
        <v>0</v>
      </c>
      <c r="E185">
        <v>0</v>
      </c>
      <c r="F185">
        <v>180095.16510000001</v>
      </c>
      <c r="J185">
        <v>0</v>
      </c>
      <c r="K185">
        <v>180095.14889697559</v>
      </c>
      <c r="L185">
        <v>0</v>
      </c>
      <c r="M185">
        <v>0</v>
      </c>
      <c r="N185">
        <v>180095.14889697559</v>
      </c>
      <c r="R185">
        <v>0</v>
      </c>
      <c r="S185">
        <v>0</v>
      </c>
      <c r="T185">
        <v>0</v>
      </c>
      <c r="U185" t="s">
        <v>256</v>
      </c>
      <c r="V185" t="s">
        <v>90</v>
      </c>
      <c r="W185">
        <v>4</v>
      </c>
      <c r="Y185" t="s">
        <v>73</v>
      </c>
      <c r="Z185">
        <v>180095.14889697559</v>
      </c>
      <c r="AA185">
        <v>180095.14889697559</v>
      </c>
      <c r="AB185" t="s">
        <v>333</v>
      </c>
      <c r="AD185">
        <v>0</v>
      </c>
      <c r="AE185">
        <v>0</v>
      </c>
      <c r="AF185">
        <v>180095.17</v>
      </c>
      <c r="AG185">
        <v>180095.16510000001</v>
      </c>
      <c r="AK185">
        <v>0</v>
      </c>
    </row>
    <row r="186" spans="1:37" x14ac:dyDescent="0.25">
      <c r="A186">
        <v>392183</v>
      </c>
      <c r="B186" t="s">
        <v>448</v>
      </c>
      <c r="C186">
        <v>152311.541980104</v>
      </c>
      <c r="D186">
        <v>0</v>
      </c>
      <c r="E186">
        <v>24369.854116816641</v>
      </c>
      <c r="F186">
        <v>176681.39</v>
      </c>
      <c r="J186">
        <v>0</v>
      </c>
      <c r="K186">
        <v>152311.541980104</v>
      </c>
      <c r="L186">
        <v>0</v>
      </c>
      <c r="M186">
        <v>24369.854116816641</v>
      </c>
      <c r="N186">
        <v>176681.39609692059</v>
      </c>
      <c r="R186">
        <v>0</v>
      </c>
      <c r="S186">
        <v>0</v>
      </c>
      <c r="T186">
        <v>0</v>
      </c>
      <c r="U186" t="s">
        <v>256</v>
      </c>
      <c r="V186" t="s">
        <v>90</v>
      </c>
      <c r="W186">
        <v>4</v>
      </c>
      <c r="Y186" t="s">
        <v>238</v>
      </c>
      <c r="AB186" t="s">
        <v>212</v>
      </c>
      <c r="AD186">
        <v>176681.39</v>
      </c>
      <c r="AE186">
        <v>0</v>
      </c>
      <c r="AF186">
        <v>0</v>
      </c>
      <c r="AG186">
        <v>176681.39</v>
      </c>
      <c r="AK186">
        <v>0</v>
      </c>
    </row>
    <row r="187" spans="1:37" x14ac:dyDescent="0.25">
      <c r="A187">
        <v>55814</v>
      </c>
      <c r="B187" t="s">
        <v>449</v>
      </c>
      <c r="C187">
        <v>171441.06</v>
      </c>
      <c r="D187">
        <v>2482.5023999999999</v>
      </c>
      <c r="E187">
        <v>0</v>
      </c>
      <c r="F187">
        <v>173923.56</v>
      </c>
      <c r="J187">
        <v>0</v>
      </c>
      <c r="K187">
        <v>171441.06</v>
      </c>
      <c r="L187">
        <v>2482.5023999999999</v>
      </c>
      <c r="M187">
        <v>0</v>
      </c>
      <c r="N187">
        <v>173923.5624</v>
      </c>
      <c r="R187">
        <v>0</v>
      </c>
      <c r="S187">
        <v>0</v>
      </c>
      <c r="T187">
        <v>0</v>
      </c>
      <c r="U187" t="s">
        <v>256</v>
      </c>
      <c r="V187" t="s">
        <v>90</v>
      </c>
      <c r="W187">
        <v>4</v>
      </c>
      <c r="Y187" t="s">
        <v>238</v>
      </c>
      <c r="AB187">
        <v>0</v>
      </c>
      <c r="AD187">
        <v>173923.56</v>
      </c>
      <c r="AE187">
        <v>0</v>
      </c>
      <c r="AF187">
        <v>0</v>
      </c>
      <c r="AG187">
        <v>173923.56</v>
      </c>
      <c r="AK187">
        <v>0</v>
      </c>
    </row>
    <row r="188" spans="1:37" x14ac:dyDescent="0.25">
      <c r="A188">
        <v>82875</v>
      </c>
      <c r="B188" t="s">
        <v>450</v>
      </c>
      <c r="C188">
        <v>162255.219592118</v>
      </c>
      <c r="D188">
        <v>0</v>
      </c>
      <c r="E188">
        <v>0</v>
      </c>
      <c r="F188">
        <v>162255.21650000001</v>
      </c>
      <c r="J188">
        <v>0</v>
      </c>
      <c r="K188">
        <v>162255.219592118</v>
      </c>
      <c r="L188">
        <v>0</v>
      </c>
      <c r="M188">
        <v>0</v>
      </c>
      <c r="N188">
        <v>162255.219592118</v>
      </c>
      <c r="R188">
        <v>0</v>
      </c>
      <c r="S188">
        <v>0</v>
      </c>
      <c r="T188">
        <v>0</v>
      </c>
      <c r="U188" t="s">
        <v>256</v>
      </c>
      <c r="V188" t="s">
        <v>90</v>
      </c>
      <c r="W188">
        <v>4</v>
      </c>
      <c r="Y188" t="s">
        <v>73</v>
      </c>
      <c r="Z188">
        <v>162255.219592118</v>
      </c>
      <c r="AA188">
        <v>162255.219592118</v>
      </c>
      <c r="AB188">
        <v>0</v>
      </c>
      <c r="AD188">
        <v>0</v>
      </c>
      <c r="AE188">
        <v>0</v>
      </c>
      <c r="AF188">
        <v>162255.25</v>
      </c>
      <c r="AG188">
        <v>162255.21650000001</v>
      </c>
      <c r="AK188">
        <v>0</v>
      </c>
    </row>
    <row r="189" spans="1:37" x14ac:dyDescent="0.25">
      <c r="A189">
        <v>16433</v>
      </c>
      <c r="B189" t="s">
        <v>451</v>
      </c>
      <c r="C189">
        <v>137443.82999999999</v>
      </c>
      <c r="D189">
        <v>0</v>
      </c>
      <c r="E189">
        <v>21991.0298</v>
      </c>
      <c r="F189">
        <v>159434.88</v>
      </c>
      <c r="J189">
        <v>0</v>
      </c>
      <c r="K189">
        <v>137443.82999999999</v>
      </c>
      <c r="L189">
        <v>0</v>
      </c>
      <c r="M189">
        <v>21991.0298</v>
      </c>
      <c r="N189">
        <v>159434.85980000001</v>
      </c>
      <c r="R189">
        <v>0</v>
      </c>
      <c r="S189">
        <v>0</v>
      </c>
      <c r="T189">
        <v>0</v>
      </c>
      <c r="U189" t="s">
        <v>256</v>
      </c>
      <c r="V189" t="s">
        <v>90</v>
      </c>
      <c r="W189">
        <v>4</v>
      </c>
      <c r="Y189" t="s">
        <v>73</v>
      </c>
      <c r="Z189">
        <v>137443.82999999999</v>
      </c>
      <c r="AA189">
        <v>159434.85980000001</v>
      </c>
      <c r="AB189" t="s">
        <v>296</v>
      </c>
      <c r="AD189">
        <v>0</v>
      </c>
      <c r="AE189">
        <v>0</v>
      </c>
      <c r="AF189">
        <v>159434.88</v>
      </c>
      <c r="AG189">
        <v>159434.88</v>
      </c>
      <c r="AK189">
        <v>0</v>
      </c>
    </row>
    <row r="190" spans="1:37" x14ac:dyDescent="0.25">
      <c r="A190">
        <v>8939</v>
      </c>
      <c r="B190" t="s">
        <v>452</v>
      </c>
      <c r="C190">
        <v>155960.337578732</v>
      </c>
      <c r="D190">
        <v>0</v>
      </c>
      <c r="E190">
        <v>0</v>
      </c>
      <c r="F190">
        <v>155960.34</v>
      </c>
      <c r="J190">
        <v>0</v>
      </c>
      <c r="K190">
        <v>130896.48</v>
      </c>
      <c r="L190">
        <v>0</v>
      </c>
      <c r="M190">
        <v>0</v>
      </c>
      <c r="N190">
        <v>130896.48</v>
      </c>
      <c r="O190">
        <v>25063.85757873203</v>
      </c>
      <c r="P190">
        <v>0</v>
      </c>
      <c r="Q190">
        <v>0</v>
      </c>
      <c r="R190">
        <v>25063.85757873203</v>
      </c>
      <c r="S190">
        <v>0</v>
      </c>
      <c r="T190">
        <v>0</v>
      </c>
      <c r="U190" t="s">
        <v>59</v>
      </c>
      <c r="V190" t="s">
        <v>75</v>
      </c>
      <c r="W190">
        <v>4</v>
      </c>
      <c r="Y190" t="s">
        <v>57</v>
      </c>
      <c r="AB190" t="s">
        <v>897</v>
      </c>
      <c r="AD190">
        <v>0</v>
      </c>
      <c r="AE190">
        <v>0</v>
      </c>
      <c r="AF190">
        <v>155960.34</v>
      </c>
      <c r="AG190">
        <v>155960.34</v>
      </c>
      <c r="AH190">
        <v>155960.34</v>
      </c>
      <c r="AI190">
        <v>1</v>
      </c>
      <c r="AJ190" s="130">
        <v>46041</v>
      </c>
      <c r="AK190">
        <v>0</v>
      </c>
    </row>
    <row r="191" spans="1:37" x14ac:dyDescent="0.25">
      <c r="A191">
        <v>53306</v>
      </c>
      <c r="B191" t="s">
        <v>456</v>
      </c>
      <c r="C191">
        <v>153239.51095569599</v>
      </c>
      <c r="D191">
        <v>0</v>
      </c>
      <c r="E191">
        <v>0</v>
      </c>
      <c r="F191">
        <v>153239.51</v>
      </c>
      <c r="J191">
        <v>0</v>
      </c>
      <c r="K191">
        <v>153239.51095569599</v>
      </c>
      <c r="L191">
        <v>0</v>
      </c>
      <c r="M191">
        <v>0</v>
      </c>
      <c r="N191">
        <v>153239.51095569599</v>
      </c>
      <c r="R191">
        <v>0</v>
      </c>
      <c r="S191">
        <v>0</v>
      </c>
      <c r="T191">
        <v>0</v>
      </c>
      <c r="U191" t="s">
        <v>256</v>
      </c>
      <c r="V191" t="s">
        <v>90</v>
      </c>
      <c r="W191">
        <v>4</v>
      </c>
      <c r="Y191" t="s">
        <v>238</v>
      </c>
      <c r="AB191">
        <v>0</v>
      </c>
      <c r="AD191">
        <v>153239.51</v>
      </c>
      <c r="AE191">
        <v>0</v>
      </c>
      <c r="AF191">
        <v>0</v>
      </c>
      <c r="AG191">
        <v>153239.51</v>
      </c>
      <c r="AK191">
        <v>0</v>
      </c>
    </row>
    <row r="192" spans="1:37" x14ac:dyDescent="0.25">
      <c r="A192">
        <v>97741</v>
      </c>
      <c r="B192" t="s">
        <v>457</v>
      </c>
      <c r="C192">
        <v>150218.131903745</v>
      </c>
      <c r="D192">
        <v>0</v>
      </c>
      <c r="E192">
        <v>0</v>
      </c>
      <c r="F192">
        <v>150218.13</v>
      </c>
      <c r="J192">
        <v>0</v>
      </c>
      <c r="K192">
        <v>150218.131903745</v>
      </c>
      <c r="L192">
        <v>0</v>
      </c>
      <c r="M192">
        <v>0</v>
      </c>
      <c r="N192">
        <v>150218.131903745</v>
      </c>
      <c r="R192">
        <v>0</v>
      </c>
      <c r="S192">
        <v>0</v>
      </c>
      <c r="T192">
        <v>0</v>
      </c>
      <c r="U192" t="s">
        <v>256</v>
      </c>
      <c r="V192" t="s">
        <v>90</v>
      </c>
      <c r="W192">
        <v>4</v>
      </c>
      <c r="Y192" t="s">
        <v>73</v>
      </c>
      <c r="Z192">
        <v>150218.131903745</v>
      </c>
      <c r="AA192">
        <v>150218.131903745</v>
      </c>
      <c r="AB192" t="s">
        <v>212</v>
      </c>
      <c r="AD192">
        <v>0</v>
      </c>
      <c r="AE192">
        <v>0</v>
      </c>
      <c r="AF192">
        <v>150218.13</v>
      </c>
      <c r="AG192">
        <v>150218.13</v>
      </c>
      <c r="AK192">
        <v>0</v>
      </c>
    </row>
    <row r="193" spans="1:37" x14ac:dyDescent="0.25">
      <c r="A193">
        <v>392092</v>
      </c>
      <c r="B193" t="s">
        <v>458</v>
      </c>
      <c r="C193">
        <v>149810.21</v>
      </c>
      <c r="D193">
        <v>0</v>
      </c>
      <c r="E193">
        <v>0</v>
      </c>
      <c r="F193">
        <v>149810.21</v>
      </c>
      <c r="J193">
        <v>0</v>
      </c>
      <c r="K193">
        <v>149810.21</v>
      </c>
      <c r="L193">
        <v>0</v>
      </c>
      <c r="M193">
        <v>0</v>
      </c>
      <c r="N193">
        <v>149810.21</v>
      </c>
      <c r="R193">
        <v>0</v>
      </c>
      <c r="S193">
        <v>0</v>
      </c>
      <c r="T193">
        <v>0</v>
      </c>
      <c r="U193" t="s">
        <v>256</v>
      </c>
      <c r="V193" t="s">
        <v>90</v>
      </c>
      <c r="W193">
        <v>4</v>
      </c>
      <c r="Y193" t="s">
        <v>238</v>
      </c>
      <c r="AB193">
        <v>0</v>
      </c>
      <c r="AD193">
        <v>149810.21</v>
      </c>
      <c r="AE193">
        <v>0</v>
      </c>
      <c r="AF193">
        <v>0</v>
      </c>
      <c r="AG193">
        <v>149810.21</v>
      </c>
      <c r="AK193">
        <v>0</v>
      </c>
    </row>
    <row r="194" spans="1:37" x14ac:dyDescent="0.25">
      <c r="A194">
        <v>8859</v>
      </c>
      <c r="B194" t="s">
        <v>459</v>
      </c>
      <c r="C194">
        <v>128845.09</v>
      </c>
      <c r="D194">
        <v>0</v>
      </c>
      <c r="E194">
        <v>20615.214400000001</v>
      </c>
      <c r="F194">
        <v>149460.26999999999</v>
      </c>
      <c r="J194">
        <v>0</v>
      </c>
      <c r="K194">
        <v>128845.09</v>
      </c>
      <c r="L194">
        <v>0</v>
      </c>
      <c r="M194">
        <v>20615.214400000001</v>
      </c>
      <c r="N194">
        <v>149460.30439999999</v>
      </c>
      <c r="R194">
        <v>0</v>
      </c>
      <c r="S194">
        <v>0</v>
      </c>
      <c r="T194">
        <v>0</v>
      </c>
      <c r="U194" t="s">
        <v>256</v>
      </c>
      <c r="V194" t="s">
        <v>90</v>
      </c>
      <c r="W194">
        <v>4</v>
      </c>
      <c r="Y194" t="s">
        <v>73</v>
      </c>
      <c r="Z194">
        <v>128845.09</v>
      </c>
      <c r="AA194">
        <v>149460.30439999999</v>
      </c>
      <c r="AB194" t="s">
        <v>333</v>
      </c>
      <c r="AD194">
        <v>0</v>
      </c>
      <c r="AE194">
        <v>0</v>
      </c>
      <c r="AF194">
        <v>149460.26999999999</v>
      </c>
      <c r="AG194">
        <v>149460.26999999999</v>
      </c>
      <c r="AK194">
        <v>0</v>
      </c>
    </row>
    <row r="195" spans="1:37" x14ac:dyDescent="0.25">
      <c r="A195">
        <v>96610</v>
      </c>
      <c r="B195" t="s">
        <v>460</v>
      </c>
      <c r="C195">
        <v>144960.196116915</v>
      </c>
      <c r="D195">
        <v>0</v>
      </c>
      <c r="E195">
        <v>3678.7743999999998</v>
      </c>
      <c r="F195">
        <v>148638.96</v>
      </c>
      <c r="J195">
        <v>0</v>
      </c>
      <c r="K195">
        <v>144960.196116915</v>
      </c>
      <c r="L195">
        <v>0</v>
      </c>
      <c r="M195">
        <v>3678.7743999999998</v>
      </c>
      <c r="N195">
        <v>148638.970516915</v>
      </c>
      <c r="R195">
        <v>0</v>
      </c>
      <c r="S195">
        <v>0</v>
      </c>
      <c r="T195">
        <v>0</v>
      </c>
      <c r="U195" t="s">
        <v>256</v>
      </c>
      <c r="V195" t="s">
        <v>90</v>
      </c>
      <c r="W195">
        <v>4</v>
      </c>
      <c r="Y195" t="s">
        <v>238</v>
      </c>
      <c r="AB195">
        <v>0</v>
      </c>
      <c r="AD195">
        <v>148638.96</v>
      </c>
      <c r="AE195">
        <v>0</v>
      </c>
      <c r="AF195">
        <v>0</v>
      </c>
      <c r="AG195">
        <v>148638.96</v>
      </c>
      <c r="AK195">
        <v>0</v>
      </c>
    </row>
    <row r="196" spans="1:37" x14ac:dyDescent="0.25">
      <c r="A196">
        <v>210369</v>
      </c>
      <c r="B196" t="s">
        <v>461</v>
      </c>
      <c r="C196">
        <v>147408.97</v>
      </c>
      <c r="D196">
        <v>0</v>
      </c>
      <c r="E196">
        <v>0</v>
      </c>
      <c r="F196">
        <v>147408.97</v>
      </c>
      <c r="G196">
        <v>41111.97</v>
      </c>
      <c r="J196">
        <v>41111.97</v>
      </c>
      <c r="L196">
        <v>0</v>
      </c>
      <c r="M196">
        <v>0</v>
      </c>
      <c r="N196">
        <v>0</v>
      </c>
      <c r="O196">
        <v>106297</v>
      </c>
      <c r="R196">
        <v>106297</v>
      </c>
      <c r="S196">
        <v>0</v>
      </c>
      <c r="T196">
        <v>0</v>
      </c>
      <c r="U196" t="s">
        <v>59</v>
      </c>
      <c r="V196" t="s">
        <v>82</v>
      </c>
      <c r="W196">
        <v>4</v>
      </c>
      <c r="Y196" t="s">
        <v>81</v>
      </c>
      <c r="Z196">
        <v>41111.97</v>
      </c>
      <c r="AA196">
        <v>41111.97</v>
      </c>
      <c r="AB196">
        <v>0</v>
      </c>
      <c r="AD196">
        <v>0</v>
      </c>
      <c r="AE196">
        <v>0</v>
      </c>
      <c r="AF196">
        <v>147408.97</v>
      </c>
      <c r="AG196">
        <v>147408.97</v>
      </c>
      <c r="AJ196" s="130">
        <v>46051</v>
      </c>
      <c r="AK196">
        <v>0</v>
      </c>
    </row>
    <row r="197" spans="1:37" x14ac:dyDescent="0.25">
      <c r="A197">
        <v>11619</v>
      </c>
      <c r="B197" t="s">
        <v>463</v>
      </c>
      <c r="C197">
        <v>99462.845571719517</v>
      </c>
      <c r="D197">
        <v>26357.667126505668</v>
      </c>
      <c r="E197">
        <v>20131.28197971603</v>
      </c>
      <c r="F197">
        <v>145951.79999999999</v>
      </c>
      <c r="J197">
        <v>0</v>
      </c>
      <c r="K197">
        <v>99462.845571719517</v>
      </c>
      <c r="L197">
        <v>26357.667126505668</v>
      </c>
      <c r="M197">
        <v>20131.28197971603</v>
      </c>
      <c r="N197">
        <v>145951.79467794119</v>
      </c>
      <c r="R197">
        <v>0</v>
      </c>
      <c r="S197">
        <v>0</v>
      </c>
      <c r="T197">
        <v>0</v>
      </c>
      <c r="U197" t="s">
        <v>256</v>
      </c>
      <c r="V197" t="s">
        <v>90</v>
      </c>
      <c r="W197">
        <v>4</v>
      </c>
      <c r="Y197" t="s">
        <v>238</v>
      </c>
      <c r="AB197">
        <v>0</v>
      </c>
      <c r="AD197">
        <v>0</v>
      </c>
      <c r="AE197">
        <v>145951.79999999999</v>
      </c>
      <c r="AF197">
        <v>0</v>
      </c>
      <c r="AG197">
        <v>0</v>
      </c>
      <c r="AK197">
        <v>0</v>
      </c>
    </row>
    <row r="198" spans="1:37" x14ac:dyDescent="0.25">
      <c r="A198">
        <v>5614</v>
      </c>
      <c r="B198" t="s">
        <v>464</v>
      </c>
      <c r="C198">
        <v>123518.3</v>
      </c>
      <c r="D198">
        <v>0</v>
      </c>
      <c r="E198">
        <v>19762.928</v>
      </c>
      <c r="F198">
        <v>143281.24</v>
      </c>
      <c r="J198">
        <v>0</v>
      </c>
      <c r="K198">
        <v>123518.3</v>
      </c>
      <c r="L198">
        <v>0</v>
      </c>
      <c r="M198">
        <v>19762.928</v>
      </c>
      <c r="N198">
        <v>143281.228</v>
      </c>
      <c r="R198">
        <v>0</v>
      </c>
      <c r="S198">
        <v>0</v>
      </c>
      <c r="T198">
        <v>0</v>
      </c>
      <c r="U198" t="s">
        <v>256</v>
      </c>
      <c r="V198" t="s">
        <v>90</v>
      </c>
      <c r="W198">
        <v>4</v>
      </c>
      <c r="Y198" t="s">
        <v>73</v>
      </c>
      <c r="Z198">
        <v>123518.3</v>
      </c>
      <c r="AA198">
        <v>143281.228</v>
      </c>
      <c r="AB198" t="s">
        <v>212</v>
      </c>
      <c r="AD198">
        <v>0</v>
      </c>
      <c r="AE198">
        <v>0</v>
      </c>
      <c r="AF198">
        <v>143281.24</v>
      </c>
      <c r="AG198">
        <v>143281.24</v>
      </c>
      <c r="AK198">
        <v>0</v>
      </c>
    </row>
    <row r="199" spans="1:37" x14ac:dyDescent="0.25">
      <c r="A199">
        <v>21356</v>
      </c>
      <c r="B199" t="s">
        <v>249</v>
      </c>
      <c r="C199">
        <v>141485.32999999999</v>
      </c>
      <c r="D199">
        <v>0</v>
      </c>
      <c r="E199">
        <v>0</v>
      </c>
      <c r="F199">
        <v>141485.32999999999</v>
      </c>
      <c r="J199">
        <v>0</v>
      </c>
      <c r="K199">
        <v>141485.32999999999</v>
      </c>
      <c r="L199">
        <v>0</v>
      </c>
      <c r="M199">
        <v>0</v>
      </c>
      <c r="N199">
        <v>141485.32999999999</v>
      </c>
      <c r="R199">
        <v>0</v>
      </c>
      <c r="S199">
        <v>0</v>
      </c>
      <c r="T199">
        <v>0</v>
      </c>
      <c r="U199" t="s">
        <v>256</v>
      </c>
      <c r="V199" t="s">
        <v>90</v>
      </c>
      <c r="W199">
        <v>4</v>
      </c>
      <c r="Y199" t="s">
        <v>73</v>
      </c>
      <c r="Z199">
        <v>141485.32999999999</v>
      </c>
      <c r="AA199">
        <v>141485.32999999999</v>
      </c>
      <c r="AB199">
        <v>0</v>
      </c>
      <c r="AD199">
        <v>0</v>
      </c>
      <c r="AE199">
        <v>0</v>
      </c>
      <c r="AF199">
        <v>141485.32999999999</v>
      </c>
      <c r="AG199">
        <v>141485.32999999999</v>
      </c>
      <c r="AK199">
        <v>0</v>
      </c>
    </row>
    <row r="200" spans="1:37" x14ac:dyDescent="0.25">
      <c r="A200">
        <v>23597</v>
      </c>
      <c r="B200" t="s">
        <v>465</v>
      </c>
      <c r="C200">
        <v>120674.9064805798</v>
      </c>
      <c r="D200">
        <v>0</v>
      </c>
      <c r="E200">
        <v>19307.985036892769</v>
      </c>
      <c r="F200">
        <v>139982.89000000001</v>
      </c>
      <c r="J200">
        <v>0</v>
      </c>
      <c r="K200">
        <v>120674.9064805798</v>
      </c>
      <c r="L200">
        <v>0</v>
      </c>
      <c r="M200">
        <v>19307.985036892769</v>
      </c>
      <c r="N200">
        <v>139982.89151747251</v>
      </c>
      <c r="R200">
        <v>0</v>
      </c>
      <c r="S200">
        <v>0</v>
      </c>
      <c r="T200">
        <v>0</v>
      </c>
      <c r="U200" t="s">
        <v>59</v>
      </c>
      <c r="V200" t="s">
        <v>75</v>
      </c>
      <c r="W200">
        <v>4</v>
      </c>
      <c r="Y200" t="s">
        <v>73</v>
      </c>
      <c r="Z200">
        <v>120674.9064805798</v>
      </c>
      <c r="AA200">
        <v>139982.89151747251</v>
      </c>
      <c r="AB200" t="s">
        <v>898</v>
      </c>
      <c r="AD200">
        <v>0</v>
      </c>
      <c r="AE200">
        <v>0</v>
      </c>
      <c r="AF200">
        <v>139982.89000000001</v>
      </c>
      <c r="AG200">
        <v>139982.89000000001</v>
      </c>
      <c r="AJ200" s="130">
        <v>46044</v>
      </c>
      <c r="AK200">
        <v>2</v>
      </c>
    </row>
    <row r="201" spans="1:37" x14ac:dyDescent="0.25">
      <c r="A201">
        <v>321786</v>
      </c>
      <c r="B201" t="s">
        <v>469</v>
      </c>
      <c r="C201">
        <v>119250.732622896</v>
      </c>
      <c r="D201">
        <v>0</v>
      </c>
      <c r="E201">
        <v>19080.11791966336</v>
      </c>
      <c r="F201">
        <v>138330.9</v>
      </c>
      <c r="J201">
        <v>0</v>
      </c>
      <c r="K201">
        <v>119250.732622896</v>
      </c>
      <c r="L201">
        <v>0</v>
      </c>
      <c r="M201">
        <v>19080.11791966336</v>
      </c>
      <c r="N201">
        <v>138330.85054255929</v>
      </c>
      <c r="R201">
        <v>0</v>
      </c>
      <c r="S201">
        <v>0</v>
      </c>
      <c r="T201">
        <v>0</v>
      </c>
      <c r="U201" t="s">
        <v>256</v>
      </c>
      <c r="V201" t="s">
        <v>90</v>
      </c>
      <c r="W201">
        <v>4</v>
      </c>
      <c r="Y201" t="s">
        <v>73</v>
      </c>
      <c r="Z201">
        <v>119250.732622896</v>
      </c>
      <c r="AA201">
        <v>138330.85054255929</v>
      </c>
      <c r="AB201" t="s">
        <v>296</v>
      </c>
      <c r="AD201">
        <v>0</v>
      </c>
      <c r="AE201">
        <v>0</v>
      </c>
      <c r="AF201">
        <v>138330.9</v>
      </c>
      <c r="AG201">
        <v>138330.9</v>
      </c>
      <c r="AK201">
        <v>0</v>
      </c>
    </row>
    <row r="202" spans="1:37" x14ac:dyDescent="0.25">
      <c r="A202">
        <v>321729</v>
      </c>
      <c r="B202" t="s">
        <v>470</v>
      </c>
      <c r="C202">
        <v>119022.20733068819</v>
      </c>
      <c r="D202">
        <v>0</v>
      </c>
      <c r="E202">
        <v>19043.553172910099</v>
      </c>
      <c r="F202">
        <v>138065.76</v>
      </c>
      <c r="J202">
        <v>0</v>
      </c>
      <c r="K202">
        <v>119022.20733068819</v>
      </c>
      <c r="L202">
        <v>0</v>
      </c>
      <c r="M202">
        <v>19043.553172910099</v>
      </c>
      <c r="N202">
        <v>138065.76050359831</v>
      </c>
      <c r="R202">
        <v>0</v>
      </c>
      <c r="S202">
        <v>0</v>
      </c>
      <c r="T202">
        <v>0</v>
      </c>
      <c r="U202" t="s">
        <v>256</v>
      </c>
      <c r="V202" t="s">
        <v>90</v>
      </c>
      <c r="W202">
        <v>4</v>
      </c>
      <c r="Y202" t="s">
        <v>238</v>
      </c>
      <c r="AB202">
        <v>0</v>
      </c>
      <c r="AD202">
        <v>138065.76</v>
      </c>
      <c r="AE202">
        <v>0</v>
      </c>
      <c r="AF202">
        <v>0</v>
      </c>
      <c r="AG202">
        <v>138065.76</v>
      </c>
      <c r="AK202">
        <v>0</v>
      </c>
    </row>
    <row r="203" spans="1:37" x14ac:dyDescent="0.25">
      <c r="A203">
        <v>21889</v>
      </c>
      <c r="B203" t="s">
        <v>471</v>
      </c>
      <c r="C203">
        <v>137171.98441723801</v>
      </c>
      <c r="D203">
        <v>0</v>
      </c>
      <c r="E203">
        <v>0</v>
      </c>
      <c r="F203">
        <v>137171.99</v>
      </c>
      <c r="J203">
        <v>0</v>
      </c>
      <c r="K203">
        <v>137171.98441723801</v>
      </c>
      <c r="L203">
        <v>0</v>
      </c>
      <c r="M203">
        <v>0</v>
      </c>
      <c r="N203">
        <v>137171.98441723801</v>
      </c>
      <c r="R203">
        <v>0</v>
      </c>
      <c r="S203">
        <v>0</v>
      </c>
      <c r="T203">
        <v>0</v>
      </c>
      <c r="U203" t="s">
        <v>256</v>
      </c>
      <c r="V203" t="s">
        <v>90</v>
      </c>
      <c r="W203">
        <v>4</v>
      </c>
      <c r="Y203" t="s">
        <v>73</v>
      </c>
      <c r="Z203">
        <v>137171.98441723801</v>
      </c>
      <c r="AA203">
        <v>137171.98441723801</v>
      </c>
      <c r="AB203">
        <v>0</v>
      </c>
      <c r="AD203">
        <v>0</v>
      </c>
      <c r="AE203">
        <v>0</v>
      </c>
      <c r="AF203">
        <v>137171.99</v>
      </c>
      <c r="AG203">
        <v>137171.99</v>
      </c>
      <c r="AK203">
        <v>0</v>
      </c>
    </row>
    <row r="204" spans="1:37" x14ac:dyDescent="0.25">
      <c r="A204">
        <v>22065</v>
      </c>
      <c r="B204" t="s">
        <v>472</v>
      </c>
      <c r="C204">
        <v>117177</v>
      </c>
      <c r="D204">
        <v>0</v>
      </c>
      <c r="E204">
        <v>18748.32</v>
      </c>
      <c r="F204">
        <v>135925.35</v>
      </c>
      <c r="J204">
        <v>0</v>
      </c>
      <c r="K204">
        <v>117177</v>
      </c>
      <c r="L204">
        <v>0</v>
      </c>
      <c r="M204">
        <v>18748.32</v>
      </c>
      <c r="N204">
        <v>135925.32</v>
      </c>
      <c r="R204">
        <v>0</v>
      </c>
      <c r="S204">
        <v>0</v>
      </c>
      <c r="T204">
        <v>0</v>
      </c>
      <c r="U204" t="s">
        <v>256</v>
      </c>
      <c r="V204" t="s">
        <v>90</v>
      </c>
      <c r="W204">
        <v>4</v>
      </c>
      <c r="Y204" t="s">
        <v>73</v>
      </c>
      <c r="Z204">
        <v>117177</v>
      </c>
      <c r="AA204">
        <v>135925.32</v>
      </c>
      <c r="AB204" t="s">
        <v>279</v>
      </c>
      <c r="AD204">
        <v>0</v>
      </c>
      <c r="AE204">
        <v>0</v>
      </c>
      <c r="AF204">
        <v>135925.35</v>
      </c>
      <c r="AG204">
        <v>135925.35</v>
      </c>
      <c r="AK204">
        <v>0</v>
      </c>
    </row>
    <row r="205" spans="1:37" x14ac:dyDescent="0.25">
      <c r="A205">
        <v>52035</v>
      </c>
      <c r="B205" t="s">
        <v>473</v>
      </c>
      <c r="C205">
        <v>117107.443120376</v>
      </c>
      <c r="D205">
        <v>0</v>
      </c>
      <c r="E205">
        <v>18737.19089926016</v>
      </c>
      <c r="F205">
        <v>135844.63</v>
      </c>
      <c r="J205">
        <v>0</v>
      </c>
      <c r="K205">
        <v>117107.443120376</v>
      </c>
      <c r="L205">
        <v>0</v>
      </c>
      <c r="M205">
        <v>18737.19089926016</v>
      </c>
      <c r="N205">
        <v>135844.6340196362</v>
      </c>
      <c r="R205">
        <v>0</v>
      </c>
      <c r="S205">
        <v>0</v>
      </c>
      <c r="T205">
        <v>0</v>
      </c>
      <c r="U205" t="s">
        <v>59</v>
      </c>
      <c r="V205" t="s">
        <v>75</v>
      </c>
      <c r="W205">
        <v>4</v>
      </c>
      <c r="Y205" t="s">
        <v>73</v>
      </c>
      <c r="Z205">
        <v>117107.443120376</v>
      </c>
      <c r="AA205">
        <v>135844.6340196362</v>
      </c>
      <c r="AB205">
        <v>0</v>
      </c>
      <c r="AD205">
        <v>0</v>
      </c>
      <c r="AE205">
        <v>0</v>
      </c>
      <c r="AF205">
        <v>135844.63</v>
      </c>
      <c r="AG205">
        <v>135844.63</v>
      </c>
      <c r="AH205">
        <v>135844.63</v>
      </c>
      <c r="AJ205" s="130">
        <v>46041</v>
      </c>
      <c r="AK205">
        <v>0</v>
      </c>
    </row>
    <row r="206" spans="1:37" x14ac:dyDescent="0.25">
      <c r="A206">
        <v>3773</v>
      </c>
      <c r="B206" t="s">
        <v>475</v>
      </c>
      <c r="C206">
        <v>135366.128537824</v>
      </c>
      <c r="D206">
        <v>0</v>
      </c>
      <c r="E206">
        <v>0</v>
      </c>
      <c r="F206">
        <v>135366.13</v>
      </c>
      <c r="J206">
        <v>0</v>
      </c>
      <c r="K206">
        <v>135366.128537824</v>
      </c>
      <c r="L206">
        <v>0</v>
      </c>
      <c r="M206">
        <v>0</v>
      </c>
      <c r="N206">
        <v>135366.128537824</v>
      </c>
      <c r="R206">
        <v>0</v>
      </c>
      <c r="S206">
        <v>0</v>
      </c>
      <c r="T206">
        <v>0</v>
      </c>
      <c r="U206" t="s">
        <v>256</v>
      </c>
      <c r="V206" t="s">
        <v>90</v>
      </c>
      <c r="W206">
        <v>4</v>
      </c>
      <c r="Y206" t="s">
        <v>238</v>
      </c>
      <c r="AB206">
        <v>0</v>
      </c>
      <c r="AD206">
        <v>135366.13</v>
      </c>
      <c r="AE206">
        <v>0</v>
      </c>
      <c r="AF206">
        <v>0</v>
      </c>
      <c r="AG206">
        <v>135366.13</v>
      </c>
      <c r="AK206">
        <v>0</v>
      </c>
    </row>
    <row r="207" spans="1:37" x14ac:dyDescent="0.25">
      <c r="A207">
        <v>20016</v>
      </c>
      <c r="B207" t="s">
        <v>476</v>
      </c>
      <c r="C207">
        <v>110799.72</v>
      </c>
      <c r="D207">
        <v>0</v>
      </c>
      <c r="E207">
        <v>17727.9552</v>
      </c>
      <c r="F207">
        <v>128527.67</v>
      </c>
      <c r="J207">
        <v>0</v>
      </c>
      <c r="K207">
        <v>110799.72</v>
      </c>
      <c r="L207">
        <v>0</v>
      </c>
      <c r="M207">
        <v>17727.9552</v>
      </c>
      <c r="N207">
        <v>128527.6752</v>
      </c>
      <c r="R207">
        <v>0</v>
      </c>
      <c r="S207">
        <v>0</v>
      </c>
      <c r="T207">
        <v>0</v>
      </c>
      <c r="U207" t="s">
        <v>256</v>
      </c>
      <c r="V207" t="s">
        <v>90</v>
      </c>
      <c r="W207">
        <v>4</v>
      </c>
      <c r="Y207" t="s">
        <v>73</v>
      </c>
      <c r="Z207">
        <v>110799.72</v>
      </c>
      <c r="AA207">
        <v>128527.6752</v>
      </c>
      <c r="AB207">
        <v>0</v>
      </c>
      <c r="AG207">
        <v>128527.67</v>
      </c>
      <c r="AK207">
        <v>0</v>
      </c>
    </row>
    <row r="208" spans="1:37" x14ac:dyDescent="0.25">
      <c r="A208">
        <v>191</v>
      </c>
      <c r="B208" t="s">
        <v>477</v>
      </c>
      <c r="C208">
        <v>117991.047043367</v>
      </c>
      <c r="D208">
        <v>9439.2837927453602</v>
      </c>
      <c r="E208">
        <v>0</v>
      </c>
      <c r="F208">
        <v>127430.3043</v>
      </c>
      <c r="J208">
        <v>0</v>
      </c>
      <c r="K208">
        <v>117991.047043367</v>
      </c>
      <c r="L208">
        <v>9439.2837927453602</v>
      </c>
      <c r="M208">
        <v>0</v>
      </c>
      <c r="N208">
        <v>127430.33083611241</v>
      </c>
      <c r="R208">
        <v>0</v>
      </c>
      <c r="S208">
        <v>0</v>
      </c>
      <c r="T208">
        <v>0</v>
      </c>
      <c r="U208" t="s">
        <v>256</v>
      </c>
      <c r="V208" t="s">
        <v>90</v>
      </c>
      <c r="W208">
        <v>4</v>
      </c>
      <c r="Y208" t="s">
        <v>238</v>
      </c>
      <c r="AB208">
        <v>0</v>
      </c>
      <c r="AD208">
        <v>0</v>
      </c>
      <c r="AE208">
        <v>127430.3</v>
      </c>
      <c r="AF208">
        <v>0</v>
      </c>
      <c r="AG208">
        <v>4.3000000150641426E-3</v>
      </c>
      <c r="AK208">
        <v>0</v>
      </c>
    </row>
    <row r="209" spans="1:37" x14ac:dyDescent="0.25">
      <c r="A209">
        <v>64345</v>
      </c>
      <c r="B209" t="s">
        <v>478</v>
      </c>
      <c r="C209">
        <v>107984.72</v>
      </c>
      <c r="D209">
        <v>0</v>
      </c>
      <c r="E209">
        <v>17277.533599999999</v>
      </c>
      <c r="F209">
        <v>125262.25</v>
      </c>
      <c r="J209">
        <v>0</v>
      </c>
      <c r="K209">
        <v>107984.72</v>
      </c>
      <c r="L209">
        <v>0</v>
      </c>
      <c r="M209">
        <v>17277.533599999999</v>
      </c>
      <c r="N209">
        <v>125262.2536</v>
      </c>
      <c r="R209">
        <v>0</v>
      </c>
      <c r="S209">
        <v>0</v>
      </c>
      <c r="T209">
        <v>0</v>
      </c>
      <c r="U209" t="s">
        <v>256</v>
      </c>
      <c r="V209" t="s">
        <v>90</v>
      </c>
      <c r="W209">
        <v>4</v>
      </c>
      <c r="Y209" t="s">
        <v>238</v>
      </c>
      <c r="AB209">
        <v>0</v>
      </c>
      <c r="AD209">
        <v>125262.25</v>
      </c>
      <c r="AE209">
        <v>0</v>
      </c>
      <c r="AF209">
        <v>0</v>
      </c>
      <c r="AG209">
        <v>125262.25</v>
      </c>
      <c r="AK209">
        <v>0</v>
      </c>
    </row>
    <row r="210" spans="1:37" x14ac:dyDescent="0.25">
      <c r="A210">
        <v>89540</v>
      </c>
      <c r="B210" t="s">
        <v>479</v>
      </c>
      <c r="C210">
        <v>123613.79</v>
      </c>
      <c r="D210">
        <v>0</v>
      </c>
      <c r="E210">
        <v>0</v>
      </c>
      <c r="F210">
        <v>123613.79</v>
      </c>
      <c r="J210">
        <v>0</v>
      </c>
      <c r="K210">
        <v>123613.79</v>
      </c>
      <c r="L210">
        <v>0</v>
      </c>
      <c r="M210">
        <v>0</v>
      </c>
      <c r="N210">
        <v>123613.79</v>
      </c>
      <c r="R210">
        <v>0</v>
      </c>
      <c r="S210">
        <v>0</v>
      </c>
      <c r="T210">
        <v>0</v>
      </c>
      <c r="U210" t="s">
        <v>256</v>
      </c>
      <c r="V210" t="s">
        <v>90</v>
      </c>
      <c r="W210">
        <v>4</v>
      </c>
      <c r="Y210" t="s">
        <v>73</v>
      </c>
      <c r="Z210">
        <v>123613.79</v>
      </c>
      <c r="AA210">
        <v>123613.79</v>
      </c>
      <c r="AB210">
        <v>0</v>
      </c>
      <c r="AD210">
        <v>0</v>
      </c>
      <c r="AE210">
        <v>0</v>
      </c>
      <c r="AF210">
        <v>123613.79</v>
      </c>
      <c r="AG210">
        <v>123613.79</v>
      </c>
      <c r="AK210">
        <v>0</v>
      </c>
    </row>
    <row r="211" spans="1:37" x14ac:dyDescent="0.25">
      <c r="A211">
        <v>309468</v>
      </c>
      <c r="B211" t="s">
        <v>480</v>
      </c>
      <c r="C211">
        <v>103050.21</v>
      </c>
      <c r="D211">
        <v>0</v>
      </c>
      <c r="E211">
        <v>16488.018100000001</v>
      </c>
      <c r="F211">
        <v>119538.18</v>
      </c>
      <c r="J211">
        <v>0</v>
      </c>
      <c r="K211">
        <v>103050.21</v>
      </c>
      <c r="L211">
        <v>0</v>
      </c>
      <c r="M211">
        <v>16488.018100000001</v>
      </c>
      <c r="N211">
        <v>119538.22809999999</v>
      </c>
      <c r="R211">
        <v>0</v>
      </c>
      <c r="S211">
        <v>0</v>
      </c>
      <c r="T211">
        <v>0</v>
      </c>
      <c r="U211" t="s">
        <v>256</v>
      </c>
      <c r="V211" t="s">
        <v>90</v>
      </c>
      <c r="W211">
        <v>4</v>
      </c>
      <c r="Y211" t="s">
        <v>238</v>
      </c>
      <c r="AB211" t="s">
        <v>279</v>
      </c>
      <c r="AD211">
        <v>119538.18</v>
      </c>
      <c r="AE211">
        <v>0</v>
      </c>
      <c r="AF211">
        <v>0</v>
      </c>
      <c r="AG211">
        <v>119538.18</v>
      </c>
      <c r="AK211">
        <v>0</v>
      </c>
    </row>
    <row r="212" spans="1:37" x14ac:dyDescent="0.25">
      <c r="A212">
        <v>22053</v>
      </c>
      <c r="B212" t="s">
        <v>481</v>
      </c>
      <c r="C212">
        <v>117337.47</v>
      </c>
      <c r="D212">
        <v>0</v>
      </c>
      <c r="E212">
        <v>253.2704</v>
      </c>
      <c r="F212">
        <v>117590.74</v>
      </c>
      <c r="J212">
        <v>0</v>
      </c>
      <c r="K212">
        <v>117337.47</v>
      </c>
      <c r="L212">
        <v>0</v>
      </c>
      <c r="M212">
        <v>253.2704</v>
      </c>
      <c r="N212">
        <v>117590.7404</v>
      </c>
      <c r="R212">
        <v>0</v>
      </c>
      <c r="S212">
        <v>0</v>
      </c>
      <c r="T212">
        <v>0</v>
      </c>
      <c r="U212" t="s">
        <v>256</v>
      </c>
      <c r="V212" t="s">
        <v>90</v>
      </c>
      <c r="W212">
        <v>4</v>
      </c>
      <c r="Y212" t="s">
        <v>73</v>
      </c>
      <c r="Z212">
        <v>117337.47</v>
      </c>
      <c r="AA212">
        <v>117590.7404</v>
      </c>
      <c r="AB212" t="s">
        <v>279</v>
      </c>
      <c r="AD212">
        <v>0</v>
      </c>
      <c r="AE212">
        <v>0</v>
      </c>
      <c r="AF212">
        <v>117590.74</v>
      </c>
      <c r="AG212">
        <v>117590.74</v>
      </c>
      <c r="AK212">
        <v>0</v>
      </c>
    </row>
    <row r="213" spans="1:37" x14ac:dyDescent="0.25">
      <c r="A213">
        <v>303895</v>
      </c>
      <c r="B213" t="s">
        <v>301</v>
      </c>
      <c r="C213">
        <v>115380.78</v>
      </c>
      <c r="D213">
        <v>0</v>
      </c>
      <c r="E213">
        <v>0</v>
      </c>
      <c r="F213">
        <v>115380.78</v>
      </c>
      <c r="J213">
        <v>0</v>
      </c>
      <c r="K213">
        <v>115380.78</v>
      </c>
      <c r="L213">
        <v>0</v>
      </c>
      <c r="M213">
        <v>0</v>
      </c>
      <c r="N213">
        <v>115380.78</v>
      </c>
      <c r="R213">
        <v>0</v>
      </c>
      <c r="S213">
        <v>0</v>
      </c>
      <c r="T213">
        <v>0</v>
      </c>
      <c r="U213" t="s">
        <v>256</v>
      </c>
      <c r="V213" t="s">
        <v>90</v>
      </c>
      <c r="W213">
        <v>4</v>
      </c>
      <c r="Y213" t="s">
        <v>238</v>
      </c>
      <c r="AB213" t="s">
        <v>274</v>
      </c>
      <c r="AD213">
        <v>115380.78</v>
      </c>
      <c r="AE213">
        <v>0</v>
      </c>
      <c r="AF213">
        <v>0</v>
      </c>
      <c r="AG213">
        <v>115380.78</v>
      </c>
      <c r="AK213">
        <v>0</v>
      </c>
    </row>
    <row r="214" spans="1:37" x14ac:dyDescent="0.25">
      <c r="A214">
        <v>6470</v>
      </c>
      <c r="B214" t="s">
        <v>482</v>
      </c>
      <c r="C214">
        <v>115000.26</v>
      </c>
      <c r="D214">
        <v>0</v>
      </c>
      <c r="E214">
        <v>0</v>
      </c>
      <c r="F214">
        <v>115000.26</v>
      </c>
      <c r="J214">
        <v>0</v>
      </c>
      <c r="K214">
        <v>115000.26</v>
      </c>
      <c r="L214">
        <v>0</v>
      </c>
      <c r="M214">
        <v>0</v>
      </c>
      <c r="N214">
        <v>115000.26</v>
      </c>
      <c r="R214">
        <v>0</v>
      </c>
      <c r="S214">
        <v>0</v>
      </c>
      <c r="T214">
        <v>0</v>
      </c>
      <c r="U214" t="s">
        <v>256</v>
      </c>
      <c r="V214" t="s">
        <v>90</v>
      </c>
      <c r="W214">
        <v>4</v>
      </c>
      <c r="Y214" t="s">
        <v>238</v>
      </c>
      <c r="AB214">
        <v>0</v>
      </c>
      <c r="AD214">
        <v>115000.26</v>
      </c>
      <c r="AE214">
        <v>0</v>
      </c>
      <c r="AF214">
        <v>0</v>
      </c>
      <c r="AG214">
        <v>115000.26</v>
      </c>
      <c r="AK214">
        <v>0</v>
      </c>
    </row>
    <row r="215" spans="1:37" x14ac:dyDescent="0.25">
      <c r="A215">
        <v>61846</v>
      </c>
      <c r="B215" t="s">
        <v>483</v>
      </c>
      <c r="C215">
        <v>114220.962074068</v>
      </c>
      <c r="D215">
        <v>0</v>
      </c>
      <c r="E215">
        <v>0</v>
      </c>
      <c r="F215">
        <v>114220.96580000001</v>
      </c>
      <c r="J215">
        <v>0</v>
      </c>
      <c r="K215">
        <v>114220.962074068</v>
      </c>
      <c r="L215">
        <v>0</v>
      </c>
      <c r="M215">
        <v>0</v>
      </c>
      <c r="N215">
        <v>114220.962074068</v>
      </c>
      <c r="R215">
        <v>0</v>
      </c>
      <c r="S215">
        <v>0</v>
      </c>
      <c r="T215">
        <v>0</v>
      </c>
      <c r="U215" t="s">
        <v>59</v>
      </c>
      <c r="V215" t="s">
        <v>133</v>
      </c>
      <c r="W215">
        <v>4</v>
      </c>
      <c r="Y215" t="s">
        <v>73</v>
      </c>
      <c r="Z215">
        <v>114220.962074068</v>
      </c>
      <c r="AA215">
        <v>114220.962074068</v>
      </c>
      <c r="AB215" t="s">
        <v>485</v>
      </c>
      <c r="AD215">
        <v>0</v>
      </c>
      <c r="AE215">
        <v>0</v>
      </c>
      <c r="AF215">
        <v>114220.97</v>
      </c>
      <c r="AG215">
        <v>114220.96580000001</v>
      </c>
      <c r="AH215">
        <v>7361.49</v>
      </c>
      <c r="AI215">
        <v>1</v>
      </c>
      <c r="AJ215" s="130">
        <v>46043</v>
      </c>
      <c r="AK215">
        <v>0</v>
      </c>
    </row>
    <row r="216" spans="1:37" x14ac:dyDescent="0.25">
      <c r="A216">
        <v>30494</v>
      </c>
      <c r="B216" t="s">
        <v>487</v>
      </c>
      <c r="C216">
        <v>92494.939999999988</v>
      </c>
      <c r="D216">
        <v>0</v>
      </c>
      <c r="E216">
        <v>14799.190399999999</v>
      </c>
      <c r="F216">
        <v>107294.16</v>
      </c>
      <c r="J216">
        <v>0</v>
      </c>
      <c r="K216">
        <v>92494.939999999988</v>
      </c>
      <c r="L216">
        <v>0</v>
      </c>
      <c r="M216">
        <v>14799.190399999999</v>
      </c>
      <c r="N216">
        <v>107294.13039999999</v>
      </c>
      <c r="R216">
        <v>0</v>
      </c>
      <c r="S216">
        <v>0</v>
      </c>
      <c r="T216">
        <v>0</v>
      </c>
      <c r="U216" t="s">
        <v>59</v>
      </c>
      <c r="V216" t="s">
        <v>75</v>
      </c>
      <c r="W216">
        <v>4</v>
      </c>
      <c r="Y216" t="s">
        <v>73</v>
      </c>
      <c r="Z216">
        <v>92494.939999999988</v>
      </c>
      <c r="AA216">
        <v>107294.13039999999</v>
      </c>
      <c r="AB216" t="s">
        <v>488</v>
      </c>
      <c r="AD216">
        <v>0</v>
      </c>
      <c r="AE216">
        <v>0</v>
      </c>
      <c r="AF216">
        <v>107294.16</v>
      </c>
      <c r="AG216">
        <v>107294.16</v>
      </c>
      <c r="AJ216" s="130">
        <v>46042</v>
      </c>
      <c r="AK216">
        <v>0</v>
      </c>
    </row>
    <row r="217" spans="1:37" x14ac:dyDescent="0.25">
      <c r="A217">
        <v>92767</v>
      </c>
      <c r="B217" t="s">
        <v>489</v>
      </c>
      <c r="C217">
        <v>94270.415962450003</v>
      </c>
      <c r="D217">
        <v>0</v>
      </c>
      <c r="E217">
        <v>12221.508400000001</v>
      </c>
      <c r="F217">
        <v>106491.7467</v>
      </c>
      <c r="G217">
        <v>76544.37</v>
      </c>
      <c r="H217">
        <v>0</v>
      </c>
      <c r="I217">
        <v>10082.11</v>
      </c>
      <c r="J217">
        <v>86626.48</v>
      </c>
      <c r="K217">
        <v>17726.05</v>
      </c>
      <c r="L217">
        <v>0</v>
      </c>
      <c r="M217">
        <v>2139.3984</v>
      </c>
      <c r="N217">
        <v>19865.448400000001</v>
      </c>
      <c r="R217">
        <v>0</v>
      </c>
      <c r="S217">
        <v>0</v>
      </c>
      <c r="T217">
        <v>0</v>
      </c>
      <c r="U217" t="s">
        <v>59</v>
      </c>
      <c r="V217" t="s">
        <v>75</v>
      </c>
      <c r="W217">
        <v>4</v>
      </c>
      <c r="X217">
        <v>4</v>
      </c>
      <c r="Y217" t="s">
        <v>73</v>
      </c>
      <c r="Z217">
        <v>94270.42</v>
      </c>
      <c r="AA217">
        <v>106491.9284</v>
      </c>
      <c r="AB217" t="s">
        <v>490</v>
      </c>
      <c r="AD217">
        <v>0</v>
      </c>
      <c r="AE217">
        <v>0</v>
      </c>
      <c r="AF217">
        <v>106491.75</v>
      </c>
      <c r="AG217">
        <v>106491.7467</v>
      </c>
      <c r="AJ217" s="130">
        <v>46042</v>
      </c>
      <c r="AK217">
        <v>4</v>
      </c>
    </row>
    <row r="218" spans="1:37" x14ac:dyDescent="0.25">
      <c r="A218">
        <v>77974</v>
      </c>
      <c r="B218" t="s">
        <v>493</v>
      </c>
      <c r="C218">
        <v>91224.528335501993</v>
      </c>
      <c r="D218">
        <v>0</v>
      </c>
      <c r="E218">
        <v>14595.90333368032</v>
      </c>
      <c r="F218">
        <v>105820.43</v>
      </c>
      <c r="G218">
        <v>3088.92</v>
      </c>
      <c r="H218">
        <v>0</v>
      </c>
      <c r="I218">
        <v>494.21</v>
      </c>
      <c r="J218">
        <v>3583.13</v>
      </c>
      <c r="K218">
        <v>88135.6</v>
      </c>
      <c r="L218">
        <v>0</v>
      </c>
      <c r="M218">
        <v>14101.693333680319</v>
      </c>
      <c r="N218">
        <v>102237.2933336803</v>
      </c>
      <c r="R218">
        <v>0</v>
      </c>
      <c r="S218">
        <v>0</v>
      </c>
      <c r="T218">
        <v>0</v>
      </c>
      <c r="U218" t="s">
        <v>59</v>
      </c>
      <c r="V218" t="s">
        <v>75</v>
      </c>
      <c r="W218">
        <v>4</v>
      </c>
      <c r="X218">
        <v>6</v>
      </c>
      <c r="Y218" t="s">
        <v>73</v>
      </c>
      <c r="Z218">
        <v>91224.52</v>
      </c>
      <c r="AA218">
        <v>105820.4233336803</v>
      </c>
      <c r="AB218" t="s">
        <v>494</v>
      </c>
      <c r="AD218">
        <v>0</v>
      </c>
      <c r="AE218">
        <v>0</v>
      </c>
      <c r="AF218">
        <v>105820.43</v>
      </c>
      <c r="AG218">
        <v>105820.43</v>
      </c>
      <c r="AJ218" s="130">
        <v>46042</v>
      </c>
      <c r="AK218">
        <v>6</v>
      </c>
    </row>
    <row r="219" spans="1:37" x14ac:dyDescent="0.25">
      <c r="A219">
        <v>9275</v>
      </c>
      <c r="B219" t="s">
        <v>497</v>
      </c>
      <c r="C219">
        <v>87926.100692049993</v>
      </c>
      <c r="D219">
        <v>0</v>
      </c>
      <c r="E219">
        <v>14068.201710728001</v>
      </c>
      <c r="F219">
        <v>101994.25</v>
      </c>
      <c r="J219">
        <v>0</v>
      </c>
      <c r="K219">
        <v>87926.100692049993</v>
      </c>
      <c r="L219">
        <v>0</v>
      </c>
      <c r="M219">
        <v>14068.201710728001</v>
      </c>
      <c r="N219">
        <v>101994.302402778</v>
      </c>
      <c r="R219">
        <v>0</v>
      </c>
      <c r="S219">
        <v>0</v>
      </c>
      <c r="T219">
        <v>0</v>
      </c>
      <c r="U219" t="s">
        <v>256</v>
      </c>
      <c r="V219" t="s">
        <v>90</v>
      </c>
      <c r="W219">
        <v>4</v>
      </c>
      <c r="Y219" t="s">
        <v>73</v>
      </c>
      <c r="Z219">
        <v>87926.100692049993</v>
      </c>
      <c r="AA219">
        <v>101994.302402778</v>
      </c>
      <c r="AB219">
        <v>0</v>
      </c>
      <c r="AD219">
        <v>0</v>
      </c>
      <c r="AE219">
        <v>0</v>
      </c>
      <c r="AF219">
        <v>101994.25</v>
      </c>
      <c r="AG219">
        <v>101994.25</v>
      </c>
      <c r="AK219">
        <v>0</v>
      </c>
    </row>
    <row r="220" spans="1:37" x14ac:dyDescent="0.25">
      <c r="A220">
        <v>453</v>
      </c>
      <c r="B220" t="s">
        <v>498</v>
      </c>
      <c r="C220">
        <v>69219.684597632004</v>
      </c>
      <c r="D220">
        <v>18343.216568372482</v>
      </c>
      <c r="E220">
        <v>14010.064050560721</v>
      </c>
      <c r="F220">
        <v>101572.96</v>
      </c>
      <c r="J220">
        <v>0</v>
      </c>
      <c r="K220">
        <v>69219.684597632004</v>
      </c>
      <c r="L220">
        <v>18343.216568372482</v>
      </c>
      <c r="M220">
        <v>14010.064050560721</v>
      </c>
      <c r="N220">
        <v>101572.96521656519</v>
      </c>
      <c r="R220">
        <v>0</v>
      </c>
      <c r="S220">
        <v>0</v>
      </c>
      <c r="T220">
        <v>0</v>
      </c>
      <c r="U220" t="s">
        <v>256</v>
      </c>
      <c r="V220" t="s">
        <v>90</v>
      </c>
      <c r="W220">
        <v>4</v>
      </c>
      <c r="Y220" t="s">
        <v>73</v>
      </c>
      <c r="Z220">
        <v>69219.684597632004</v>
      </c>
      <c r="AA220">
        <v>101572.96521656519</v>
      </c>
      <c r="AB220" t="s">
        <v>212</v>
      </c>
      <c r="AD220">
        <v>0</v>
      </c>
      <c r="AE220">
        <v>0</v>
      </c>
      <c r="AF220">
        <v>101572.96</v>
      </c>
      <c r="AG220">
        <v>101572.96</v>
      </c>
      <c r="AK220">
        <v>0</v>
      </c>
    </row>
    <row r="221" spans="1:37" x14ac:dyDescent="0.25">
      <c r="A221">
        <v>21986</v>
      </c>
      <c r="B221" t="s">
        <v>499</v>
      </c>
      <c r="C221">
        <v>87351.74</v>
      </c>
      <c r="D221">
        <v>0</v>
      </c>
      <c r="E221">
        <v>13976.278399999999</v>
      </c>
      <c r="F221">
        <v>101328.02</v>
      </c>
      <c r="J221">
        <v>0</v>
      </c>
      <c r="K221">
        <v>87351.74</v>
      </c>
      <c r="L221">
        <v>0</v>
      </c>
      <c r="M221">
        <v>13976.278399999999</v>
      </c>
      <c r="N221">
        <v>101328.0184</v>
      </c>
      <c r="R221">
        <v>0</v>
      </c>
      <c r="S221">
        <v>0</v>
      </c>
      <c r="T221">
        <v>0</v>
      </c>
      <c r="U221" t="s">
        <v>256</v>
      </c>
      <c r="V221" t="s">
        <v>90</v>
      </c>
      <c r="W221">
        <v>4</v>
      </c>
      <c r="Y221" t="s">
        <v>238</v>
      </c>
      <c r="AB221">
        <v>0</v>
      </c>
      <c r="AD221">
        <v>101328.02</v>
      </c>
      <c r="AE221">
        <v>0</v>
      </c>
      <c r="AF221">
        <v>0</v>
      </c>
      <c r="AG221">
        <v>101328.02</v>
      </c>
      <c r="AK221">
        <v>0</v>
      </c>
    </row>
    <row r="222" spans="1:37" x14ac:dyDescent="0.25">
      <c r="A222">
        <v>21778</v>
      </c>
      <c r="B222" t="s">
        <v>500</v>
      </c>
      <c r="C222">
        <v>86649.970990525006</v>
      </c>
      <c r="D222">
        <v>0</v>
      </c>
      <c r="E222">
        <v>13864.021358484</v>
      </c>
      <c r="F222">
        <v>100514</v>
      </c>
      <c r="J222">
        <v>0</v>
      </c>
      <c r="K222">
        <v>86649.970990525006</v>
      </c>
      <c r="L222">
        <v>0</v>
      </c>
      <c r="M222">
        <v>13864.021358484</v>
      </c>
      <c r="N222">
        <v>100513.992349009</v>
      </c>
      <c r="R222">
        <v>0</v>
      </c>
      <c r="S222">
        <v>0</v>
      </c>
      <c r="T222">
        <v>0</v>
      </c>
      <c r="U222" t="s">
        <v>256</v>
      </c>
      <c r="V222" t="s">
        <v>90</v>
      </c>
      <c r="W222">
        <v>4</v>
      </c>
      <c r="Y222" t="s">
        <v>73</v>
      </c>
      <c r="Z222">
        <v>86649.970990525006</v>
      </c>
      <c r="AA222">
        <v>100513.992349009</v>
      </c>
      <c r="AB222">
        <v>0</v>
      </c>
      <c r="AD222">
        <v>0</v>
      </c>
      <c r="AE222">
        <v>0</v>
      </c>
      <c r="AF222">
        <v>100514</v>
      </c>
      <c r="AG222">
        <v>100514</v>
      </c>
      <c r="AK222">
        <v>0</v>
      </c>
    </row>
    <row r="223" spans="1:37" x14ac:dyDescent="0.25">
      <c r="A223">
        <v>9957</v>
      </c>
      <c r="B223" t="s">
        <v>501</v>
      </c>
      <c r="C223">
        <v>86059.709999999977</v>
      </c>
      <c r="D223">
        <v>0</v>
      </c>
      <c r="E223">
        <v>13769.54</v>
      </c>
      <c r="F223">
        <v>99829.219999999987</v>
      </c>
      <c r="J223">
        <v>0</v>
      </c>
      <c r="K223">
        <v>86059.709999999977</v>
      </c>
      <c r="L223">
        <v>0</v>
      </c>
      <c r="M223">
        <v>13769.54</v>
      </c>
      <c r="N223">
        <v>99829.249999999971</v>
      </c>
      <c r="R223">
        <v>0</v>
      </c>
      <c r="S223">
        <v>0</v>
      </c>
      <c r="T223">
        <v>0</v>
      </c>
      <c r="U223" t="s">
        <v>256</v>
      </c>
      <c r="V223" t="s">
        <v>90</v>
      </c>
      <c r="W223">
        <v>4</v>
      </c>
      <c r="Y223" t="s">
        <v>238</v>
      </c>
      <c r="AB223">
        <v>0</v>
      </c>
      <c r="AD223">
        <v>99829.22000000003</v>
      </c>
      <c r="AE223">
        <v>0</v>
      </c>
      <c r="AF223">
        <v>0</v>
      </c>
      <c r="AG223">
        <v>99829.219999999987</v>
      </c>
      <c r="AK223">
        <v>0</v>
      </c>
    </row>
    <row r="224" spans="1:37" x14ac:dyDescent="0.25">
      <c r="A224">
        <v>90159</v>
      </c>
      <c r="B224" t="s">
        <v>502</v>
      </c>
      <c r="C224">
        <v>85608.874821152</v>
      </c>
      <c r="D224">
        <v>0</v>
      </c>
      <c r="E224">
        <v>13697.42297138432</v>
      </c>
      <c r="F224">
        <v>99306.33</v>
      </c>
      <c r="J224">
        <v>0</v>
      </c>
      <c r="K224">
        <v>85608.874821152</v>
      </c>
      <c r="L224">
        <v>0</v>
      </c>
      <c r="M224">
        <v>13697.42297138432</v>
      </c>
      <c r="N224">
        <v>99306.297792536323</v>
      </c>
      <c r="R224">
        <v>0</v>
      </c>
      <c r="S224">
        <v>0</v>
      </c>
      <c r="T224">
        <v>0</v>
      </c>
      <c r="U224" t="s">
        <v>256</v>
      </c>
      <c r="V224" t="s">
        <v>90</v>
      </c>
      <c r="W224">
        <v>4</v>
      </c>
      <c r="Y224" t="s">
        <v>238</v>
      </c>
      <c r="AB224" t="s">
        <v>279</v>
      </c>
      <c r="AD224">
        <v>99306.33</v>
      </c>
      <c r="AE224">
        <v>0</v>
      </c>
      <c r="AF224">
        <v>0</v>
      </c>
      <c r="AG224">
        <v>99306.33</v>
      </c>
      <c r="AK224">
        <v>0</v>
      </c>
    </row>
    <row r="225" spans="1:37" x14ac:dyDescent="0.25">
      <c r="A225">
        <v>90258</v>
      </c>
      <c r="B225" t="s">
        <v>106</v>
      </c>
      <c r="C225">
        <v>89677.439375000002</v>
      </c>
      <c r="D225">
        <v>7018.5879499999992</v>
      </c>
      <c r="E225">
        <v>0</v>
      </c>
      <c r="F225">
        <v>96696.02</v>
      </c>
      <c r="G225">
        <v>77811.44</v>
      </c>
      <c r="H225">
        <v>6069</v>
      </c>
      <c r="J225">
        <v>83880.44</v>
      </c>
      <c r="L225">
        <v>0</v>
      </c>
      <c r="M225">
        <v>0</v>
      </c>
      <c r="N225">
        <v>0</v>
      </c>
      <c r="O225">
        <v>11866</v>
      </c>
      <c r="P225">
        <v>949</v>
      </c>
      <c r="R225">
        <v>12815</v>
      </c>
      <c r="S225">
        <v>0</v>
      </c>
      <c r="T225">
        <v>0</v>
      </c>
      <c r="U225" t="s">
        <v>59</v>
      </c>
      <c r="V225" t="s">
        <v>82</v>
      </c>
      <c r="W225">
        <v>4</v>
      </c>
      <c r="Y225" t="s">
        <v>81</v>
      </c>
      <c r="Z225">
        <v>77811.44</v>
      </c>
      <c r="AA225">
        <v>83880.44</v>
      </c>
      <c r="AB225">
        <v>0</v>
      </c>
      <c r="AD225">
        <v>0</v>
      </c>
      <c r="AE225">
        <v>0</v>
      </c>
      <c r="AF225">
        <v>96696.02</v>
      </c>
      <c r="AG225">
        <v>96696.02</v>
      </c>
      <c r="AH225">
        <v>96696.02</v>
      </c>
      <c r="AJ225" s="130">
        <v>46042</v>
      </c>
      <c r="AK225">
        <v>0</v>
      </c>
    </row>
    <row r="226" spans="1:37" x14ac:dyDescent="0.25">
      <c r="A226">
        <v>23431</v>
      </c>
      <c r="B226" t="s">
        <v>504</v>
      </c>
      <c r="C226">
        <v>83138.388342300779</v>
      </c>
      <c r="D226">
        <v>0</v>
      </c>
      <c r="E226">
        <v>13302.142134768121</v>
      </c>
      <c r="F226">
        <v>96440.54</v>
      </c>
      <c r="J226">
        <v>0</v>
      </c>
      <c r="K226">
        <v>83138.388342300779</v>
      </c>
      <c r="L226">
        <v>0</v>
      </c>
      <c r="M226">
        <v>13302.142134768121</v>
      </c>
      <c r="N226">
        <v>96440.530477068911</v>
      </c>
      <c r="R226">
        <v>0</v>
      </c>
      <c r="S226">
        <v>0</v>
      </c>
      <c r="T226">
        <v>0</v>
      </c>
      <c r="U226" t="s">
        <v>256</v>
      </c>
      <c r="V226" t="s">
        <v>90</v>
      </c>
      <c r="W226">
        <v>4</v>
      </c>
      <c r="Y226" t="s">
        <v>73</v>
      </c>
      <c r="Z226">
        <v>83138.388342300779</v>
      </c>
      <c r="AA226">
        <v>96440.530477068911</v>
      </c>
      <c r="AB226" t="s">
        <v>212</v>
      </c>
      <c r="AD226">
        <v>0</v>
      </c>
      <c r="AE226">
        <v>0</v>
      </c>
      <c r="AF226">
        <v>96440.54</v>
      </c>
      <c r="AG226">
        <v>96440.54</v>
      </c>
      <c r="AK226">
        <v>0</v>
      </c>
    </row>
    <row r="227" spans="1:37" x14ac:dyDescent="0.25">
      <c r="A227">
        <v>304329</v>
      </c>
      <c r="B227" t="s">
        <v>505</v>
      </c>
      <c r="C227">
        <v>80702.289999999994</v>
      </c>
      <c r="D227">
        <v>0</v>
      </c>
      <c r="E227">
        <v>12912.366400000001</v>
      </c>
      <c r="F227">
        <v>93614.719999999987</v>
      </c>
      <c r="J227">
        <v>0</v>
      </c>
      <c r="K227">
        <v>80702.289999999994</v>
      </c>
      <c r="L227">
        <v>0</v>
      </c>
      <c r="M227">
        <v>12912.366400000001</v>
      </c>
      <c r="N227">
        <v>93614.656399999993</v>
      </c>
      <c r="R227">
        <v>0</v>
      </c>
      <c r="S227">
        <v>0</v>
      </c>
      <c r="T227">
        <v>0</v>
      </c>
      <c r="U227" t="s">
        <v>256</v>
      </c>
      <c r="V227" t="s">
        <v>90</v>
      </c>
      <c r="W227">
        <v>4</v>
      </c>
      <c r="Y227" t="s">
        <v>73</v>
      </c>
      <c r="Z227">
        <v>80702.289999999994</v>
      </c>
      <c r="AA227">
        <v>93614.656399999993</v>
      </c>
      <c r="AB227">
        <v>0</v>
      </c>
      <c r="AD227">
        <v>0</v>
      </c>
      <c r="AE227">
        <v>0</v>
      </c>
      <c r="AF227">
        <v>93614.720000000016</v>
      </c>
      <c r="AG227">
        <v>93614.719999999987</v>
      </c>
      <c r="AK227">
        <v>0</v>
      </c>
    </row>
    <row r="228" spans="1:37" x14ac:dyDescent="0.25">
      <c r="A228">
        <v>25528</v>
      </c>
      <c r="B228" t="s">
        <v>506</v>
      </c>
      <c r="C228">
        <v>90711.043871980015</v>
      </c>
      <c r="D228">
        <v>0</v>
      </c>
      <c r="E228">
        <v>31.575959999999998</v>
      </c>
      <c r="F228">
        <v>90742.62000000001</v>
      </c>
      <c r="J228">
        <v>0</v>
      </c>
      <c r="K228">
        <v>90711.043871980015</v>
      </c>
      <c r="L228">
        <v>0</v>
      </c>
      <c r="M228">
        <v>31.575959999999998</v>
      </c>
      <c r="N228">
        <v>90742.619831980017</v>
      </c>
      <c r="R228">
        <v>0</v>
      </c>
      <c r="S228">
        <v>0</v>
      </c>
      <c r="T228">
        <v>0</v>
      </c>
      <c r="U228" t="s">
        <v>256</v>
      </c>
      <c r="V228" t="s">
        <v>90</v>
      </c>
      <c r="W228">
        <v>4</v>
      </c>
      <c r="Y228" t="s">
        <v>73</v>
      </c>
      <c r="Z228">
        <v>90711.043871980015</v>
      </c>
      <c r="AA228">
        <v>90742.619831980017</v>
      </c>
      <c r="AB228" t="s">
        <v>279</v>
      </c>
      <c r="AD228">
        <v>0</v>
      </c>
      <c r="AE228">
        <v>0</v>
      </c>
      <c r="AF228">
        <v>90742.62</v>
      </c>
      <c r="AG228">
        <v>90742.62000000001</v>
      </c>
      <c r="AK228">
        <v>0</v>
      </c>
    </row>
    <row r="229" spans="1:37" x14ac:dyDescent="0.25">
      <c r="A229">
        <v>24836</v>
      </c>
      <c r="B229" t="s">
        <v>507</v>
      </c>
      <c r="C229">
        <v>78494.070000000007</v>
      </c>
      <c r="D229">
        <v>5358.6376</v>
      </c>
      <c r="E229">
        <v>1841.7760000000001</v>
      </c>
      <c r="F229">
        <v>85694.48000000001</v>
      </c>
      <c r="J229">
        <v>0</v>
      </c>
      <c r="K229">
        <v>78494.070000000007</v>
      </c>
      <c r="L229">
        <v>5358.6376</v>
      </c>
      <c r="M229">
        <v>1841.7760000000001</v>
      </c>
      <c r="N229">
        <v>85694.483600000007</v>
      </c>
      <c r="R229">
        <v>0</v>
      </c>
      <c r="S229">
        <v>0</v>
      </c>
      <c r="T229">
        <v>0</v>
      </c>
      <c r="U229" t="s">
        <v>256</v>
      </c>
      <c r="V229" t="s">
        <v>90</v>
      </c>
      <c r="W229">
        <v>4</v>
      </c>
      <c r="Y229" t="s">
        <v>73</v>
      </c>
      <c r="Z229">
        <v>78494.070000000007</v>
      </c>
      <c r="AA229">
        <v>85694.483600000007</v>
      </c>
      <c r="AB229">
        <v>0</v>
      </c>
      <c r="AD229">
        <v>0</v>
      </c>
      <c r="AE229">
        <v>0</v>
      </c>
      <c r="AF229">
        <v>85694.48000000001</v>
      </c>
      <c r="AG229">
        <v>85694.48000000001</v>
      </c>
      <c r="AK229">
        <v>0</v>
      </c>
    </row>
    <row r="230" spans="1:37" x14ac:dyDescent="0.25">
      <c r="A230">
        <v>3160</v>
      </c>
      <c r="B230" t="s">
        <v>508</v>
      </c>
      <c r="C230">
        <v>83169.930000000008</v>
      </c>
      <c r="D230">
        <v>0</v>
      </c>
      <c r="E230">
        <v>0</v>
      </c>
      <c r="F230">
        <v>83169.930000000008</v>
      </c>
      <c r="J230">
        <v>0</v>
      </c>
      <c r="K230">
        <v>83169.930000000008</v>
      </c>
      <c r="L230">
        <v>0</v>
      </c>
      <c r="M230">
        <v>0</v>
      </c>
      <c r="N230">
        <v>83169.930000000008</v>
      </c>
      <c r="R230">
        <v>0</v>
      </c>
      <c r="S230">
        <v>0</v>
      </c>
      <c r="T230">
        <v>0</v>
      </c>
      <c r="U230" t="s">
        <v>59</v>
      </c>
      <c r="V230" t="s">
        <v>133</v>
      </c>
      <c r="W230">
        <v>4</v>
      </c>
      <c r="Y230" t="s">
        <v>57</v>
      </c>
      <c r="AB230">
        <v>0</v>
      </c>
      <c r="AD230">
        <v>0</v>
      </c>
      <c r="AE230">
        <v>0</v>
      </c>
      <c r="AF230">
        <v>83169.930000000008</v>
      </c>
      <c r="AG230">
        <v>83169.930000000008</v>
      </c>
      <c r="AH230">
        <v>22331.360000000001</v>
      </c>
      <c r="AI230">
        <v>2</v>
      </c>
      <c r="AJ230" s="130">
        <v>46057</v>
      </c>
      <c r="AK230">
        <v>0</v>
      </c>
    </row>
    <row r="231" spans="1:37" x14ac:dyDescent="0.25">
      <c r="A231">
        <v>20623</v>
      </c>
      <c r="B231" t="s">
        <v>511</v>
      </c>
      <c r="C231">
        <v>81605.092730149205</v>
      </c>
      <c r="D231">
        <v>0</v>
      </c>
      <c r="E231">
        <v>0</v>
      </c>
      <c r="F231">
        <v>81605.09</v>
      </c>
      <c r="J231">
        <v>0</v>
      </c>
      <c r="K231">
        <v>81605.092730149205</v>
      </c>
      <c r="L231">
        <v>0</v>
      </c>
      <c r="M231">
        <v>0</v>
      </c>
      <c r="N231">
        <v>81605.092730149205</v>
      </c>
      <c r="R231">
        <v>0</v>
      </c>
      <c r="S231">
        <v>0</v>
      </c>
      <c r="T231">
        <v>0</v>
      </c>
      <c r="U231" t="s">
        <v>256</v>
      </c>
      <c r="V231" t="s">
        <v>90</v>
      </c>
      <c r="W231">
        <v>4</v>
      </c>
      <c r="Y231" t="s">
        <v>238</v>
      </c>
      <c r="AB231">
        <v>0</v>
      </c>
      <c r="AD231">
        <v>81605.090000000011</v>
      </c>
      <c r="AE231">
        <v>0</v>
      </c>
      <c r="AF231">
        <v>0</v>
      </c>
      <c r="AG231">
        <v>81605.09</v>
      </c>
      <c r="AK231">
        <v>0</v>
      </c>
    </row>
    <row r="232" spans="1:37" x14ac:dyDescent="0.25">
      <c r="A232">
        <v>335307</v>
      </c>
      <c r="B232" t="s">
        <v>512</v>
      </c>
      <c r="C232">
        <v>79689.460000000006</v>
      </c>
      <c r="D232">
        <v>0</v>
      </c>
      <c r="E232">
        <v>0</v>
      </c>
      <c r="F232">
        <v>79689.460000000006</v>
      </c>
      <c r="J232">
        <v>0</v>
      </c>
      <c r="K232">
        <v>79689.460000000006</v>
      </c>
      <c r="L232">
        <v>0</v>
      </c>
      <c r="M232">
        <v>0</v>
      </c>
      <c r="N232">
        <v>79689.460000000006</v>
      </c>
      <c r="R232">
        <v>0</v>
      </c>
      <c r="S232">
        <v>0</v>
      </c>
      <c r="T232">
        <v>0</v>
      </c>
      <c r="U232" t="s">
        <v>256</v>
      </c>
      <c r="V232" t="s">
        <v>90</v>
      </c>
      <c r="W232">
        <v>4</v>
      </c>
      <c r="Y232" t="s">
        <v>238</v>
      </c>
      <c r="AB232" t="s">
        <v>279</v>
      </c>
      <c r="AD232">
        <v>0</v>
      </c>
      <c r="AE232">
        <v>79689.459999999992</v>
      </c>
      <c r="AF232">
        <v>0</v>
      </c>
      <c r="AG232">
        <v>0</v>
      </c>
      <c r="AK232">
        <v>0</v>
      </c>
    </row>
    <row r="233" spans="1:37" x14ac:dyDescent="0.25">
      <c r="A233">
        <v>79582</v>
      </c>
      <c r="B233" t="s">
        <v>513</v>
      </c>
      <c r="C233">
        <v>68060.249999999985</v>
      </c>
      <c r="D233">
        <v>0</v>
      </c>
      <c r="E233">
        <v>10889.6654</v>
      </c>
      <c r="F233">
        <v>78949.900000000009</v>
      </c>
      <c r="J233">
        <v>0</v>
      </c>
      <c r="K233">
        <v>68060.249999999985</v>
      </c>
      <c r="L233">
        <v>0</v>
      </c>
      <c r="M233">
        <v>10889.6654</v>
      </c>
      <c r="N233">
        <v>78949.915399999983</v>
      </c>
      <c r="R233">
        <v>0</v>
      </c>
      <c r="S233">
        <v>0</v>
      </c>
      <c r="T233">
        <v>0</v>
      </c>
      <c r="U233" t="s">
        <v>256</v>
      </c>
      <c r="V233" t="s">
        <v>90</v>
      </c>
      <c r="W233">
        <v>4</v>
      </c>
      <c r="Y233" t="s">
        <v>73</v>
      </c>
      <c r="Z233">
        <v>68060.249999999985</v>
      </c>
      <c r="AA233">
        <v>78949.915399999983</v>
      </c>
      <c r="AB233">
        <v>0</v>
      </c>
      <c r="AD233">
        <v>0</v>
      </c>
      <c r="AE233">
        <v>0</v>
      </c>
      <c r="AF233">
        <v>78949.900000000009</v>
      </c>
      <c r="AG233">
        <v>78949.900000000009</v>
      </c>
      <c r="AK233">
        <v>0</v>
      </c>
    </row>
    <row r="234" spans="1:37" x14ac:dyDescent="0.25">
      <c r="A234">
        <v>14296</v>
      </c>
      <c r="B234" t="s">
        <v>514</v>
      </c>
      <c r="C234">
        <v>77554.720000000001</v>
      </c>
      <c r="D234">
        <v>0</v>
      </c>
      <c r="E234">
        <v>0</v>
      </c>
      <c r="F234">
        <v>77554.720000000001</v>
      </c>
      <c r="J234">
        <v>0</v>
      </c>
      <c r="K234">
        <v>77554.720000000001</v>
      </c>
      <c r="L234">
        <v>0</v>
      </c>
      <c r="M234">
        <v>0</v>
      </c>
      <c r="N234">
        <v>77554.720000000001</v>
      </c>
      <c r="R234">
        <v>0</v>
      </c>
      <c r="S234">
        <v>0</v>
      </c>
      <c r="T234">
        <v>0</v>
      </c>
      <c r="U234" t="s">
        <v>256</v>
      </c>
      <c r="V234" t="s">
        <v>90</v>
      </c>
      <c r="W234">
        <v>4</v>
      </c>
      <c r="Y234" t="s">
        <v>238</v>
      </c>
      <c r="AB234">
        <v>0</v>
      </c>
      <c r="AD234">
        <v>77554.720000000001</v>
      </c>
      <c r="AE234">
        <v>0</v>
      </c>
      <c r="AF234">
        <v>0</v>
      </c>
      <c r="AG234">
        <v>77554.720000000001</v>
      </c>
      <c r="AK234">
        <v>0</v>
      </c>
    </row>
    <row r="235" spans="1:37" x14ac:dyDescent="0.25">
      <c r="A235">
        <v>90647</v>
      </c>
      <c r="B235" t="s">
        <v>515</v>
      </c>
      <c r="C235">
        <v>66410.877228915197</v>
      </c>
      <c r="D235">
        <v>0</v>
      </c>
      <c r="E235">
        <v>10625.740356626429</v>
      </c>
      <c r="F235">
        <v>77036.62</v>
      </c>
      <c r="J235">
        <v>0</v>
      </c>
      <c r="K235">
        <v>66410.877228915197</v>
      </c>
      <c r="L235">
        <v>0</v>
      </c>
      <c r="M235">
        <v>10625.740356626429</v>
      </c>
      <c r="N235">
        <v>77036.617585541622</v>
      </c>
      <c r="R235">
        <v>0</v>
      </c>
      <c r="S235">
        <v>0</v>
      </c>
      <c r="T235">
        <v>0</v>
      </c>
      <c r="U235" t="s">
        <v>256</v>
      </c>
      <c r="V235" t="s">
        <v>90</v>
      </c>
      <c r="W235">
        <v>4</v>
      </c>
      <c r="Y235" t="s">
        <v>238</v>
      </c>
      <c r="AB235">
        <v>0</v>
      </c>
      <c r="AD235">
        <v>77036.62</v>
      </c>
      <c r="AE235">
        <v>0</v>
      </c>
      <c r="AF235">
        <v>0</v>
      </c>
      <c r="AG235">
        <v>77036.62</v>
      </c>
      <c r="AK235">
        <v>0</v>
      </c>
    </row>
    <row r="236" spans="1:37" x14ac:dyDescent="0.25">
      <c r="A236">
        <v>64881</v>
      </c>
      <c r="B236" t="s">
        <v>516</v>
      </c>
      <c r="C236">
        <v>74705.08</v>
      </c>
      <c r="D236">
        <v>933.89279999999997</v>
      </c>
      <c r="E236">
        <v>0</v>
      </c>
      <c r="F236">
        <v>75638.97</v>
      </c>
      <c r="J236">
        <v>0</v>
      </c>
      <c r="K236">
        <v>74705.08</v>
      </c>
      <c r="L236">
        <v>933.89279999999997</v>
      </c>
      <c r="M236">
        <v>0</v>
      </c>
      <c r="N236">
        <v>75638.972800000003</v>
      </c>
      <c r="R236">
        <v>0</v>
      </c>
      <c r="S236">
        <v>0</v>
      </c>
      <c r="T236">
        <v>0</v>
      </c>
      <c r="U236" t="s">
        <v>256</v>
      </c>
      <c r="V236" t="s">
        <v>90</v>
      </c>
      <c r="W236">
        <v>4</v>
      </c>
      <c r="Y236" t="s">
        <v>73</v>
      </c>
      <c r="Z236">
        <v>74705.08</v>
      </c>
      <c r="AA236">
        <v>75638.972800000003</v>
      </c>
      <c r="AB236" t="s">
        <v>333</v>
      </c>
      <c r="AD236">
        <v>0</v>
      </c>
      <c r="AE236">
        <v>0</v>
      </c>
      <c r="AF236">
        <v>75638.97</v>
      </c>
      <c r="AG236">
        <v>75638.97</v>
      </c>
      <c r="AK236">
        <v>0</v>
      </c>
    </row>
    <row r="237" spans="1:37" x14ac:dyDescent="0.25">
      <c r="A237">
        <v>25957</v>
      </c>
      <c r="B237" t="s">
        <v>517</v>
      </c>
      <c r="C237">
        <v>64419.904999999977</v>
      </c>
      <c r="D237">
        <v>0</v>
      </c>
      <c r="E237">
        <v>10307.2464</v>
      </c>
      <c r="F237">
        <v>74727.14</v>
      </c>
      <c r="J237">
        <v>0</v>
      </c>
      <c r="K237">
        <v>64419.904999999977</v>
      </c>
      <c r="L237">
        <v>0</v>
      </c>
      <c r="M237">
        <v>10307.2464</v>
      </c>
      <c r="N237">
        <v>74727.151399999988</v>
      </c>
      <c r="R237">
        <v>0</v>
      </c>
      <c r="S237">
        <v>0</v>
      </c>
      <c r="T237">
        <v>0</v>
      </c>
      <c r="U237" t="s">
        <v>256</v>
      </c>
      <c r="V237" t="s">
        <v>90</v>
      </c>
      <c r="W237">
        <v>4</v>
      </c>
      <c r="Y237" t="s">
        <v>73</v>
      </c>
      <c r="Z237">
        <v>64419.904999999977</v>
      </c>
      <c r="AA237">
        <v>74727.151399999988</v>
      </c>
      <c r="AB237" t="s">
        <v>386</v>
      </c>
      <c r="AD237">
        <v>0</v>
      </c>
      <c r="AE237">
        <v>0</v>
      </c>
      <c r="AF237">
        <v>74727.14</v>
      </c>
      <c r="AG237">
        <v>74727.14</v>
      </c>
      <c r="AK237">
        <v>0</v>
      </c>
    </row>
    <row r="238" spans="1:37" x14ac:dyDescent="0.25">
      <c r="A238">
        <v>394510</v>
      </c>
      <c r="B238" t="s">
        <v>518</v>
      </c>
      <c r="C238">
        <v>73725.56</v>
      </c>
      <c r="D238">
        <v>0</v>
      </c>
      <c r="E238">
        <v>0</v>
      </c>
      <c r="F238">
        <v>73725.56</v>
      </c>
      <c r="J238">
        <v>0</v>
      </c>
      <c r="K238">
        <v>73725.56</v>
      </c>
      <c r="L238">
        <v>0</v>
      </c>
      <c r="M238">
        <v>0</v>
      </c>
      <c r="N238">
        <v>73725.56</v>
      </c>
      <c r="R238">
        <v>0</v>
      </c>
      <c r="S238">
        <v>0</v>
      </c>
      <c r="T238">
        <v>0</v>
      </c>
      <c r="U238" t="s">
        <v>256</v>
      </c>
      <c r="V238" t="s">
        <v>90</v>
      </c>
      <c r="W238">
        <v>4</v>
      </c>
      <c r="Y238" t="s">
        <v>238</v>
      </c>
      <c r="AB238">
        <v>0</v>
      </c>
      <c r="AD238">
        <v>73725.56</v>
      </c>
      <c r="AE238">
        <v>0</v>
      </c>
      <c r="AF238">
        <v>0</v>
      </c>
      <c r="AG238">
        <v>73725.56</v>
      </c>
      <c r="AK238">
        <v>0</v>
      </c>
    </row>
    <row r="239" spans="1:37" x14ac:dyDescent="0.25">
      <c r="A239">
        <v>374645</v>
      </c>
      <c r="B239" t="s">
        <v>519</v>
      </c>
      <c r="C239">
        <v>42074.149125000004</v>
      </c>
      <c r="D239">
        <v>20053.194636249998</v>
      </c>
      <c r="E239">
        <v>9940.3749218000012</v>
      </c>
      <c r="F239">
        <v>72067.73</v>
      </c>
      <c r="J239">
        <v>0</v>
      </c>
      <c r="K239">
        <v>42074.149125000004</v>
      </c>
      <c r="L239">
        <v>20053.194636249998</v>
      </c>
      <c r="M239">
        <v>9940.3749218000012</v>
      </c>
      <c r="N239">
        <v>72067.718683050014</v>
      </c>
      <c r="R239">
        <v>0</v>
      </c>
      <c r="S239">
        <v>0</v>
      </c>
      <c r="T239">
        <v>0</v>
      </c>
      <c r="U239" t="s">
        <v>59</v>
      </c>
      <c r="V239" t="s">
        <v>75</v>
      </c>
      <c r="W239">
        <v>4</v>
      </c>
      <c r="Y239" t="s">
        <v>73</v>
      </c>
      <c r="Z239">
        <v>42074.149125000004</v>
      </c>
      <c r="AA239">
        <v>72067.718683050014</v>
      </c>
      <c r="AB239" t="s">
        <v>279</v>
      </c>
      <c r="AD239">
        <v>0</v>
      </c>
      <c r="AE239">
        <v>0</v>
      </c>
      <c r="AF239">
        <v>72067.73</v>
      </c>
      <c r="AG239">
        <v>72067.73</v>
      </c>
      <c r="AJ239" s="130">
        <v>46044</v>
      </c>
      <c r="AK239">
        <v>0</v>
      </c>
    </row>
    <row r="240" spans="1:37" x14ac:dyDescent="0.25">
      <c r="A240">
        <v>40089</v>
      </c>
      <c r="B240" t="s">
        <v>522</v>
      </c>
      <c r="C240">
        <v>61997.84</v>
      </c>
      <c r="D240">
        <v>0</v>
      </c>
      <c r="E240">
        <v>9919.66</v>
      </c>
      <c r="F240">
        <v>71917.47</v>
      </c>
      <c r="J240">
        <v>0</v>
      </c>
      <c r="K240">
        <v>61997.84</v>
      </c>
      <c r="L240">
        <v>0</v>
      </c>
      <c r="M240">
        <v>9919.66</v>
      </c>
      <c r="N240">
        <v>71917.5</v>
      </c>
      <c r="R240">
        <v>0</v>
      </c>
      <c r="S240">
        <v>0</v>
      </c>
      <c r="T240">
        <v>0</v>
      </c>
      <c r="U240" t="s">
        <v>256</v>
      </c>
      <c r="V240" t="s">
        <v>90</v>
      </c>
      <c r="W240">
        <v>4</v>
      </c>
      <c r="Y240" t="s">
        <v>238</v>
      </c>
      <c r="AB240">
        <v>0</v>
      </c>
      <c r="AD240">
        <v>71917.47</v>
      </c>
      <c r="AE240">
        <v>0</v>
      </c>
      <c r="AF240">
        <v>0</v>
      </c>
      <c r="AG240">
        <v>71917.47</v>
      </c>
      <c r="AK240">
        <v>0</v>
      </c>
    </row>
    <row r="241" spans="1:37" x14ac:dyDescent="0.25">
      <c r="A241">
        <v>20456</v>
      </c>
      <c r="B241" t="s">
        <v>523</v>
      </c>
      <c r="C241">
        <v>71609.136306073997</v>
      </c>
      <c r="D241">
        <v>0</v>
      </c>
      <c r="E241">
        <v>0</v>
      </c>
      <c r="F241">
        <v>71609.14</v>
      </c>
      <c r="J241">
        <v>0</v>
      </c>
      <c r="K241">
        <v>71609.136306073997</v>
      </c>
      <c r="L241">
        <v>0</v>
      </c>
      <c r="M241">
        <v>0</v>
      </c>
      <c r="N241">
        <v>71609.136306073997</v>
      </c>
      <c r="R241">
        <v>0</v>
      </c>
      <c r="S241">
        <v>0</v>
      </c>
      <c r="T241">
        <v>0</v>
      </c>
      <c r="U241" t="s">
        <v>256</v>
      </c>
      <c r="V241" t="s">
        <v>90</v>
      </c>
      <c r="W241">
        <v>4</v>
      </c>
      <c r="Y241" t="s">
        <v>238</v>
      </c>
      <c r="AB241">
        <v>0</v>
      </c>
      <c r="AD241">
        <v>0</v>
      </c>
      <c r="AE241">
        <v>71609.14</v>
      </c>
      <c r="AF241">
        <v>0</v>
      </c>
      <c r="AG241">
        <v>0</v>
      </c>
      <c r="AK241">
        <v>0</v>
      </c>
    </row>
    <row r="242" spans="1:37" x14ac:dyDescent="0.25">
      <c r="A242">
        <v>395053</v>
      </c>
      <c r="B242" t="s">
        <v>524</v>
      </c>
      <c r="C242">
        <v>61580.149519191997</v>
      </c>
      <c r="D242">
        <v>0</v>
      </c>
      <c r="E242">
        <v>9852.823923070704</v>
      </c>
      <c r="F242">
        <v>71432.97</v>
      </c>
      <c r="J242">
        <v>0</v>
      </c>
      <c r="K242">
        <v>61580.149519191997</v>
      </c>
      <c r="L242">
        <v>0</v>
      </c>
      <c r="M242">
        <v>9852.823923070704</v>
      </c>
      <c r="N242">
        <v>71432.973442262708</v>
      </c>
      <c r="R242">
        <v>0</v>
      </c>
      <c r="S242">
        <v>0</v>
      </c>
      <c r="T242">
        <v>0</v>
      </c>
      <c r="U242" t="s">
        <v>256</v>
      </c>
      <c r="V242" t="s">
        <v>90</v>
      </c>
      <c r="W242">
        <v>4</v>
      </c>
      <c r="Y242" t="s">
        <v>238</v>
      </c>
      <c r="AB242">
        <v>0</v>
      </c>
      <c r="AD242">
        <v>0</v>
      </c>
      <c r="AE242">
        <v>71432.97</v>
      </c>
      <c r="AF242">
        <v>0</v>
      </c>
      <c r="AG242">
        <v>0</v>
      </c>
      <c r="AK242">
        <v>0</v>
      </c>
    </row>
    <row r="243" spans="1:37" x14ac:dyDescent="0.25">
      <c r="A243">
        <v>7034</v>
      </c>
      <c r="B243" t="s">
        <v>525</v>
      </c>
      <c r="C243">
        <v>66327.549999999988</v>
      </c>
      <c r="D243">
        <v>4990.4472000000014</v>
      </c>
      <c r="E243">
        <v>0</v>
      </c>
      <c r="F243">
        <v>71318.06</v>
      </c>
      <c r="J243">
        <v>0</v>
      </c>
      <c r="K243">
        <v>66327.549999999988</v>
      </c>
      <c r="L243">
        <v>4990.4472000000014</v>
      </c>
      <c r="M243">
        <v>0</v>
      </c>
      <c r="N243">
        <v>71317.997199999983</v>
      </c>
      <c r="R243">
        <v>0</v>
      </c>
      <c r="S243">
        <v>0</v>
      </c>
      <c r="T243">
        <v>0</v>
      </c>
      <c r="U243" t="s">
        <v>256</v>
      </c>
      <c r="V243" t="s">
        <v>90</v>
      </c>
      <c r="W243">
        <v>4</v>
      </c>
      <c r="Y243" t="s">
        <v>238</v>
      </c>
      <c r="AB243">
        <v>0</v>
      </c>
      <c r="AD243">
        <v>71318.06</v>
      </c>
      <c r="AE243">
        <v>0</v>
      </c>
      <c r="AF243">
        <v>0</v>
      </c>
      <c r="AG243">
        <v>71318.06</v>
      </c>
      <c r="AK243">
        <v>0</v>
      </c>
    </row>
    <row r="244" spans="1:37" x14ac:dyDescent="0.25">
      <c r="A244">
        <v>22605</v>
      </c>
      <c r="B244" t="s">
        <v>526</v>
      </c>
      <c r="C244">
        <v>71036.680000000008</v>
      </c>
      <c r="D244">
        <v>0</v>
      </c>
      <c r="E244">
        <v>0</v>
      </c>
      <c r="F244">
        <v>71036.680000000008</v>
      </c>
      <c r="J244">
        <v>0</v>
      </c>
      <c r="K244">
        <v>71036.680000000008</v>
      </c>
      <c r="L244">
        <v>0</v>
      </c>
      <c r="M244">
        <v>0</v>
      </c>
      <c r="N244">
        <v>71036.680000000008</v>
      </c>
      <c r="R244">
        <v>0</v>
      </c>
      <c r="S244">
        <v>0</v>
      </c>
      <c r="T244">
        <v>0</v>
      </c>
      <c r="U244" t="s">
        <v>59</v>
      </c>
      <c r="V244" t="s">
        <v>75</v>
      </c>
      <c r="W244">
        <v>4</v>
      </c>
      <c r="Y244" t="s">
        <v>73</v>
      </c>
      <c r="Z244">
        <v>71036.680000000008</v>
      </c>
      <c r="AA244">
        <v>71036.680000000008</v>
      </c>
      <c r="AB244" t="s">
        <v>527</v>
      </c>
      <c r="AD244">
        <v>0</v>
      </c>
      <c r="AE244">
        <v>0</v>
      </c>
      <c r="AF244">
        <v>71036.680000000008</v>
      </c>
      <c r="AG244">
        <v>71036.680000000008</v>
      </c>
      <c r="AJ244" s="130">
        <v>46051</v>
      </c>
      <c r="AK244">
        <v>2</v>
      </c>
    </row>
    <row r="245" spans="1:37" x14ac:dyDescent="0.25">
      <c r="A245">
        <v>79681</v>
      </c>
      <c r="B245" t="s">
        <v>529</v>
      </c>
      <c r="C245">
        <v>47909.674776871499</v>
      </c>
      <c r="D245">
        <v>13127.60982527855</v>
      </c>
      <c r="E245">
        <v>9765.9656003439995</v>
      </c>
      <c r="F245">
        <v>70803.25</v>
      </c>
      <c r="J245">
        <v>0</v>
      </c>
      <c r="K245">
        <v>47909.674776871499</v>
      </c>
      <c r="L245">
        <v>13127.60982527855</v>
      </c>
      <c r="M245">
        <v>9765.9656003439995</v>
      </c>
      <c r="N245">
        <v>70803.250202494048</v>
      </c>
      <c r="R245">
        <v>0</v>
      </c>
      <c r="S245">
        <v>0</v>
      </c>
      <c r="T245">
        <v>0</v>
      </c>
      <c r="U245" t="s">
        <v>256</v>
      </c>
      <c r="V245" t="s">
        <v>90</v>
      </c>
      <c r="W245">
        <v>4</v>
      </c>
      <c r="Y245" t="s">
        <v>73</v>
      </c>
      <c r="Z245">
        <v>47909.674776871499</v>
      </c>
      <c r="AA245">
        <v>70803.250202494048</v>
      </c>
      <c r="AB245">
        <v>0</v>
      </c>
      <c r="AD245">
        <v>0</v>
      </c>
      <c r="AE245">
        <v>0</v>
      </c>
      <c r="AF245">
        <v>70803.25</v>
      </c>
      <c r="AG245">
        <v>70803.25</v>
      </c>
      <c r="AK245">
        <v>0</v>
      </c>
    </row>
    <row r="246" spans="1:37" x14ac:dyDescent="0.25">
      <c r="A246">
        <v>397521</v>
      </c>
      <c r="B246" t="s">
        <v>530</v>
      </c>
      <c r="C246">
        <v>60327.02</v>
      </c>
      <c r="D246">
        <v>0</v>
      </c>
      <c r="E246">
        <v>9652.3231999999989</v>
      </c>
      <c r="F246">
        <v>69979.350000000006</v>
      </c>
      <c r="J246">
        <v>0</v>
      </c>
      <c r="K246">
        <v>60327.02</v>
      </c>
      <c r="L246">
        <v>0</v>
      </c>
      <c r="M246">
        <v>9652.3231999999989</v>
      </c>
      <c r="N246">
        <v>69979.343200000003</v>
      </c>
      <c r="R246">
        <v>0</v>
      </c>
      <c r="S246">
        <v>0</v>
      </c>
      <c r="T246">
        <v>0</v>
      </c>
      <c r="U246" t="s">
        <v>256</v>
      </c>
      <c r="V246" t="s">
        <v>90</v>
      </c>
      <c r="W246">
        <v>4</v>
      </c>
      <c r="Y246" t="s">
        <v>73</v>
      </c>
      <c r="Z246">
        <v>60327.02</v>
      </c>
      <c r="AA246">
        <v>69979.343200000003</v>
      </c>
      <c r="AB246" t="s">
        <v>279</v>
      </c>
      <c r="AD246">
        <v>0</v>
      </c>
      <c r="AE246">
        <v>0</v>
      </c>
      <c r="AF246">
        <v>69979.350000000006</v>
      </c>
      <c r="AG246">
        <v>69979.350000000006</v>
      </c>
      <c r="AK246">
        <v>0</v>
      </c>
    </row>
    <row r="247" spans="1:37" x14ac:dyDescent="0.25">
      <c r="A247">
        <v>18614</v>
      </c>
      <c r="B247" t="s">
        <v>531</v>
      </c>
      <c r="C247">
        <v>58643.59</v>
      </c>
      <c r="D247">
        <v>0</v>
      </c>
      <c r="E247">
        <v>9382.9743999999992</v>
      </c>
      <c r="F247">
        <v>68026.570000000007</v>
      </c>
      <c r="J247">
        <v>0</v>
      </c>
      <c r="K247">
        <v>58643.59</v>
      </c>
      <c r="L247">
        <v>0</v>
      </c>
      <c r="M247">
        <v>9382.9743999999992</v>
      </c>
      <c r="N247">
        <v>68026.564400000003</v>
      </c>
      <c r="R247">
        <v>0</v>
      </c>
      <c r="S247">
        <v>0</v>
      </c>
      <c r="T247">
        <v>0</v>
      </c>
      <c r="U247" t="s">
        <v>256</v>
      </c>
      <c r="V247" t="s">
        <v>90</v>
      </c>
      <c r="W247">
        <v>4</v>
      </c>
      <c r="Y247" t="s">
        <v>238</v>
      </c>
      <c r="AB247">
        <v>0</v>
      </c>
      <c r="AD247">
        <v>68026.570000000007</v>
      </c>
      <c r="AE247">
        <v>0</v>
      </c>
      <c r="AF247">
        <v>0</v>
      </c>
      <c r="AG247">
        <v>68026.570000000007</v>
      </c>
      <c r="AK247">
        <v>0</v>
      </c>
    </row>
    <row r="248" spans="1:37" x14ac:dyDescent="0.25">
      <c r="A248">
        <v>390518</v>
      </c>
      <c r="B248" t="s">
        <v>532</v>
      </c>
      <c r="C248">
        <v>59065.53</v>
      </c>
      <c r="D248">
        <v>0</v>
      </c>
      <c r="E248">
        <v>8956.6971000000012</v>
      </c>
      <c r="F248">
        <v>68022.260000000009</v>
      </c>
      <c r="J248">
        <v>0</v>
      </c>
      <c r="K248">
        <v>59065.53</v>
      </c>
      <c r="L248">
        <v>0</v>
      </c>
      <c r="M248">
        <v>8956.6971000000012</v>
      </c>
      <c r="N248">
        <v>68022.227100000004</v>
      </c>
      <c r="R248">
        <v>0</v>
      </c>
      <c r="S248">
        <v>0</v>
      </c>
      <c r="T248">
        <v>0</v>
      </c>
      <c r="U248" t="s">
        <v>256</v>
      </c>
      <c r="V248" t="s">
        <v>90</v>
      </c>
      <c r="W248">
        <v>4</v>
      </c>
      <c r="Y248" t="s">
        <v>73</v>
      </c>
      <c r="Z248">
        <v>59065.53</v>
      </c>
      <c r="AA248">
        <v>68022.227100000004</v>
      </c>
      <c r="AB248" t="s">
        <v>333</v>
      </c>
      <c r="AD248">
        <v>0</v>
      </c>
      <c r="AE248">
        <v>0</v>
      </c>
      <c r="AF248">
        <v>68022.260000000009</v>
      </c>
      <c r="AG248">
        <v>68022.260000000009</v>
      </c>
      <c r="AK248">
        <v>0</v>
      </c>
    </row>
    <row r="249" spans="1:37" x14ac:dyDescent="0.25">
      <c r="A249">
        <v>20780</v>
      </c>
      <c r="B249" t="s">
        <v>533</v>
      </c>
      <c r="C249">
        <v>58078.509999999987</v>
      </c>
      <c r="D249">
        <v>0</v>
      </c>
      <c r="E249">
        <v>9292.5616000000009</v>
      </c>
      <c r="F249">
        <v>67371.08</v>
      </c>
      <c r="J249">
        <v>0</v>
      </c>
      <c r="K249">
        <v>58078.509999999987</v>
      </c>
      <c r="L249">
        <v>0</v>
      </c>
      <c r="M249">
        <v>9292.5616000000009</v>
      </c>
      <c r="N249">
        <v>67371.071599999996</v>
      </c>
      <c r="R249">
        <v>0</v>
      </c>
      <c r="S249">
        <v>0</v>
      </c>
      <c r="T249">
        <v>0</v>
      </c>
      <c r="U249" t="s">
        <v>256</v>
      </c>
      <c r="V249" t="s">
        <v>90</v>
      </c>
      <c r="W249">
        <v>4</v>
      </c>
      <c r="Y249" t="s">
        <v>73</v>
      </c>
      <c r="Z249">
        <v>58078.509999999987</v>
      </c>
      <c r="AA249">
        <v>67371.071599999996</v>
      </c>
      <c r="AB249" t="s">
        <v>333</v>
      </c>
      <c r="AD249">
        <v>0</v>
      </c>
      <c r="AE249">
        <v>0</v>
      </c>
      <c r="AF249">
        <v>67371.08</v>
      </c>
      <c r="AG249">
        <v>67371.08</v>
      </c>
      <c r="AK249">
        <v>0</v>
      </c>
    </row>
    <row r="250" spans="1:37" x14ac:dyDescent="0.25">
      <c r="A250">
        <v>22225</v>
      </c>
      <c r="B250" t="s">
        <v>534</v>
      </c>
      <c r="C250">
        <v>57869.600000000013</v>
      </c>
      <c r="D250">
        <v>0</v>
      </c>
      <c r="E250">
        <v>9259.1360000000022</v>
      </c>
      <c r="F250">
        <v>67128.740000000005</v>
      </c>
      <c r="J250">
        <v>0</v>
      </c>
      <c r="K250">
        <v>57869.600000000013</v>
      </c>
      <c r="L250">
        <v>0</v>
      </c>
      <c r="M250">
        <v>9259.1360000000022</v>
      </c>
      <c r="N250">
        <v>67128.736000000004</v>
      </c>
      <c r="R250">
        <v>0</v>
      </c>
      <c r="S250">
        <v>0</v>
      </c>
      <c r="T250">
        <v>0</v>
      </c>
      <c r="U250" t="s">
        <v>256</v>
      </c>
      <c r="V250" t="s">
        <v>90</v>
      </c>
      <c r="W250">
        <v>4</v>
      </c>
      <c r="Y250" t="s">
        <v>73</v>
      </c>
      <c r="Z250">
        <v>57869.600000000013</v>
      </c>
      <c r="AA250">
        <v>67128.736000000004</v>
      </c>
      <c r="AB250">
        <v>0</v>
      </c>
      <c r="AD250">
        <v>0</v>
      </c>
      <c r="AE250">
        <v>0</v>
      </c>
      <c r="AF250">
        <v>67128.740000000005</v>
      </c>
      <c r="AG250">
        <v>67128.740000000005</v>
      </c>
      <c r="AK250">
        <v>0</v>
      </c>
    </row>
    <row r="251" spans="1:37" x14ac:dyDescent="0.25">
      <c r="A251">
        <v>4502</v>
      </c>
      <c r="B251" t="s">
        <v>350</v>
      </c>
      <c r="C251">
        <v>61958.30000000001</v>
      </c>
      <c r="D251">
        <v>4956.6639999999998</v>
      </c>
      <c r="E251">
        <v>0</v>
      </c>
      <c r="F251">
        <v>66914.960000000006</v>
      </c>
      <c r="J251">
        <v>0</v>
      </c>
      <c r="K251">
        <v>61958.30000000001</v>
      </c>
      <c r="L251">
        <v>4956.6639999999998</v>
      </c>
      <c r="M251">
        <v>0</v>
      </c>
      <c r="N251">
        <v>66914.964000000007</v>
      </c>
      <c r="R251">
        <v>0</v>
      </c>
      <c r="S251">
        <v>0</v>
      </c>
      <c r="T251">
        <v>0</v>
      </c>
      <c r="U251" t="s">
        <v>256</v>
      </c>
      <c r="V251" t="s">
        <v>90</v>
      </c>
      <c r="W251">
        <v>4</v>
      </c>
      <c r="Y251" t="s">
        <v>73</v>
      </c>
      <c r="Z251">
        <v>61958.30000000001</v>
      </c>
      <c r="AA251">
        <v>66914.964000000007</v>
      </c>
      <c r="AB251" t="s">
        <v>419</v>
      </c>
      <c r="AD251">
        <v>0</v>
      </c>
      <c r="AE251">
        <v>0</v>
      </c>
      <c r="AF251">
        <v>66914.960000000006</v>
      </c>
      <c r="AG251">
        <v>66914.960000000006</v>
      </c>
      <c r="AK251">
        <v>0</v>
      </c>
    </row>
    <row r="252" spans="1:37" x14ac:dyDescent="0.25">
      <c r="A252">
        <v>466</v>
      </c>
      <c r="B252" t="s">
        <v>535</v>
      </c>
      <c r="C252">
        <v>56988.759999999987</v>
      </c>
      <c r="D252">
        <v>0</v>
      </c>
      <c r="E252">
        <v>9118.2595999999994</v>
      </c>
      <c r="F252">
        <v>66107.05</v>
      </c>
      <c r="J252">
        <v>0</v>
      </c>
      <c r="K252">
        <v>56988.759999999987</v>
      </c>
      <c r="L252">
        <v>0</v>
      </c>
      <c r="M252">
        <v>9118.2595999999994</v>
      </c>
      <c r="N252">
        <v>66107.019599999985</v>
      </c>
      <c r="R252">
        <v>0</v>
      </c>
      <c r="S252">
        <v>0</v>
      </c>
      <c r="T252">
        <v>0</v>
      </c>
      <c r="U252" t="s">
        <v>256</v>
      </c>
      <c r="V252" t="s">
        <v>90</v>
      </c>
      <c r="W252">
        <v>4</v>
      </c>
      <c r="Y252" t="s">
        <v>238</v>
      </c>
      <c r="AB252">
        <v>0</v>
      </c>
      <c r="AD252">
        <v>66107.05</v>
      </c>
      <c r="AE252">
        <v>0</v>
      </c>
      <c r="AF252">
        <v>0</v>
      </c>
      <c r="AG252">
        <v>66107.05</v>
      </c>
      <c r="AK252">
        <v>0</v>
      </c>
    </row>
    <row r="253" spans="1:37" x14ac:dyDescent="0.25">
      <c r="A253">
        <v>322602</v>
      </c>
      <c r="B253" t="s">
        <v>536</v>
      </c>
      <c r="C253">
        <v>56335.36129796</v>
      </c>
      <c r="D253">
        <v>0</v>
      </c>
      <c r="E253">
        <v>9013.7077076736005</v>
      </c>
      <c r="F253">
        <v>65349.069999999992</v>
      </c>
      <c r="J253">
        <v>0</v>
      </c>
      <c r="K253">
        <v>56335.36129796</v>
      </c>
      <c r="L253">
        <v>0</v>
      </c>
      <c r="M253">
        <v>9013.7077076736005</v>
      </c>
      <c r="N253">
        <v>65349.069005633603</v>
      </c>
      <c r="R253">
        <v>0</v>
      </c>
      <c r="S253">
        <v>0</v>
      </c>
      <c r="T253">
        <v>0</v>
      </c>
      <c r="U253" t="s">
        <v>59</v>
      </c>
      <c r="V253" t="s">
        <v>75</v>
      </c>
      <c r="W253">
        <v>4</v>
      </c>
      <c r="Y253" t="s">
        <v>73</v>
      </c>
      <c r="Z253">
        <v>56335.36129796</v>
      </c>
      <c r="AA253">
        <v>65349.069005633603</v>
      </c>
      <c r="AB253">
        <v>0</v>
      </c>
      <c r="AD253">
        <v>0</v>
      </c>
      <c r="AE253">
        <v>0</v>
      </c>
      <c r="AF253">
        <v>65349.07</v>
      </c>
      <c r="AG253">
        <v>65349.069999999992</v>
      </c>
      <c r="AH253">
        <v>936.43</v>
      </c>
      <c r="AI253">
        <v>1</v>
      </c>
      <c r="AJ253" s="130">
        <v>46050</v>
      </c>
      <c r="AK253">
        <v>0</v>
      </c>
    </row>
    <row r="254" spans="1:37" x14ac:dyDescent="0.25">
      <c r="A254">
        <v>12229</v>
      </c>
      <c r="B254" t="s">
        <v>537</v>
      </c>
      <c r="C254">
        <v>61186.023607834999</v>
      </c>
      <c r="D254">
        <v>3830.5218886267999</v>
      </c>
      <c r="E254">
        <v>0</v>
      </c>
      <c r="F254">
        <v>65016.547896461801</v>
      </c>
      <c r="J254">
        <v>0</v>
      </c>
      <c r="K254">
        <v>61186.023607834999</v>
      </c>
      <c r="L254">
        <v>3830.5218886267999</v>
      </c>
      <c r="M254">
        <v>0</v>
      </c>
      <c r="N254">
        <v>65016.545496461797</v>
      </c>
      <c r="R254">
        <v>0</v>
      </c>
      <c r="S254">
        <v>0</v>
      </c>
      <c r="T254">
        <v>0</v>
      </c>
      <c r="U254" t="s">
        <v>59</v>
      </c>
      <c r="V254" t="s">
        <v>133</v>
      </c>
      <c r="W254">
        <v>4</v>
      </c>
      <c r="Y254" t="s">
        <v>57</v>
      </c>
      <c r="AB254" t="s">
        <v>538</v>
      </c>
      <c r="AD254">
        <v>0</v>
      </c>
      <c r="AE254">
        <v>0</v>
      </c>
      <c r="AF254">
        <v>65016.55</v>
      </c>
      <c r="AG254">
        <v>65016.547896461801</v>
      </c>
      <c r="AH254">
        <v>51712.05</v>
      </c>
      <c r="AI254">
        <v>2</v>
      </c>
      <c r="AJ254" s="130">
        <v>46062</v>
      </c>
      <c r="AK254">
        <v>0</v>
      </c>
    </row>
    <row r="255" spans="1:37" x14ac:dyDescent="0.25">
      <c r="A255">
        <v>314161</v>
      </c>
      <c r="B255" t="s">
        <v>540</v>
      </c>
      <c r="C255">
        <v>55935.38</v>
      </c>
      <c r="D255">
        <v>0</v>
      </c>
      <c r="E255">
        <v>8949.6607999999997</v>
      </c>
      <c r="F255">
        <v>64885.01</v>
      </c>
      <c r="J255">
        <v>0</v>
      </c>
      <c r="K255">
        <v>55935.38</v>
      </c>
      <c r="L255">
        <v>0</v>
      </c>
      <c r="M255">
        <v>8949.6607999999997</v>
      </c>
      <c r="N255">
        <v>64885.040800000002</v>
      </c>
      <c r="R255">
        <v>0</v>
      </c>
      <c r="S255">
        <v>0</v>
      </c>
      <c r="T255">
        <v>0</v>
      </c>
      <c r="U255" t="s">
        <v>256</v>
      </c>
      <c r="V255" t="s">
        <v>90</v>
      </c>
      <c r="W255">
        <v>4</v>
      </c>
      <c r="Y255" t="s">
        <v>238</v>
      </c>
      <c r="AB255">
        <v>0</v>
      </c>
      <c r="AD255">
        <v>0</v>
      </c>
      <c r="AE255">
        <v>64885.01</v>
      </c>
      <c r="AF255">
        <v>0</v>
      </c>
      <c r="AG255">
        <v>0</v>
      </c>
      <c r="AK255">
        <v>0</v>
      </c>
    </row>
    <row r="256" spans="1:37" x14ac:dyDescent="0.25">
      <c r="A256">
        <v>11601</v>
      </c>
      <c r="B256" t="s">
        <v>541</v>
      </c>
      <c r="C256">
        <v>53386.05</v>
      </c>
      <c r="D256">
        <v>0</v>
      </c>
      <c r="E256">
        <v>8541.7710999999981</v>
      </c>
      <c r="F256">
        <v>61927.819999999992</v>
      </c>
      <c r="J256">
        <v>0</v>
      </c>
      <c r="K256">
        <v>53386.05</v>
      </c>
      <c r="L256">
        <v>0</v>
      </c>
      <c r="M256">
        <v>8541.7710999999981</v>
      </c>
      <c r="N256">
        <v>61927.821099999986</v>
      </c>
      <c r="R256">
        <v>0</v>
      </c>
      <c r="S256">
        <v>0</v>
      </c>
      <c r="T256">
        <v>0</v>
      </c>
      <c r="U256" t="s">
        <v>256</v>
      </c>
      <c r="V256" t="s">
        <v>90</v>
      </c>
      <c r="W256">
        <v>4</v>
      </c>
      <c r="Y256" t="s">
        <v>73</v>
      </c>
      <c r="Z256">
        <v>53386.05</v>
      </c>
      <c r="AA256">
        <v>61927.821099999986</v>
      </c>
      <c r="AB256" t="s">
        <v>333</v>
      </c>
      <c r="AD256">
        <v>0</v>
      </c>
      <c r="AE256">
        <v>0</v>
      </c>
      <c r="AF256">
        <v>61927.82</v>
      </c>
      <c r="AG256">
        <v>61927.819999999992</v>
      </c>
      <c r="AK256">
        <v>0</v>
      </c>
    </row>
    <row r="257" spans="1:37" x14ac:dyDescent="0.25">
      <c r="A257">
        <v>9580</v>
      </c>
      <c r="B257" t="s">
        <v>542</v>
      </c>
      <c r="C257">
        <v>52171.88</v>
      </c>
      <c r="D257">
        <v>0</v>
      </c>
      <c r="E257">
        <v>8347.4795000000013</v>
      </c>
      <c r="F257">
        <v>60519.38</v>
      </c>
      <c r="J257">
        <v>0</v>
      </c>
      <c r="K257">
        <v>52171.88</v>
      </c>
      <c r="L257">
        <v>0</v>
      </c>
      <c r="M257">
        <v>8347.4795000000013</v>
      </c>
      <c r="N257">
        <v>60519.359499999999</v>
      </c>
      <c r="R257">
        <v>0</v>
      </c>
      <c r="S257">
        <v>0</v>
      </c>
      <c r="T257">
        <v>0</v>
      </c>
      <c r="U257" t="s">
        <v>256</v>
      </c>
      <c r="V257" t="s">
        <v>90</v>
      </c>
      <c r="W257">
        <v>4</v>
      </c>
      <c r="Y257" t="s">
        <v>73</v>
      </c>
      <c r="Z257">
        <v>52171.88</v>
      </c>
      <c r="AA257">
        <v>60519.359499999999</v>
      </c>
      <c r="AB257" t="s">
        <v>333</v>
      </c>
      <c r="AD257">
        <v>0</v>
      </c>
      <c r="AE257">
        <v>0</v>
      </c>
      <c r="AF257">
        <v>60519.38</v>
      </c>
      <c r="AG257">
        <v>60519.38</v>
      </c>
      <c r="AK257">
        <v>0</v>
      </c>
    </row>
    <row r="258" spans="1:37" x14ac:dyDescent="0.25">
      <c r="A258">
        <v>7325</v>
      </c>
      <c r="B258" t="s">
        <v>543</v>
      </c>
      <c r="C258">
        <v>48276.86</v>
      </c>
      <c r="D258">
        <v>0</v>
      </c>
      <c r="E258">
        <v>7724.2975999999999</v>
      </c>
      <c r="F258">
        <v>56001.18</v>
      </c>
      <c r="J258">
        <v>0</v>
      </c>
      <c r="K258">
        <v>48276.86</v>
      </c>
      <c r="L258">
        <v>0</v>
      </c>
      <c r="M258">
        <v>7724.2975999999999</v>
      </c>
      <c r="N258">
        <v>56001.157599999999</v>
      </c>
      <c r="R258">
        <v>0</v>
      </c>
      <c r="S258">
        <v>0</v>
      </c>
      <c r="T258">
        <v>0</v>
      </c>
      <c r="U258" t="s">
        <v>256</v>
      </c>
      <c r="V258" t="s">
        <v>90</v>
      </c>
      <c r="W258">
        <v>4</v>
      </c>
      <c r="Y258" t="s">
        <v>238</v>
      </c>
      <c r="AB258">
        <v>0</v>
      </c>
      <c r="AD258">
        <v>56001.179999999993</v>
      </c>
      <c r="AE258">
        <v>0</v>
      </c>
      <c r="AF258">
        <v>0</v>
      </c>
      <c r="AG258">
        <v>56001.18</v>
      </c>
      <c r="AK258">
        <v>0</v>
      </c>
    </row>
    <row r="259" spans="1:37" x14ac:dyDescent="0.25">
      <c r="A259">
        <v>24687</v>
      </c>
      <c r="B259" t="s">
        <v>544</v>
      </c>
      <c r="C259">
        <v>46715.042026260002</v>
      </c>
      <c r="D259">
        <v>0</v>
      </c>
      <c r="E259">
        <v>7474.4067242016008</v>
      </c>
      <c r="F259">
        <v>54189.45</v>
      </c>
      <c r="J259">
        <v>0</v>
      </c>
      <c r="K259">
        <v>46715.042026260002</v>
      </c>
      <c r="L259">
        <v>0</v>
      </c>
      <c r="M259">
        <v>7474.4067242016008</v>
      </c>
      <c r="N259">
        <v>54189.448750461597</v>
      </c>
      <c r="R259">
        <v>0</v>
      </c>
      <c r="S259">
        <v>0</v>
      </c>
      <c r="T259">
        <v>0</v>
      </c>
      <c r="U259" t="s">
        <v>59</v>
      </c>
      <c r="V259" t="s">
        <v>75</v>
      </c>
      <c r="W259">
        <v>4</v>
      </c>
      <c r="Y259" t="s">
        <v>73</v>
      </c>
      <c r="Z259">
        <v>46715.042026260002</v>
      </c>
      <c r="AA259">
        <v>54189.448750461597</v>
      </c>
      <c r="AB259" t="s">
        <v>527</v>
      </c>
      <c r="AD259">
        <v>0</v>
      </c>
      <c r="AE259">
        <v>0</v>
      </c>
      <c r="AF259">
        <v>54189.45</v>
      </c>
      <c r="AG259">
        <v>54189.45</v>
      </c>
      <c r="AH259">
        <v>54189.45</v>
      </c>
      <c r="AI259">
        <v>2</v>
      </c>
      <c r="AJ259" s="130">
        <v>46041</v>
      </c>
      <c r="AK259">
        <v>2</v>
      </c>
    </row>
    <row r="260" spans="1:37" x14ac:dyDescent="0.25">
      <c r="A260">
        <v>307017</v>
      </c>
      <c r="B260" t="s">
        <v>545</v>
      </c>
      <c r="C260">
        <v>54040.695506760007</v>
      </c>
      <c r="D260">
        <v>0</v>
      </c>
      <c r="E260">
        <v>0</v>
      </c>
      <c r="F260">
        <v>54040.790000000008</v>
      </c>
      <c r="J260">
        <v>0</v>
      </c>
      <c r="K260">
        <v>54040.695506760007</v>
      </c>
      <c r="L260">
        <v>0</v>
      </c>
      <c r="M260">
        <v>0</v>
      </c>
      <c r="N260">
        <v>54040.695506760007</v>
      </c>
      <c r="R260">
        <v>0</v>
      </c>
      <c r="S260">
        <v>0</v>
      </c>
      <c r="T260">
        <v>0</v>
      </c>
      <c r="U260" t="s">
        <v>256</v>
      </c>
      <c r="V260" t="s">
        <v>90</v>
      </c>
      <c r="W260">
        <v>4</v>
      </c>
      <c r="Y260" t="s">
        <v>238</v>
      </c>
      <c r="AB260">
        <v>0</v>
      </c>
      <c r="AD260">
        <v>54040.790000000008</v>
      </c>
      <c r="AE260">
        <v>0</v>
      </c>
      <c r="AF260">
        <v>0</v>
      </c>
      <c r="AG260">
        <v>54040.790000000008</v>
      </c>
      <c r="AK260">
        <v>0</v>
      </c>
    </row>
    <row r="261" spans="1:37" x14ac:dyDescent="0.25">
      <c r="A261">
        <v>60681</v>
      </c>
      <c r="B261" t="s">
        <v>546</v>
      </c>
      <c r="C261">
        <v>45163.81</v>
      </c>
      <c r="D261">
        <v>0</v>
      </c>
      <c r="E261">
        <v>7226.2366000000002</v>
      </c>
      <c r="F261">
        <v>52390.010000000009</v>
      </c>
      <c r="J261">
        <v>0</v>
      </c>
      <c r="K261">
        <v>45163.81</v>
      </c>
      <c r="L261">
        <v>0</v>
      </c>
      <c r="M261">
        <v>7226.2366000000002</v>
      </c>
      <c r="N261">
        <v>52390.046600000001</v>
      </c>
      <c r="R261">
        <v>0</v>
      </c>
      <c r="S261">
        <v>0</v>
      </c>
      <c r="T261">
        <v>0</v>
      </c>
      <c r="U261" t="s">
        <v>256</v>
      </c>
      <c r="V261" t="s">
        <v>90</v>
      </c>
      <c r="W261">
        <v>4</v>
      </c>
      <c r="Y261" t="s">
        <v>73</v>
      </c>
      <c r="Z261">
        <v>45163.81</v>
      </c>
      <c r="AA261">
        <v>52390.046600000001</v>
      </c>
      <c r="AB261">
        <v>0</v>
      </c>
      <c r="AD261">
        <v>0</v>
      </c>
      <c r="AE261">
        <v>0</v>
      </c>
      <c r="AF261">
        <v>52390.01</v>
      </c>
      <c r="AG261">
        <v>52390.010000000009</v>
      </c>
      <c r="AK261">
        <v>0</v>
      </c>
    </row>
    <row r="262" spans="1:37" x14ac:dyDescent="0.25">
      <c r="A262">
        <v>21157</v>
      </c>
      <c r="B262" t="s">
        <v>547</v>
      </c>
      <c r="C262">
        <v>44422.99</v>
      </c>
      <c r="D262">
        <v>0</v>
      </c>
      <c r="E262">
        <v>7107.6783999999998</v>
      </c>
      <c r="F262">
        <v>51530.68</v>
      </c>
      <c r="J262">
        <v>0</v>
      </c>
      <c r="K262">
        <v>44422.99</v>
      </c>
      <c r="L262">
        <v>0</v>
      </c>
      <c r="M262">
        <v>7107.6783999999998</v>
      </c>
      <c r="N262">
        <v>51530.668400000002</v>
      </c>
      <c r="R262">
        <v>0</v>
      </c>
      <c r="S262">
        <v>0</v>
      </c>
      <c r="T262">
        <v>0</v>
      </c>
      <c r="U262" t="s">
        <v>256</v>
      </c>
      <c r="V262" t="s">
        <v>90</v>
      </c>
      <c r="W262">
        <v>4</v>
      </c>
      <c r="Y262" t="s">
        <v>238</v>
      </c>
      <c r="AB262">
        <v>0</v>
      </c>
      <c r="AD262">
        <v>51530.68</v>
      </c>
      <c r="AE262">
        <v>0</v>
      </c>
      <c r="AF262">
        <v>0</v>
      </c>
      <c r="AG262">
        <v>51530.68</v>
      </c>
      <c r="AK262">
        <v>0</v>
      </c>
    </row>
    <row r="263" spans="1:37" x14ac:dyDescent="0.25">
      <c r="A263">
        <v>99861</v>
      </c>
      <c r="B263" t="s">
        <v>548</v>
      </c>
      <c r="C263">
        <v>50470.48</v>
      </c>
      <c r="D263">
        <v>0</v>
      </c>
      <c r="E263">
        <v>0</v>
      </c>
      <c r="F263">
        <v>50470.48</v>
      </c>
      <c r="J263">
        <v>0</v>
      </c>
      <c r="K263">
        <v>50470.48</v>
      </c>
      <c r="L263">
        <v>0</v>
      </c>
      <c r="M263">
        <v>0</v>
      </c>
      <c r="N263">
        <v>50470.48</v>
      </c>
      <c r="R263">
        <v>0</v>
      </c>
      <c r="S263">
        <v>0</v>
      </c>
      <c r="T263">
        <v>0</v>
      </c>
      <c r="U263" t="s">
        <v>256</v>
      </c>
      <c r="V263" t="s">
        <v>90</v>
      </c>
      <c r="W263">
        <v>4</v>
      </c>
      <c r="Y263" t="s">
        <v>238</v>
      </c>
      <c r="AB263">
        <v>0</v>
      </c>
      <c r="AD263">
        <v>50470.48</v>
      </c>
      <c r="AE263">
        <v>0</v>
      </c>
      <c r="AF263">
        <v>0</v>
      </c>
      <c r="AG263">
        <v>50470.48</v>
      </c>
      <c r="AK263">
        <v>0</v>
      </c>
    </row>
    <row r="264" spans="1:37" x14ac:dyDescent="0.25">
      <c r="A264">
        <v>20859</v>
      </c>
      <c r="B264" t="s">
        <v>549</v>
      </c>
      <c r="C264">
        <v>43281.33</v>
      </c>
      <c r="D264">
        <v>0</v>
      </c>
      <c r="E264">
        <v>6925.0051999999996</v>
      </c>
      <c r="F264">
        <v>50206.34</v>
      </c>
      <c r="J264">
        <v>0</v>
      </c>
      <c r="K264">
        <v>43281.33</v>
      </c>
      <c r="L264">
        <v>0</v>
      </c>
      <c r="M264">
        <v>6925.0051999999996</v>
      </c>
      <c r="N264">
        <v>50206.335200000001</v>
      </c>
      <c r="R264">
        <v>0</v>
      </c>
      <c r="S264">
        <v>0</v>
      </c>
      <c r="T264">
        <v>0</v>
      </c>
      <c r="U264" t="s">
        <v>256</v>
      </c>
      <c r="V264" t="s">
        <v>90</v>
      </c>
      <c r="W264">
        <v>4</v>
      </c>
      <c r="Y264" t="s">
        <v>73</v>
      </c>
      <c r="Z264">
        <v>43281.33</v>
      </c>
      <c r="AA264">
        <v>50206.335200000001</v>
      </c>
      <c r="AB264">
        <v>0</v>
      </c>
      <c r="AD264">
        <v>0</v>
      </c>
      <c r="AE264">
        <v>0</v>
      </c>
      <c r="AF264">
        <v>50206.34</v>
      </c>
      <c r="AG264">
        <v>50206.34</v>
      </c>
      <c r="AK264">
        <v>0</v>
      </c>
    </row>
    <row r="265" spans="1:37" x14ac:dyDescent="0.25">
      <c r="A265">
        <v>28241</v>
      </c>
      <c r="B265" t="s">
        <v>550</v>
      </c>
      <c r="C265">
        <v>40821.930000000008</v>
      </c>
      <c r="D265">
        <v>1647.2943</v>
      </c>
      <c r="E265">
        <v>6795.0558000000001</v>
      </c>
      <c r="F265">
        <v>49264.259999999987</v>
      </c>
      <c r="J265">
        <v>0</v>
      </c>
      <c r="K265">
        <v>40821.930000000008</v>
      </c>
      <c r="L265">
        <v>1647.2943</v>
      </c>
      <c r="M265">
        <v>6795.0558000000001</v>
      </c>
      <c r="N265">
        <v>49264.280100000011</v>
      </c>
      <c r="R265">
        <v>0</v>
      </c>
      <c r="S265">
        <v>0</v>
      </c>
      <c r="T265">
        <v>0</v>
      </c>
      <c r="U265" t="s">
        <v>256</v>
      </c>
      <c r="V265" t="s">
        <v>90</v>
      </c>
      <c r="W265">
        <v>4</v>
      </c>
      <c r="Y265" t="s">
        <v>238</v>
      </c>
      <c r="AB265">
        <v>0</v>
      </c>
      <c r="AD265">
        <v>49264.26</v>
      </c>
      <c r="AE265">
        <v>0</v>
      </c>
      <c r="AF265">
        <v>0</v>
      </c>
      <c r="AG265">
        <v>49264.259999999987</v>
      </c>
      <c r="AK265">
        <v>0</v>
      </c>
    </row>
    <row r="266" spans="1:37" x14ac:dyDescent="0.25">
      <c r="A266">
        <v>20539</v>
      </c>
      <c r="B266" t="s">
        <v>551</v>
      </c>
      <c r="C266">
        <v>41943.960802699992</v>
      </c>
      <c r="D266">
        <v>0</v>
      </c>
      <c r="E266">
        <v>6711.0337284320003</v>
      </c>
      <c r="F266">
        <v>48654.99</v>
      </c>
      <c r="J266">
        <v>0</v>
      </c>
      <c r="K266">
        <v>41943.960802699992</v>
      </c>
      <c r="L266">
        <v>0</v>
      </c>
      <c r="M266">
        <v>6711.0337284320003</v>
      </c>
      <c r="N266">
        <v>48654.99453113199</v>
      </c>
      <c r="R266">
        <v>0</v>
      </c>
      <c r="S266">
        <v>0</v>
      </c>
      <c r="T266">
        <v>0</v>
      </c>
      <c r="U266" t="s">
        <v>59</v>
      </c>
      <c r="V266" t="s">
        <v>133</v>
      </c>
      <c r="W266">
        <v>4</v>
      </c>
      <c r="Y266" t="s">
        <v>57</v>
      </c>
      <c r="AB266" t="s">
        <v>552</v>
      </c>
      <c r="AD266">
        <v>0</v>
      </c>
      <c r="AE266">
        <v>0</v>
      </c>
      <c r="AF266">
        <v>48654.99</v>
      </c>
      <c r="AG266">
        <v>48654.99</v>
      </c>
      <c r="AH266">
        <v>48654.99</v>
      </c>
      <c r="AJ266" s="130">
        <v>46042</v>
      </c>
      <c r="AK266">
        <v>0</v>
      </c>
    </row>
    <row r="267" spans="1:37" x14ac:dyDescent="0.25">
      <c r="A267">
        <v>314567</v>
      </c>
      <c r="B267" t="s">
        <v>553</v>
      </c>
      <c r="C267">
        <v>39378.300000000003</v>
      </c>
      <c r="D267">
        <v>0</v>
      </c>
      <c r="E267">
        <v>6300.5279999999993</v>
      </c>
      <c r="F267">
        <v>45678.86</v>
      </c>
      <c r="J267">
        <v>0</v>
      </c>
      <c r="K267">
        <v>39378.300000000003</v>
      </c>
      <c r="L267">
        <v>0</v>
      </c>
      <c r="M267">
        <v>6300.5279999999993</v>
      </c>
      <c r="N267">
        <v>45678.827999999987</v>
      </c>
      <c r="R267">
        <v>0</v>
      </c>
      <c r="S267">
        <v>0</v>
      </c>
      <c r="T267">
        <v>0</v>
      </c>
      <c r="U267" t="s">
        <v>59</v>
      </c>
      <c r="V267" t="s">
        <v>75</v>
      </c>
      <c r="W267">
        <v>4</v>
      </c>
      <c r="X267">
        <v>2</v>
      </c>
      <c r="Y267" t="s">
        <v>73</v>
      </c>
      <c r="Z267">
        <v>39378.300000000003</v>
      </c>
      <c r="AA267">
        <v>45678.827999999987</v>
      </c>
      <c r="AB267" t="s">
        <v>899</v>
      </c>
      <c r="AD267">
        <v>0</v>
      </c>
      <c r="AE267">
        <v>0</v>
      </c>
      <c r="AF267">
        <v>45678.86</v>
      </c>
      <c r="AG267">
        <v>45678.86</v>
      </c>
      <c r="AH267">
        <v>45678.86</v>
      </c>
      <c r="AI267">
        <v>6</v>
      </c>
      <c r="AJ267" s="130">
        <v>46043</v>
      </c>
      <c r="AK267">
        <v>2</v>
      </c>
    </row>
    <row r="268" spans="1:37" x14ac:dyDescent="0.25">
      <c r="A268">
        <v>381202</v>
      </c>
      <c r="B268" t="s">
        <v>556</v>
      </c>
      <c r="C268">
        <v>39519.820000000007</v>
      </c>
      <c r="D268">
        <v>3161.585599999999</v>
      </c>
      <c r="E268">
        <v>0</v>
      </c>
      <c r="F268">
        <v>42681.38</v>
      </c>
      <c r="J268">
        <v>0</v>
      </c>
      <c r="K268">
        <v>39519.820000000007</v>
      </c>
      <c r="L268">
        <v>3161.585599999999</v>
      </c>
      <c r="M268">
        <v>0</v>
      </c>
      <c r="N268">
        <v>42681.405600000013</v>
      </c>
      <c r="R268">
        <v>0</v>
      </c>
      <c r="S268">
        <v>0</v>
      </c>
      <c r="T268">
        <v>0</v>
      </c>
      <c r="U268" t="s">
        <v>256</v>
      </c>
      <c r="V268" t="s">
        <v>90</v>
      </c>
      <c r="W268">
        <v>4</v>
      </c>
      <c r="Y268" t="s">
        <v>238</v>
      </c>
      <c r="AB268" t="s">
        <v>279</v>
      </c>
      <c r="AD268">
        <v>42681.38</v>
      </c>
      <c r="AE268">
        <v>0</v>
      </c>
      <c r="AF268">
        <v>0</v>
      </c>
      <c r="AG268">
        <v>42681.38</v>
      </c>
      <c r="AK268">
        <v>0</v>
      </c>
    </row>
    <row r="269" spans="1:37" x14ac:dyDescent="0.25">
      <c r="A269">
        <v>87270</v>
      </c>
      <c r="B269" t="s">
        <v>557</v>
      </c>
      <c r="C269">
        <v>36399.94</v>
      </c>
      <c r="D269">
        <v>0</v>
      </c>
      <c r="E269">
        <v>5823.9903999999988</v>
      </c>
      <c r="F269">
        <v>42223.89</v>
      </c>
      <c r="J269">
        <v>0</v>
      </c>
      <c r="K269">
        <v>36399.94</v>
      </c>
      <c r="L269">
        <v>0</v>
      </c>
      <c r="M269">
        <v>5823.9903999999988</v>
      </c>
      <c r="N269">
        <v>42223.930399999997</v>
      </c>
      <c r="R269">
        <v>0</v>
      </c>
      <c r="S269">
        <v>0</v>
      </c>
      <c r="T269">
        <v>0</v>
      </c>
      <c r="U269" t="s">
        <v>256</v>
      </c>
      <c r="V269" t="s">
        <v>90</v>
      </c>
      <c r="W269">
        <v>4</v>
      </c>
      <c r="Y269" t="s">
        <v>238</v>
      </c>
      <c r="AB269">
        <v>0</v>
      </c>
      <c r="AD269">
        <v>42223.89</v>
      </c>
      <c r="AE269">
        <v>0</v>
      </c>
      <c r="AF269">
        <v>0</v>
      </c>
      <c r="AG269">
        <v>42223.89</v>
      </c>
      <c r="AK269">
        <v>0</v>
      </c>
    </row>
    <row r="270" spans="1:37" x14ac:dyDescent="0.25">
      <c r="A270">
        <v>301531</v>
      </c>
      <c r="B270" t="s">
        <v>558</v>
      </c>
      <c r="C270">
        <v>38012.699999999997</v>
      </c>
      <c r="D270">
        <v>84.289599999999993</v>
      </c>
      <c r="E270">
        <v>2299.5504000000001</v>
      </c>
      <c r="F270">
        <v>40396.53</v>
      </c>
      <c r="J270">
        <v>0</v>
      </c>
      <c r="K270">
        <v>38012.699999999997</v>
      </c>
      <c r="L270">
        <v>84.289599999999993</v>
      </c>
      <c r="M270">
        <v>2299.5504000000001</v>
      </c>
      <c r="N270">
        <v>40396.54</v>
      </c>
      <c r="R270">
        <v>0</v>
      </c>
      <c r="S270">
        <v>0</v>
      </c>
      <c r="T270">
        <v>0</v>
      </c>
      <c r="U270" t="s">
        <v>256</v>
      </c>
      <c r="V270" t="s">
        <v>90</v>
      </c>
      <c r="W270">
        <v>4</v>
      </c>
      <c r="Y270" t="s">
        <v>238</v>
      </c>
      <c r="AB270">
        <v>0</v>
      </c>
      <c r="AD270">
        <v>40396.53</v>
      </c>
      <c r="AE270">
        <v>0</v>
      </c>
      <c r="AF270">
        <v>0</v>
      </c>
      <c r="AG270">
        <v>40396.53</v>
      </c>
      <c r="AK270">
        <v>0</v>
      </c>
    </row>
    <row r="271" spans="1:37" x14ac:dyDescent="0.25">
      <c r="A271">
        <v>80853</v>
      </c>
      <c r="B271" t="s">
        <v>559</v>
      </c>
      <c r="C271">
        <v>39947.79</v>
      </c>
      <c r="D271">
        <v>0</v>
      </c>
      <c r="E271">
        <v>0</v>
      </c>
      <c r="F271">
        <v>39947.79</v>
      </c>
      <c r="J271">
        <v>0</v>
      </c>
      <c r="K271">
        <v>39947.79</v>
      </c>
      <c r="L271">
        <v>0</v>
      </c>
      <c r="M271">
        <v>0</v>
      </c>
      <c r="N271">
        <v>39947.79</v>
      </c>
      <c r="R271">
        <v>0</v>
      </c>
      <c r="S271">
        <v>0</v>
      </c>
      <c r="T271">
        <v>0</v>
      </c>
      <c r="U271" t="s">
        <v>256</v>
      </c>
      <c r="V271" t="s">
        <v>90</v>
      </c>
      <c r="W271">
        <v>4</v>
      </c>
      <c r="Y271" t="s">
        <v>238</v>
      </c>
      <c r="AB271">
        <v>0</v>
      </c>
      <c r="AD271">
        <v>39947.79</v>
      </c>
      <c r="AE271">
        <v>0</v>
      </c>
      <c r="AF271">
        <v>0</v>
      </c>
      <c r="AG271">
        <v>39947.79</v>
      </c>
      <c r="AK271">
        <v>0</v>
      </c>
    </row>
    <row r="272" spans="1:37" x14ac:dyDescent="0.25">
      <c r="A272">
        <v>59493</v>
      </c>
      <c r="B272" t="s">
        <v>560</v>
      </c>
      <c r="C272">
        <v>33824.94</v>
      </c>
      <c r="D272">
        <v>0</v>
      </c>
      <c r="E272">
        <v>5411.9726000000001</v>
      </c>
      <c r="F272">
        <v>39236.92</v>
      </c>
      <c r="J272">
        <v>0</v>
      </c>
      <c r="K272">
        <v>33824.94</v>
      </c>
      <c r="L272">
        <v>0</v>
      </c>
      <c r="M272">
        <v>5411.9726000000001</v>
      </c>
      <c r="N272">
        <v>39236.912600000003</v>
      </c>
      <c r="R272">
        <v>0</v>
      </c>
      <c r="S272">
        <v>0</v>
      </c>
      <c r="T272">
        <v>0</v>
      </c>
      <c r="U272" t="s">
        <v>256</v>
      </c>
      <c r="V272" t="s">
        <v>90</v>
      </c>
      <c r="W272">
        <v>4</v>
      </c>
      <c r="Y272" t="s">
        <v>238</v>
      </c>
      <c r="AB272" t="s">
        <v>279</v>
      </c>
      <c r="AD272">
        <v>39236.920000000013</v>
      </c>
      <c r="AE272">
        <v>0</v>
      </c>
      <c r="AF272">
        <v>0</v>
      </c>
      <c r="AG272">
        <v>39236.92</v>
      </c>
      <c r="AK272">
        <v>0</v>
      </c>
    </row>
    <row r="273" spans="1:37" x14ac:dyDescent="0.25">
      <c r="A273">
        <v>27011</v>
      </c>
      <c r="B273" t="s">
        <v>561</v>
      </c>
      <c r="C273">
        <v>36169.81</v>
      </c>
      <c r="D273">
        <v>2893.5819999999999</v>
      </c>
      <c r="E273">
        <v>0</v>
      </c>
      <c r="F273">
        <v>39063.399999999987</v>
      </c>
      <c r="J273">
        <v>0</v>
      </c>
      <c r="K273">
        <v>36169.81</v>
      </c>
      <c r="L273">
        <v>2893.5819999999999</v>
      </c>
      <c r="M273">
        <v>0</v>
      </c>
      <c r="N273">
        <v>39063.392000000007</v>
      </c>
      <c r="R273">
        <v>0</v>
      </c>
      <c r="S273">
        <v>0</v>
      </c>
      <c r="T273">
        <v>0</v>
      </c>
      <c r="U273" t="s">
        <v>256</v>
      </c>
      <c r="V273" t="s">
        <v>90</v>
      </c>
      <c r="W273">
        <v>4</v>
      </c>
      <c r="Y273" t="s">
        <v>238</v>
      </c>
      <c r="AB273">
        <v>0</v>
      </c>
      <c r="AD273">
        <v>39063.399999999987</v>
      </c>
      <c r="AE273">
        <v>0</v>
      </c>
      <c r="AF273">
        <v>0</v>
      </c>
      <c r="AG273">
        <v>39063.399999999987</v>
      </c>
      <c r="AK273">
        <v>0</v>
      </c>
    </row>
    <row r="274" spans="1:37" x14ac:dyDescent="0.25">
      <c r="A274">
        <v>20777</v>
      </c>
      <c r="B274" t="s">
        <v>562</v>
      </c>
      <c r="C274">
        <v>33538.102687815997</v>
      </c>
      <c r="D274">
        <v>0</v>
      </c>
      <c r="E274">
        <v>5366.0983300505604</v>
      </c>
      <c r="F274">
        <v>38904.239999999998</v>
      </c>
      <c r="J274">
        <v>0</v>
      </c>
      <c r="K274">
        <v>33538.102687815997</v>
      </c>
      <c r="L274">
        <v>0</v>
      </c>
      <c r="M274">
        <v>5366.0983300505604</v>
      </c>
      <c r="N274">
        <v>38904.201017866559</v>
      </c>
      <c r="R274">
        <v>0</v>
      </c>
      <c r="S274">
        <v>0</v>
      </c>
      <c r="T274">
        <v>0</v>
      </c>
      <c r="U274" t="s">
        <v>256</v>
      </c>
      <c r="V274" t="s">
        <v>90</v>
      </c>
      <c r="W274">
        <v>4</v>
      </c>
      <c r="Y274" t="s">
        <v>73</v>
      </c>
      <c r="Z274">
        <v>33538.102687815997</v>
      </c>
      <c r="AA274">
        <v>38904.201017866559</v>
      </c>
      <c r="AB274" t="s">
        <v>419</v>
      </c>
      <c r="AD274">
        <v>0</v>
      </c>
      <c r="AE274">
        <v>0</v>
      </c>
      <c r="AF274">
        <v>38904.239999999998</v>
      </c>
      <c r="AG274">
        <v>38904.239999999998</v>
      </c>
      <c r="AK274">
        <v>0</v>
      </c>
    </row>
    <row r="275" spans="1:37" x14ac:dyDescent="0.25">
      <c r="A275">
        <v>1398</v>
      </c>
      <c r="B275" t="s">
        <v>563</v>
      </c>
      <c r="C275">
        <v>33512.42</v>
      </c>
      <c r="D275">
        <v>0</v>
      </c>
      <c r="E275">
        <v>5361.9938999999986</v>
      </c>
      <c r="F275">
        <v>38874.42</v>
      </c>
      <c r="J275">
        <v>0</v>
      </c>
      <c r="K275">
        <v>33512.42</v>
      </c>
      <c r="L275">
        <v>0</v>
      </c>
      <c r="M275">
        <v>5361.9938999999986</v>
      </c>
      <c r="N275">
        <v>38874.4139</v>
      </c>
      <c r="R275">
        <v>0</v>
      </c>
      <c r="S275">
        <v>0</v>
      </c>
      <c r="T275">
        <v>0</v>
      </c>
      <c r="U275" t="s">
        <v>256</v>
      </c>
      <c r="V275" t="s">
        <v>90</v>
      </c>
      <c r="W275">
        <v>4</v>
      </c>
      <c r="Y275" t="s">
        <v>238</v>
      </c>
      <c r="AB275">
        <v>0</v>
      </c>
      <c r="AD275">
        <v>38874.42</v>
      </c>
      <c r="AE275">
        <v>0</v>
      </c>
      <c r="AF275">
        <v>0</v>
      </c>
      <c r="AG275">
        <v>38874.42</v>
      </c>
      <c r="AK275">
        <v>0</v>
      </c>
    </row>
    <row r="276" spans="1:37" x14ac:dyDescent="0.25">
      <c r="A276">
        <v>66951</v>
      </c>
      <c r="B276" t="s">
        <v>564</v>
      </c>
      <c r="C276">
        <v>38217.031937576001</v>
      </c>
      <c r="D276">
        <v>0</v>
      </c>
      <c r="E276">
        <v>0</v>
      </c>
      <c r="F276">
        <v>38217.040000000001</v>
      </c>
      <c r="J276">
        <v>0</v>
      </c>
      <c r="K276">
        <v>38217.031937576001</v>
      </c>
      <c r="L276">
        <v>0</v>
      </c>
      <c r="M276">
        <v>0</v>
      </c>
      <c r="N276">
        <v>38217.031937576001</v>
      </c>
      <c r="R276">
        <v>0</v>
      </c>
      <c r="S276">
        <v>0</v>
      </c>
      <c r="T276">
        <v>0</v>
      </c>
      <c r="U276" t="s">
        <v>256</v>
      </c>
      <c r="V276" t="s">
        <v>90</v>
      </c>
      <c r="W276">
        <v>4</v>
      </c>
      <c r="Y276" t="s">
        <v>238</v>
      </c>
      <c r="AB276">
        <v>0</v>
      </c>
      <c r="AD276">
        <v>38217.040000000001</v>
      </c>
      <c r="AE276">
        <v>0</v>
      </c>
      <c r="AF276">
        <v>0</v>
      </c>
      <c r="AG276">
        <v>38217.040000000001</v>
      </c>
      <c r="AK276">
        <v>0</v>
      </c>
    </row>
    <row r="277" spans="1:37" x14ac:dyDescent="0.25">
      <c r="A277">
        <v>337956</v>
      </c>
      <c r="B277" t="s">
        <v>565</v>
      </c>
      <c r="C277">
        <v>36620.53</v>
      </c>
      <c r="D277">
        <v>0</v>
      </c>
      <c r="E277">
        <v>240.69759999999999</v>
      </c>
      <c r="F277">
        <v>36861.230000000003</v>
      </c>
      <c r="J277">
        <v>0</v>
      </c>
      <c r="K277">
        <v>36620.53</v>
      </c>
      <c r="L277">
        <v>0</v>
      </c>
      <c r="M277">
        <v>240.69759999999999</v>
      </c>
      <c r="N277">
        <v>36861.227599999998</v>
      </c>
      <c r="R277">
        <v>0</v>
      </c>
      <c r="S277">
        <v>0</v>
      </c>
      <c r="T277">
        <v>0</v>
      </c>
      <c r="U277" t="s">
        <v>256</v>
      </c>
      <c r="V277" t="s">
        <v>90</v>
      </c>
      <c r="W277">
        <v>4</v>
      </c>
      <c r="Y277" t="s">
        <v>238</v>
      </c>
      <c r="AB277">
        <v>0</v>
      </c>
      <c r="AD277">
        <v>36861.230000000003</v>
      </c>
      <c r="AE277">
        <v>0</v>
      </c>
      <c r="AF277">
        <v>0</v>
      </c>
      <c r="AG277">
        <v>36861.230000000003</v>
      </c>
      <c r="AK277">
        <v>0</v>
      </c>
    </row>
    <row r="278" spans="1:37" x14ac:dyDescent="0.25">
      <c r="A278">
        <v>391961</v>
      </c>
      <c r="B278" t="s">
        <v>566</v>
      </c>
      <c r="C278">
        <v>31621.769108164</v>
      </c>
      <c r="D278">
        <v>0</v>
      </c>
      <c r="E278">
        <v>5059.4830573062409</v>
      </c>
      <c r="F278">
        <v>36681.26</v>
      </c>
      <c r="J278">
        <v>0</v>
      </c>
      <c r="K278">
        <v>31621.769108164</v>
      </c>
      <c r="L278">
        <v>0</v>
      </c>
      <c r="M278">
        <v>5059.4830573062409</v>
      </c>
      <c r="N278">
        <v>36681.252165470243</v>
      </c>
      <c r="R278">
        <v>0</v>
      </c>
      <c r="S278">
        <v>0</v>
      </c>
      <c r="T278">
        <v>0</v>
      </c>
      <c r="U278" t="s">
        <v>256</v>
      </c>
      <c r="V278" t="s">
        <v>90</v>
      </c>
      <c r="W278">
        <v>4</v>
      </c>
      <c r="Y278" t="s">
        <v>238</v>
      </c>
      <c r="AB278">
        <v>0</v>
      </c>
      <c r="AD278">
        <v>0</v>
      </c>
      <c r="AE278">
        <v>36681.26</v>
      </c>
      <c r="AF278">
        <v>0</v>
      </c>
      <c r="AG278">
        <v>0</v>
      </c>
      <c r="AK278">
        <v>0</v>
      </c>
    </row>
    <row r="279" spans="1:37" x14ac:dyDescent="0.25">
      <c r="A279">
        <v>56051</v>
      </c>
      <c r="B279" t="s">
        <v>567</v>
      </c>
      <c r="C279">
        <v>31564.74876124748</v>
      </c>
      <c r="D279">
        <v>0</v>
      </c>
      <c r="E279">
        <v>5050.3598017996001</v>
      </c>
      <c r="F279">
        <v>36615.14</v>
      </c>
      <c r="J279">
        <v>0</v>
      </c>
      <c r="K279">
        <v>31564.74876124748</v>
      </c>
      <c r="L279">
        <v>0</v>
      </c>
      <c r="M279">
        <v>5050.3598017996001</v>
      </c>
      <c r="N279">
        <v>36615.108563047077</v>
      </c>
      <c r="R279">
        <v>0</v>
      </c>
      <c r="S279">
        <v>0</v>
      </c>
      <c r="T279">
        <v>0</v>
      </c>
      <c r="U279" t="s">
        <v>256</v>
      </c>
      <c r="V279" t="s">
        <v>90</v>
      </c>
      <c r="W279">
        <v>4</v>
      </c>
      <c r="Y279" t="s">
        <v>73</v>
      </c>
      <c r="Z279">
        <v>31564.74876124748</v>
      </c>
      <c r="AA279">
        <v>36615.108563047077</v>
      </c>
      <c r="AB279">
        <v>0</v>
      </c>
      <c r="AD279">
        <v>0</v>
      </c>
      <c r="AE279">
        <v>0</v>
      </c>
      <c r="AF279">
        <v>36615.14</v>
      </c>
      <c r="AG279">
        <v>36615.14</v>
      </c>
      <c r="AK279">
        <v>0</v>
      </c>
    </row>
    <row r="280" spans="1:37" x14ac:dyDescent="0.25">
      <c r="A280">
        <v>86199</v>
      </c>
      <c r="B280" t="s">
        <v>568</v>
      </c>
      <c r="C280">
        <v>32669.469314188002</v>
      </c>
      <c r="D280">
        <v>2613.57144513504</v>
      </c>
      <c r="E280">
        <v>0</v>
      </c>
      <c r="F280">
        <v>35283.040000000008</v>
      </c>
      <c r="J280">
        <v>0</v>
      </c>
      <c r="K280">
        <v>32669.469314188002</v>
      </c>
      <c r="L280">
        <v>2613.57144513504</v>
      </c>
      <c r="M280">
        <v>0</v>
      </c>
      <c r="N280">
        <v>35283.040759323041</v>
      </c>
      <c r="R280">
        <v>0</v>
      </c>
      <c r="S280">
        <v>0</v>
      </c>
      <c r="T280">
        <v>0</v>
      </c>
      <c r="U280" t="s">
        <v>256</v>
      </c>
      <c r="V280" t="s">
        <v>90</v>
      </c>
      <c r="W280">
        <v>4</v>
      </c>
      <c r="Y280" t="s">
        <v>238</v>
      </c>
      <c r="AB280">
        <v>0</v>
      </c>
      <c r="AD280">
        <v>35283.040000000001</v>
      </c>
      <c r="AE280">
        <v>0</v>
      </c>
      <c r="AF280">
        <v>0</v>
      </c>
      <c r="AG280">
        <v>35283.040000000008</v>
      </c>
      <c r="AK280">
        <v>0</v>
      </c>
    </row>
    <row r="281" spans="1:37" x14ac:dyDescent="0.25">
      <c r="A281">
        <v>50989</v>
      </c>
      <c r="B281" t="s">
        <v>569</v>
      </c>
      <c r="C281">
        <v>35242.769999999997</v>
      </c>
      <c r="D281">
        <v>0</v>
      </c>
      <c r="E281">
        <v>0</v>
      </c>
      <c r="F281">
        <v>35242.769999999997</v>
      </c>
      <c r="J281">
        <v>0</v>
      </c>
      <c r="K281">
        <v>35242.769999999997</v>
      </c>
      <c r="L281">
        <v>0</v>
      </c>
      <c r="M281">
        <v>0</v>
      </c>
      <c r="N281">
        <v>35242.769999999997</v>
      </c>
      <c r="R281">
        <v>0</v>
      </c>
      <c r="S281">
        <v>0</v>
      </c>
      <c r="T281">
        <v>0</v>
      </c>
      <c r="U281" t="s">
        <v>256</v>
      </c>
      <c r="V281" t="s">
        <v>90</v>
      </c>
      <c r="W281">
        <v>4</v>
      </c>
      <c r="Y281" t="s">
        <v>238</v>
      </c>
      <c r="AB281">
        <v>0</v>
      </c>
      <c r="AD281">
        <v>35242.769999999997</v>
      </c>
      <c r="AE281">
        <v>0</v>
      </c>
      <c r="AF281">
        <v>0</v>
      </c>
      <c r="AG281">
        <v>35242.769999999997</v>
      </c>
      <c r="AK281">
        <v>0</v>
      </c>
    </row>
    <row r="282" spans="1:37" x14ac:dyDescent="0.25">
      <c r="A282">
        <v>64840</v>
      </c>
      <c r="B282" t="s">
        <v>570</v>
      </c>
      <c r="C282">
        <v>34871.719999999987</v>
      </c>
      <c r="D282">
        <v>0</v>
      </c>
      <c r="E282">
        <v>0</v>
      </c>
      <c r="F282">
        <v>34871.719999999987</v>
      </c>
      <c r="J282">
        <v>0</v>
      </c>
      <c r="K282">
        <v>34871.719999999987</v>
      </c>
      <c r="L282">
        <v>0</v>
      </c>
      <c r="M282">
        <v>0</v>
      </c>
      <c r="N282">
        <v>34871.719999999987</v>
      </c>
      <c r="R282">
        <v>0</v>
      </c>
      <c r="S282">
        <v>0</v>
      </c>
      <c r="T282">
        <v>0</v>
      </c>
      <c r="U282" t="s">
        <v>256</v>
      </c>
      <c r="V282" t="s">
        <v>90</v>
      </c>
      <c r="W282">
        <v>4</v>
      </c>
      <c r="Y282" t="s">
        <v>238</v>
      </c>
      <c r="AB282">
        <v>0</v>
      </c>
      <c r="AD282">
        <v>34871.719999999987</v>
      </c>
      <c r="AE282">
        <v>0</v>
      </c>
      <c r="AF282">
        <v>0</v>
      </c>
      <c r="AG282">
        <v>34871.719999999987</v>
      </c>
      <c r="AK282">
        <v>0</v>
      </c>
    </row>
    <row r="283" spans="1:37" x14ac:dyDescent="0.25">
      <c r="A283">
        <v>327460</v>
      </c>
      <c r="B283" t="s">
        <v>571</v>
      </c>
      <c r="C283">
        <v>32237.78</v>
      </c>
      <c r="D283">
        <v>1681.1259</v>
      </c>
      <c r="E283">
        <v>741.24800000000005</v>
      </c>
      <c r="F283">
        <v>34660.14</v>
      </c>
      <c r="J283">
        <v>0</v>
      </c>
      <c r="K283">
        <v>32237.78</v>
      </c>
      <c r="L283">
        <v>1681.1259</v>
      </c>
      <c r="M283">
        <v>741.24800000000005</v>
      </c>
      <c r="N283">
        <v>34660.153899999998</v>
      </c>
      <c r="R283">
        <v>0</v>
      </c>
      <c r="S283">
        <v>0</v>
      </c>
      <c r="T283">
        <v>0</v>
      </c>
      <c r="U283" t="s">
        <v>256</v>
      </c>
      <c r="V283" t="s">
        <v>90</v>
      </c>
      <c r="W283">
        <v>4</v>
      </c>
      <c r="Y283" t="s">
        <v>238</v>
      </c>
      <c r="AB283">
        <v>0</v>
      </c>
      <c r="AD283">
        <v>34660.14</v>
      </c>
      <c r="AE283">
        <v>0</v>
      </c>
      <c r="AF283">
        <v>0</v>
      </c>
      <c r="AG283">
        <v>34660.14</v>
      </c>
      <c r="AK283">
        <v>0</v>
      </c>
    </row>
    <row r="284" spans="1:37" x14ac:dyDescent="0.25">
      <c r="A284">
        <v>302786</v>
      </c>
      <c r="B284" t="s">
        <v>572</v>
      </c>
      <c r="C284">
        <v>28391.040863447</v>
      </c>
      <c r="D284">
        <v>0</v>
      </c>
      <c r="E284">
        <v>4542.5223381515198</v>
      </c>
      <c r="F284">
        <v>32933.56</v>
      </c>
      <c r="J284">
        <v>0</v>
      </c>
      <c r="K284">
        <v>28391.040863447</v>
      </c>
      <c r="L284">
        <v>0</v>
      </c>
      <c r="M284">
        <v>4542.5223381515198</v>
      </c>
      <c r="N284">
        <v>32933.563201598517</v>
      </c>
      <c r="R284">
        <v>0</v>
      </c>
      <c r="S284">
        <v>0</v>
      </c>
      <c r="T284">
        <v>0</v>
      </c>
      <c r="U284" t="s">
        <v>256</v>
      </c>
      <c r="V284" t="s">
        <v>90</v>
      </c>
      <c r="W284">
        <v>4</v>
      </c>
      <c r="Y284" t="s">
        <v>73</v>
      </c>
      <c r="Z284">
        <v>28391.040863447</v>
      </c>
      <c r="AA284">
        <v>32933.563201598517</v>
      </c>
      <c r="AB284" t="s">
        <v>279</v>
      </c>
      <c r="AD284">
        <v>0</v>
      </c>
      <c r="AE284">
        <v>0</v>
      </c>
      <c r="AF284">
        <v>32933.56</v>
      </c>
      <c r="AG284">
        <v>32933.56</v>
      </c>
      <c r="AK284">
        <v>0</v>
      </c>
    </row>
    <row r="285" spans="1:37" x14ac:dyDescent="0.25">
      <c r="A285">
        <v>6052</v>
      </c>
      <c r="B285" t="s">
        <v>573</v>
      </c>
      <c r="C285">
        <v>28210.66</v>
      </c>
      <c r="D285">
        <v>0</v>
      </c>
      <c r="E285">
        <v>4513.7056000000002</v>
      </c>
      <c r="F285">
        <v>32724.37</v>
      </c>
      <c r="J285">
        <v>0</v>
      </c>
      <c r="K285">
        <v>28210.66</v>
      </c>
      <c r="L285">
        <v>0</v>
      </c>
      <c r="M285">
        <v>4513.7056000000002</v>
      </c>
      <c r="N285">
        <v>32724.365600000001</v>
      </c>
      <c r="R285">
        <v>0</v>
      </c>
      <c r="S285">
        <v>0</v>
      </c>
      <c r="T285">
        <v>0</v>
      </c>
      <c r="U285" t="s">
        <v>256</v>
      </c>
      <c r="V285" t="s">
        <v>90</v>
      </c>
      <c r="W285">
        <v>4</v>
      </c>
      <c r="Y285" t="s">
        <v>73</v>
      </c>
      <c r="Z285">
        <v>28210.66</v>
      </c>
      <c r="AA285">
        <v>32724.365600000001</v>
      </c>
      <c r="AB285" t="s">
        <v>212</v>
      </c>
      <c r="AD285">
        <v>0</v>
      </c>
      <c r="AE285">
        <v>0</v>
      </c>
      <c r="AF285">
        <v>32724.37</v>
      </c>
      <c r="AG285">
        <v>32724.37</v>
      </c>
      <c r="AK285">
        <v>0</v>
      </c>
    </row>
    <row r="286" spans="1:37" x14ac:dyDescent="0.25">
      <c r="A286">
        <v>36137</v>
      </c>
      <c r="B286" t="s">
        <v>574</v>
      </c>
      <c r="C286">
        <v>28106.13</v>
      </c>
      <c r="D286">
        <v>0</v>
      </c>
      <c r="E286">
        <v>4496.9808000000003</v>
      </c>
      <c r="F286">
        <v>32603.11</v>
      </c>
      <c r="J286">
        <v>0</v>
      </c>
      <c r="K286">
        <v>28106.13</v>
      </c>
      <c r="L286">
        <v>0</v>
      </c>
      <c r="M286">
        <v>4496.9808000000003</v>
      </c>
      <c r="N286">
        <v>32603.110799999999</v>
      </c>
      <c r="R286">
        <v>0</v>
      </c>
      <c r="S286">
        <v>0</v>
      </c>
      <c r="T286">
        <v>0</v>
      </c>
      <c r="U286" t="s">
        <v>59</v>
      </c>
      <c r="V286" t="s">
        <v>75</v>
      </c>
      <c r="W286">
        <v>4</v>
      </c>
      <c r="Y286" t="s">
        <v>73</v>
      </c>
      <c r="Z286">
        <v>28106.13</v>
      </c>
      <c r="AA286">
        <v>32603.110799999999</v>
      </c>
      <c r="AB286" t="s">
        <v>575</v>
      </c>
      <c r="AD286">
        <v>0</v>
      </c>
      <c r="AE286">
        <v>0</v>
      </c>
      <c r="AF286">
        <v>32603.11</v>
      </c>
      <c r="AG286">
        <v>32603.11</v>
      </c>
      <c r="AH286">
        <v>32603.11</v>
      </c>
      <c r="AI286">
        <v>5</v>
      </c>
      <c r="AJ286" s="130">
        <v>46043</v>
      </c>
      <c r="AK286">
        <v>1</v>
      </c>
    </row>
    <row r="287" spans="1:37" x14ac:dyDescent="0.25">
      <c r="A287">
        <v>87221</v>
      </c>
      <c r="B287" t="s">
        <v>577</v>
      </c>
      <c r="C287">
        <v>27339.61</v>
      </c>
      <c r="D287">
        <v>0</v>
      </c>
      <c r="E287">
        <v>4374.3375999999998</v>
      </c>
      <c r="F287">
        <v>31713.95</v>
      </c>
      <c r="J287">
        <v>0</v>
      </c>
      <c r="K287">
        <v>27339.61</v>
      </c>
      <c r="L287">
        <v>0</v>
      </c>
      <c r="M287">
        <v>4374.3375999999998</v>
      </c>
      <c r="N287">
        <v>31713.9476</v>
      </c>
      <c r="R287">
        <v>0</v>
      </c>
      <c r="S287">
        <v>0</v>
      </c>
      <c r="T287">
        <v>0</v>
      </c>
      <c r="U287" t="s">
        <v>256</v>
      </c>
      <c r="V287" t="s">
        <v>90</v>
      </c>
      <c r="W287">
        <v>4</v>
      </c>
      <c r="Y287" t="s">
        <v>238</v>
      </c>
      <c r="AB287">
        <v>0</v>
      </c>
      <c r="AD287">
        <v>31713.95</v>
      </c>
      <c r="AE287">
        <v>0</v>
      </c>
      <c r="AF287">
        <v>0</v>
      </c>
      <c r="AG287">
        <v>31713.95</v>
      </c>
      <c r="AK287">
        <v>0</v>
      </c>
    </row>
    <row r="288" spans="1:37" x14ac:dyDescent="0.25">
      <c r="A288">
        <v>381970</v>
      </c>
      <c r="B288" t="s">
        <v>578</v>
      </c>
      <c r="C288">
        <v>26976.6</v>
      </c>
      <c r="D288">
        <v>0</v>
      </c>
      <c r="E288">
        <v>4316.2560000000003</v>
      </c>
      <c r="F288">
        <v>31292.856</v>
      </c>
      <c r="J288">
        <v>0</v>
      </c>
      <c r="K288">
        <v>26976.6</v>
      </c>
      <c r="L288">
        <v>0</v>
      </c>
      <c r="M288">
        <v>4316.2560000000003</v>
      </c>
      <c r="N288">
        <v>31292.856</v>
      </c>
      <c r="R288">
        <v>0</v>
      </c>
      <c r="S288">
        <v>0</v>
      </c>
      <c r="T288">
        <v>0</v>
      </c>
      <c r="U288" t="s">
        <v>256</v>
      </c>
      <c r="V288" t="s">
        <v>90</v>
      </c>
      <c r="W288">
        <v>4</v>
      </c>
      <c r="Y288" t="s">
        <v>73</v>
      </c>
      <c r="Z288">
        <v>26976.6</v>
      </c>
      <c r="AA288">
        <v>31292.856</v>
      </c>
      <c r="AB288" t="s">
        <v>386</v>
      </c>
      <c r="AD288">
        <v>0</v>
      </c>
      <c r="AE288">
        <v>0</v>
      </c>
      <c r="AF288">
        <v>31292.86</v>
      </c>
      <c r="AG288">
        <v>31292.856</v>
      </c>
      <c r="AK288">
        <v>0</v>
      </c>
    </row>
    <row r="289" spans="1:37" x14ac:dyDescent="0.25">
      <c r="A289">
        <v>10948</v>
      </c>
      <c r="B289" t="s">
        <v>579</v>
      </c>
      <c r="C289">
        <v>31239.35</v>
      </c>
      <c r="D289">
        <v>0</v>
      </c>
      <c r="E289">
        <v>0</v>
      </c>
      <c r="F289">
        <v>31239.35</v>
      </c>
      <c r="J289">
        <v>0</v>
      </c>
      <c r="K289">
        <v>31239.35</v>
      </c>
      <c r="L289">
        <v>0</v>
      </c>
      <c r="M289">
        <v>0</v>
      </c>
      <c r="N289">
        <v>31239.35</v>
      </c>
      <c r="R289">
        <v>0</v>
      </c>
      <c r="S289">
        <v>0</v>
      </c>
      <c r="T289">
        <v>0</v>
      </c>
      <c r="U289" t="s">
        <v>256</v>
      </c>
      <c r="V289" t="s">
        <v>90</v>
      </c>
      <c r="W289">
        <v>4</v>
      </c>
      <c r="Y289" t="s">
        <v>73</v>
      </c>
      <c r="Z289">
        <v>31239.35</v>
      </c>
      <c r="AA289">
        <v>31239.35</v>
      </c>
      <c r="AB289" t="s">
        <v>333</v>
      </c>
      <c r="AD289">
        <v>0</v>
      </c>
      <c r="AE289">
        <v>0</v>
      </c>
      <c r="AF289">
        <v>31239.35</v>
      </c>
      <c r="AG289">
        <v>31239.35</v>
      </c>
      <c r="AK289">
        <v>0</v>
      </c>
    </row>
    <row r="290" spans="1:37" x14ac:dyDescent="0.25">
      <c r="A290">
        <v>487</v>
      </c>
      <c r="B290" t="s">
        <v>580</v>
      </c>
      <c r="C290">
        <v>26469.77</v>
      </c>
      <c r="D290">
        <v>0</v>
      </c>
      <c r="E290">
        <v>4235.1632</v>
      </c>
      <c r="F290">
        <v>30704.93</v>
      </c>
      <c r="J290">
        <v>0</v>
      </c>
      <c r="K290">
        <v>26469.77</v>
      </c>
      <c r="L290">
        <v>0</v>
      </c>
      <c r="M290">
        <v>4235.1632</v>
      </c>
      <c r="N290">
        <v>30704.933199999999</v>
      </c>
      <c r="R290">
        <v>0</v>
      </c>
      <c r="S290">
        <v>0</v>
      </c>
      <c r="T290">
        <v>0</v>
      </c>
      <c r="U290" t="s">
        <v>256</v>
      </c>
      <c r="V290" t="s">
        <v>90</v>
      </c>
      <c r="W290">
        <v>4</v>
      </c>
      <c r="Y290" t="s">
        <v>238</v>
      </c>
      <c r="AB290">
        <v>0</v>
      </c>
      <c r="AD290">
        <v>30704.93</v>
      </c>
      <c r="AE290">
        <v>0</v>
      </c>
      <c r="AF290">
        <v>0</v>
      </c>
      <c r="AG290">
        <v>30704.93</v>
      </c>
      <c r="AK290">
        <v>0</v>
      </c>
    </row>
    <row r="291" spans="1:37" x14ac:dyDescent="0.25">
      <c r="A291">
        <v>226092</v>
      </c>
      <c r="B291" t="s">
        <v>581</v>
      </c>
      <c r="C291">
        <v>20819.2336346128</v>
      </c>
      <c r="D291">
        <v>5517.09711317238</v>
      </c>
      <c r="E291">
        <v>4213.8129716456197</v>
      </c>
      <c r="F291">
        <v>30550.16</v>
      </c>
      <c r="J291">
        <v>0</v>
      </c>
      <c r="K291">
        <v>20819.2336346128</v>
      </c>
      <c r="L291">
        <v>5517.09711317238</v>
      </c>
      <c r="M291">
        <v>4213.8129716456197</v>
      </c>
      <c r="N291">
        <v>30550.143719430798</v>
      </c>
      <c r="R291">
        <v>0</v>
      </c>
      <c r="S291">
        <v>0</v>
      </c>
      <c r="T291">
        <v>0</v>
      </c>
      <c r="U291" t="s">
        <v>256</v>
      </c>
      <c r="V291" t="s">
        <v>90</v>
      </c>
      <c r="W291">
        <v>4</v>
      </c>
      <c r="Y291" t="s">
        <v>73</v>
      </c>
      <c r="Z291">
        <v>20819.2336346128</v>
      </c>
      <c r="AA291">
        <v>30550.143719430798</v>
      </c>
      <c r="AB291" t="s">
        <v>333</v>
      </c>
      <c r="AD291">
        <v>0</v>
      </c>
      <c r="AE291">
        <v>0</v>
      </c>
      <c r="AF291">
        <v>30550.16</v>
      </c>
      <c r="AG291">
        <v>30550.16</v>
      </c>
      <c r="AK291">
        <v>0</v>
      </c>
    </row>
    <row r="292" spans="1:37" x14ac:dyDescent="0.25">
      <c r="A292">
        <v>391011</v>
      </c>
      <c r="B292" t="s">
        <v>582</v>
      </c>
      <c r="C292">
        <v>25199.73</v>
      </c>
      <c r="D292">
        <v>0</v>
      </c>
      <c r="E292">
        <v>4031.9567999999999</v>
      </c>
      <c r="F292">
        <v>29231.7</v>
      </c>
      <c r="J292">
        <v>0</v>
      </c>
      <c r="K292">
        <v>25199.73</v>
      </c>
      <c r="L292">
        <v>0</v>
      </c>
      <c r="M292">
        <v>4031.9567999999999</v>
      </c>
      <c r="N292">
        <v>29231.686799999999</v>
      </c>
      <c r="R292">
        <v>0</v>
      </c>
      <c r="S292">
        <v>0</v>
      </c>
      <c r="T292">
        <v>0</v>
      </c>
      <c r="U292" t="s">
        <v>256</v>
      </c>
      <c r="V292" t="s">
        <v>90</v>
      </c>
      <c r="W292">
        <v>4</v>
      </c>
      <c r="Y292" t="s">
        <v>73</v>
      </c>
      <c r="Z292">
        <v>25199.73</v>
      </c>
      <c r="AA292">
        <v>29231.686799999999</v>
      </c>
      <c r="AB292" t="s">
        <v>333</v>
      </c>
      <c r="AD292">
        <v>0</v>
      </c>
      <c r="AE292">
        <v>0</v>
      </c>
      <c r="AF292">
        <v>29231.7</v>
      </c>
      <c r="AG292">
        <v>29231.7</v>
      </c>
      <c r="AK292">
        <v>0</v>
      </c>
    </row>
    <row r="293" spans="1:37" x14ac:dyDescent="0.25">
      <c r="A293">
        <v>73528</v>
      </c>
      <c r="B293" t="s">
        <v>583</v>
      </c>
      <c r="C293">
        <v>25055.383671184001</v>
      </c>
      <c r="D293">
        <v>0</v>
      </c>
      <c r="E293">
        <v>4008.86898738944</v>
      </c>
      <c r="F293">
        <v>29064.25</v>
      </c>
      <c r="J293">
        <v>0</v>
      </c>
      <c r="K293">
        <v>25055.383671184001</v>
      </c>
      <c r="L293">
        <v>0</v>
      </c>
      <c r="M293">
        <v>4008.86898738944</v>
      </c>
      <c r="N293">
        <v>29064.252658573441</v>
      </c>
      <c r="R293">
        <v>0</v>
      </c>
      <c r="S293">
        <v>0</v>
      </c>
      <c r="T293">
        <v>0</v>
      </c>
      <c r="U293" t="s">
        <v>256</v>
      </c>
      <c r="V293" t="s">
        <v>90</v>
      </c>
      <c r="W293">
        <v>4</v>
      </c>
      <c r="Y293" t="s">
        <v>73</v>
      </c>
      <c r="Z293">
        <v>25055.383671184001</v>
      </c>
      <c r="AA293">
        <v>29064.252658573441</v>
      </c>
      <c r="AB293">
        <v>0</v>
      </c>
      <c r="AD293">
        <v>0</v>
      </c>
      <c r="AE293">
        <v>0</v>
      </c>
      <c r="AF293">
        <v>29064.25</v>
      </c>
      <c r="AG293">
        <v>29064.25</v>
      </c>
      <c r="AK293">
        <v>0</v>
      </c>
    </row>
    <row r="294" spans="1:37" x14ac:dyDescent="0.25">
      <c r="A294">
        <v>396234</v>
      </c>
      <c r="B294" t="s">
        <v>584</v>
      </c>
      <c r="C294">
        <v>24788.137393540801</v>
      </c>
      <c r="D294">
        <v>0</v>
      </c>
      <c r="E294">
        <v>3966.101982966527</v>
      </c>
      <c r="F294">
        <v>28754.29</v>
      </c>
      <c r="J294">
        <v>0</v>
      </c>
      <c r="K294">
        <v>24788.137393540801</v>
      </c>
      <c r="L294">
        <v>0</v>
      </c>
      <c r="M294">
        <v>3966.101982966527</v>
      </c>
      <c r="N294">
        <v>28754.239376507328</v>
      </c>
      <c r="R294">
        <v>0</v>
      </c>
      <c r="S294">
        <v>0</v>
      </c>
      <c r="T294">
        <v>0</v>
      </c>
      <c r="U294" t="s">
        <v>256</v>
      </c>
      <c r="V294" t="s">
        <v>90</v>
      </c>
      <c r="W294">
        <v>4</v>
      </c>
      <c r="Y294" t="s">
        <v>238</v>
      </c>
      <c r="AB294">
        <v>0</v>
      </c>
      <c r="AD294">
        <v>0</v>
      </c>
      <c r="AE294">
        <v>28754.29</v>
      </c>
      <c r="AF294">
        <v>0</v>
      </c>
      <c r="AG294">
        <v>0</v>
      </c>
      <c r="AK294">
        <v>0</v>
      </c>
    </row>
    <row r="295" spans="1:37" x14ac:dyDescent="0.25">
      <c r="A295">
        <v>12246</v>
      </c>
      <c r="B295" t="s">
        <v>585</v>
      </c>
      <c r="C295">
        <v>28547.25</v>
      </c>
      <c r="D295">
        <v>0</v>
      </c>
      <c r="E295">
        <v>0</v>
      </c>
      <c r="F295">
        <v>28547.25</v>
      </c>
      <c r="J295">
        <v>0</v>
      </c>
      <c r="K295">
        <v>28547.25</v>
      </c>
      <c r="L295">
        <v>0</v>
      </c>
      <c r="M295">
        <v>0</v>
      </c>
      <c r="N295">
        <v>28547.25</v>
      </c>
      <c r="R295">
        <v>0</v>
      </c>
      <c r="S295">
        <v>0</v>
      </c>
      <c r="T295">
        <v>0</v>
      </c>
      <c r="U295" t="s">
        <v>256</v>
      </c>
      <c r="V295" t="s">
        <v>90</v>
      </c>
      <c r="W295">
        <v>4</v>
      </c>
      <c r="Y295" t="s">
        <v>238</v>
      </c>
      <c r="AB295">
        <v>0</v>
      </c>
      <c r="AD295">
        <v>28547.25</v>
      </c>
      <c r="AE295">
        <v>0</v>
      </c>
      <c r="AF295">
        <v>0</v>
      </c>
      <c r="AG295">
        <v>28547.25</v>
      </c>
      <c r="AK295">
        <v>0</v>
      </c>
    </row>
    <row r="296" spans="1:37" x14ac:dyDescent="0.25">
      <c r="A296">
        <v>308721</v>
      </c>
      <c r="B296" t="s">
        <v>586</v>
      </c>
      <c r="C296">
        <v>23288.649001843001</v>
      </c>
      <c r="D296">
        <v>0</v>
      </c>
      <c r="E296">
        <v>3646.70894029488</v>
      </c>
      <c r="F296">
        <v>26935.34</v>
      </c>
      <c r="J296">
        <v>0</v>
      </c>
      <c r="K296">
        <v>23288.649001843001</v>
      </c>
      <c r="L296">
        <v>0</v>
      </c>
      <c r="M296">
        <v>3646.70894029488</v>
      </c>
      <c r="N296">
        <v>26935.357942137889</v>
      </c>
      <c r="R296">
        <v>0</v>
      </c>
      <c r="S296">
        <v>0</v>
      </c>
      <c r="T296">
        <v>0</v>
      </c>
      <c r="U296" t="s">
        <v>256</v>
      </c>
      <c r="V296" t="s">
        <v>90</v>
      </c>
      <c r="W296">
        <v>4</v>
      </c>
      <c r="Y296" t="s">
        <v>73</v>
      </c>
      <c r="Z296">
        <v>23288.649001843001</v>
      </c>
      <c r="AA296">
        <v>26935.357942137889</v>
      </c>
      <c r="AB296">
        <v>0</v>
      </c>
      <c r="AD296">
        <v>0</v>
      </c>
      <c r="AE296">
        <v>0</v>
      </c>
      <c r="AF296">
        <v>26935.34</v>
      </c>
      <c r="AG296">
        <v>26935.34</v>
      </c>
      <c r="AK296">
        <v>0</v>
      </c>
    </row>
    <row r="297" spans="1:37" x14ac:dyDescent="0.25">
      <c r="A297">
        <v>4404</v>
      </c>
      <c r="B297" t="s">
        <v>587</v>
      </c>
      <c r="C297">
        <v>23186.02</v>
      </c>
      <c r="D297">
        <v>0</v>
      </c>
      <c r="E297">
        <v>3709.7806</v>
      </c>
      <c r="F297">
        <v>26895.94</v>
      </c>
      <c r="J297">
        <v>0</v>
      </c>
      <c r="K297">
        <v>23186.02</v>
      </c>
      <c r="L297">
        <v>0</v>
      </c>
      <c r="M297">
        <v>3709.7806</v>
      </c>
      <c r="N297">
        <v>26895.800599999999</v>
      </c>
      <c r="R297">
        <v>0</v>
      </c>
      <c r="S297">
        <v>0</v>
      </c>
      <c r="T297">
        <v>0</v>
      </c>
      <c r="U297" t="s">
        <v>256</v>
      </c>
      <c r="V297" t="s">
        <v>90</v>
      </c>
      <c r="W297">
        <v>4</v>
      </c>
      <c r="Y297" t="s">
        <v>238</v>
      </c>
      <c r="AB297">
        <v>0</v>
      </c>
      <c r="AD297">
        <v>14482.3</v>
      </c>
      <c r="AE297">
        <v>0</v>
      </c>
      <c r="AF297">
        <v>12413.64</v>
      </c>
      <c r="AG297">
        <v>26895.94</v>
      </c>
      <c r="AK297">
        <v>0</v>
      </c>
    </row>
    <row r="298" spans="1:37" x14ac:dyDescent="0.25">
      <c r="A298">
        <v>203749</v>
      </c>
      <c r="B298" t="s">
        <v>588</v>
      </c>
      <c r="C298">
        <v>22446.83</v>
      </c>
      <c r="D298">
        <v>0</v>
      </c>
      <c r="E298">
        <v>3591.4928</v>
      </c>
      <c r="F298">
        <v>26038.32</v>
      </c>
      <c r="J298">
        <v>0</v>
      </c>
      <c r="K298">
        <v>22446.83</v>
      </c>
      <c r="L298">
        <v>0</v>
      </c>
      <c r="M298">
        <v>3591.4928</v>
      </c>
      <c r="N298">
        <v>26038.322800000002</v>
      </c>
      <c r="R298">
        <v>0</v>
      </c>
      <c r="S298">
        <v>0</v>
      </c>
      <c r="T298">
        <v>0</v>
      </c>
      <c r="U298" t="s">
        <v>256</v>
      </c>
      <c r="V298" t="s">
        <v>90</v>
      </c>
      <c r="W298">
        <v>4</v>
      </c>
      <c r="Y298" t="s">
        <v>238</v>
      </c>
      <c r="AB298">
        <v>0</v>
      </c>
      <c r="AD298">
        <v>26038.32</v>
      </c>
      <c r="AE298">
        <v>0</v>
      </c>
      <c r="AF298">
        <v>0</v>
      </c>
      <c r="AG298">
        <v>26038.32</v>
      </c>
      <c r="AK298">
        <v>0</v>
      </c>
    </row>
    <row r="299" spans="1:37" x14ac:dyDescent="0.25">
      <c r="A299">
        <v>312017</v>
      </c>
      <c r="B299" t="s">
        <v>589</v>
      </c>
      <c r="C299">
        <v>25810.78999999999</v>
      </c>
      <c r="D299">
        <v>0</v>
      </c>
      <c r="E299">
        <v>0</v>
      </c>
      <c r="F299">
        <v>25810.78999999999</v>
      </c>
      <c r="J299">
        <v>0</v>
      </c>
      <c r="K299">
        <v>25810.78999999999</v>
      </c>
      <c r="L299">
        <v>0</v>
      </c>
      <c r="M299">
        <v>0</v>
      </c>
      <c r="N299">
        <v>25810.78999999999</v>
      </c>
      <c r="R299">
        <v>0</v>
      </c>
      <c r="S299">
        <v>0</v>
      </c>
      <c r="T299">
        <v>0</v>
      </c>
      <c r="U299" t="s">
        <v>256</v>
      </c>
      <c r="V299" t="s">
        <v>90</v>
      </c>
      <c r="W299">
        <v>4</v>
      </c>
      <c r="Y299" t="s">
        <v>238</v>
      </c>
      <c r="AB299">
        <v>0</v>
      </c>
      <c r="AD299">
        <v>25810.79</v>
      </c>
      <c r="AE299">
        <v>0</v>
      </c>
      <c r="AF299">
        <v>0</v>
      </c>
      <c r="AG299">
        <v>25810.78999999999</v>
      </c>
      <c r="AK299">
        <v>0</v>
      </c>
    </row>
    <row r="300" spans="1:37" x14ac:dyDescent="0.25">
      <c r="A300">
        <v>329763</v>
      </c>
      <c r="B300" t="s">
        <v>590</v>
      </c>
      <c r="C300">
        <v>22230.299800000001</v>
      </c>
      <c r="D300">
        <v>0</v>
      </c>
      <c r="E300">
        <v>3556.848</v>
      </c>
      <c r="F300">
        <v>25787.1234</v>
      </c>
      <c r="J300">
        <v>0</v>
      </c>
      <c r="K300">
        <v>22230.299800000001</v>
      </c>
      <c r="L300">
        <v>0</v>
      </c>
      <c r="M300">
        <v>3556.848</v>
      </c>
      <c r="N300">
        <v>25787.147799999999</v>
      </c>
      <c r="R300">
        <v>0</v>
      </c>
      <c r="S300">
        <v>0</v>
      </c>
      <c r="T300">
        <v>0</v>
      </c>
      <c r="U300" t="s">
        <v>256</v>
      </c>
      <c r="V300" t="s">
        <v>90</v>
      </c>
      <c r="W300">
        <v>4</v>
      </c>
      <c r="Y300" t="s">
        <v>238</v>
      </c>
      <c r="AB300">
        <v>0</v>
      </c>
      <c r="AD300">
        <v>0</v>
      </c>
      <c r="AE300">
        <v>25787.119999999999</v>
      </c>
      <c r="AF300">
        <v>0</v>
      </c>
      <c r="AG300">
        <v>3.3999999941443089E-3</v>
      </c>
      <c r="AK300">
        <v>0</v>
      </c>
    </row>
    <row r="301" spans="1:37" x14ac:dyDescent="0.25">
      <c r="A301">
        <v>77933</v>
      </c>
      <c r="B301" t="s">
        <v>591</v>
      </c>
      <c r="C301">
        <v>22135.75</v>
      </c>
      <c r="D301">
        <v>0</v>
      </c>
      <c r="E301">
        <v>3541.72</v>
      </c>
      <c r="F301">
        <v>25677.47</v>
      </c>
      <c r="J301">
        <v>0</v>
      </c>
      <c r="K301">
        <v>22135.75</v>
      </c>
      <c r="L301">
        <v>0</v>
      </c>
      <c r="M301">
        <v>3541.72</v>
      </c>
      <c r="N301">
        <v>25677.47</v>
      </c>
      <c r="R301">
        <v>0</v>
      </c>
      <c r="S301">
        <v>0</v>
      </c>
      <c r="T301">
        <v>0</v>
      </c>
      <c r="U301" t="s">
        <v>59</v>
      </c>
      <c r="V301" t="s">
        <v>75</v>
      </c>
      <c r="W301">
        <v>4</v>
      </c>
      <c r="Y301" t="s">
        <v>73</v>
      </c>
      <c r="Z301">
        <v>22135.75</v>
      </c>
      <c r="AA301">
        <v>25677.47</v>
      </c>
      <c r="AB301" t="s">
        <v>592</v>
      </c>
      <c r="AD301">
        <v>0</v>
      </c>
      <c r="AE301">
        <v>0</v>
      </c>
      <c r="AF301">
        <v>25677.47</v>
      </c>
      <c r="AG301">
        <v>25677.47</v>
      </c>
      <c r="AH301">
        <v>2188.5300000000002</v>
      </c>
      <c r="AI301">
        <v>1</v>
      </c>
      <c r="AJ301" s="130">
        <v>46048</v>
      </c>
      <c r="AK301">
        <v>0</v>
      </c>
    </row>
    <row r="302" spans="1:37" x14ac:dyDescent="0.25">
      <c r="A302">
        <v>387779</v>
      </c>
      <c r="B302" t="s">
        <v>596</v>
      </c>
      <c r="C302">
        <v>21516.455869416</v>
      </c>
      <c r="D302">
        <v>0</v>
      </c>
      <c r="E302">
        <v>3442.6329391065601</v>
      </c>
      <c r="F302">
        <v>24959.09</v>
      </c>
      <c r="J302">
        <v>0</v>
      </c>
      <c r="K302">
        <v>21516.455869416</v>
      </c>
      <c r="L302">
        <v>0</v>
      </c>
      <c r="M302">
        <v>3442.6329391065601</v>
      </c>
      <c r="N302">
        <v>24959.08880852256</v>
      </c>
      <c r="R302">
        <v>0</v>
      </c>
      <c r="S302">
        <v>0</v>
      </c>
      <c r="T302">
        <v>0</v>
      </c>
      <c r="U302" t="s">
        <v>256</v>
      </c>
      <c r="V302" t="s">
        <v>90</v>
      </c>
      <c r="W302">
        <v>4</v>
      </c>
      <c r="Y302" t="s">
        <v>73</v>
      </c>
      <c r="Z302">
        <v>21516.455869416</v>
      </c>
      <c r="AA302">
        <v>24959.08880852256</v>
      </c>
      <c r="AB302">
        <v>0</v>
      </c>
      <c r="AD302">
        <v>0</v>
      </c>
      <c r="AE302">
        <v>0</v>
      </c>
      <c r="AF302">
        <v>24959.09</v>
      </c>
      <c r="AG302">
        <v>24959.09</v>
      </c>
      <c r="AK302">
        <v>0</v>
      </c>
    </row>
    <row r="303" spans="1:37" x14ac:dyDescent="0.25">
      <c r="A303">
        <v>20845</v>
      </c>
      <c r="B303" t="s">
        <v>597</v>
      </c>
      <c r="C303">
        <v>21475.68</v>
      </c>
      <c r="D303">
        <v>0</v>
      </c>
      <c r="E303">
        <v>3436.1088</v>
      </c>
      <c r="F303">
        <v>24911.78</v>
      </c>
      <c r="J303">
        <v>0</v>
      </c>
      <c r="K303">
        <v>21475.68</v>
      </c>
      <c r="L303">
        <v>0</v>
      </c>
      <c r="M303">
        <v>3436.1088</v>
      </c>
      <c r="N303">
        <v>24911.788799999998</v>
      </c>
      <c r="R303">
        <v>0</v>
      </c>
      <c r="S303">
        <v>0</v>
      </c>
      <c r="T303">
        <v>0</v>
      </c>
      <c r="U303" t="s">
        <v>256</v>
      </c>
      <c r="V303" t="s">
        <v>90</v>
      </c>
      <c r="W303">
        <v>4</v>
      </c>
      <c r="Y303" t="s">
        <v>73</v>
      </c>
      <c r="Z303">
        <v>21475.68</v>
      </c>
      <c r="AA303">
        <v>24911.788799999998</v>
      </c>
      <c r="AB303">
        <v>0</v>
      </c>
      <c r="AD303">
        <v>0</v>
      </c>
      <c r="AE303">
        <v>0</v>
      </c>
      <c r="AF303">
        <v>24911.78</v>
      </c>
      <c r="AG303">
        <v>24911.78</v>
      </c>
      <c r="AK303">
        <v>0</v>
      </c>
    </row>
    <row r="304" spans="1:37" x14ac:dyDescent="0.25">
      <c r="A304">
        <v>345983</v>
      </c>
      <c r="B304" t="s">
        <v>598</v>
      </c>
      <c r="C304">
        <v>24365.25</v>
      </c>
      <c r="D304">
        <v>0</v>
      </c>
      <c r="E304">
        <v>0</v>
      </c>
      <c r="F304">
        <v>24365.25</v>
      </c>
      <c r="J304">
        <v>0</v>
      </c>
      <c r="K304">
        <v>24365.25</v>
      </c>
      <c r="L304">
        <v>0</v>
      </c>
      <c r="M304">
        <v>0</v>
      </c>
      <c r="N304">
        <v>24365.25</v>
      </c>
      <c r="R304">
        <v>0</v>
      </c>
      <c r="S304">
        <v>0</v>
      </c>
      <c r="T304">
        <v>0</v>
      </c>
      <c r="U304" t="s">
        <v>256</v>
      </c>
      <c r="V304" t="s">
        <v>90</v>
      </c>
      <c r="W304">
        <v>4</v>
      </c>
      <c r="Y304" t="s">
        <v>238</v>
      </c>
      <c r="AB304" t="s">
        <v>212</v>
      </c>
      <c r="AD304">
        <v>24365.25</v>
      </c>
      <c r="AE304">
        <v>0</v>
      </c>
      <c r="AF304">
        <v>0</v>
      </c>
      <c r="AG304">
        <v>24365.25</v>
      </c>
      <c r="AK304">
        <v>0</v>
      </c>
    </row>
    <row r="305" spans="1:37" x14ac:dyDescent="0.25">
      <c r="A305">
        <v>16200</v>
      </c>
      <c r="B305" t="s">
        <v>599</v>
      </c>
      <c r="C305">
        <v>23143.3708901098</v>
      </c>
      <c r="D305">
        <v>0</v>
      </c>
      <c r="E305">
        <v>0</v>
      </c>
      <c r="F305">
        <v>23143.37</v>
      </c>
      <c r="J305">
        <v>0</v>
      </c>
      <c r="K305">
        <v>23143.3708901098</v>
      </c>
      <c r="L305">
        <v>0</v>
      </c>
      <c r="M305">
        <v>0</v>
      </c>
      <c r="N305">
        <v>23143.3708901098</v>
      </c>
      <c r="R305">
        <v>0</v>
      </c>
      <c r="S305">
        <v>0</v>
      </c>
      <c r="T305">
        <v>0</v>
      </c>
      <c r="U305" t="s">
        <v>256</v>
      </c>
      <c r="V305" t="s">
        <v>90</v>
      </c>
      <c r="W305">
        <v>4</v>
      </c>
      <c r="Y305" t="s">
        <v>238</v>
      </c>
      <c r="AB305">
        <v>0</v>
      </c>
      <c r="AD305">
        <v>23143.37</v>
      </c>
      <c r="AE305">
        <v>0</v>
      </c>
      <c r="AF305">
        <v>0</v>
      </c>
      <c r="AG305">
        <v>23143.37</v>
      </c>
      <c r="AK305">
        <v>0</v>
      </c>
    </row>
    <row r="306" spans="1:37" x14ac:dyDescent="0.25">
      <c r="A306">
        <v>314807</v>
      </c>
      <c r="B306" t="s">
        <v>600</v>
      </c>
      <c r="C306">
        <v>19790.580000000002</v>
      </c>
      <c r="D306">
        <v>0</v>
      </c>
      <c r="E306">
        <v>3166.4928</v>
      </c>
      <c r="F306">
        <v>22957.07</v>
      </c>
      <c r="J306">
        <v>0</v>
      </c>
      <c r="K306">
        <v>19790.580000000002</v>
      </c>
      <c r="L306">
        <v>0</v>
      </c>
      <c r="M306">
        <v>3166.4928</v>
      </c>
      <c r="N306">
        <v>22957.072800000002</v>
      </c>
      <c r="R306">
        <v>0</v>
      </c>
      <c r="S306">
        <v>0</v>
      </c>
      <c r="T306">
        <v>0</v>
      </c>
      <c r="U306" t="s">
        <v>256</v>
      </c>
      <c r="V306" t="s">
        <v>90</v>
      </c>
      <c r="W306">
        <v>4</v>
      </c>
      <c r="Y306" t="s">
        <v>73</v>
      </c>
      <c r="Z306">
        <v>19790.580000000002</v>
      </c>
      <c r="AA306">
        <v>22957.072800000002</v>
      </c>
      <c r="AB306" t="s">
        <v>212</v>
      </c>
      <c r="AD306">
        <v>0</v>
      </c>
      <c r="AE306">
        <v>0</v>
      </c>
      <c r="AF306">
        <v>22957.07</v>
      </c>
      <c r="AG306">
        <v>22957.07</v>
      </c>
      <c r="AK306">
        <v>0</v>
      </c>
    </row>
    <row r="307" spans="1:37" x14ac:dyDescent="0.25">
      <c r="A307">
        <v>385534</v>
      </c>
      <c r="B307" t="s">
        <v>601</v>
      </c>
      <c r="C307">
        <v>19153.807755704001</v>
      </c>
      <c r="D307">
        <v>0</v>
      </c>
      <c r="E307">
        <v>3064.6195409126399</v>
      </c>
      <c r="F307">
        <v>22218.41</v>
      </c>
      <c r="J307">
        <v>0</v>
      </c>
      <c r="K307">
        <v>19153.807755704001</v>
      </c>
      <c r="L307">
        <v>0</v>
      </c>
      <c r="M307">
        <v>3064.6195409126399</v>
      </c>
      <c r="N307">
        <v>22218.427296616639</v>
      </c>
      <c r="R307">
        <v>0</v>
      </c>
      <c r="S307">
        <v>0</v>
      </c>
      <c r="T307">
        <v>0</v>
      </c>
      <c r="U307" t="s">
        <v>59</v>
      </c>
      <c r="V307" t="s">
        <v>75</v>
      </c>
      <c r="W307">
        <v>4</v>
      </c>
      <c r="Y307" t="s">
        <v>73</v>
      </c>
      <c r="Z307">
        <v>19153.807755704001</v>
      </c>
      <c r="AA307">
        <v>22218.427296616639</v>
      </c>
      <c r="AB307" t="s">
        <v>602</v>
      </c>
      <c r="AD307">
        <v>0</v>
      </c>
      <c r="AE307">
        <v>0</v>
      </c>
      <c r="AF307">
        <v>22218.41</v>
      </c>
      <c r="AG307">
        <v>22218.41</v>
      </c>
      <c r="AH307">
        <v>22218.41</v>
      </c>
      <c r="AJ307" s="130">
        <v>46057</v>
      </c>
      <c r="AK307">
        <v>0</v>
      </c>
    </row>
    <row r="308" spans="1:37" x14ac:dyDescent="0.25">
      <c r="A308">
        <v>322206</v>
      </c>
      <c r="B308" t="s">
        <v>604</v>
      </c>
      <c r="C308">
        <v>18692.240000000002</v>
      </c>
      <c r="D308">
        <v>0</v>
      </c>
      <c r="E308">
        <v>2990.739</v>
      </c>
      <c r="F308">
        <v>21682.9</v>
      </c>
      <c r="J308">
        <v>0</v>
      </c>
      <c r="K308">
        <v>18692.240000000002</v>
      </c>
      <c r="L308">
        <v>0</v>
      </c>
      <c r="M308">
        <v>2990.739</v>
      </c>
      <c r="N308">
        <v>21682.978999999999</v>
      </c>
      <c r="R308">
        <v>0</v>
      </c>
      <c r="S308">
        <v>0</v>
      </c>
      <c r="T308">
        <v>0</v>
      </c>
      <c r="U308" t="s">
        <v>256</v>
      </c>
      <c r="V308" t="s">
        <v>90</v>
      </c>
      <c r="W308">
        <v>4</v>
      </c>
      <c r="Y308" t="s">
        <v>73</v>
      </c>
      <c r="Z308">
        <v>18692.240000000002</v>
      </c>
      <c r="AA308">
        <v>21682.978999999999</v>
      </c>
      <c r="AB308">
        <v>0</v>
      </c>
      <c r="AD308">
        <v>0</v>
      </c>
      <c r="AE308">
        <v>0</v>
      </c>
      <c r="AF308">
        <v>21682.9</v>
      </c>
      <c r="AG308">
        <v>21682.9</v>
      </c>
      <c r="AK308">
        <v>0</v>
      </c>
    </row>
    <row r="309" spans="1:37" x14ac:dyDescent="0.25">
      <c r="A309">
        <v>101113</v>
      </c>
      <c r="B309" t="s">
        <v>605</v>
      </c>
      <c r="C309">
        <v>18530.669999999998</v>
      </c>
      <c r="D309">
        <v>0</v>
      </c>
      <c r="E309">
        <v>2964.9230000000011</v>
      </c>
      <c r="F309">
        <v>21495.59</v>
      </c>
      <c r="J309">
        <v>0</v>
      </c>
      <c r="K309">
        <v>18530.669999999998</v>
      </c>
      <c r="L309">
        <v>0</v>
      </c>
      <c r="M309">
        <v>2964.9230000000011</v>
      </c>
      <c r="N309">
        <v>21495.593000000001</v>
      </c>
      <c r="R309">
        <v>0</v>
      </c>
      <c r="S309">
        <v>0</v>
      </c>
      <c r="T309">
        <v>0</v>
      </c>
      <c r="U309" t="s">
        <v>256</v>
      </c>
      <c r="V309" t="s">
        <v>90</v>
      </c>
      <c r="W309">
        <v>4</v>
      </c>
      <c r="Y309" t="s">
        <v>238</v>
      </c>
      <c r="AB309" t="s">
        <v>212</v>
      </c>
      <c r="AD309">
        <v>21495.59</v>
      </c>
      <c r="AE309">
        <v>0</v>
      </c>
      <c r="AF309">
        <v>0</v>
      </c>
      <c r="AG309">
        <v>21495.59</v>
      </c>
      <c r="AK309">
        <v>0</v>
      </c>
    </row>
    <row r="310" spans="1:37" x14ac:dyDescent="0.25">
      <c r="A310">
        <v>227439</v>
      </c>
      <c r="B310" t="s">
        <v>606</v>
      </c>
      <c r="C310">
        <v>18004.03</v>
      </c>
      <c r="D310">
        <v>0</v>
      </c>
      <c r="E310">
        <v>2880.6448</v>
      </c>
      <c r="F310">
        <v>20884.68</v>
      </c>
      <c r="J310">
        <v>0</v>
      </c>
      <c r="K310">
        <v>18004.03</v>
      </c>
      <c r="L310">
        <v>0</v>
      </c>
      <c r="M310">
        <v>2880.6448</v>
      </c>
      <c r="N310">
        <v>20884.674800000001</v>
      </c>
      <c r="R310">
        <v>0</v>
      </c>
      <c r="S310">
        <v>0</v>
      </c>
      <c r="T310">
        <v>0</v>
      </c>
      <c r="U310" t="s">
        <v>256</v>
      </c>
      <c r="V310" t="s">
        <v>90</v>
      </c>
      <c r="W310">
        <v>4</v>
      </c>
      <c r="Y310" t="s">
        <v>238</v>
      </c>
      <c r="AB310">
        <v>0</v>
      </c>
      <c r="AD310">
        <v>20884.68</v>
      </c>
      <c r="AE310">
        <v>0</v>
      </c>
      <c r="AF310">
        <v>0</v>
      </c>
      <c r="AG310">
        <v>20884.68</v>
      </c>
      <c r="AK310">
        <v>0</v>
      </c>
    </row>
    <row r="311" spans="1:37" x14ac:dyDescent="0.25">
      <c r="A311">
        <v>1530</v>
      </c>
      <c r="B311" t="s">
        <v>607</v>
      </c>
      <c r="C311">
        <v>20017.240000000002</v>
      </c>
      <c r="D311">
        <v>0</v>
      </c>
      <c r="E311">
        <v>0</v>
      </c>
      <c r="F311">
        <v>20017.240000000002</v>
      </c>
      <c r="J311">
        <v>0</v>
      </c>
      <c r="K311">
        <v>20017.240000000002</v>
      </c>
      <c r="L311">
        <v>0</v>
      </c>
      <c r="M311">
        <v>0</v>
      </c>
      <c r="N311">
        <v>20017.240000000002</v>
      </c>
      <c r="R311">
        <v>0</v>
      </c>
      <c r="S311">
        <v>0</v>
      </c>
      <c r="T311">
        <v>0</v>
      </c>
      <c r="U311" t="s">
        <v>256</v>
      </c>
      <c r="V311" t="s">
        <v>90</v>
      </c>
      <c r="W311">
        <v>4</v>
      </c>
      <c r="Y311" t="s">
        <v>238</v>
      </c>
      <c r="AB311">
        <v>0</v>
      </c>
      <c r="AD311">
        <v>20017.240000000002</v>
      </c>
      <c r="AE311">
        <v>0</v>
      </c>
      <c r="AF311">
        <v>0</v>
      </c>
      <c r="AG311">
        <v>20017.240000000002</v>
      </c>
      <c r="AK311">
        <v>0</v>
      </c>
    </row>
    <row r="312" spans="1:37" x14ac:dyDescent="0.25">
      <c r="A312">
        <v>309401</v>
      </c>
      <c r="B312" t="s">
        <v>608</v>
      </c>
      <c r="C312">
        <v>17148.759999999998</v>
      </c>
      <c r="D312">
        <v>0</v>
      </c>
      <c r="E312">
        <v>2743.8015999999998</v>
      </c>
      <c r="F312">
        <v>19892.57</v>
      </c>
      <c r="J312">
        <v>0</v>
      </c>
      <c r="K312">
        <v>17148.759999999998</v>
      </c>
      <c r="L312">
        <v>0</v>
      </c>
      <c r="M312">
        <v>2743.8015999999998</v>
      </c>
      <c r="N312">
        <v>19892.561600000001</v>
      </c>
      <c r="R312">
        <v>0</v>
      </c>
      <c r="S312">
        <v>0</v>
      </c>
      <c r="T312">
        <v>0</v>
      </c>
      <c r="U312" t="s">
        <v>256</v>
      </c>
      <c r="V312" t="s">
        <v>90</v>
      </c>
      <c r="W312">
        <v>4</v>
      </c>
      <c r="Y312" t="s">
        <v>73</v>
      </c>
      <c r="Z312">
        <v>17148.759999999998</v>
      </c>
      <c r="AA312">
        <v>19892.561600000001</v>
      </c>
      <c r="AB312">
        <v>0</v>
      </c>
      <c r="AD312">
        <v>0</v>
      </c>
      <c r="AE312">
        <v>0</v>
      </c>
      <c r="AF312">
        <v>19892.57</v>
      </c>
      <c r="AG312">
        <v>19892.57</v>
      </c>
      <c r="AK312">
        <v>0</v>
      </c>
    </row>
    <row r="313" spans="1:37" x14ac:dyDescent="0.25">
      <c r="A313">
        <v>388736</v>
      </c>
      <c r="B313" t="s">
        <v>609</v>
      </c>
      <c r="C313">
        <v>16761.09</v>
      </c>
      <c r="D313">
        <v>0</v>
      </c>
      <c r="E313">
        <v>2681.7743999999998</v>
      </c>
      <c r="F313">
        <v>19442.87</v>
      </c>
      <c r="J313">
        <v>0</v>
      </c>
      <c r="K313">
        <v>16761.09</v>
      </c>
      <c r="L313">
        <v>0</v>
      </c>
      <c r="M313">
        <v>2681.7743999999998</v>
      </c>
      <c r="N313">
        <v>19442.864399999999</v>
      </c>
      <c r="R313">
        <v>0</v>
      </c>
      <c r="S313">
        <v>0</v>
      </c>
      <c r="T313">
        <v>0</v>
      </c>
      <c r="U313" t="s">
        <v>256</v>
      </c>
      <c r="V313" t="s">
        <v>90</v>
      </c>
      <c r="W313">
        <v>4</v>
      </c>
      <c r="Y313" t="s">
        <v>238</v>
      </c>
      <c r="AB313">
        <v>0</v>
      </c>
      <c r="AD313">
        <v>0</v>
      </c>
      <c r="AE313">
        <v>19442.87</v>
      </c>
      <c r="AF313">
        <v>0</v>
      </c>
      <c r="AG313">
        <v>0</v>
      </c>
      <c r="AK313">
        <v>0</v>
      </c>
    </row>
    <row r="314" spans="1:37" x14ac:dyDescent="0.25">
      <c r="A314">
        <v>77289</v>
      </c>
      <c r="B314" t="s">
        <v>610</v>
      </c>
      <c r="C314">
        <v>16492.91</v>
      </c>
      <c r="D314">
        <v>0</v>
      </c>
      <c r="E314">
        <v>2638.8656000000001</v>
      </c>
      <c r="F314">
        <v>19131.77</v>
      </c>
      <c r="J314">
        <v>0</v>
      </c>
      <c r="K314">
        <v>16492.91</v>
      </c>
      <c r="L314">
        <v>0</v>
      </c>
      <c r="M314">
        <v>2638.8656000000001</v>
      </c>
      <c r="N314">
        <v>19131.775600000001</v>
      </c>
      <c r="R314">
        <v>0</v>
      </c>
      <c r="S314">
        <v>0</v>
      </c>
      <c r="T314">
        <v>0</v>
      </c>
      <c r="U314" t="s">
        <v>256</v>
      </c>
      <c r="V314" t="s">
        <v>90</v>
      </c>
      <c r="W314">
        <v>4</v>
      </c>
      <c r="Y314" t="s">
        <v>238</v>
      </c>
      <c r="AB314">
        <v>0</v>
      </c>
      <c r="AD314">
        <v>19131.77</v>
      </c>
      <c r="AE314">
        <v>0</v>
      </c>
      <c r="AF314">
        <v>0</v>
      </c>
      <c r="AG314">
        <v>19131.77</v>
      </c>
      <c r="AK314">
        <v>0</v>
      </c>
    </row>
    <row r="315" spans="1:37" x14ac:dyDescent="0.25">
      <c r="A315">
        <v>4830</v>
      </c>
      <c r="B315" t="s">
        <v>611</v>
      </c>
      <c r="C315">
        <v>19128.419999999998</v>
      </c>
      <c r="D315">
        <v>0</v>
      </c>
      <c r="E315">
        <v>0</v>
      </c>
      <c r="F315">
        <v>19128.419999999998</v>
      </c>
      <c r="J315">
        <v>0</v>
      </c>
      <c r="K315">
        <v>19128.419999999998</v>
      </c>
      <c r="L315">
        <v>0</v>
      </c>
      <c r="M315">
        <v>0</v>
      </c>
      <c r="N315">
        <v>19128.419999999998</v>
      </c>
      <c r="R315">
        <v>0</v>
      </c>
      <c r="S315">
        <v>0</v>
      </c>
      <c r="T315">
        <v>0</v>
      </c>
      <c r="U315" t="s">
        <v>256</v>
      </c>
      <c r="V315" t="s">
        <v>90</v>
      </c>
      <c r="W315">
        <v>4</v>
      </c>
      <c r="Y315" t="s">
        <v>238</v>
      </c>
      <c r="AB315">
        <v>0</v>
      </c>
      <c r="AD315">
        <v>19128.419999999998</v>
      </c>
      <c r="AE315">
        <v>0</v>
      </c>
      <c r="AF315">
        <v>0</v>
      </c>
      <c r="AG315">
        <v>19128.419999999998</v>
      </c>
      <c r="AK315">
        <v>0</v>
      </c>
    </row>
    <row r="316" spans="1:37" x14ac:dyDescent="0.25">
      <c r="A316">
        <v>15331</v>
      </c>
      <c r="B316" t="s">
        <v>612</v>
      </c>
      <c r="C316">
        <v>17942.349999999999</v>
      </c>
      <c r="D316">
        <v>343.84160000000003</v>
      </c>
      <c r="E316">
        <v>0</v>
      </c>
      <c r="F316">
        <v>18286.189999999999</v>
      </c>
      <c r="J316">
        <v>0</v>
      </c>
      <c r="K316">
        <v>17942.349999999999</v>
      </c>
      <c r="L316">
        <v>343.84160000000003</v>
      </c>
      <c r="M316">
        <v>0</v>
      </c>
      <c r="N316">
        <v>18286.191599999998</v>
      </c>
      <c r="R316">
        <v>0</v>
      </c>
      <c r="S316">
        <v>0</v>
      </c>
      <c r="T316">
        <v>0</v>
      </c>
      <c r="U316" t="s">
        <v>256</v>
      </c>
      <c r="V316" t="s">
        <v>90</v>
      </c>
      <c r="W316">
        <v>4</v>
      </c>
      <c r="Y316" t="s">
        <v>238</v>
      </c>
      <c r="AB316">
        <v>0</v>
      </c>
      <c r="AD316">
        <v>18286.189999999999</v>
      </c>
      <c r="AE316">
        <v>0</v>
      </c>
      <c r="AF316">
        <v>0</v>
      </c>
      <c r="AG316">
        <v>18286.189999999999</v>
      </c>
      <c r="AK316">
        <v>0</v>
      </c>
    </row>
    <row r="317" spans="1:37" x14ac:dyDescent="0.25">
      <c r="A317">
        <v>666</v>
      </c>
      <c r="B317" t="s">
        <v>613</v>
      </c>
      <c r="C317">
        <v>15515.62</v>
      </c>
      <c r="D317">
        <v>0</v>
      </c>
      <c r="E317">
        <v>2482.4992000000002</v>
      </c>
      <c r="F317">
        <v>17998.11</v>
      </c>
      <c r="J317">
        <v>0</v>
      </c>
      <c r="K317">
        <v>15515.62</v>
      </c>
      <c r="L317">
        <v>0</v>
      </c>
      <c r="M317">
        <v>2482.4992000000002</v>
      </c>
      <c r="N317">
        <v>17998.119200000001</v>
      </c>
      <c r="R317">
        <v>0</v>
      </c>
      <c r="S317">
        <v>0</v>
      </c>
      <c r="T317">
        <v>0</v>
      </c>
      <c r="U317" t="s">
        <v>256</v>
      </c>
      <c r="V317" t="s">
        <v>90</v>
      </c>
      <c r="W317">
        <v>4</v>
      </c>
      <c r="Y317" t="s">
        <v>73</v>
      </c>
      <c r="Z317">
        <v>15515.62</v>
      </c>
      <c r="AA317">
        <v>17998.119200000001</v>
      </c>
      <c r="AB317">
        <v>0</v>
      </c>
      <c r="AD317">
        <v>0</v>
      </c>
      <c r="AE317">
        <v>0</v>
      </c>
      <c r="AF317">
        <v>17998.11</v>
      </c>
      <c r="AG317">
        <v>17998.11</v>
      </c>
      <c r="AK317">
        <v>0</v>
      </c>
    </row>
    <row r="318" spans="1:37" x14ac:dyDescent="0.25">
      <c r="A318">
        <v>342493</v>
      </c>
      <c r="B318" t="s">
        <v>614</v>
      </c>
      <c r="C318">
        <v>15461.13</v>
      </c>
      <c r="D318">
        <v>0</v>
      </c>
      <c r="E318">
        <v>2473.7808</v>
      </c>
      <c r="F318">
        <v>17934.919999999998</v>
      </c>
      <c r="J318">
        <v>0</v>
      </c>
      <c r="K318">
        <v>15461.13</v>
      </c>
      <c r="L318">
        <v>0</v>
      </c>
      <c r="M318">
        <v>2473.7808</v>
      </c>
      <c r="N318">
        <v>17934.910800000001</v>
      </c>
      <c r="R318">
        <v>0</v>
      </c>
      <c r="S318">
        <v>0</v>
      </c>
      <c r="T318">
        <v>0</v>
      </c>
      <c r="U318" t="s">
        <v>256</v>
      </c>
      <c r="V318" t="s">
        <v>90</v>
      </c>
      <c r="W318">
        <v>4</v>
      </c>
      <c r="Y318" t="s">
        <v>238</v>
      </c>
      <c r="AB318">
        <v>0</v>
      </c>
      <c r="AD318">
        <v>17934.919999999998</v>
      </c>
      <c r="AE318">
        <v>0</v>
      </c>
      <c r="AF318">
        <v>0</v>
      </c>
      <c r="AG318">
        <v>17934.919999999998</v>
      </c>
      <c r="AK318">
        <v>0</v>
      </c>
    </row>
    <row r="319" spans="1:37" x14ac:dyDescent="0.25">
      <c r="A319">
        <v>312082</v>
      </c>
      <c r="B319" t="s">
        <v>615</v>
      </c>
      <c r="C319">
        <v>15342.73</v>
      </c>
      <c r="D319">
        <v>0</v>
      </c>
      <c r="E319">
        <v>2454.8629999999998</v>
      </c>
      <c r="F319">
        <v>17797.57</v>
      </c>
      <c r="J319">
        <v>0</v>
      </c>
      <c r="K319">
        <v>14977.56</v>
      </c>
      <c r="L319">
        <v>0</v>
      </c>
      <c r="M319">
        <v>2396.433</v>
      </c>
      <c r="N319">
        <v>17373.992999999999</v>
      </c>
      <c r="O319">
        <v>365.17</v>
      </c>
      <c r="P319">
        <v>0</v>
      </c>
      <c r="Q319">
        <v>58.43</v>
      </c>
      <c r="R319">
        <v>423.6</v>
      </c>
      <c r="S319">
        <v>0</v>
      </c>
      <c r="T319">
        <v>0</v>
      </c>
      <c r="U319" t="s">
        <v>59</v>
      </c>
      <c r="V319" t="s">
        <v>133</v>
      </c>
      <c r="W319">
        <v>4</v>
      </c>
      <c r="Y319" t="s">
        <v>57</v>
      </c>
      <c r="AB319" t="s">
        <v>900</v>
      </c>
      <c r="AD319">
        <v>0</v>
      </c>
      <c r="AE319">
        <v>0</v>
      </c>
      <c r="AF319">
        <v>17797.57</v>
      </c>
      <c r="AG319">
        <v>17797.57</v>
      </c>
      <c r="AH319">
        <v>726.7</v>
      </c>
      <c r="AI319">
        <v>1</v>
      </c>
      <c r="AJ319" s="130">
        <v>46059</v>
      </c>
      <c r="AK319">
        <v>0</v>
      </c>
    </row>
    <row r="320" spans="1:37" x14ac:dyDescent="0.25">
      <c r="A320">
        <v>385559</v>
      </c>
      <c r="B320" t="s">
        <v>619</v>
      </c>
      <c r="C320">
        <v>15129.05</v>
      </c>
      <c r="D320">
        <v>0</v>
      </c>
      <c r="E320">
        <v>2420.6480000000001</v>
      </c>
      <c r="F320">
        <v>17549.689999999999</v>
      </c>
      <c r="G320">
        <v>15129.05</v>
      </c>
      <c r="H320">
        <v>0</v>
      </c>
      <c r="I320">
        <v>2420.6480000000001</v>
      </c>
      <c r="J320">
        <v>17549.698</v>
      </c>
      <c r="K320">
        <v>0</v>
      </c>
      <c r="L320">
        <v>0</v>
      </c>
      <c r="M320">
        <v>0</v>
      </c>
      <c r="N320">
        <v>0</v>
      </c>
      <c r="R320">
        <v>0</v>
      </c>
      <c r="S320">
        <v>0</v>
      </c>
      <c r="T320">
        <v>0</v>
      </c>
      <c r="U320" t="s">
        <v>59</v>
      </c>
      <c r="V320" t="s">
        <v>82</v>
      </c>
      <c r="W320">
        <v>4</v>
      </c>
      <c r="Y320" t="s">
        <v>238</v>
      </c>
      <c r="AB320">
        <v>0</v>
      </c>
      <c r="AD320">
        <v>0</v>
      </c>
      <c r="AE320">
        <v>17549.689999999999</v>
      </c>
      <c r="AF320">
        <v>0</v>
      </c>
      <c r="AG320">
        <v>0</v>
      </c>
      <c r="AH320">
        <v>17549.689999999999</v>
      </c>
      <c r="AI320">
        <v>1</v>
      </c>
      <c r="AJ320" s="130">
        <v>46050</v>
      </c>
      <c r="AK320">
        <v>0</v>
      </c>
    </row>
    <row r="321" spans="1:37" x14ac:dyDescent="0.25">
      <c r="A321">
        <v>20870</v>
      </c>
      <c r="B321" t="s">
        <v>621</v>
      </c>
      <c r="C321">
        <v>15122.79</v>
      </c>
      <c r="D321">
        <v>0</v>
      </c>
      <c r="E321">
        <v>2419.6464000000001</v>
      </c>
      <c r="F321">
        <v>17542.43</v>
      </c>
      <c r="J321">
        <v>0</v>
      </c>
      <c r="K321">
        <v>15122.79</v>
      </c>
      <c r="L321">
        <v>0</v>
      </c>
      <c r="M321">
        <v>2419.6464000000001</v>
      </c>
      <c r="N321">
        <v>17542.436399999999</v>
      </c>
      <c r="R321">
        <v>0</v>
      </c>
      <c r="S321">
        <v>0</v>
      </c>
      <c r="T321">
        <v>0</v>
      </c>
      <c r="U321" t="s">
        <v>256</v>
      </c>
      <c r="V321" t="s">
        <v>90</v>
      </c>
      <c r="W321">
        <v>4</v>
      </c>
      <c r="Y321" t="s">
        <v>238</v>
      </c>
      <c r="AB321">
        <v>0</v>
      </c>
      <c r="AD321">
        <v>17542.43</v>
      </c>
      <c r="AE321">
        <v>0</v>
      </c>
      <c r="AF321">
        <v>0</v>
      </c>
      <c r="AG321">
        <v>17542.43</v>
      </c>
      <c r="AK321">
        <v>0</v>
      </c>
    </row>
    <row r="322" spans="1:37" x14ac:dyDescent="0.25">
      <c r="A322">
        <v>397547</v>
      </c>
      <c r="B322" t="s">
        <v>622</v>
      </c>
      <c r="C322">
        <v>15089.28</v>
      </c>
      <c r="D322">
        <v>0</v>
      </c>
      <c r="E322">
        <v>2414.2847999999999</v>
      </c>
      <c r="F322">
        <v>17503.57</v>
      </c>
      <c r="J322">
        <v>0</v>
      </c>
      <c r="K322">
        <v>15089.28</v>
      </c>
      <c r="L322">
        <v>0</v>
      </c>
      <c r="M322">
        <v>2414.2847999999999</v>
      </c>
      <c r="N322">
        <v>17503.5648</v>
      </c>
      <c r="R322">
        <v>0</v>
      </c>
      <c r="S322">
        <v>0</v>
      </c>
      <c r="T322">
        <v>0</v>
      </c>
      <c r="U322" t="s">
        <v>256</v>
      </c>
      <c r="V322" t="s">
        <v>90</v>
      </c>
      <c r="W322">
        <v>4</v>
      </c>
      <c r="Y322" t="s">
        <v>73</v>
      </c>
      <c r="Z322">
        <v>15089.28</v>
      </c>
      <c r="AA322">
        <v>17503.5648</v>
      </c>
      <c r="AB322" t="s">
        <v>296</v>
      </c>
      <c r="AD322">
        <v>0</v>
      </c>
      <c r="AE322">
        <v>0</v>
      </c>
      <c r="AF322">
        <v>17503.57</v>
      </c>
      <c r="AG322">
        <v>17503.57</v>
      </c>
      <c r="AK322">
        <v>0</v>
      </c>
    </row>
    <row r="323" spans="1:37" x14ac:dyDescent="0.25">
      <c r="A323">
        <v>391219</v>
      </c>
      <c r="B323" t="s">
        <v>623</v>
      </c>
      <c r="C323">
        <v>15086.306681132</v>
      </c>
      <c r="D323">
        <v>0</v>
      </c>
      <c r="E323">
        <v>2413.8090689811202</v>
      </c>
      <c r="F323">
        <v>17500.13</v>
      </c>
      <c r="J323">
        <v>0</v>
      </c>
      <c r="K323">
        <v>15086.306681132</v>
      </c>
      <c r="L323">
        <v>0</v>
      </c>
      <c r="M323">
        <v>2413.8090689811202</v>
      </c>
      <c r="N323">
        <v>17500.11575011312</v>
      </c>
      <c r="R323">
        <v>0</v>
      </c>
      <c r="S323">
        <v>0</v>
      </c>
      <c r="T323">
        <v>0</v>
      </c>
      <c r="U323" t="s">
        <v>256</v>
      </c>
      <c r="V323" t="s">
        <v>90</v>
      </c>
      <c r="W323">
        <v>4</v>
      </c>
      <c r="Y323" t="s">
        <v>238</v>
      </c>
      <c r="AB323">
        <v>0</v>
      </c>
      <c r="AD323">
        <v>0</v>
      </c>
      <c r="AE323">
        <v>17500.13</v>
      </c>
      <c r="AF323">
        <v>0</v>
      </c>
      <c r="AG323">
        <v>0</v>
      </c>
      <c r="AK323">
        <v>0</v>
      </c>
    </row>
    <row r="324" spans="1:37" x14ac:dyDescent="0.25">
      <c r="A324">
        <v>339457</v>
      </c>
      <c r="B324" t="s">
        <v>624</v>
      </c>
      <c r="C324">
        <v>15067.04</v>
      </c>
      <c r="D324">
        <v>0</v>
      </c>
      <c r="E324">
        <v>2410.7264</v>
      </c>
      <c r="F324">
        <v>17477.759999999998</v>
      </c>
      <c r="J324">
        <v>0</v>
      </c>
      <c r="K324">
        <v>15067.04</v>
      </c>
      <c r="L324">
        <v>0</v>
      </c>
      <c r="M324">
        <v>2410.7264</v>
      </c>
      <c r="N324">
        <v>17477.7664</v>
      </c>
      <c r="R324">
        <v>0</v>
      </c>
      <c r="S324">
        <v>0</v>
      </c>
      <c r="T324">
        <v>0</v>
      </c>
      <c r="U324" t="s">
        <v>59</v>
      </c>
      <c r="V324" t="s">
        <v>75</v>
      </c>
      <c r="W324">
        <v>4</v>
      </c>
      <c r="X324">
        <v>1</v>
      </c>
      <c r="Y324" t="s">
        <v>73</v>
      </c>
      <c r="Z324">
        <v>15067.04</v>
      </c>
      <c r="AA324">
        <v>17477.7664</v>
      </c>
      <c r="AB324" t="s">
        <v>625</v>
      </c>
      <c r="AD324">
        <v>0</v>
      </c>
      <c r="AE324">
        <v>0</v>
      </c>
      <c r="AF324">
        <v>17477.759999999998</v>
      </c>
      <c r="AG324">
        <v>17477.759999999998</v>
      </c>
      <c r="AH324">
        <v>17477.759999999998</v>
      </c>
      <c r="AI324">
        <v>1</v>
      </c>
      <c r="AJ324" s="130">
        <v>46042</v>
      </c>
      <c r="AK324">
        <v>0</v>
      </c>
    </row>
    <row r="325" spans="1:37" x14ac:dyDescent="0.25">
      <c r="A325">
        <v>384958</v>
      </c>
      <c r="B325" t="s">
        <v>627</v>
      </c>
      <c r="C325">
        <v>16903.074899899999</v>
      </c>
      <c r="D325">
        <v>0</v>
      </c>
      <c r="E325">
        <v>0</v>
      </c>
      <c r="F325">
        <v>16903.0749</v>
      </c>
      <c r="J325">
        <v>0</v>
      </c>
      <c r="K325">
        <v>16903.074899899999</v>
      </c>
      <c r="L325">
        <v>0</v>
      </c>
      <c r="M325">
        <v>0</v>
      </c>
      <c r="N325">
        <v>16903.074899899999</v>
      </c>
      <c r="R325">
        <v>0</v>
      </c>
      <c r="S325">
        <v>0</v>
      </c>
      <c r="T325">
        <v>0</v>
      </c>
      <c r="U325" t="s">
        <v>256</v>
      </c>
      <c r="V325" t="s">
        <v>90</v>
      </c>
      <c r="W325">
        <v>4</v>
      </c>
      <c r="Y325" t="s">
        <v>238</v>
      </c>
      <c r="AB325">
        <v>0</v>
      </c>
      <c r="AD325">
        <v>16903.080000000002</v>
      </c>
      <c r="AE325">
        <v>0</v>
      </c>
      <c r="AF325">
        <v>0</v>
      </c>
      <c r="AG325">
        <v>16903.0749</v>
      </c>
      <c r="AK325">
        <v>0</v>
      </c>
    </row>
    <row r="326" spans="1:37" x14ac:dyDescent="0.25">
      <c r="A326">
        <v>3566</v>
      </c>
      <c r="B326" t="s">
        <v>628</v>
      </c>
      <c r="C326">
        <v>16461.23</v>
      </c>
      <c r="D326">
        <v>0</v>
      </c>
      <c r="E326">
        <v>0</v>
      </c>
      <c r="F326">
        <v>16461.23</v>
      </c>
      <c r="J326">
        <v>0</v>
      </c>
      <c r="K326">
        <v>16461.23</v>
      </c>
      <c r="L326">
        <v>0</v>
      </c>
      <c r="M326">
        <v>0</v>
      </c>
      <c r="N326">
        <v>16461.23</v>
      </c>
      <c r="R326">
        <v>0</v>
      </c>
      <c r="S326">
        <v>0</v>
      </c>
      <c r="T326">
        <v>0</v>
      </c>
      <c r="U326" t="s">
        <v>256</v>
      </c>
      <c r="V326" t="s">
        <v>90</v>
      </c>
      <c r="W326">
        <v>4</v>
      </c>
      <c r="Y326" t="s">
        <v>238</v>
      </c>
      <c r="AB326">
        <v>0</v>
      </c>
      <c r="AD326">
        <v>16461.23</v>
      </c>
      <c r="AE326">
        <v>0</v>
      </c>
      <c r="AF326">
        <v>0</v>
      </c>
      <c r="AG326">
        <v>16461.23</v>
      </c>
      <c r="AK326">
        <v>0</v>
      </c>
    </row>
    <row r="327" spans="1:37" x14ac:dyDescent="0.25">
      <c r="A327">
        <v>309807</v>
      </c>
      <c r="B327" t="s">
        <v>629</v>
      </c>
      <c r="C327">
        <v>12985.57</v>
      </c>
      <c r="D327">
        <v>0</v>
      </c>
      <c r="E327">
        <v>2077.6912000000002</v>
      </c>
      <c r="F327">
        <v>15063.25</v>
      </c>
      <c r="J327">
        <v>0</v>
      </c>
      <c r="K327">
        <v>12985.57</v>
      </c>
      <c r="L327">
        <v>0</v>
      </c>
      <c r="M327">
        <v>2077.6912000000002</v>
      </c>
      <c r="N327">
        <v>15063.261200000001</v>
      </c>
      <c r="R327">
        <v>0</v>
      </c>
      <c r="S327">
        <v>0</v>
      </c>
      <c r="T327">
        <v>0</v>
      </c>
      <c r="U327" t="s">
        <v>256</v>
      </c>
      <c r="V327" t="s">
        <v>90</v>
      </c>
      <c r="W327">
        <v>4</v>
      </c>
      <c r="Y327" t="s">
        <v>73</v>
      </c>
      <c r="Z327">
        <v>12985.57</v>
      </c>
      <c r="AA327">
        <v>15063.261200000001</v>
      </c>
      <c r="AB327" t="s">
        <v>333</v>
      </c>
      <c r="AD327">
        <v>0</v>
      </c>
      <c r="AE327">
        <v>0</v>
      </c>
      <c r="AF327">
        <v>15063.25</v>
      </c>
      <c r="AG327">
        <v>15063.25</v>
      </c>
      <c r="AK327">
        <v>0</v>
      </c>
    </row>
    <row r="328" spans="1:37" x14ac:dyDescent="0.25">
      <c r="A328">
        <v>313908</v>
      </c>
      <c r="B328" t="s">
        <v>630</v>
      </c>
      <c r="C328">
        <v>12172.01</v>
      </c>
      <c r="D328">
        <v>0</v>
      </c>
      <c r="E328">
        <v>1947.5216</v>
      </c>
      <c r="F328">
        <v>14119.53</v>
      </c>
      <c r="J328">
        <v>0</v>
      </c>
      <c r="K328">
        <v>12172.01</v>
      </c>
      <c r="L328">
        <v>0</v>
      </c>
      <c r="M328">
        <v>1947.5216</v>
      </c>
      <c r="N328">
        <v>14119.5316</v>
      </c>
      <c r="R328">
        <v>0</v>
      </c>
      <c r="S328">
        <v>0</v>
      </c>
      <c r="T328">
        <v>0</v>
      </c>
      <c r="U328" t="s">
        <v>256</v>
      </c>
      <c r="V328" t="s">
        <v>90</v>
      </c>
      <c r="W328">
        <v>4</v>
      </c>
      <c r="Y328" t="s">
        <v>238</v>
      </c>
      <c r="AB328">
        <v>0</v>
      </c>
      <c r="AD328">
        <v>14119.53</v>
      </c>
      <c r="AE328">
        <v>0</v>
      </c>
      <c r="AF328">
        <v>0</v>
      </c>
      <c r="AG328">
        <v>14119.53</v>
      </c>
      <c r="AK328">
        <v>0</v>
      </c>
    </row>
    <row r="329" spans="1:37" x14ac:dyDescent="0.25">
      <c r="A329">
        <v>19398</v>
      </c>
      <c r="B329" t="s">
        <v>631</v>
      </c>
      <c r="C329">
        <v>11948.46</v>
      </c>
      <c r="D329">
        <v>0</v>
      </c>
      <c r="E329">
        <v>1911.7536</v>
      </c>
      <c r="F329">
        <v>13860.21</v>
      </c>
      <c r="J329">
        <v>0</v>
      </c>
      <c r="K329">
        <v>11948.46</v>
      </c>
      <c r="L329">
        <v>0</v>
      </c>
      <c r="M329">
        <v>1911.7536</v>
      </c>
      <c r="N329">
        <v>13860.213599999999</v>
      </c>
      <c r="R329">
        <v>0</v>
      </c>
      <c r="S329">
        <v>0</v>
      </c>
      <c r="T329">
        <v>0</v>
      </c>
      <c r="U329" t="s">
        <v>256</v>
      </c>
      <c r="V329" t="s">
        <v>90</v>
      </c>
      <c r="W329">
        <v>4</v>
      </c>
      <c r="Y329" t="s">
        <v>73</v>
      </c>
      <c r="Z329">
        <v>11948.46</v>
      </c>
      <c r="AA329">
        <v>13860.213599999999</v>
      </c>
      <c r="AB329" t="s">
        <v>333</v>
      </c>
      <c r="AG329">
        <v>13860.21</v>
      </c>
      <c r="AK329">
        <v>0</v>
      </c>
    </row>
    <row r="330" spans="1:37" x14ac:dyDescent="0.25">
      <c r="A330">
        <v>61325</v>
      </c>
      <c r="B330" t="s">
        <v>632</v>
      </c>
      <c r="C330">
        <v>11774.92</v>
      </c>
      <c r="D330">
        <v>0</v>
      </c>
      <c r="E330">
        <v>1883.9786999999999</v>
      </c>
      <c r="F330">
        <v>13658.9</v>
      </c>
      <c r="J330">
        <v>0</v>
      </c>
      <c r="K330">
        <v>11774.92</v>
      </c>
      <c r="L330">
        <v>0</v>
      </c>
      <c r="M330">
        <v>1883.9786999999999</v>
      </c>
      <c r="N330">
        <v>13658.8987</v>
      </c>
      <c r="R330">
        <v>0</v>
      </c>
      <c r="S330">
        <v>0</v>
      </c>
      <c r="T330">
        <v>0</v>
      </c>
      <c r="U330" t="s">
        <v>256</v>
      </c>
      <c r="V330" t="s">
        <v>90</v>
      </c>
      <c r="W330">
        <v>4</v>
      </c>
      <c r="Y330" t="s">
        <v>238</v>
      </c>
      <c r="AB330">
        <v>0</v>
      </c>
      <c r="AD330">
        <v>13658.9</v>
      </c>
      <c r="AE330">
        <v>0</v>
      </c>
      <c r="AF330">
        <v>0</v>
      </c>
      <c r="AG330">
        <v>13658.9</v>
      </c>
      <c r="AK330">
        <v>0</v>
      </c>
    </row>
    <row r="331" spans="1:37" x14ac:dyDescent="0.25">
      <c r="A331">
        <v>40949</v>
      </c>
      <c r="B331" t="s">
        <v>633</v>
      </c>
      <c r="C331">
        <v>13514.79</v>
      </c>
      <c r="D331">
        <v>0</v>
      </c>
      <c r="E331">
        <v>0</v>
      </c>
      <c r="F331">
        <v>13514.79</v>
      </c>
      <c r="J331">
        <v>0</v>
      </c>
      <c r="K331">
        <v>13514.79</v>
      </c>
      <c r="L331">
        <v>0</v>
      </c>
      <c r="M331">
        <v>0</v>
      </c>
      <c r="N331">
        <v>13514.79</v>
      </c>
      <c r="R331">
        <v>0</v>
      </c>
      <c r="S331">
        <v>0</v>
      </c>
      <c r="T331">
        <v>0</v>
      </c>
      <c r="U331" t="s">
        <v>59</v>
      </c>
      <c r="V331" t="s">
        <v>133</v>
      </c>
      <c r="W331">
        <v>4</v>
      </c>
      <c r="Y331" t="s">
        <v>57</v>
      </c>
      <c r="AB331" t="s">
        <v>901</v>
      </c>
      <c r="AD331">
        <v>0</v>
      </c>
      <c r="AE331">
        <v>0</v>
      </c>
      <c r="AF331">
        <v>13514.79</v>
      </c>
      <c r="AG331">
        <v>13514.79</v>
      </c>
      <c r="AH331">
        <v>13514.79</v>
      </c>
      <c r="AI331">
        <v>1</v>
      </c>
      <c r="AJ331" s="130">
        <v>46056</v>
      </c>
      <c r="AK331">
        <v>0</v>
      </c>
    </row>
    <row r="332" spans="1:37" x14ac:dyDescent="0.25">
      <c r="A332">
        <v>380402</v>
      </c>
      <c r="B332" t="s">
        <v>637</v>
      </c>
      <c r="C332">
        <v>11838.24</v>
      </c>
      <c r="D332">
        <v>947.05920000000003</v>
      </c>
      <c r="E332">
        <v>0</v>
      </c>
      <c r="F332">
        <v>12785.3</v>
      </c>
      <c r="J332">
        <v>0</v>
      </c>
      <c r="K332">
        <v>11838.24</v>
      </c>
      <c r="L332">
        <v>947.05920000000003</v>
      </c>
      <c r="M332">
        <v>0</v>
      </c>
      <c r="N332">
        <v>12785.299199999999</v>
      </c>
      <c r="R332">
        <v>0</v>
      </c>
      <c r="S332">
        <v>0</v>
      </c>
      <c r="T332">
        <v>0</v>
      </c>
      <c r="U332" t="s">
        <v>256</v>
      </c>
      <c r="V332" t="s">
        <v>90</v>
      </c>
      <c r="W332">
        <v>4</v>
      </c>
      <c r="Y332" t="s">
        <v>238</v>
      </c>
      <c r="AB332">
        <v>0</v>
      </c>
      <c r="AD332">
        <v>12785.3</v>
      </c>
      <c r="AE332">
        <v>0</v>
      </c>
      <c r="AF332">
        <v>0</v>
      </c>
      <c r="AG332">
        <v>12785.3</v>
      </c>
      <c r="AK332">
        <v>0</v>
      </c>
    </row>
    <row r="333" spans="1:37" x14ac:dyDescent="0.25">
      <c r="A333">
        <v>21753</v>
      </c>
      <c r="B333" t="s">
        <v>638</v>
      </c>
      <c r="C333">
        <v>12620.7</v>
      </c>
      <c r="D333">
        <v>0</v>
      </c>
      <c r="E333">
        <v>0</v>
      </c>
      <c r="F333">
        <v>12620.7</v>
      </c>
      <c r="J333">
        <v>0</v>
      </c>
      <c r="K333">
        <v>12620.7</v>
      </c>
      <c r="L333">
        <v>0</v>
      </c>
      <c r="M333">
        <v>0</v>
      </c>
      <c r="N333">
        <v>12620.7</v>
      </c>
      <c r="R333">
        <v>0</v>
      </c>
      <c r="S333">
        <v>0</v>
      </c>
      <c r="T333">
        <v>0</v>
      </c>
      <c r="U333" t="s">
        <v>256</v>
      </c>
      <c r="V333" t="s">
        <v>90</v>
      </c>
      <c r="W333">
        <v>4</v>
      </c>
      <c r="Y333" t="s">
        <v>73</v>
      </c>
      <c r="Z333">
        <v>12620.7</v>
      </c>
      <c r="AA333">
        <v>12620.7</v>
      </c>
      <c r="AB333" t="s">
        <v>212</v>
      </c>
      <c r="AD333">
        <v>0</v>
      </c>
      <c r="AE333">
        <v>0</v>
      </c>
      <c r="AF333">
        <v>12620.7</v>
      </c>
      <c r="AG333">
        <v>12620.7</v>
      </c>
      <c r="AK333">
        <v>0</v>
      </c>
    </row>
    <row r="334" spans="1:37" x14ac:dyDescent="0.25">
      <c r="A334">
        <v>342584</v>
      </c>
      <c r="B334" t="s">
        <v>639</v>
      </c>
      <c r="C334">
        <v>10197.85</v>
      </c>
      <c r="D334">
        <v>0</v>
      </c>
      <c r="E334">
        <v>1631.6559999999999</v>
      </c>
      <c r="F334">
        <v>11829.5</v>
      </c>
      <c r="J334">
        <v>0</v>
      </c>
      <c r="K334">
        <v>10197.85</v>
      </c>
      <c r="L334">
        <v>0</v>
      </c>
      <c r="M334">
        <v>1631.6559999999999</v>
      </c>
      <c r="N334">
        <v>11829.505999999999</v>
      </c>
      <c r="R334">
        <v>0</v>
      </c>
      <c r="S334">
        <v>0</v>
      </c>
      <c r="T334">
        <v>0</v>
      </c>
      <c r="U334" t="s">
        <v>256</v>
      </c>
      <c r="V334" t="s">
        <v>90</v>
      </c>
      <c r="W334">
        <v>4</v>
      </c>
      <c r="Y334" t="s">
        <v>238</v>
      </c>
      <c r="AB334">
        <v>0</v>
      </c>
      <c r="AD334">
        <v>11829.5</v>
      </c>
      <c r="AE334">
        <v>0</v>
      </c>
      <c r="AF334">
        <v>0</v>
      </c>
      <c r="AG334">
        <v>11829.5</v>
      </c>
      <c r="AK334">
        <v>0</v>
      </c>
    </row>
    <row r="335" spans="1:37" x14ac:dyDescent="0.25">
      <c r="A335">
        <v>383711</v>
      </c>
      <c r="B335" t="s">
        <v>640</v>
      </c>
      <c r="C335">
        <v>9288.8632409579986</v>
      </c>
      <c r="D335">
        <v>0</v>
      </c>
      <c r="E335">
        <v>1486.21811855328</v>
      </c>
      <c r="F335">
        <v>10775.07</v>
      </c>
      <c r="J335">
        <v>0</v>
      </c>
      <c r="K335">
        <v>9288.8632409579986</v>
      </c>
      <c r="L335">
        <v>0</v>
      </c>
      <c r="M335">
        <v>1486.21811855328</v>
      </c>
      <c r="N335">
        <v>10775.08135951128</v>
      </c>
      <c r="R335">
        <v>0</v>
      </c>
      <c r="S335">
        <v>0</v>
      </c>
      <c r="T335">
        <v>0</v>
      </c>
      <c r="U335" t="s">
        <v>256</v>
      </c>
      <c r="V335" t="s">
        <v>90</v>
      </c>
      <c r="W335">
        <v>4</v>
      </c>
      <c r="Y335" t="s">
        <v>73</v>
      </c>
      <c r="Z335">
        <v>9288.8632409579986</v>
      </c>
      <c r="AA335">
        <v>10775.08135951128</v>
      </c>
      <c r="AB335" t="s">
        <v>212</v>
      </c>
      <c r="AD335">
        <v>0</v>
      </c>
      <c r="AE335">
        <v>0</v>
      </c>
      <c r="AF335">
        <v>10775.07</v>
      </c>
      <c r="AG335">
        <v>10775.07</v>
      </c>
      <c r="AK335">
        <v>0</v>
      </c>
    </row>
    <row r="336" spans="1:37" x14ac:dyDescent="0.25">
      <c r="A336">
        <v>38232</v>
      </c>
      <c r="B336" t="s">
        <v>641</v>
      </c>
      <c r="C336">
        <v>9975.3799999999992</v>
      </c>
      <c r="D336">
        <v>798.03039999999999</v>
      </c>
      <c r="E336">
        <v>0</v>
      </c>
      <c r="F336">
        <v>10773.41</v>
      </c>
      <c r="J336">
        <v>0</v>
      </c>
      <c r="K336">
        <v>9975.3799999999992</v>
      </c>
      <c r="L336">
        <v>798.03039999999999</v>
      </c>
      <c r="M336">
        <v>0</v>
      </c>
      <c r="N336">
        <v>10773.410400000001</v>
      </c>
      <c r="R336">
        <v>0</v>
      </c>
      <c r="S336">
        <v>0</v>
      </c>
      <c r="T336">
        <v>0</v>
      </c>
      <c r="U336" t="s">
        <v>256</v>
      </c>
      <c r="V336" t="s">
        <v>90</v>
      </c>
      <c r="W336">
        <v>4</v>
      </c>
      <c r="Y336" t="s">
        <v>238</v>
      </c>
      <c r="AB336">
        <v>0</v>
      </c>
      <c r="AD336">
        <v>10773.41</v>
      </c>
      <c r="AE336">
        <v>0</v>
      </c>
      <c r="AF336">
        <v>0</v>
      </c>
      <c r="AG336">
        <v>10773.41</v>
      </c>
      <c r="AK336">
        <v>0</v>
      </c>
    </row>
    <row r="337" spans="1:37" x14ac:dyDescent="0.25">
      <c r="A337">
        <v>394882</v>
      </c>
      <c r="B337" t="s">
        <v>642</v>
      </c>
      <c r="C337">
        <v>9123.4499999999989</v>
      </c>
      <c r="D337">
        <v>0</v>
      </c>
      <c r="E337">
        <v>1459.752</v>
      </c>
      <c r="F337">
        <v>10583.2</v>
      </c>
      <c r="J337">
        <v>0</v>
      </c>
      <c r="K337">
        <v>9123.4499999999989</v>
      </c>
      <c r="L337">
        <v>0</v>
      </c>
      <c r="M337">
        <v>1459.752</v>
      </c>
      <c r="N337">
        <v>10583.201999999999</v>
      </c>
      <c r="R337">
        <v>0</v>
      </c>
      <c r="S337">
        <v>0</v>
      </c>
      <c r="T337">
        <v>0</v>
      </c>
      <c r="U337" t="s">
        <v>256</v>
      </c>
      <c r="V337" t="s">
        <v>90</v>
      </c>
      <c r="W337">
        <v>4</v>
      </c>
      <c r="Y337" t="s">
        <v>238</v>
      </c>
      <c r="AB337">
        <v>0</v>
      </c>
      <c r="AD337">
        <v>0</v>
      </c>
      <c r="AE337">
        <v>10583.2</v>
      </c>
      <c r="AF337">
        <v>0</v>
      </c>
      <c r="AG337">
        <v>0</v>
      </c>
      <c r="AK337">
        <v>0</v>
      </c>
    </row>
    <row r="338" spans="1:37" x14ac:dyDescent="0.25">
      <c r="A338">
        <v>85449</v>
      </c>
      <c r="B338" t="s">
        <v>643</v>
      </c>
      <c r="C338">
        <v>10004.75</v>
      </c>
      <c r="D338">
        <v>0</v>
      </c>
      <c r="E338">
        <v>0</v>
      </c>
      <c r="F338">
        <v>10004.75</v>
      </c>
      <c r="J338">
        <v>0</v>
      </c>
      <c r="K338">
        <v>10004.75</v>
      </c>
      <c r="L338">
        <v>0</v>
      </c>
      <c r="M338">
        <v>0</v>
      </c>
      <c r="N338">
        <v>10004.75</v>
      </c>
      <c r="R338">
        <v>0</v>
      </c>
      <c r="S338">
        <v>0</v>
      </c>
      <c r="T338">
        <v>0</v>
      </c>
      <c r="U338" t="s">
        <v>256</v>
      </c>
      <c r="V338" t="s">
        <v>90</v>
      </c>
      <c r="W338">
        <v>4</v>
      </c>
      <c r="Y338" t="s">
        <v>238</v>
      </c>
      <c r="AB338">
        <v>0</v>
      </c>
      <c r="AD338">
        <v>10004.75</v>
      </c>
      <c r="AE338">
        <v>0</v>
      </c>
      <c r="AF338">
        <v>0</v>
      </c>
      <c r="AG338">
        <v>10004.75</v>
      </c>
      <c r="AK338">
        <v>0</v>
      </c>
    </row>
    <row r="339" spans="1:37" x14ac:dyDescent="0.25">
      <c r="A339">
        <v>390278</v>
      </c>
      <c r="B339" t="s">
        <v>644</v>
      </c>
      <c r="C339">
        <v>8514.6711906639994</v>
      </c>
      <c r="D339">
        <v>0</v>
      </c>
      <c r="E339">
        <v>1362.3473905062399</v>
      </c>
      <c r="F339">
        <v>9877.02</v>
      </c>
      <c r="J339">
        <v>0</v>
      </c>
      <c r="K339">
        <v>8514.6711906639994</v>
      </c>
      <c r="L339">
        <v>0</v>
      </c>
      <c r="M339">
        <v>1362.3473905062399</v>
      </c>
      <c r="N339">
        <v>9877.0185811702395</v>
      </c>
      <c r="R339">
        <v>0</v>
      </c>
      <c r="S339">
        <v>0</v>
      </c>
      <c r="T339">
        <v>0</v>
      </c>
      <c r="U339" t="s">
        <v>256</v>
      </c>
      <c r="V339" t="s">
        <v>90</v>
      </c>
      <c r="W339">
        <v>4</v>
      </c>
      <c r="Y339" t="s">
        <v>238</v>
      </c>
      <c r="AB339">
        <v>0</v>
      </c>
      <c r="AD339">
        <v>9877.02</v>
      </c>
      <c r="AE339">
        <v>0</v>
      </c>
      <c r="AF339">
        <v>0</v>
      </c>
      <c r="AG339">
        <v>9877.02</v>
      </c>
      <c r="AK339">
        <v>0</v>
      </c>
    </row>
    <row r="340" spans="1:37" x14ac:dyDescent="0.25">
      <c r="A340">
        <v>40972</v>
      </c>
      <c r="B340" t="s">
        <v>645</v>
      </c>
      <c r="C340">
        <v>8422.165141000005</v>
      </c>
      <c r="D340">
        <v>0</v>
      </c>
      <c r="E340">
        <v>1347.5464225600001</v>
      </c>
      <c r="F340">
        <v>9769.7100000000009</v>
      </c>
      <c r="J340">
        <v>0</v>
      </c>
      <c r="K340">
        <v>8422.165141000005</v>
      </c>
      <c r="L340">
        <v>0</v>
      </c>
      <c r="M340">
        <v>1347.5464225600001</v>
      </c>
      <c r="N340">
        <v>9769.7115635600057</v>
      </c>
      <c r="R340">
        <v>0</v>
      </c>
      <c r="S340">
        <v>0</v>
      </c>
      <c r="T340">
        <v>0</v>
      </c>
      <c r="U340" t="s">
        <v>256</v>
      </c>
      <c r="V340" t="s">
        <v>90</v>
      </c>
      <c r="W340">
        <v>4</v>
      </c>
      <c r="Y340" t="s">
        <v>73</v>
      </c>
      <c r="Z340">
        <v>8422.165141000005</v>
      </c>
      <c r="AA340">
        <v>9769.7115635600057</v>
      </c>
      <c r="AB340" t="s">
        <v>212</v>
      </c>
      <c r="AD340">
        <v>0</v>
      </c>
      <c r="AE340">
        <v>0</v>
      </c>
      <c r="AF340">
        <v>9769.7100000000009</v>
      </c>
      <c r="AG340">
        <v>9769.7100000000009</v>
      </c>
      <c r="AK340">
        <v>0</v>
      </c>
    </row>
    <row r="341" spans="1:37" x14ac:dyDescent="0.25">
      <c r="A341">
        <v>390716</v>
      </c>
      <c r="B341" t="s">
        <v>646</v>
      </c>
      <c r="C341">
        <v>9651.3963480000002</v>
      </c>
      <c r="D341">
        <v>24.572800000000001</v>
      </c>
      <c r="E341">
        <v>0</v>
      </c>
      <c r="F341">
        <v>9675.9663</v>
      </c>
      <c r="J341">
        <v>0</v>
      </c>
      <c r="K341">
        <v>9651.3963480000002</v>
      </c>
      <c r="L341">
        <v>24.572800000000001</v>
      </c>
      <c r="M341">
        <v>0</v>
      </c>
      <c r="N341">
        <v>9675.9691480000001</v>
      </c>
      <c r="R341">
        <v>0</v>
      </c>
      <c r="S341">
        <v>0</v>
      </c>
      <c r="T341">
        <v>0</v>
      </c>
      <c r="U341" t="s">
        <v>256</v>
      </c>
      <c r="V341" t="s">
        <v>90</v>
      </c>
      <c r="W341">
        <v>4</v>
      </c>
      <c r="Y341" t="s">
        <v>238</v>
      </c>
      <c r="AB341">
        <v>0</v>
      </c>
      <c r="AD341">
        <v>9675.9699999999993</v>
      </c>
      <c r="AE341">
        <v>0</v>
      </c>
      <c r="AF341">
        <v>0</v>
      </c>
      <c r="AG341">
        <v>9675.9663</v>
      </c>
      <c r="AK341">
        <v>0</v>
      </c>
    </row>
    <row r="342" spans="1:37" x14ac:dyDescent="0.25">
      <c r="A342">
        <v>9348</v>
      </c>
      <c r="B342" t="s">
        <v>647</v>
      </c>
      <c r="C342">
        <v>8220.14</v>
      </c>
      <c r="D342">
        <v>0</v>
      </c>
      <c r="E342">
        <v>1315.2224000000001</v>
      </c>
      <c r="F342">
        <v>9535.35</v>
      </c>
      <c r="J342">
        <v>0</v>
      </c>
      <c r="K342">
        <v>8220.14</v>
      </c>
      <c r="L342">
        <v>0</v>
      </c>
      <c r="M342">
        <v>1315.2224000000001</v>
      </c>
      <c r="N342">
        <v>9535.3624</v>
      </c>
      <c r="R342">
        <v>0</v>
      </c>
      <c r="S342">
        <v>0</v>
      </c>
      <c r="T342">
        <v>0</v>
      </c>
      <c r="U342" t="s">
        <v>256</v>
      </c>
      <c r="V342" t="s">
        <v>90</v>
      </c>
      <c r="W342">
        <v>4</v>
      </c>
      <c r="Y342" t="s">
        <v>238</v>
      </c>
      <c r="AB342">
        <v>0</v>
      </c>
      <c r="AD342">
        <v>9535.35</v>
      </c>
      <c r="AE342">
        <v>0</v>
      </c>
      <c r="AF342">
        <v>0</v>
      </c>
      <c r="AG342">
        <v>9535.35</v>
      </c>
      <c r="AK342">
        <v>0</v>
      </c>
    </row>
    <row r="343" spans="1:37" x14ac:dyDescent="0.25">
      <c r="A343">
        <v>6348</v>
      </c>
      <c r="B343" t="s">
        <v>648</v>
      </c>
      <c r="C343">
        <v>7929.86</v>
      </c>
      <c r="D343">
        <v>0</v>
      </c>
      <c r="E343">
        <v>1268.7775999999999</v>
      </c>
      <c r="F343">
        <v>9198.64</v>
      </c>
      <c r="J343">
        <v>0</v>
      </c>
      <c r="K343">
        <v>7929.86</v>
      </c>
      <c r="L343">
        <v>0</v>
      </c>
      <c r="M343">
        <v>1268.7775999999999</v>
      </c>
      <c r="N343">
        <v>9198.6376</v>
      </c>
      <c r="R343">
        <v>0</v>
      </c>
      <c r="S343">
        <v>0</v>
      </c>
      <c r="T343">
        <v>0</v>
      </c>
      <c r="U343" t="s">
        <v>256</v>
      </c>
      <c r="V343" t="s">
        <v>90</v>
      </c>
      <c r="W343">
        <v>4</v>
      </c>
      <c r="Y343" t="s">
        <v>73</v>
      </c>
      <c r="Z343">
        <v>7929.86</v>
      </c>
      <c r="AA343">
        <v>9198.6376</v>
      </c>
      <c r="AB343" t="s">
        <v>333</v>
      </c>
      <c r="AD343">
        <v>0</v>
      </c>
      <c r="AE343">
        <v>0</v>
      </c>
      <c r="AF343">
        <v>9198.64</v>
      </c>
      <c r="AG343">
        <v>9198.64</v>
      </c>
      <c r="AK343">
        <v>0</v>
      </c>
    </row>
    <row r="344" spans="1:37" x14ac:dyDescent="0.25">
      <c r="A344">
        <v>327080</v>
      </c>
      <c r="B344" t="s">
        <v>649</v>
      </c>
      <c r="C344">
        <v>8467.02</v>
      </c>
      <c r="D344">
        <v>0</v>
      </c>
      <c r="E344">
        <v>0</v>
      </c>
      <c r="F344">
        <v>8467.02</v>
      </c>
      <c r="J344">
        <v>0</v>
      </c>
      <c r="K344">
        <v>8467.02</v>
      </c>
      <c r="L344">
        <v>0</v>
      </c>
      <c r="M344">
        <v>0</v>
      </c>
      <c r="N344">
        <v>8467.02</v>
      </c>
      <c r="R344">
        <v>0</v>
      </c>
      <c r="S344">
        <v>0</v>
      </c>
      <c r="T344">
        <v>0</v>
      </c>
      <c r="U344" t="s">
        <v>256</v>
      </c>
      <c r="V344" t="s">
        <v>90</v>
      </c>
      <c r="W344">
        <v>4</v>
      </c>
      <c r="Y344" t="s">
        <v>238</v>
      </c>
      <c r="AB344">
        <v>0</v>
      </c>
      <c r="AD344">
        <v>8467.02</v>
      </c>
      <c r="AE344">
        <v>0</v>
      </c>
      <c r="AF344">
        <v>0</v>
      </c>
      <c r="AG344">
        <v>8467.02</v>
      </c>
      <c r="AK344">
        <v>0</v>
      </c>
    </row>
    <row r="345" spans="1:37" x14ac:dyDescent="0.25">
      <c r="A345">
        <v>9888</v>
      </c>
      <c r="B345" t="s">
        <v>650</v>
      </c>
      <c r="C345">
        <v>7596.3799999999992</v>
      </c>
      <c r="D345">
        <v>581.70399999999995</v>
      </c>
      <c r="E345">
        <v>52.012799999999999</v>
      </c>
      <c r="F345">
        <v>8230.1</v>
      </c>
      <c r="J345">
        <v>0</v>
      </c>
      <c r="K345">
        <v>7596.3799999999992</v>
      </c>
      <c r="L345">
        <v>581.70399999999995</v>
      </c>
      <c r="M345">
        <v>52.012799999999999</v>
      </c>
      <c r="N345">
        <v>8230.0967999999993</v>
      </c>
      <c r="R345">
        <v>0</v>
      </c>
      <c r="S345">
        <v>0</v>
      </c>
      <c r="T345">
        <v>0</v>
      </c>
      <c r="U345" t="s">
        <v>256</v>
      </c>
      <c r="V345" t="s">
        <v>90</v>
      </c>
      <c r="W345">
        <v>4</v>
      </c>
      <c r="Y345" t="s">
        <v>238</v>
      </c>
      <c r="AB345">
        <v>0</v>
      </c>
      <c r="AD345">
        <v>8230.1</v>
      </c>
      <c r="AE345">
        <v>0</v>
      </c>
      <c r="AF345">
        <v>0</v>
      </c>
      <c r="AG345">
        <v>8230.1</v>
      </c>
      <c r="AK345">
        <v>0</v>
      </c>
    </row>
    <row r="346" spans="1:37" x14ac:dyDescent="0.25">
      <c r="A346">
        <v>93872</v>
      </c>
      <c r="B346" t="s">
        <v>651</v>
      </c>
      <c r="C346">
        <v>7799.25</v>
      </c>
      <c r="D346">
        <v>0</v>
      </c>
      <c r="E346">
        <v>31.514700000000001</v>
      </c>
      <c r="F346">
        <v>7830.76</v>
      </c>
      <c r="J346">
        <v>0</v>
      </c>
      <c r="K346">
        <v>7799.25</v>
      </c>
      <c r="L346">
        <v>0</v>
      </c>
      <c r="M346">
        <v>31.514700000000001</v>
      </c>
      <c r="N346">
        <v>7830.7646999999997</v>
      </c>
      <c r="R346">
        <v>0</v>
      </c>
      <c r="S346">
        <v>0</v>
      </c>
      <c r="T346">
        <v>0</v>
      </c>
      <c r="U346" t="s">
        <v>256</v>
      </c>
      <c r="V346" t="s">
        <v>90</v>
      </c>
      <c r="W346">
        <v>4</v>
      </c>
      <c r="Y346" t="s">
        <v>238</v>
      </c>
      <c r="AB346">
        <v>0</v>
      </c>
      <c r="AD346">
        <v>7830.76</v>
      </c>
      <c r="AE346">
        <v>0</v>
      </c>
      <c r="AF346">
        <v>0</v>
      </c>
      <c r="AG346">
        <v>7830.76</v>
      </c>
      <c r="AK346">
        <v>0</v>
      </c>
    </row>
    <row r="347" spans="1:37" x14ac:dyDescent="0.25">
      <c r="A347">
        <v>74310</v>
      </c>
      <c r="B347" t="s">
        <v>652</v>
      </c>
      <c r="C347">
        <v>7116.38</v>
      </c>
      <c r="D347">
        <v>0</v>
      </c>
      <c r="E347">
        <v>0</v>
      </c>
      <c r="F347">
        <v>7116.38</v>
      </c>
      <c r="J347">
        <v>0</v>
      </c>
      <c r="K347">
        <v>7116.38</v>
      </c>
      <c r="L347">
        <v>0</v>
      </c>
      <c r="M347">
        <v>0</v>
      </c>
      <c r="N347">
        <v>7116.38</v>
      </c>
      <c r="R347">
        <v>0</v>
      </c>
      <c r="S347">
        <v>0</v>
      </c>
      <c r="T347">
        <v>0</v>
      </c>
      <c r="U347" t="s">
        <v>256</v>
      </c>
      <c r="V347" t="s">
        <v>90</v>
      </c>
      <c r="W347">
        <v>4</v>
      </c>
      <c r="Y347" t="s">
        <v>238</v>
      </c>
      <c r="AB347">
        <v>0</v>
      </c>
      <c r="AD347">
        <v>7116.38</v>
      </c>
      <c r="AE347">
        <v>0</v>
      </c>
      <c r="AF347">
        <v>0</v>
      </c>
      <c r="AG347">
        <v>7116.38</v>
      </c>
      <c r="AK347">
        <v>0</v>
      </c>
    </row>
    <row r="348" spans="1:37" x14ac:dyDescent="0.25">
      <c r="A348">
        <v>11423</v>
      </c>
      <c r="B348" t="s">
        <v>653</v>
      </c>
      <c r="C348">
        <v>6635.91</v>
      </c>
      <c r="D348">
        <v>0</v>
      </c>
      <c r="E348">
        <v>434.0752</v>
      </c>
      <c r="F348">
        <v>7069.99</v>
      </c>
      <c r="J348">
        <v>0</v>
      </c>
      <c r="K348">
        <v>6635.91</v>
      </c>
      <c r="L348">
        <v>0</v>
      </c>
      <c r="M348">
        <v>434.0752</v>
      </c>
      <c r="N348">
        <v>7069.9852000000001</v>
      </c>
      <c r="R348">
        <v>0</v>
      </c>
      <c r="S348">
        <v>0</v>
      </c>
      <c r="T348">
        <v>0</v>
      </c>
      <c r="U348" t="s">
        <v>256</v>
      </c>
      <c r="V348" t="s">
        <v>90</v>
      </c>
      <c r="W348">
        <v>4</v>
      </c>
      <c r="Y348" t="s">
        <v>238</v>
      </c>
      <c r="AB348">
        <v>0</v>
      </c>
      <c r="AD348">
        <v>7069.99</v>
      </c>
      <c r="AE348">
        <v>0</v>
      </c>
      <c r="AF348">
        <v>0</v>
      </c>
      <c r="AG348">
        <v>7069.99</v>
      </c>
      <c r="AK348">
        <v>0</v>
      </c>
    </row>
    <row r="349" spans="1:37" x14ac:dyDescent="0.25">
      <c r="A349">
        <v>8474</v>
      </c>
      <c r="B349" t="s">
        <v>654</v>
      </c>
      <c r="C349">
        <v>5831.79</v>
      </c>
      <c r="D349">
        <v>0</v>
      </c>
      <c r="E349">
        <v>933.08640000000003</v>
      </c>
      <c r="F349">
        <v>6764.8700000000008</v>
      </c>
      <c r="J349">
        <v>0</v>
      </c>
      <c r="K349">
        <v>5831.79</v>
      </c>
      <c r="L349">
        <v>0</v>
      </c>
      <c r="M349">
        <v>933.08640000000003</v>
      </c>
      <c r="N349">
        <v>6764.8764000000001</v>
      </c>
      <c r="R349">
        <v>0</v>
      </c>
      <c r="S349">
        <v>0</v>
      </c>
      <c r="T349">
        <v>0</v>
      </c>
      <c r="U349" t="s">
        <v>256</v>
      </c>
      <c r="V349" t="s">
        <v>90</v>
      </c>
      <c r="W349">
        <v>4</v>
      </c>
      <c r="Y349" t="s">
        <v>73</v>
      </c>
      <c r="Z349">
        <v>5831.79</v>
      </c>
      <c r="AA349">
        <v>6764.8764000000001</v>
      </c>
      <c r="AB349" t="s">
        <v>655</v>
      </c>
      <c r="AD349">
        <v>0</v>
      </c>
      <c r="AE349">
        <v>0</v>
      </c>
      <c r="AF349">
        <v>6764.87</v>
      </c>
      <c r="AG349">
        <v>6764.8700000000008</v>
      </c>
      <c r="AK349">
        <v>0</v>
      </c>
    </row>
    <row r="350" spans="1:37" x14ac:dyDescent="0.25">
      <c r="A350">
        <v>3604</v>
      </c>
      <c r="B350" t="s">
        <v>452</v>
      </c>
      <c r="C350">
        <v>6694.96</v>
      </c>
      <c r="D350">
        <v>0</v>
      </c>
      <c r="E350">
        <v>0</v>
      </c>
      <c r="F350">
        <v>6694.96</v>
      </c>
      <c r="J350">
        <v>0</v>
      </c>
      <c r="K350">
        <v>6694.96</v>
      </c>
      <c r="L350">
        <v>0</v>
      </c>
      <c r="M350">
        <v>0</v>
      </c>
      <c r="N350">
        <v>6694.96</v>
      </c>
      <c r="R350">
        <v>0</v>
      </c>
      <c r="S350">
        <v>0</v>
      </c>
      <c r="T350">
        <v>0</v>
      </c>
      <c r="U350" t="s">
        <v>256</v>
      </c>
      <c r="V350" t="s">
        <v>90</v>
      </c>
      <c r="W350">
        <v>4</v>
      </c>
      <c r="Y350" t="s">
        <v>238</v>
      </c>
      <c r="AB350">
        <v>0</v>
      </c>
      <c r="AD350">
        <v>6694.96</v>
      </c>
      <c r="AE350">
        <v>0</v>
      </c>
      <c r="AF350">
        <v>0</v>
      </c>
      <c r="AG350">
        <v>6694.96</v>
      </c>
      <c r="AK350">
        <v>0</v>
      </c>
    </row>
    <row r="351" spans="1:37" x14ac:dyDescent="0.25">
      <c r="A351">
        <v>89383</v>
      </c>
      <c r="B351" t="s">
        <v>656</v>
      </c>
      <c r="C351">
        <v>5761.76</v>
      </c>
      <c r="D351">
        <v>0</v>
      </c>
      <c r="E351">
        <v>921.88260000000002</v>
      </c>
      <c r="F351">
        <v>6683.64</v>
      </c>
      <c r="J351">
        <v>0</v>
      </c>
      <c r="K351">
        <v>5761.76</v>
      </c>
      <c r="L351">
        <v>0</v>
      </c>
      <c r="M351">
        <v>921.88260000000002</v>
      </c>
      <c r="N351">
        <v>6683.6426000000001</v>
      </c>
      <c r="R351">
        <v>0</v>
      </c>
      <c r="S351">
        <v>0</v>
      </c>
      <c r="T351">
        <v>0</v>
      </c>
      <c r="U351" t="s">
        <v>256</v>
      </c>
      <c r="V351" t="s">
        <v>90</v>
      </c>
      <c r="W351">
        <v>4</v>
      </c>
      <c r="Y351" t="s">
        <v>238</v>
      </c>
      <c r="AB351" t="s">
        <v>279</v>
      </c>
      <c r="AD351">
        <v>0</v>
      </c>
      <c r="AE351">
        <v>6683.6400000000012</v>
      </c>
      <c r="AF351">
        <v>0</v>
      </c>
      <c r="AG351">
        <v>0</v>
      </c>
      <c r="AK351">
        <v>0</v>
      </c>
    </row>
    <row r="352" spans="1:37" x14ac:dyDescent="0.25">
      <c r="A352">
        <v>1402</v>
      </c>
      <c r="B352" t="s">
        <v>657</v>
      </c>
      <c r="C352">
        <v>6572.83</v>
      </c>
      <c r="D352">
        <v>0</v>
      </c>
      <c r="E352">
        <v>4.181</v>
      </c>
      <c r="F352">
        <v>6577.01</v>
      </c>
      <c r="J352">
        <v>0</v>
      </c>
      <c r="K352">
        <v>6572.83</v>
      </c>
      <c r="L352">
        <v>0</v>
      </c>
      <c r="M352">
        <v>4.181</v>
      </c>
      <c r="N352">
        <v>6577.0110000000004</v>
      </c>
      <c r="R352">
        <v>0</v>
      </c>
      <c r="S352">
        <v>0</v>
      </c>
      <c r="T352">
        <v>0</v>
      </c>
      <c r="U352" t="s">
        <v>256</v>
      </c>
      <c r="V352" t="s">
        <v>90</v>
      </c>
      <c r="W352">
        <v>4</v>
      </c>
      <c r="Y352" t="s">
        <v>73</v>
      </c>
      <c r="Z352">
        <v>6572.83</v>
      </c>
      <c r="AA352">
        <v>6577.0110000000004</v>
      </c>
      <c r="AB352">
        <v>0</v>
      </c>
      <c r="AD352">
        <v>0</v>
      </c>
      <c r="AE352">
        <v>0</v>
      </c>
      <c r="AF352">
        <v>6577.01</v>
      </c>
      <c r="AG352">
        <v>6577.01</v>
      </c>
      <c r="AK352">
        <v>0</v>
      </c>
    </row>
    <row r="353" spans="1:37" x14ac:dyDescent="0.25">
      <c r="A353">
        <v>40477</v>
      </c>
      <c r="B353" t="s">
        <v>658</v>
      </c>
      <c r="C353">
        <v>6574.8300000000008</v>
      </c>
      <c r="D353">
        <v>0</v>
      </c>
      <c r="E353">
        <v>0</v>
      </c>
      <c r="F353">
        <v>6574.8300000000008</v>
      </c>
      <c r="J353">
        <v>0</v>
      </c>
      <c r="K353">
        <v>6574.8300000000008</v>
      </c>
      <c r="L353">
        <v>0</v>
      </c>
      <c r="M353">
        <v>0</v>
      </c>
      <c r="N353">
        <v>6574.8300000000008</v>
      </c>
      <c r="R353">
        <v>0</v>
      </c>
      <c r="S353">
        <v>0</v>
      </c>
      <c r="T353">
        <v>0</v>
      </c>
      <c r="U353" t="s">
        <v>256</v>
      </c>
      <c r="V353" t="s">
        <v>90</v>
      </c>
      <c r="W353">
        <v>4</v>
      </c>
      <c r="Y353" t="s">
        <v>238</v>
      </c>
      <c r="AB353">
        <v>0</v>
      </c>
      <c r="AD353">
        <v>6574.83</v>
      </c>
      <c r="AE353">
        <v>0</v>
      </c>
      <c r="AF353">
        <v>0</v>
      </c>
      <c r="AG353">
        <v>6574.8300000000008</v>
      </c>
      <c r="AK353">
        <v>0</v>
      </c>
    </row>
    <row r="354" spans="1:37" x14ac:dyDescent="0.25">
      <c r="A354">
        <v>13111</v>
      </c>
      <c r="B354" t="s">
        <v>659</v>
      </c>
      <c r="C354">
        <v>5628.22</v>
      </c>
      <c r="D354">
        <v>0</v>
      </c>
      <c r="E354">
        <v>900.51520000000005</v>
      </c>
      <c r="F354">
        <v>6528.73</v>
      </c>
      <c r="J354">
        <v>0</v>
      </c>
      <c r="K354">
        <v>5628.22</v>
      </c>
      <c r="L354">
        <v>0</v>
      </c>
      <c r="M354">
        <v>900.51520000000005</v>
      </c>
      <c r="N354">
        <v>6528.7352000000001</v>
      </c>
      <c r="R354">
        <v>0</v>
      </c>
      <c r="S354">
        <v>0</v>
      </c>
      <c r="T354">
        <v>0</v>
      </c>
      <c r="U354" t="s">
        <v>256</v>
      </c>
      <c r="V354" t="s">
        <v>90</v>
      </c>
      <c r="W354">
        <v>4</v>
      </c>
      <c r="Y354" t="s">
        <v>238</v>
      </c>
      <c r="AB354">
        <v>0</v>
      </c>
      <c r="AD354">
        <v>0</v>
      </c>
      <c r="AE354">
        <v>6528.73</v>
      </c>
      <c r="AF354">
        <v>0</v>
      </c>
      <c r="AG354">
        <v>0</v>
      </c>
      <c r="AK354">
        <v>0</v>
      </c>
    </row>
    <row r="355" spans="1:37" x14ac:dyDescent="0.25">
      <c r="A355">
        <v>17053</v>
      </c>
      <c r="B355" t="s">
        <v>660</v>
      </c>
      <c r="C355">
        <v>5956.76</v>
      </c>
      <c r="D355">
        <v>0</v>
      </c>
      <c r="E355">
        <v>0</v>
      </c>
      <c r="F355">
        <v>5956.76</v>
      </c>
      <c r="J355">
        <v>0</v>
      </c>
      <c r="K355">
        <v>5956.76</v>
      </c>
      <c r="L355">
        <v>0</v>
      </c>
      <c r="M355">
        <v>0</v>
      </c>
      <c r="N355">
        <v>5956.76</v>
      </c>
      <c r="R355">
        <v>0</v>
      </c>
      <c r="S355">
        <v>0</v>
      </c>
      <c r="T355">
        <v>0</v>
      </c>
      <c r="U355" t="s">
        <v>256</v>
      </c>
      <c r="V355" t="s">
        <v>90</v>
      </c>
      <c r="W355">
        <v>4</v>
      </c>
      <c r="Y355" t="s">
        <v>73</v>
      </c>
      <c r="Z355">
        <v>5956.76</v>
      </c>
      <c r="AA355">
        <v>5956.76</v>
      </c>
      <c r="AB355" t="s">
        <v>386</v>
      </c>
      <c r="AD355">
        <v>0</v>
      </c>
      <c r="AE355">
        <v>0</v>
      </c>
      <c r="AF355">
        <v>5956.76</v>
      </c>
      <c r="AG355">
        <v>5956.76</v>
      </c>
      <c r="AK355">
        <v>0</v>
      </c>
    </row>
    <row r="356" spans="1:37" x14ac:dyDescent="0.25">
      <c r="A356">
        <v>329680</v>
      </c>
      <c r="B356" t="s">
        <v>661</v>
      </c>
      <c r="C356">
        <v>5097.16</v>
      </c>
      <c r="D356">
        <v>0</v>
      </c>
      <c r="E356">
        <v>815.54560000000004</v>
      </c>
      <c r="F356">
        <v>5912.7</v>
      </c>
      <c r="J356">
        <v>0</v>
      </c>
      <c r="K356">
        <v>5097.16</v>
      </c>
      <c r="L356">
        <v>0</v>
      </c>
      <c r="M356">
        <v>815.54560000000004</v>
      </c>
      <c r="N356">
        <v>5912.7056000000002</v>
      </c>
      <c r="R356">
        <v>0</v>
      </c>
      <c r="S356">
        <v>0</v>
      </c>
      <c r="T356">
        <v>0</v>
      </c>
      <c r="U356" t="s">
        <v>256</v>
      </c>
      <c r="V356" t="s">
        <v>90</v>
      </c>
      <c r="W356">
        <v>4</v>
      </c>
      <c r="Y356" t="s">
        <v>238</v>
      </c>
      <c r="AB356">
        <v>0</v>
      </c>
      <c r="AD356">
        <v>0</v>
      </c>
      <c r="AE356">
        <v>5912.7</v>
      </c>
      <c r="AF356">
        <v>0</v>
      </c>
      <c r="AG356">
        <v>0</v>
      </c>
      <c r="AK356">
        <v>0</v>
      </c>
    </row>
    <row r="357" spans="1:37" x14ac:dyDescent="0.25">
      <c r="A357">
        <v>16985</v>
      </c>
      <c r="B357" t="s">
        <v>662</v>
      </c>
      <c r="C357">
        <v>5028.8899999999994</v>
      </c>
      <c r="D357">
        <v>0</v>
      </c>
      <c r="E357">
        <v>804.62240000000008</v>
      </c>
      <c r="F357">
        <v>5833.5</v>
      </c>
      <c r="J357">
        <v>0</v>
      </c>
      <c r="K357">
        <v>5028.8899999999994</v>
      </c>
      <c r="L357">
        <v>0</v>
      </c>
      <c r="M357">
        <v>804.62240000000008</v>
      </c>
      <c r="N357">
        <v>5833.5123999999996</v>
      </c>
      <c r="R357">
        <v>0</v>
      </c>
      <c r="S357">
        <v>0</v>
      </c>
      <c r="T357">
        <v>0</v>
      </c>
      <c r="U357" t="s">
        <v>256</v>
      </c>
      <c r="V357" t="s">
        <v>90</v>
      </c>
      <c r="W357">
        <v>4</v>
      </c>
      <c r="Y357" t="s">
        <v>238</v>
      </c>
      <c r="AB357">
        <v>0</v>
      </c>
      <c r="AD357">
        <v>0</v>
      </c>
      <c r="AE357">
        <v>5833.5</v>
      </c>
      <c r="AF357">
        <v>0</v>
      </c>
      <c r="AG357">
        <v>0</v>
      </c>
      <c r="AK357">
        <v>0</v>
      </c>
    </row>
    <row r="358" spans="1:37" x14ac:dyDescent="0.25">
      <c r="A358">
        <v>21597</v>
      </c>
      <c r="B358" t="s">
        <v>663</v>
      </c>
      <c r="C358">
        <v>5730.7</v>
      </c>
      <c r="D358">
        <v>0</v>
      </c>
      <c r="E358">
        <v>0</v>
      </c>
      <c r="F358">
        <v>5730.7</v>
      </c>
      <c r="J358">
        <v>0</v>
      </c>
      <c r="K358">
        <v>5730.7</v>
      </c>
      <c r="L358">
        <v>0</v>
      </c>
      <c r="M358">
        <v>0</v>
      </c>
      <c r="N358">
        <v>5730.7</v>
      </c>
      <c r="R358">
        <v>0</v>
      </c>
      <c r="S358">
        <v>0</v>
      </c>
      <c r="T358">
        <v>0</v>
      </c>
      <c r="U358" t="s">
        <v>256</v>
      </c>
      <c r="V358" t="s">
        <v>90</v>
      </c>
      <c r="W358">
        <v>4</v>
      </c>
      <c r="Y358" t="s">
        <v>238</v>
      </c>
      <c r="AB358" t="s">
        <v>279</v>
      </c>
      <c r="AD358">
        <v>5730.7</v>
      </c>
      <c r="AE358">
        <v>0</v>
      </c>
      <c r="AF358">
        <v>0</v>
      </c>
      <c r="AG358">
        <v>5730.7</v>
      </c>
      <c r="AK358">
        <v>0</v>
      </c>
    </row>
    <row r="359" spans="1:37" x14ac:dyDescent="0.25">
      <c r="A359">
        <v>62166</v>
      </c>
      <c r="B359" t="s">
        <v>664</v>
      </c>
      <c r="C359">
        <v>4911.18</v>
      </c>
      <c r="D359">
        <v>0</v>
      </c>
      <c r="E359">
        <v>785.78880000000004</v>
      </c>
      <c r="F359">
        <v>5696.98</v>
      </c>
      <c r="J359">
        <v>0</v>
      </c>
      <c r="K359">
        <v>4911.18</v>
      </c>
      <c r="L359">
        <v>0</v>
      </c>
      <c r="M359">
        <v>785.78880000000004</v>
      </c>
      <c r="N359">
        <v>5696.9688000000006</v>
      </c>
      <c r="R359">
        <v>0</v>
      </c>
      <c r="S359">
        <v>0</v>
      </c>
      <c r="T359">
        <v>0</v>
      </c>
      <c r="U359" t="s">
        <v>256</v>
      </c>
      <c r="V359" t="s">
        <v>90</v>
      </c>
      <c r="W359">
        <v>4</v>
      </c>
      <c r="Y359" t="s">
        <v>238</v>
      </c>
      <c r="AB359">
        <v>0</v>
      </c>
      <c r="AD359">
        <v>5696.98</v>
      </c>
      <c r="AE359">
        <v>0</v>
      </c>
      <c r="AF359">
        <v>0</v>
      </c>
      <c r="AG359">
        <v>5696.98</v>
      </c>
      <c r="AK359">
        <v>0</v>
      </c>
    </row>
    <row r="360" spans="1:37" x14ac:dyDescent="0.25">
      <c r="A360">
        <v>92692</v>
      </c>
      <c r="B360" t="s">
        <v>665</v>
      </c>
      <c r="C360">
        <v>4872.4399999999996</v>
      </c>
      <c r="D360">
        <v>0</v>
      </c>
      <c r="E360">
        <v>779.59040000000005</v>
      </c>
      <c r="F360">
        <v>5652.03</v>
      </c>
      <c r="J360">
        <v>0</v>
      </c>
      <c r="K360">
        <v>4872.4399999999996</v>
      </c>
      <c r="L360">
        <v>0</v>
      </c>
      <c r="M360">
        <v>779.59040000000005</v>
      </c>
      <c r="N360">
        <v>5652.0303999999996</v>
      </c>
      <c r="R360">
        <v>0</v>
      </c>
      <c r="S360">
        <v>0</v>
      </c>
      <c r="T360">
        <v>0</v>
      </c>
      <c r="U360" t="s">
        <v>256</v>
      </c>
      <c r="V360" t="s">
        <v>90</v>
      </c>
      <c r="W360">
        <v>4</v>
      </c>
      <c r="Y360" t="s">
        <v>238</v>
      </c>
      <c r="AB360">
        <v>0</v>
      </c>
      <c r="AD360">
        <v>5652.03</v>
      </c>
      <c r="AE360">
        <v>0</v>
      </c>
      <c r="AF360">
        <v>0</v>
      </c>
      <c r="AG360">
        <v>5652.03</v>
      </c>
      <c r="AK360">
        <v>0</v>
      </c>
    </row>
    <row r="361" spans="1:37" x14ac:dyDescent="0.25">
      <c r="A361">
        <v>35576</v>
      </c>
      <c r="B361" t="s">
        <v>666</v>
      </c>
      <c r="C361">
        <v>4648.2777487520007</v>
      </c>
      <c r="D361">
        <v>0</v>
      </c>
      <c r="E361">
        <v>743.72443980031994</v>
      </c>
      <c r="F361">
        <v>5392</v>
      </c>
      <c r="J361">
        <v>0</v>
      </c>
      <c r="K361">
        <v>4648.2777487520007</v>
      </c>
      <c r="L361">
        <v>0</v>
      </c>
      <c r="M361">
        <v>743.72443980031994</v>
      </c>
      <c r="N361">
        <v>5392.0021885523201</v>
      </c>
      <c r="R361">
        <v>0</v>
      </c>
      <c r="S361">
        <v>0</v>
      </c>
      <c r="T361">
        <v>0</v>
      </c>
      <c r="U361" t="s">
        <v>256</v>
      </c>
      <c r="V361" t="s">
        <v>90</v>
      </c>
      <c r="W361">
        <v>4</v>
      </c>
      <c r="Y361" t="s">
        <v>238</v>
      </c>
      <c r="AB361">
        <v>0</v>
      </c>
      <c r="AD361">
        <v>0</v>
      </c>
      <c r="AE361">
        <v>5392</v>
      </c>
      <c r="AF361">
        <v>0</v>
      </c>
      <c r="AG361">
        <v>0</v>
      </c>
      <c r="AK361">
        <v>0</v>
      </c>
    </row>
    <row r="362" spans="1:37" x14ac:dyDescent="0.25">
      <c r="A362">
        <v>20192</v>
      </c>
      <c r="B362" t="s">
        <v>667</v>
      </c>
      <c r="C362">
        <v>4606.03</v>
      </c>
      <c r="D362">
        <v>0</v>
      </c>
      <c r="E362">
        <v>736.96479999999997</v>
      </c>
      <c r="F362">
        <v>5343</v>
      </c>
      <c r="J362">
        <v>0</v>
      </c>
      <c r="K362">
        <v>4606.03</v>
      </c>
      <c r="L362">
        <v>0</v>
      </c>
      <c r="M362">
        <v>736.96479999999997</v>
      </c>
      <c r="N362">
        <v>5342.9947999999986</v>
      </c>
      <c r="R362">
        <v>0</v>
      </c>
      <c r="S362">
        <v>0</v>
      </c>
      <c r="T362">
        <v>0</v>
      </c>
      <c r="U362" t="s">
        <v>256</v>
      </c>
      <c r="V362" t="s">
        <v>90</v>
      </c>
      <c r="W362">
        <v>4</v>
      </c>
      <c r="Y362" t="s">
        <v>238</v>
      </c>
      <c r="AB362">
        <v>0</v>
      </c>
      <c r="AD362">
        <v>5343</v>
      </c>
      <c r="AE362">
        <v>0</v>
      </c>
      <c r="AF362">
        <v>0</v>
      </c>
      <c r="AG362">
        <v>5343</v>
      </c>
      <c r="AK362">
        <v>0</v>
      </c>
    </row>
    <row r="363" spans="1:37" x14ac:dyDescent="0.25">
      <c r="A363">
        <v>97378</v>
      </c>
      <c r="B363" t="s">
        <v>668</v>
      </c>
      <c r="C363">
        <v>5007.76</v>
      </c>
      <c r="D363">
        <v>0</v>
      </c>
      <c r="E363">
        <v>0</v>
      </c>
      <c r="F363">
        <v>5007.76</v>
      </c>
      <c r="J363">
        <v>0</v>
      </c>
      <c r="K363">
        <v>5007.76</v>
      </c>
      <c r="L363">
        <v>0</v>
      </c>
      <c r="M363">
        <v>0</v>
      </c>
      <c r="N363">
        <v>5007.76</v>
      </c>
      <c r="R363">
        <v>0</v>
      </c>
      <c r="S363">
        <v>0</v>
      </c>
      <c r="T363">
        <v>0</v>
      </c>
      <c r="U363" t="s">
        <v>256</v>
      </c>
      <c r="V363" t="s">
        <v>90</v>
      </c>
      <c r="W363">
        <v>4</v>
      </c>
      <c r="Y363" t="s">
        <v>238</v>
      </c>
      <c r="AB363">
        <v>0</v>
      </c>
      <c r="AD363">
        <v>5007.76</v>
      </c>
      <c r="AE363">
        <v>0</v>
      </c>
      <c r="AF363">
        <v>0</v>
      </c>
      <c r="AG363">
        <v>5007.76</v>
      </c>
      <c r="AK363">
        <v>0</v>
      </c>
    </row>
    <row r="364" spans="1:37" x14ac:dyDescent="0.25">
      <c r="A364">
        <v>395210</v>
      </c>
      <c r="B364" t="s">
        <v>669</v>
      </c>
      <c r="C364">
        <v>4835.984840375997</v>
      </c>
      <c r="D364">
        <v>0</v>
      </c>
      <c r="E364">
        <v>0</v>
      </c>
      <c r="F364">
        <v>4835.9799999999996</v>
      </c>
      <c r="J364">
        <v>0</v>
      </c>
      <c r="K364">
        <v>4835.984840375997</v>
      </c>
      <c r="L364">
        <v>0</v>
      </c>
      <c r="M364">
        <v>0</v>
      </c>
      <c r="N364">
        <v>4835.984840375997</v>
      </c>
      <c r="R364">
        <v>0</v>
      </c>
      <c r="S364">
        <v>0</v>
      </c>
      <c r="T364">
        <v>0</v>
      </c>
      <c r="U364" t="s">
        <v>256</v>
      </c>
      <c r="V364" t="s">
        <v>90</v>
      </c>
      <c r="W364">
        <v>4</v>
      </c>
      <c r="Y364" t="s">
        <v>73</v>
      </c>
      <c r="Z364">
        <v>4835.984840375997</v>
      </c>
      <c r="AA364">
        <v>4835.984840375997</v>
      </c>
      <c r="AB364">
        <v>0</v>
      </c>
      <c r="AD364">
        <v>0</v>
      </c>
      <c r="AE364">
        <v>0</v>
      </c>
      <c r="AF364">
        <v>4835.9799999999996</v>
      </c>
      <c r="AG364">
        <v>4835.9799999999996</v>
      </c>
      <c r="AK364">
        <v>0</v>
      </c>
    </row>
    <row r="365" spans="1:37" x14ac:dyDescent="0.25">
      <c r="A365">
        <v>799</v>
      </c>
      <c r="B365" t="s">
        <v>670</v>
      </c>
      <c r="C365">
        <v>3860.56</v>
      </c>
      <c r="D365">
        <v>0</v>
      </c>
      <c r="E365">
        <v>617.68959999999993</v>
      </c>
      <c r="F365">
        <v>4478.26</v>
      </c>
      <c r="J365">
        <v>0</v>
      </c>
      <c r="K365">
        <v>3860.56</v>
      </c>
      <c r="L365">
        <v>0</v>
      </c>
      <c r="M365">
        <v>617.68959999999993</v>
      </c>
      <c r="N365">
        <v>4478.2496000000001</v>
      </c>
      <c r="R365">
        <v>0</v>
      </c>
      <c r="S365">
        <v>0</v>
      </c>
      <c r="T365">
        <v>0</v>
      </c>
      <c r="U365" t="s">
        <v>256</v>
      </c>
      <c r="V365" t="s">
        <v>90</v>
      </c>
      <c r="W365">
        <v>4</v>
      </c>
      <c r="Y365" t="s">
        <v>73</v>
      </c>
      <c r="Z365">
        <v>3860.56</v>
      </c>
      <c r="AA365">
        <v>4478.2496000000001</v>
      </c>
      <c r="AB365" t="s">
        <v>655</v>
      </c>
      <c r="AD365">
        <v>0</v>
      </c>
      <c r="AE365">
        <v>0</v>
      </c>
      <c r="AF365">
        <v>4478.26</v>
      </c>
      <c r="AG365">
        <v>4478.26</v>
      </c>
      <c r="AK365">
        <v>0</v>
      </c>
    </row>
    <row r="366" spans="1:37" x14ac:dyDescent="0.25">
      <c r="A366">
        <v>63255</v>
      </c>
      <c r="B366" t="s">
        <v>671</v>
      </c>
      <c r="C366">
        <v>4292.37</v>
      </c>
      <c r="D366">
        <v>0</v>
      </c>
      <c r="E366">
        <v>0</v>
      </c>
      <c r="F366">
        <v>4292.37</v>
      </c>
      <c r="J366">
        <v>0</v>
      </c>
      <c r="K366">
        <v>4292.37</v>
      </c>
      <c r="L366">
        <v>0</v>
      </c>
      <c r="M366">
        <v>0</v>
      </c>
      <c r="N366">
        <v>4292.37</v>
      </c>
      <c r="R366">
        <v>0</v>
      </c>
      <c r="S366">
        <v>0</v>
      </c>
      <c r="T366">
        <v>0</v>
      </c>
      <c r="U366" t="s">
        <v>256</v>
      </c>
      <c r="V366" t="s">
        <v>90</v>
      </c>
      <c r="W366">
        <v>4</v>
      </c>
      <c r="Y366" t="s">
        <v>238</v>
      </c>
      <c r="AB366">
        <v>0</v>
      </c>
      <c r="AD366">
        <v>0</v>
      </c>
      <c r="AE366">
        <v>4292.37</v>
      </c>
      <c r="AF366">
        <v>0</v>
      </c>
      <c r="AG366">
        <v>0</v>
      </c>
      <c r="AK366">
        <v>0</v>
      </c>
    </row>
    <row r="367" spans="1:37" x14ac:dyDescent="0.25">
      <c r="A367">
        <v>52449</v>
      </c>
      <c r="B367" t="s">
        <v>599</v>
      </c>
      <c r="C367">
        <v>4217.6200000000008</v>
      </c>
      <c r="D367">
        <v>0</v>
      </c>
      <c r="E367">
        <v>0</v>
      </c>
      <c r="F367">
        <v>4217.6200000000008</v>
      </c>
      <c r="J367">
        <v>0</v>
      </c>
      <c r="K367">
        <v>4217.6200000000008</v>
      </c>
      <c r="L367">
        <v>0</v>
      </c>
      <c r="M367">
        <v>0</v>
      </c>
      <c r="N367">
        <v>4217.6200000000008</v>
      </c>
      <c r="R367">
        <v>0</v>
      </c>
      <c r="S367">
        <v>0</v>
      </c>
      <c r="T367">
        <v>0</v>
      </c>
      <c r="U367" t="s">
        <v>256</v>
      </c>
      <c r="V367" t="s">
        <v>90</v>
      </c>
      <c r="W367">
        <v>4</v>
      </c>
      <c r="Y367" t="s">
        <v>238</v>
      </c>
      <c r="AB367">
        <v>0</v>
      </c>
      <c r="AD367">
        <v>0</v>
      </c>
      <c r="AE367">
        <v>4217.62</v>
      </c>
      <c r="AF367">
        <v>0</v>
      </c>
      <c r="AG367">
        <v>0</v>
      </c>
      <c r="AK367">
        <v>0</v>
      </c>
    </row>
    <row r="368" spans="1:37" x14ac:dyDescent="0.25">
      <c r="A368">
        <v>14535</v>
      </c>
      <c r="B368" t="s">
        <v>672</v>
      </c>
      <c r="C368">
        <v>3593.742516981999</v>
      </c>
      <c r="D368">
        <v>0</v>
      </c>
      <c r="E368">
        <v>574.99880271711993</v>
      </c>
      <c r="F368">
        <v>4168.75</v>
      </c>
      <c r="J368">
        <v>0</v>
      </c>
      <c r="K368">
        <v>3593.742516981999</v>
      </c>
      <c r="L368">
        <v>0</v>
      </c>
      <c r="M368">
        <v>574.99880271711993</v>
      </c>
      <c r="N368">
        <v>4168.7413196991192</v>
      </c>
      <c r="R368">
        <v>0</v>
      </c>
      <c r="S368">
        <v>0</v>
      </c>
      <c r="T368">
        <v>0</v>
      </c>
      <c r="U368" t="s">
        <v>256</v>
      </c>
      <c r="V368" t="s">
        <v>90</v>
      </c>
      <c r="W368">
        <v>4</v>
      </c>
      <c r="Y368" t="s">
        <v>238</v>
      </c>
      <c r="AB368">
        <v>0</v>
      </c>
      <c r="AD368">
        <v>4168.75</v>
      </c>
      <c r="AE368">
        <v>0</v>
      </c>
      <c r="AF368">
        <v>0</v>
      </c>
      <c r="AG368">
        <v>4168.75</v>
      </c>
      <c r="AK368">
        <v>0</v>
      </c>
    </row>
    <row r="369" spans="1:37" x14ac:dyDescent="0.25">
      <c r="A369">
        <v>3570</v>
      </c>
      <c r="B369" t="s">
        <v>673</v>
      </c>
      <c r="C369">
        <v>3589.78</v>
      </c>
      <c r="D369">
        <v>0</v>
      </c>
      <c r="E369">
        <v>574.36479999999995</v>
      </c>
      <c r="F369">
        <v>4164.1400000000003</v>
      </c>
      <c r="J369">
        <v>0</v>
      </c>
      <c r="K369">
        <v>3589.78</v>
      </c>
      <c r="L369">
        <v>0</v>
      </c>
      <c r="M369">
        <v>574.36479999999995</v>
      </c>
      <c r="N369">
        <v>4164.1448</v>
      </c>
      <c r="R369">
        <v>0</v>
      </c>
      <c r="S369">
        <v>0</v>
      </c>
      <c r="T369">
        <v>0</v>
      </c>
      <c r="U369" t="s">
        <v>256</v>
      </c>
      <c r="V369" t="s">
        <v>90</v>
      </c>
      <c r="W369">
        <v>4</v>
      </c>
      <c r="Y369" t="s">
        <v>238</v>
      </c>
      <c r="AB369">
        <v>0</v>
      </c>
      <c r="AD369">
        <v>4164.1400000000003</v>
      </c>
      <c r="AE369">
        <v>0</v>
      </c>
      <c r="AF369">
        <v>0</v>
      </c>
      <c r="AG369">
        <v>4164.1400000000003</v>
      </c>
      <c r="AK369">
        <v>0</v>
      </c>
    </row>
    <row r="370" spans="1:37" x14ac:dyDescent="0.25">
      <c r="A370">
        <v>64311</v>
      </c>
      <c r="B370" t="s">
        <v>674</v>
      </c>
      <c r="C370">
        <v>3568.51</v>
      </c>
      <c r="D370">
        <v>0</v>
      </c>
      <c r="E370">
        <v>570.97169999999994</v>
      </c>
      <c r="F370">
        <v>4139.4799999999996</v>
      </c>
      <c r="J370">
        <v>0</v>
      </c>
      <c r="K370">
        <v>3568.51</v>
      </c>
      <c r="L370">
        <v>0</v>
      </c>
      <c r="M370">
        <v>570.97169999999994</v>
      </c>
      <c r="N370">
        <v>4139.4817000000003</v>
      </c>
      <c r="R370">
        <v>0</v>
      </c>
      <c r="S370">
        <v>0</v>
      </c>
      <c r="T370">
        <v>0</v>
      </c>
      <c r="U370" t="s">
        <v>256</v>
      </c>
      <c r="V370" t="s">
        <v>90</v>
      </c>
      <c r="W370">
        <v>4</v>
      </c>
      <c r="Y370" t="s">
        <v>238</v>
      </c>
      <c r="AB370">
        <v>0</v>
      </c>
      <c r="AD370">
        <v>4139.4799999999996</v>
      </c>
      <c r="AE370">
        <v>0</v>
      </c>
      <c r="AF370">
        <v>0</v>
      </c>
      <c r="AG370">
        <v>4139.4799999999996</v>
      </c>
      <c r="AK370">
        <v>0</v>
      </c>
    </row>
    <row r="371" spans="1:37" x14ac:dyDescent="0.25">
      <c r="A371">
        <v>32821</v>
      </c>
      <c r="B371" t="s">
        <v>675</v>
      </c>
      <c r="C371">
        <v>3269.78</v>
      </c>
      <c r="D371">
        <v>0</v>
      </c>
      <c r="E371">
        <v>523.12469999999996</v>
      </c>
      <c r="F371">
        <v>3792.91</v>
      </c>
      <c r="J371">
        <v>0</v>
      </c>
      <c r="K371">
        <v>3269.78</v>
      </c>
      <c r="L371">
        <v>0</v>
      </c>
      <c r="M371">
        <v>523.12469999999996</v>
      </c>
      <c r="N371">
        <v>3792.9047</v>
      </c>
      <c r="R371">
        <v>0</v>
      </c>
      <c r="S371">
        <v>0</v>
      </c>
      <c r="T371">
        <v>0</v>
      </c>
      <c r="U371" t="s">
        <v>256</v>
      </c>
      <c r="V371" t="s">
        <v>90</v>
      </c>
      <c r="W371">
        <v>4</v>
      </c>
      <c r="Y371" t="s">
        <v>238</v>
      </c>
      <c r="AB371">
        <v>0</v>
      </c>
      <c r="AD371">
        <v>3792.91</v>
      </c>
      <c r="AE371">
        <v>0</v>
      </c>
      <c r="AF371">
        <v>0</v>
      </c>
      <c r="AG371">
        <v>3792.91</v>
      </c>
      <c r="AK371">
        <v>0</v>
      </c>
    </row>
    <row r="372" spans="1:37" x14ac:dyDescent="0.25">
      <c r="A372">
        <v>16807</v>
      </c>
      <c r="B372" t="s">
        <v>676</v>
      </c>
      <c r="C372">
        <v>3075.99</v>
      </c>
      <c r="D372">
        <v>0</v>
      </c>
      <c r="E372">
        <v>492.15839999999997</v>
      </c>
      <c r="F372">
        <v>3568.14</v>
      </c>
      <c r="J372">
        <v>0</v>
      </c>
      <c r="K372">
        <v>3075.99</v>
      </c>
      <c r="L372">
        <v>0</v>
      </c>
      <c r="M372">
        <v>492.15839999999997</v>
      </c>
      <c r="N372">
        <v>3568.1484</v>
      </c>
      <c r="R372">
        <v>0</v>
      </c>
      <c r="S372">
        <v>0</v>
      </c>
      <c r="T372">
        <v>0</v>
      </c>
      <c r="U372" t="s">
        <v>256</v>
      </c>
      <c r="V372" t="s">
        <v>90</v>
      </c>
      <c r="W372">
        <v>4</v>
      </c>
      <c r="Y372" t="s">
        <v>238</v>
      </c>
      <c r="AB372">
        <v>0</v>
      </c>
      <c r="AD372">
        <v>3568.14</v>
      </c>
      <c r="AE372">
        <v>0</v>
      </c>
      <c r="AF372">
        <v>0</v>
      </c>
      <c r="AG372">
        <v>3568.14</v>
      </c>
      <c r="AK372">
        <v>0</v>
      </c>
    </row>
    <row r="373" spans="1:37" x14ac:dyDescent="0.25">
      <c r="A373">
        <v>44206</v>
      </c>
      <c r="B373" t="s">
        <v>677</v>
      </c>
      <c r="C373">
        <v>3057.15</v>
      </c>
      <c r="D373">
        <v>0</v>
      </c>
      <c r="E373">
        <v>489.12529999999998</v>
      </c>
      <c r="F373">
        <v>3546.27</v>
      </c>
      <c r="J373">
        <v>0</v>
      </c>
      <c r="K373">
        <v>3057.15</v>
      </c>
      <c r="L373">
        <v>0</v>
      </c>
      <c r="M373">
        <v>489.12529999999998</v>
      </c>
      <c r="N373">
        <v>3546.2752999999998</v>
      </c>
      <c r="R373">
        <v>0</v>
      </c>
      <c r="S373">
        <v>0</v>
      </c>
      <c r="T373">
        <v>0</v>
      </c>
      <c r="U373" t="s">
        <v>256</v>
      </c>
      <c r="V373" t="s">
        <v>90</v>
      </c>
      <c r="W373">
        <v>4</v>
      </c>
      <c r="Y373" t="s">
        <v>73</v>
      </c>
      <c r="Z373">
        <v>3057.15</v>
      </c>
      <c r="AA373">
        <v>3546.2752999999998</v>
      </c>
      <c r="AB373">
        <v>0</v>
      </c>
      <c r="AD373">
        <v>0</v>
      </c>
      <c r="AE373">
        <v>0</v>
      </c>
      <c r="AF373">
        <v>3546.27</v>
      </c>
      <c r="AG373">
        <v>3546.27</v>
      </c>
      <c r="AK373">
        <v>0</v>
      </c>
    </row>
    <row r="374" spans="1:37" x14ac:dyDescent="0.25">
      <c r="A374">
        <v>167</v>
      </c>
      <c r="B374" t="s">
        <v>678</v>
      </c>
      <c r="C374">
        <v>3474.76</v>
      </c>
      <c r="D374">
        <v>47.52</v>
      </c>
      <c r="E374">
        <v>0</v>
      </c>
      <c r="F374">
        <v>3522.28</v>
      </c>
      <c r="J374">
        <v>0</v>
      </c>
      <c r="K374">
        <v>3474.76</v>
      </c>
      <c r="L374">
        <v>47.52</v>
      </c>
      <c r="M374">
        <v>0</v>
      </c>
      <c r="N374">
        <v>3522.28</v>
      </c>
      <c r="R374">
        <v>0</v>
      </c>
      <c r="S374">
        <v>0</v>
      </c>
      <c r="T374">
        <v>0</v>
      </c>
      <c r="U374" t="s">
        <v>256</v>
      </c>
      <c r="V374" t="s">
        <v>90</v>
      </c>
      <c r="W374">
        <v>4</v>
      </c>
      <c r="Y374" t="s">
        <v>238</v>
      </c>
      <c r="AB374">
        <v>0</v>
      </c>
      <c r="AD374">
        <v>3522.28</v>
      </c>
      <c r="AE374">
        <v>0</v>
      </c>
      <c r="AF374">
        <v>0</v>
      </c>
      <c r="AG374">
        <v>3522.28</v>
      </c>
      <c r="AK374">
        <v>0</v>
      </c>
    </row>
    <row r="375" spans="1:37" x14ac:dyDescent="0.25">
      <c r="A375">
        <v>10822</v>
      </c>
      <c r="B375" t="s">
        <v>679</v>
      </c>
      <c r="C375">
        <v>3018.43</v>
      </c>
      <c r="D375">
        <v>0</v>
      </c>
      <c r="E375">
        <v>482.94209999999998</v>
      </c>
      <c r="F375">
        <v>3501.37</v>
      </c>
      <c r="J375">
        <v>0</v>
      </c>
      <c r="K375">
        <v>3018.43</v>
      </c>
      <c r="L375">
        <v>0</v>
      </c>
      <c r="M375">
        <v>482.94209999999998</v>
      </c>
      <c r="N375">
        <v>3501.3721</v>
      </c>
      <c r="R375">
        <v>0</v>
      </c>
      <c r="S375">
        <v>0</v>
      </c>
      <c r="T375">
        <v>0</v>
      </c>
      <c r="U375" t="s">
        <v>256</v>
      </c>
      <c r="V375" t="s">
        <v>90</v>
      </c>
      <c r="W375">
        <v>4</v>
      </c>
      <c r="Y375" t="s">
        <v>238</v>
      </c>
      <c r="AB375">
        <v>0</v>
      </c>
      <c r="AD375">
        <v>3501.37</v>
      </c>
      <c r="AE375">
        <v>0</v>
      </c>
      <c r="AF375">
        <v>0</v>
      </c>
      <c r="AG375">
        <v>3501.37</v>
      </c>
      <c r="AK375">
        <v>0</v>
      </c>
    </row>
    <row r="376" spans="1:37" x14ac:dyDescent="0.25">
      <c r="A376">
        <v>319731</v>
      </c>
      <c r="B376" t="s">
        <v>680</v>
      </c>
      <c r="C376">
        <v>3447.7599999999989</v>
      </c>
      <c r="D376">
        <v>0</v>
      </c>
      <c r="E376">
        <v>0</v>
      </c>
      <c r="F376">
        <v>3447.7599999999989</v>
      </c>
      <c r="J376">
        <v>0</v>
      </c>
      <c r="K376">
        <v>3447.7599999999989</v>
      </c>
      <c r="L376">
        <v>0</v>
      </c>
      <c r="M376">
        <v>0</v>
      </c>
      <c r="N376">
        <v>3447.7599999999989</v>
      </c>
      <c r="R376">
        <v>0</v>
      </c>
      <c r="S376">
        <v>0</v>
      </c>
      <c r="T376">
        <v>0</v>
      </c>
      <c r="U376" t="s">
        <v>256</v>
      </c>
      <c r="V376" t="s">
        <v>90</v>
      </c>
      <c r="W376">
        <v>4</v>
      </c>
      <c r="Y376" t="s">
        <v>238</v>
      </c>
      <c r="AB376" t="s">
        <v>279</v>
      </c>
      <c r="AD376">
        <v>3447.7599999999989</v>
      </c>
      <c r="AE376">
        <v>0</v>
      </c>
      <c r="AF376">
        <v>0</v>
      </c>
      <c r="AG376">
        <v>3447.7599999999989</v>
      </c>
      <c r="AK376">
        <v>0</v>
      </c>
    </row>
    <row r="377" spans="1:37" x14ac:dyDescent="0.25">
      <c r="A377">
        <v>11657</v>
      </c>
      <c r="B377" t="s">
        <v>681</v>
      </c>
      <c r="C377">
        <v>2729.23</v>
      </c>
      <c r="D377">
        <v>0</v>
      </c>
      <c r="E377">
        <v>436.67680000000001</v>
      </c>
      <c r="F377">
        <v>3165.9</v>
      </c>
      <c r="J377">
        <v>0</v>
      </c>
      <c r="K377">
        <v>2729.23</v>
      </c>
      <c r="L377">
        <v>0</v>
      </c>
      <c r="M377">
        <v>436.67680000000001</v>
      </c>
      <c r="N377">
        <v>3165.9068000000002</v>
      </c>
      <c r="R377">
        <v>0</v>
      </c>
      <c r="S377">
        <v>0</v>
      </c>
      <c r="T377">
        <v>0</v>
      </c>
      <c r="U377" t="s">
        <v>256</v>
      </c>
      <c r="V377" t="s">
        <v>90</v>
      </c>
      <c r="W377">
        <v>4</v>
      </c>
      <c r="Y377" t="s">
        <v>238</v>
      </c>
      <c r="AB377">
        <v>0</v>
      </c>
      <c r="AD377">
        <v>3165.900000000001</v>
      </c>
      <c r="AE377">
        <v>0</v>
      </c>
      <c r="AF377">
        <v>0</v>
      </c>
      <c r="AG377">
        <v>3165.9</v>
      </c>
      <c r="AK377">
        <v>0</v>
      </c>
    </row>
    <row r="378" spans="1:37" x14ac:dyDescent="0.25">
      <c r="A378">
        <v>20793</v>
      </c>
      <c r="B378" t="s">
        <v>682</v>
      </c>
      <c r="C378">
        <v>2782.97</v>
      </c>
      <c r="D378">
        <v>222.63759999999999</v>
      </c>
      <c r="E378">
        <v>0</v>
      </c>
      <c r="F378">
        <v>3005.6099999999992</v>
      </c>
      <c r="J378">
        <v>0</v>
      </c>
      <c r="K378">
        <v>2782.97</v>
      </c>
      <c r="L378">
        <v>222.63759999999999</v>
      </c>
      <c r="M378">
        <v>0</v>
      </c>
      <c r="N378">
        <v>3005.6075999999998</v>
      </c>
      <c r="R378">
        <v>0</v>
      </c>
      <c r="S378">
        <v>0</v>
      </c>
      <c r="T378">
        <v>0</v>
      </c>
      <c r="U378" t="s">
        <v>256</v>
      </c>
      <c r="V378" t="s">
        <v>90</v>
      </c>
      <c r="W378">
        <v>4</v>
      </c>
      <c r="Y378" t="s">
        <v>73</v>
      </c>
      <c r="Z378">
        <v>2782.97</v>
      </c>
      <c r="AA378">
        <v>3005.6075999999998</v>
      </c>
      <c r="AB378" t="s">
        <v>386</v>
      </c>
      <c r="AD378">
        <v>0</v>
      </c>
      <c r="AE378">
        <v>0</v>
      </c>
      <c r="AF378">
        <v>3005.61</v>
      </c>
      <c r="AG378">
        <v>3005.6099999999992</v>
      </c>
      <c r="AK378">
        <v>0</v>
      </c>
    </row>
    <row r="379" spans="1:37" x14ac:dyDescent="0.25">
      <c r="A379">
        <v>4226</v>
      </c>
      <c r="B379" t="s">
        <v>683</v>
      </c>
      <c r="C379">
        <v>2521.66</v>
      </c>
      <c r="D379">
        <v>0</v>
      </c>
      <c r="E379">
        <v>403.46559999999999</v>
      </c>
      <c r="F379">
        <v>2925.13</v>
      </c>
      <c r="J379">
        <v>0</v>
      </c>
      <c r="K379">
        <v>2521.66</v>
      </c>
      <c r="L379">
        <v>0</v>
      </c>
      <c r="M379">
        <v>403.46559999999999</v>
      </c>
      <c r="N379">
        <v>2925.1255999999998</v>
      </c>
      <c r="R379">
        <v>0</v>
      </c>
      <c r="S379">
        <v>0</v>
      </c>
      <c r="T379">
        <v>0</v>
      </c>
      <c r="U379" t="s">
        <v>256</v>
      </c>
      <c r="V379" t="s">
        <v>90</v>
      </c>
      <c r="W379">
        <v>4</v>
      </c>
      <c r="Y379" t="s">
        <v>238</v>
      </c>
      <c r="AB379">
        <v>0</v>
      </c>
      <c r="AD379">
        <v>0</v>
      </c>
      <c r="AE379">
        <v>2925.13</v>
      </c>
      <c r="AF379">
        <v>0</v>
      </c>
      <c r="AG379">
        <v>0</v>
      </c>
      <c r="AK379">
        <v>0</v>
      </c>
    </row>
    <row r="380" spans="1:37" x14ac:dyDescent="0.25">
      <c r="A380">
        <v>22007</v>
      </c>
      <c r="B380" t="s">
        <v>684</v>
      </c>
      <c r="C380">
        <v>2450</v>
      </c>
      <c r="D380">
        <v>0</v>
      </c>
      <c r="E380">
        <v>392</v>
      </c>
      <c r="F380">
        <v>2842</v>
      </c>
      <c r="J380">
        <v>0</v>
      </c>
      <c r="K380">
        <v>2450</v>
      </c>
      <c r="L380">
        <v>0</v>
      </c>
      <c r="M380">
        <v>392</v>
      </c>
      <c r="N380">
        <v>2842</v>
      </c>
      <c r="R380">
        <v>0</v>
      </c>
      <c r="S380">
        <v>0</v>
      </c>
      <c r="T380">
        <v>0</v>
      </c>
      <c r="U380" t="s">
        <v>256</v>
      </c>
      <c r="V380" t="s">
        <v>90</v>
      </c>
      <c r="W380">
        <v>4</v>
      </c>
      <c r="Y380" t="s">
        <v>73</v>
      </c>
      <c r="Z380">
        <v>2450</v>
      </c>
      <c r="AA380">
        <v>2842</v>
      </c>
      <c r="AB380" t="s">
        <v>333</v>
      </c>
      <c r="AD380">
        <v>0</v>
      </c>
      <c r="AE380">
        <v>0</v>
      </c>
      <c r="AF380">
        <v>2842</v>
      </c>
      <c r="AG380">
        <v>2842</v>
      </c>
      <c r="AK380">
        <v>0</v>
      </c>
    </row>
    <row r="381" spans="1:37" x14ac:dyDescent="0.25">
      <c r="A381">
        <v>345926</v>
      </c>
      <c r="B381" t="s">
        <v>685</v>
      </c>
      <c r="C381">
        <v>2392.7600000000002</v>
      </c>
      <c r="D381">
        <v>0</v>
      </c>
      <c r="E381">
        <v>382.84160000000003</v>
      </c>
      <c r="F381">
        <v>2775.6</v>
      </c>
      <c r="J381">
        <v>0</v>
      </c>
      <c r="K381">
        <v>2392.7600000000002</v>
      </c>
      <c r="L381">
        <v>0</v>
      </c>
      <c r="M381">
        <v>382.84160000000003</v>
      </c>
      <c r="N381">
        <v>2775.6016</v>
      </c>
      <c r="R381">
        <v>0</v>
      </c>
      <c r="S381">
        <v>0</v>
      </c>
      <c r="T381">
        <v>0</v>
      </c>
      <c r="U381" t="s">
        <v>256</v>
      </c>
      <c r="V381" t="s">
        <v>90</v>
      </c>
      <c r="W381">
        <v>4</v>
      </c>
      <c r="Y381" t="s">
        <v>73</v>
      </c>
      <c r="Z381">
        <v>2392.7600000000002</v>
      </c>
      <c r="AA381">
        <v>2775.6016</v>
      </c>
      <c r="AB381" t="s">
        <v>386</v>
      </c>
      <c r="AD381">
        <v>0</v>
      </c>
      <c r="AE381">
        <v>0</v>
      </c>
      <c r="AF381">
        <v>2775.6</v>
      </c>
      <c r="AG381">
        <v>2775.6</v>
      </c>
      <c r="AK381">
        <v>0</v>
      </c>
    </row>
    <row r="382" spans="1:37" x14ac:dyDescent="0.25">
      <c r="A382">
        <v>44586</v>
      </c>
      <c r="B382" t="s">
        <v>686</v>
      </c>
      <c r="C382">
        <v>2761.5</v>
      </c>
      <c r="D382">
        <v>0</v>
      </c>
      <c r="E382">
        <v>0</v>
      </c>
      <c r="F382">
        <v>2761.5</v>
      </c>
      <c r="J382">
        <v>0</v>
      </c>
      <c r="K382">
        <v>2761.5</v>
      </c>
      <c r="L382">
        <v>0</v>
      </c>
      <c r="M382">
        <v>0</v>
      </c>
      <c r="N382">
        <v>2761.5</v>
      </c>
      <c r="R382">
        <v>0</v>
      </c>
      <c r="S382">
        <v>0</v>
      </c>
      <c r="T382">
        <v>0</v>
      </c>
      <c r="U382" t="s">
        <v>256</v>
      </c>
      <c r="V382" t="s">
        <v>90</v>
      </c>
      <c r="W382">
        <v>4</v>
      </c>
      <c r="Y382" t="s">
        <v>73</v>
      </c>
      <c r="Z382">
        <v>2761.5</v>
      </c>
      <c r="AA382">
        <v>2761.5</v>
      </c>
      <c r="AB382">
        <v>0</v>
      </c>
      <c r="AD382">
        <v>0</v>
      </c>
      <c r="AE382">
        <v>0</v>
      </c>
      <c r="AF382">
        <v>2761.5</v>
      </c>
      <c r="AG382">
        <v>2761.5</v>
      </c>
      <c r="AK382">
        <v>0</v>
      </c>
    </row>
    <row r="383" spans="1:37" x14ac:dyDescent="0.25">
      <c r="A383">
        <v>72231</v>
      </c>
      <c r="B383" t="s">
        <v>687</v>
      </c>
      <c r="C383">
        <v>2133.4499999999998</v>
      </c>
      <c r="D383">
        <v>0</v>
      </c>
      <c r="E383">
        <v>341.35199999999998</v>
      </c>
      <c r="F383">
        <v>2474.8000000000002</v>
      </c>
      <c r="J383">
        <v>0</v>
      </c>
      <c r="K383">
        <v>2133.4499999999998</v>
      </c>
      <c r="L383">
        <v>0</v>
      </c>
      <c r="M383">
        <v>341.35199999999998</v>
      </c>
      <c r="N383">
        <v>2474.8020000000001</v>
      </c>
      <c r="R383">
        <v>0</v>
      </c>
      <c r="S383">
        <v>0</v>
      </c>
      <c r="T383">
        <v>0</v>
      </c>
      <c r="U383" t="s">
        <v>256</v>
      </c>
      <c r="V383" t="s">
        <v>90</v>
      </c>
      <c r="W383">
        <v>4</v>
      </c>
      <c r="Y383" t="s">
        <v>238</v>
      </c>
      <c r="AB383">
        <v>0</v>
      </c>
      <c r="AD383">
        <v>2474.8000000000002</v>
      </c>
      <c r="AE383">
        <v>0</v>
      </c>
      <c r="AF383">
        <v>0</v>
      </c>
      <c r="AG383">
        <v>2474.8000000000002</v>
      </c>
      <c r="AK383">
        <v>0</v>
      </c>
    </row>
    <row r="384" spans="1:37" x14ac:dyDescent="0.25">
      <c r="A384">
        <v>306431</v>
      </c>
      <c r="B384" t="s">
        <v>688</v>
      </c>
      <c r="C384">
        <v>2428.41</v>
      </c>
      <c r="D384">
        <v>0</v>
      </c>
      <c r="E384">
        <v>0</v>
      </c>
      <c r="F384">
        <v>2428.41</v>
      </c>
      <c r="J384">
        <v>0</v>
      </c>
      <c r="K384">
        <v>2428.41</v>
      </c>
      <c r="L384">
        <v>0</v>
      </c>
      <c r="M384">
        <v>0</v>
      </c>
      <c r="N384">
        <v>2428.41</v>
      </c>
      <c r="R384">
        <v>0</v>
      </c>
      <c r="S384">
        <v>0</v>
      </c>
      <c r="T384">
        <v>0</v>
      </c>
      <c r="U384" t="s">
        <v>256</v>
      </c>
      <c r="V384" t="s">
        <v>90</v>
      </c>
      <c r="W384">
        <v>4</v>
      </c>
      <c r="Y384" t="s">
        <v>238</v>
      </c>
      <c r="AB384">
        <v>0</v>
      </c>
      <c r="AD384">
        <v>2428.41</v>
      </c>
      <c r="AE384">
        <v>0</v>
      </c>
      <c r="AF384">
        <v>0</v>
      </c>
      <c r="AG384">
        <v>2428.41</v>
      </c>
      <c r="AK384">
        <v>0</v>
      </c>
    </row>
    <row r="385" spans="1:37" x14ac:dyDescent="0.25">
      <c r="A385">
        <v>21914</v>
      </c>
      <c r="B385" t="s">
        <v>689</v>
      </c>
      <c r="C385">
        <v>2379.5849784319989</v>
      </c>
      <c r="D385">
        <v>0</v>
      </c>
      <c r="E385">
        <v>0</v>
      </c>
      <c r="F385">
        <v>2379.58</v>
      </c>
      <c r="J385">
        <v>0</v>
      </c>
      <c r="K385">
        <v>2379.5849784319989</v>
      </c>
      <c r="L385">
        <v>0</v>
      </c>
      <c r="M385">
        <v>0</v>
      </c>
      <c r="N385">
        <v>2379.5849784319989</v>
      </c>
      <c r="R385">
        <v>0</v>
      </c>
      <c r="S385">
        <v>0</v>
      </c>
      <c r="T385">
        <v>0</v>
      </c>
      <c r="U385" t="s">
        <v>256</v>
      </c>
      <c r="V385" t="s">
        <v>90</v>
      </c>
      <c r="W385">
        <v>4</v>
      </c>
      <c r="Y385" t="s">
        <v>238</v>
      </c>
      <c r="AB385">
        <v>0</v>
      </c>
      <c r="AD385">
        <v>2379.58</v>
      </c>
      <c r="AE385">
        <v>0</v>
      </c>
      <c r="AF385">
        <v>0</v>
      </c>
      <c r="AG385">
        <v>2379.58</v>
      </c>
      <c r="AK385">
        <v>0</v>
      </c>
    </row>
    <row r="386" spans="1:37" x14ac:dyDescent="0.25">
      <c r="A386">
        <v>86421</v>
      </c>
      <c r="B386" t="s">
        <v>690</v>
      </c>
      <c r="C386">
        <v>2167.2399999999998</v>
      </c>
      <c r="D386">
        <v>173.3792</v>
      </c>
      <c r="E386">
        <v>0</v>
      </c>
      <c r="F386">
        <v>2340.6</v>
      </c>
      <c r="J386">
        <v>0</v>
      </c>
      <c r="K386">
        <v>2167.2399999999998</v>
      </c>
      <c r="L386">
        <v>173.3792</v>
      </c>
      <c r="M386">
        <v>0</v>
      </c>
      <c r="N386">
        <v>2340.6192000000001</v>
      </c>
      <c r="R386">
        <v>0</v>
      </c>
      <c r="S386">
        <v>0</v>
      </c>
      <c r="T386">
        <v>0</v>
      </c>
      <c r="U386" t="s">
        <v>256</v>
      </c>
      <c r="V386" t="s">
        <v>90</v>
      </c>
      <c r="W386">
        <v>4</v>
      </c>
      <c r="Y386" t="s">
        <v>238</v>
      </c>
      <c r="AB386" t="s">
        <v>279</v>
      </c>
      <c r="AD386">
        <v>2340.6</v>
      </c>
      <c r="AE386">
        <v>0</v>
      </c>
      <c r="AF386">
        <v>0</v>
      </c>
      <c r="AG386">
        <v>2340.6</v>
      </c>
      <c r="AK386">
        <v>0</v>
      </c>
    </row>
    <row r="387" spans="1:37" x14ac:dyDescent="0.25">
      <c r="A387">
        <v>349019</v>
      </c>
      <c r="B387" t="s">
        <v>691</v>
      </c>
      <c r="C387">
        <v>2078.48</v>
      </c>
      <c r="D387">
        <v>0</v>
      </c>
      <c r="E387">
        <v>0</v>
      </c>
      <c r="F387">
        <v>2078.48</v>
      </c>
      <c r="J387">
        <v>0</v>
      </c>
      <c r="K387">
        <v>2078.48</v>
      </c>
      <c r="L387">
        <v>0</v>
      </c>
      <c r="M387">
        <v>0</v>
      </c>
      <c r="N387">
        <v>2078.48</v>
      </c>
      <c r="R387">
        <v>0</v>
      </c>
      <c r="S387">
        <v>0</v>
      </c>
      <c r="T387">
        <v>0</v>
      </c>
      <c r="U387" t="s">
        <v>256</v>
      </c>
      <c r="V387" t="s">
        <v>90</v>
      </c>
      <c r="W387">
        <v>4</v>
      </c>
      <c r="Y387" t="s">
        <v>238</v>
      </c>
      <c r="AB387">
        <v>0</v>
      </c>
      <c r="AD387">
        <v>2078.48</v>
      </c>
      <c r="AE387">
        <v>0</v>
      </c>
      <c r="AF387">
        <v>0</v>
      </c>
      <c r="AG387">
        <v>2078.48</v>
      </c>
      <c r="AK387">
        <v>0</v>
      </c>
    </row>
    <row r="388" spans="1:37" x14ac:dyDescent="0.25">
      <c r="A388">
        <v>21109</v>
      </c>
      <c r="B388" t="s">
        <v>692</v>
      </c>
      <c r="C388">
        <v>1349.39</v>
      </c>
      <c r="D388">
        <v>357.58850000000001</v>
      </c>
      <c r="E388">
        <v>273.11649999999997</v>
      </c>
      <c r="F388">
        <v>1980.1</v>
      </c>
      <c r="J388">
        <v>0</v>
      </c>
      <c r="K388">
        <v>1349.39</v>
      </c>
      <c r="L388">
        <v>357.58850000000001</v>
      </c>
      <c r="M388">
        <v>273.11649999999997</v>
      </c>
      <c r="N388">
        <v>1980.095</v>
      </c>
      <c r="R388">
        <v>0</v>
      </c>
      <c r="S388">
        <v>0</v>
      </c>
      <c r="T388">
        <v>0</v>
      </c>
      <c r="U388" t="s">
        <v>256</v>
      </c>
      <c r="V388" t="s">
        <v>90</v>
      </c>
      <c r="W388">
        <v>4</v>
      </c>
      <c r="Y388" t="s">
        <v>238</v>
      </c>
      <c r="AB388">
        <v>0</v>
      </c>
      <c r="AD388">
        <v>1980.1</v>
      </c>
      <c r="AE388">
        <v>0</v>
      </c>
      <c r="AF388">
        <v>0</v>
      </c>
      <c r="AG388">
        <v>1980.1</v>
      </c>
      <c r="AK388">
        <v>0</v>
      </c>
    </row>
    <row r="389" spans="1:37" x14ac:dyDescent="0.25">
      <c r="A389">
        <v>20949</v>
      </c>
      <c r="B389" t="s">
        <v>693</v>
      </c>
      <c r="C389">
        <v>1690.3704882540069</v>
      </c>
      <c r="D389">
        <v>0</v>
      </c>
      <c r="E389">
        <v>270.45927812064002</v>
      </c>
      <c r="F389">
        <v>1960.83</v>
      </c>
      <c r="J389">
        <v>0</v>
      </c>
      <c r="K389">
        <v>1690.3704882540069</v>
      </c>
      <c r="L389">
        <v>0</v>
      </c>
      <c r="M389">
        <v>270.45927812064002</v>
      </c>
      <c r="N389">
        <v>1960.8297663746471</v>
      </c>
      <c r="R389">
        <v>0</v>
      </c>
      <c r="S389">
        <v>0</v>
      </c>
      <c r="T389">
        <v>0</v>
      </c>
      <c r="U389" t="s">
        <v>256</v>
      </c>
      <c r="V389" t="s">
        <v>90</v>
      </c>
      <c r="W389">
        <v>4</v>
      </c>
      <c r="Y389" t="s">
        <v>73</v>
      </c>
      <c r="Z389">
        <v>1690.3704882540069</v>
      </c>
      <c r="AA389">
        <v>1960.8297663746471</v>
      </c>
      <c r="AB389" t="s">
        <v>296</v>
      </c>
      <c r="AD389">
        <v>0</v>
      </c>
      <c r="AE389">
        <v>0</v>
      </c>
      <c r="AF389">
        <v>1960.83</v>
      </c>
      <c r="AG389">
        <v>1960.83</v>
      </c>
      <c r="AK389">
        <v>0</v>
      </c>
    </row>
    <row r="390" spans="1:37" x14ac:dyDescent="0.25">
      <c r="A390">
        <v>682</v>
      </c>
      <c r="B390" t="s">
        <v>694</v>
      </c>
      <c r="C390">
        <v>1914.76</v>
      </c>
      <c r="D390">
        <v>0</v>
      </c>
      <c r="E390">
        <v>0</v>
      </c>
      <c r="F390">
        <v>1914.76</v>
      </c>
      <c r="J390">
        <v>0</v>
      </c>
      <c r="K390">
        <v>1914.76</v>
      </c>
      <c r="L390">
        <v>0</v>
      </c>
      <c r="M390">
        <v>0</v>
      </c>
      <c r="N390">
        <v>1914.76</v>
      </c>
      <c r="R390">
        <v>0</v>
      </c>
      <c r="S390">
        <v>0</v>
      </c>
      <c r="T390">
        <v>0</v>
      </c>
      <c r="U390" t="s">
        <v>256</v>
      </c>
      <c r="V390" t="s">
        <v>90</v>
      </c>
      <c r="W390">
        <v>4</v>
      </c>
      <c r="Y390" t="s">
        <v>238</v>
      </c>
      <c r="AB390">
        <v>0</v>
      </c>
      <c r="AD390">
        <v>1914.76</v>
      </c>
      <c r="AE390">
        <v>0</v>
      </c>
      <c r="AF390">
        <v>0</v>
      </c>
      <c r="AG390">
        <v>1914.76</v>
      </c>
      <c r="AK390">
        <v>0</v>
      </c>
    </row>
    <row r="391" spans="1:37" x14ac:dyDescent="0.25">
      <c r="A391">
        <v>21783</v>
      </c>
      <c r="B391" t="s">
        <v>695</v>
      </c>
      <c r="C391">
        <v>1338.3</v>
      </c>
      <c r="D391">
        <v>0</v>
      </c>
      <c r="E391">
        <v>214.12799999999999</v>
      </c>
      <c r="F391">
        <v>1552.43</v>
      </c>
      <c r="J391">
        <v>0</v>
      </c>
      <c r="K391">
        <v>1338.3</v>
      </c>
      <c r="L391">
        <v>0</v>
      </c>
      <c r="M391">
        <v>214.12799999999999</v>
      </c>
      <c r="N391">
        <v>1552.4280000000001</v>
      </c>
      <c r="R391">
        <v>0</v>
      </c>
      <c r="S391">
        <v>0</v>
      </c>
      <c r="T391">
        <v>0</v>
      </c>
      <c r="U391" t="s">
        <v>256</v>
      </c>
      <c r="V391" t="s">
        <v>90</v>
      </c>
      <c r="W391">
        <v>4</v>
      </c>
      <c r="Y391" t="s">
        <v>73</v>
      </c>
      <c r="Z391">
        <v>1338.3</v>
      </c>
      <c r="AA391">
        <v>1552.4280000000001</v>
      </c>
      <c r="AB391" t="s">
        <v>386</v>
      </c>
      <c r="AD391">
        <v>0</v>
      </c>
      <c r="AE391">
        <v>0</v>
      </c>
      <c r="AF391">
        <v>1552.43</v>
      </c>
      <c r="AG391">
        <v>1552.43</v>
      </c>
      <c r="AK391">
        <v>0</v>
      </c>
    </row>
    <row r="392" spans="1:37" x14ac:dyDescent="0.25">
      <c r="A392">
        <v>10426</v>
      </c>
      <c r="B392" t="s">
        <v>696</v>
      </c>
      <c r="C392">
        <v>1330.04</v>
      </c>
      <c r="D392">
        <v>0</v>
      </c>
      <c r="E392">
        <v>212.8064</v>
      </c>
      <c r="F392">
        <v>1542.85</v>
      </c>
      <c r="J392">
        <v>0</v>
      </c>
      <c r="K392">
        <v>1330.04</v>
      </c>
      <c r="L392">
        <v>0</v>
      </c>
      <c r="M392">
        <v>212.8064</v>
      </c>
      <c r="N392">
        <v>1542.8463999999999</v>
      </c>
      <c r="R392">
        <v>0</v>
      </c>
      <c r="S392">
        <v>0</v>
      </c>
      <c r="T392">
        <v>0</v>
      </c>
      <c r="U392" t="s">
        <v>256</v>
      </c>
      <c r="V392" t="s">
        <v>90</v>
      </c>
      <c r="W392">
        <v>4</v>
      </c>
      <c r="Y392" t="s">
        <v>238</v>
      </c>
      <c r="AB392">
        <v>0</v>
      </c>
      <c r="AD392">
        <v>1542.85</v>
      </c>
      <c r="AE392">
        <v>0</v>
      </c>
      <c r="AF392">
        <v>0</v>
      </c>
      <c r="AG392">
        <v>1542.85</v>
      </c>
      <c r="AK392">
        <v>0</v>
      </c>
    </row>
    <row r="393" spans="1:37" x14ac:dyDescent="0.25">
      <c r="A393">
        <v>34280</v>
      </c>
      <c r="B393" t="s">
        <v>697</v>
      </c>
      <c r="C393">
        <v>1192.7179900619999</v>
      </c>
      <c r="D393">
        <v>0</v>
      </c>
      <c r="E393">
        <v>190.83487840992001</v>
      </c>
      <c r="F393">
        <v>1383.56</v>
      </c>
      <c r="J393">
        <v>0</v>
      </c>
      <c r="K393">
        <v>1192.7179900619999</v>
      </c>
      <c r="L393">
        <v>0</v>
      </c>
      <c r="M393">
        <v>190.83487840992001</v>
      </c>
      <c r="N393">
        <v>1383.55286847192</v>
      </c>
      <c r="R393">
        <v>0</v>
      </c>
      <c r="S393">
        <v>0</v>
      </c>
      <c r="T393">
        <v>0</v>
      </c>
      <c r="U393" t="s">
        <v>256</v>
      </c>
      <c r="V393" t="s">
        <v>90</v>
      </c>
      <c r="W393">
        <v>4</v>
      </c>
      <c r="Y393" t="s">
        <v>73</v>
      </c>
      <c r="Z393">
        <v>1192.7179900619999</v>
      </c>
      <c r="AA393">
        <v>1383.55286847192</v>
      </c>
      <c r="AB393">
        <v>0</v>
      </c>
      <c r="AD393">
        <v>0</v>
      </c>
      <c r="AE393">
        <v>0</v>
      </c>
      <c r="AF393">
        <v>1383.56</v>
      </c>
      <c r="AG393">
        <v>1383.56</v>
      </c>
      <c r="AK393">
        <v>0</v>
      </c>
    </row>
    <row r="394" spans="1:37" x14ac:dyDescent="0.25">
      <c r="A394">
        <v>19196</v>
      </c>
      <c r="B394" t="s">
        <v>698</v>
      </c>
      <c r="C394">
        <v>1187.32</v>
      </c>
      <c r="D394">
        <v>0</v>
      </c>
      <c r="E394">
        <v>189.9588</v>
      </c>
      <c r="F394">
        <v>1377.27</v>
      </c>
      <c r="J394">
        <v>0</v>
      </c>
      <c r="K394">
        <v>1187.32</v>
      </c>
      <c r="L394">
        <v>0</v>
      </c>
      <c r="M394">
        <v>189.9588</v>
      </c>
      <c r="N394">
        <v>1377.2788</v>
      </c>
      <c r="R394">
        <v>0</v>
      </c>
      <c r="S394">
        <v>0</v>
      </c>
      <c r="T394">
        <v>0</v>
      </c>
      <c r="U394" t="s">
        <v>256</v>
      </c>
      <c r="V394" t="s">
        <v>90</v>
      </c>
      <c r="W394">
        <v>4</v>
      </c>
      <c r="Y394" t="s">
        <v>73</v>
      </c>
      <c r="Z394">
        <v>1187.32</v>
      </c>
      <c r="AA394">
        <v>1377.2788</v>
      </c>
      <c r="AB394">
        <v>0</v>
      </c>
      <c r="AG394">
        <v>1377.27</v>
      </c>
      <c r="AK394">
        <v>0</v>
      </c>
    </row>
    <row r="395" spans="1:37" x14ac:dyDescent="0.25">
      <c r="A395">
        <v>2717</v>
      </c>
      <c r="B395" t="s">
        <v>699</v>
      </c>
      <c r="C395">
        <v>1011.61</v>
      </c>
      <c r="D395">
        <v>0</v>
      </c>
      <c r="E395">
        <v>161.85759999999999</v>
      </c>
      <c r="F395">
        <v>1173.48</v>
      </c>
      <c r="J395">
        <v>0</v>
      </c>
      <c r="K395">
        <v>1011.61</v>
      </c>
      <c r="L395">
        <v>0</v>
      </c>
      <c r="M395">
        <v>161.85759999999999</v>
      </c>
      <c r="N395">
        <v>1173.4675999999999</v>
      </c>
      <c r="R395">
        <v>0</v>
      </c>
      <c r="S395">
        <v>0</v>
      </c>
      <c r="T395">
        <v>0</v>
      </c>
      <c r="U395" t="s">
        <v>256</v>
      </c>
      <c r="V395" t="s">
        <v>90</v>
      </c>
      <c r="W395">
        <v>4</v>
      </c>
      <c r="Y395" t="s">
        <v>238</v>
      </c>
      <c r="AB395">
        <v>0</v>
      </c>
      <c r="AD395">
        <v>1173.48</v>
      </c>
      <c r="AE395">
        <v>0</v>
      </c>
      <c r="AF395">
        <v>0</v>
      </c>
      <c r="AG395">
        <v>1173.48</v>
      </c>
      <c r="AK395">
        <v>0</v>
      </c>
    </row>
    <row r="396" spans="1:37" x14ac:dyDescent="0.25">
      <c r="A396">
        <v>26211</v>
      </c>
      <c r="B396" t="s">
        <v>700</v>
      </c>
      <c r="C396">
        <v>936.18000000000006</v>
      </c>
      <c r="D396">
        <v>0</v>
      </c>
      <c r="E396">
        <v>149.78880000000001</v>
      </c>
      <c r="F396">
        <v>1085.97</v>
      </c>
      <c r="J396">
        <v>0</v>
      </c>
      <c r="K396">
        <v>936.18000000000006</v>
      </c>
      <c r="L396">
        <v>0</v>
      </c>
      <c r="M396">
        <v>149.78880000000001</v>
      </c>
      <c r="N396">
        <v>1085.9688000000001</v>
      </c>
      <c r="R396">
        <v>0</v>
      </c>
      <c r="S396">
        <v>0</v>
      </c>
      <c r="T396">
        <v>0</v>
      </c>
      <c r="U396" t="s">
        <v>256</v>
      </c>
      <c r="V396" t="s">
        <v>90</v>
      </c>
      <c r="W396">
        <v>4</v>
      </c>
      <c r="Y396" t="s">
        <v>238</v>
      </c>
      <c r="AB396" t="s">
        <v>279</v>
      </c>
      <c r="AD396">
        <v>0</v>
      </c>
      <c r="AE396">
        <v>1085.97</v>
      </c>
      <c r="AF396">
        <v>0</v>
      </c>
      <c r="AG396">
        <v>0</v>
      </c>
      <c r="AK396">
        <v>0</v>
      </c>
    </row>
    <row r="397" spans="1:37" x14ac:dyDescent="0.25">
      <c r="A397">
        <v>20257</v>
      </c>
      <c r="B397" t="s">
        <v>701</v>
      </c>
      <c r="C397">
        <v>959.77</v>
      </c>
      <c r="D397">
        <v>76.781599999999997</v>
      </c>
      <c r="E397">
        <v>0</v>
      </c>
      <c r="F397">
        <v>1036.56</v>
      </c>
      <c r="J397">
        <v>0</v>
      </c>
      <c r="K397">
        <v>959.77</v>
      </c>
      <c r="L397">
        <v>76.781599999999997</v>
      </c>
      <c r="M397">
        <v>0</v>
      </c>
      <c r="N397">
        <v>1036.5516</v>
      </c>
      <c r="R397">
        <v>0</v>
      </c>
      <c r="S397">
        <v>0</v>
      </c>
      <c r="T397">
        <v>0</v>
      </c>
      <c r="U397" t="s">
        <v>256</v>
      </c>
      <c r="V397" t="s">
        <v>90</v>
      </c>
      <c r="W397">
        <v>4</v>
      </c>
      <c r="Y397" t="s">
        <v>238</v>
      </c>
      <c r="AB397">
        <v>0</v>
      </c>
      <c r="AD397">
        <v>1036.56</v>
      </c>
      <c r="AE397">
        <v>0</v>
      </c>
      <c r="AF397">
        <v>0</v>
      </c>
      <c r="AG397">
        <v>1036.56</v>
      </c>
      <c r="AK397">
        <v>0</v>
      </c>
    </row>
    <row r="398" spans="1:37" x14ac:dyDescent="0.25">
      <c r="A398">
        <v>329516</v>
      </c>
      <c r="B398" t="s">
        <v>702</v>
      </c>
      <c r="C398">
        <v>825.24</v>
      </c>
      <c r="D398">
        <v>0</v>
      </c>
      <c r="E398">
        <v>132.03139999999999</v>
      </c>
      <c r="F398">
        <v>957.27</v>
      </c>
      <c r="J398">
        <v>0</v>
      </c>
      <c r="K398">
        <v>825.24</v>
      </c>
      <c r="L398">
        <v>0</v>
      </c>
      <c r="M398">
        <v>132.03139999999999</v>
      </c>
      <c r="N398">
        <v>957.27139999999997</v>
      </c>
      <c r="R398">
        <v>0</v>
      </c>
      <c r="S398">
        <v>0</v>
      </c>
      <c r="T398">
        <v>0</v>
      </c>
      <c r="U398" t="s">
        <v>256</v>
      </c>
      <c r="V398" t="s">
        <v>90</v>
      </c>
      <c r="W398">
        <v>4</v>
      </c>
      <c r="Y398" t="s">
        <v>73</v>
      </c>
      <c r="Z398">
        <v>825.24</v>
      </c>
      <c r="AA398">
        <v>957.27139999999997</v>
      </c>
      <c r="AB398" t="s">
        <v>386</v>
      </c>
      <c r="AD398">
        <v>0</v>
      </c>
      <c r="AE398">
        <v>0</v>
      </c>
      <c r="AF398">
        <v>957.27</v>
      </c>
      <c r="AG398">
        <v>957.27</v>
      </c>
      <c r="AK398">
        <v>0</v>
      </c>
    </row>
    <row r="399" spans="1:37" x14ac:dyDescent="0.25">
      <c r="A399">
        <v>28399</v>
      </c>
      <c r="B399" t="s">
        <v>703</v>
      </c>
      <c r="C399">
        <v>805.21</v>
      </c>
      <c r="D399">
        <v>0</v>
      </c>
      <c r="E399">
        <v>128.83359999999999</v>
      </c>
      <c r="F399">
        <v>934.04</v>
      </c>
      <c r="J399">
        <v>0</v>
      </c>
      <c r="K399">
        <v>805.21</v>
      </c>
      <c r="L399">
        <v>0</v>
      </c>
      <c r="M399">
        <v>128.83359999999999</v>
      </c>
      <c r="N399">
        <v>934.04359999999997</v>
      </c>
      <c r="R399">
        <v>0</v>
      </c>
      <c r="S399">
        <v>0</v>
      </c>
      <c r="T399">
        <v>0</v>
      </c>
      <c r="U399" t="s">
        <v>256</v>
      </c>
      <c r="V399" t="s">
        <v>90</v>
      </c>
      <c r="W399">
        <v>4</v>
      </c>
      <c r="Y399" t="s">
        <v>238</v>
      </c>
      <c r="AB399">
        <v>0</v>
      </c>
      <c r="AD399">
        <v>934.04</v>
      </c>
      <c r="AE399">
        <v>0</v>
      </c>
      <c r="AF399">
        <v>0</v>
      </c>
      <c r="AG399">
        <v>934.04</v>
      </c>
      <c r="AK399">
        <v>0</v>
      </c>
    </row>
    <row r="400" spans="1:37" x14ac:dyDescent="0.25">
      <c r="A400">
        <v>206706</v>
      </c>
      <c r="B400" t="s">
        <v>704</v>
      </c>
      <c r="C400">
        <v>877.71</v>
      </c>
      <c r="D400">
        <v>0</v>
      </c>
      <c r="E400">
        <v>0</v>
      </c>
      <c r="F400">
        <v>877.71</v>
      </c>
      <c r="J400">
        <v>0</v>
      </c>
      <c r="K400">
        <v>877.71</v>
      </c>
      <c r="L400">
        <v>0</v>
      </c>
      <c r="M400">
        <v>0</v>
      </c>
      <c r="N400">
        <v>877.71</v>
      </c>
      <c r="R400">
        <v>0</v>
      </c>
      <c r="S400">
        <v>0</v>
      </c>
      <c r="T400">
        <v>0</v>
      </c>
      <c r="U400" t="s">
        <v>256</v>
      </c>
      <c r="V400" t="s">
        <v>90</v>
      </c>
      <c r="W400">
        <v>4</v>
      </c>
      <c r="Y400" t="s">
        <v>238</v>
      </c>
      <c r="AB400">
        <v>0</v>
      </c>
      <c r="AD400">
        <v>877.71</v>
      </c>
      <c r="AE400">
        <v>0</v>
      </c>
      <c r="AF400">
        <v>0</v>
      </c>
      <c r="AG400">
        <v>877.71</v>
      </c>
      <c r="AK400">
        <v>0</v>
      </c>
    </row>
    <row r="401" spans="1:37" x14ac:dyDescent="0.25">
      <c r="A401">
        <v>32961</v>
      </c>
      <c r="B401" t="s">
        <v>705</v>
      </c>
      <c r="C401">
        <v>675.36</v>
      </c>
      <c r="D401">
        <v>0</v>
      </c>
      <c r="E401">
        <v>108.05759999999999</v>
      </c>
      <c r="F401">
        <v>783.42</v>
      </c>
      <c r="J401">
        <v>0</v>
      </c>
      <c r="K401">
        <v>675.36</v>
      </c>
      <c r="L401">
        <v>0</v>
      </c>
      <c r="M401">
        <v>108.05759999999999</v>
      </c>
      <c r="N401">
        <v>783.41759999999999</v>
      </c>
      <c r="R401">
        <v>0</v>
      </c>
      <c r="S401">
        <v>0</v>
      </c>
      <c r="T401">
        <v>0</v>
      </c>
      <c r="U401" t="s">
        <v>256</v>
      </c>
      <c r="V401" t="s">
        <v>90</v>
      </c>
      <c r="W401">
        <v>4</v>
      </c>
      <c r="Y401" t="s">
        <v>238</v>
      </c>
      <c r="AB401">
        <v>0</v>
      </c>
      <c r="AD401">
        <v>783.42</v>
      </c>
      <c r="AE401">
        <v>0</v>
      </c>
      <c r="AF401">
        <v>0</v>
      </c>
      <c r="AG401">
        <v>783.42</v>
      </c>
      <c r="AK401">
        <v>0</v>
      </c>
    </row>
    <row r="402" spans="1:37" x14ac:dyDescent="0.25">
      <c r="A402">
        <v>16006</v>
      </c>
      <c r="B402" t="s">
        <v>706</v>
      </c>
      <c r="C402">
        <v>706.29367554249995</v>
      </c>
      <c r="D402">
        <v>30.115957814280002</v>
      </c>
      <c r="E402">
        <v>0</v>
      </c>
      <c r="F402">
        <v>736.39</v>
      </c>
      <c r="J402">
        <v>0</v>
      </c>
      <c r="K402">
        <v>706.29367554249995</v>
      </c>
      <c r="L402">
        <v>30.115957814280002</v>
      </c>
      <c r="M402">
        <v>0</v>
      </c>
      <c r="N402">
        <v>736.40963335677998</v>
      </c>
      <c r="R402">
        <v>0</v>
      </c>
      <c r="S402">
        <v>0</v>
      </c>
      <c r="T402">
        <v>0</v>
      </c>
      <c r="U402" t="s">
        <v>256</v>
      </c>
      <c r="V402" t="s">
        <v>90</v>
      </c>
      <c r="W402">
        <v>4</v>
      </c>
      <c r="Y402" t="s">
        <v>238</v>
      </c>
      <c r="AB402">
        <v>0</v>
      </c>
      <c r="AD402">
        <v>0</v>
      </c>
      <c r="AE402">
        <v>736.38999999999987</v>
      </c>
      <c r="AF402">
        <v>0</v>
      </c>
      <c r="AG402">
        <v>0</v>
      </c>
      <c r="AK402">
        <v>0</v>
      </c>
    </row>
    <row r="403" spans="1:37" x14ac:dyDescent="0.25">
      <c r="A403">
        <v>382523</v>
      </c>
      <c r="B403" t="s">
        <v>707</v>
      </c>
      <c r="C403">
        <v>602.02312305600856</v>
      </c>
      <c r="D403">
        <v>0</v>
      </c>
      <c r="E403">
        <v>96.323699688960005</v>
      </c>
      <c r="F403">
        <v>698.35</v>
      </c>
      <c r="J403">
        <v>0</v>
      </c>
      <c r="K403">
        <v>602.02312305600856</v>
      </c>
      <c r="L403">
        <v>0</v>
      </c>
      <c r="M403">
        <v>96.323699688960005</v>
      </c>
      <c r="N403">
        <v>698.34682274496856</v>
      </c>
      <c r="R403">
        <v>0</v>
      </c>
      <c r="S403">
        <v>0</v>
      </c>
      <c r="T403">
        <v>0</v>
      </c>
      <c r="U403" t="s">
        <v>256</v>
      </c>
      <c r="V403" t="s">
        <v>90</v>
      </c>
      <c r="W403">
        <v>4</v>
      </c>
      <c r="Y403" t="s">
        <v>73</v>
      </c>
      <c r="Z403">
        <v>602.02312305600856</v>
      </c>
      <c r="AA403">
        <v>698.34682274496856</v>
      </c>
      <c r="AB403">
        <v>0</v>
      </c>
      <c r="AD403">
        <v>0</v>
      </c>
      <c r="AE403">
        <v>0</v>
      </c>
      <c r="AF403">
        <v>698.35</v>
      </c>
      <c r="AG403">
        <v>698.35</v>
      </c>
      <c r="AK403">
        <v>0</v>
      </c>
    </row>
    <row r="404" spans="1:37" x14ac:dyDescent="0.25">
      <c r="A404">
        <v>208678</v>
      </c>
      <c r="B404" t="s">
        <v>708</v>
      </c>
      <c r="C404">
        <v>631.47682532800025</v>
      </c>
      <c r="D404">
        <v>50.518146026239997</v>
      </c>
      <c r="E404">
        <v>0</v>
      </c>
      <c r="F404">
        <v>681.99</v>
      </c>
      <c r="J404">
        <v>0</v>
      </c>
      <c r="K404">
        <v>631.47682532800025</v>
      </c>
      <c r="L404">
        <v>50.518146026239997</v>
      </c>
      <c r="M404">
        <v>0</v>
      </c>
      <c r="N404">
        <v>681.99497135424031</v>
      </c>
      <c r="R404">
        <v>0</v>
      </c>
      <c r="S404">
        <v>0</v>
      </c>
      <c r="T404">
        <v>0</v>
      </c>
      <c r="U404" t="s">
        <v>256</v>
      </c>
      <c r="V404" t="s">
        <v>90</v>
      </c>
      <c r="W404">
        <v>4</v>
      </c>
      <c r="Y404" t="s">
        <v>238</v>
      </c>
      <c r="AB404">
        <v>0</v>
      </c>
      <c r="AD404">
        <v>681.99</v>
      </c>
      <c r="AE404">
        <v>0</v>
      </c>
      <c r="AF404">
        <v>0</v>
      </c>
      <c r="AG404">
        <v>681.99</v>
      </c>
      <c r="AK404">
        <v>0</v>
      </c>
    </row>
    <row r="405" spans="1:37" x14ac:dyDescent="0.25">
      <c r="A405">
        <v>327478</v>
      </c>
      <c r="B405" t="s">
        <v>709</v>
      </c>
      <c r="C405">
        <v>581.05999999999995</v>
      </c>
      <c r="D405">
        <v>0</v>
      </c>
      <c r="E405">
        <v>92.9696</v>
      </c>
      <c r="F405">
        <v>674.02</v>
      </c>
      <c r="J405">
        <v>0</v>
      </c>
      <c r="K405">
        <v>581.05999999999995</v>
      </c>
      <c r="L405">
        <v>0</v>
      </c>
      <c r="M405">
        <v>92.9696</v>
      </c>
      <c r="N405">
        <v>674.02959999999996</v>
      </c>
      <c r="R405">
        <v>0</v>
      </c>
      <c r="S405">
        <v>0</v>
      </c>
      <c r="T405">
        <v>0</v>
      </c>
      <c r="U405" t="s">
        <v>256</v>
      </c>
      <c r="V405" t="s">
        <v>90</v>
      </c>
      <c r="W405">
        <v>4</v>
      </c>
      <c r="Y405" t="s">
        <v>238</v>
      </c>
      <c r="AB405">
        <v>0</v>
      </c>
      <c r="AD405">
        <v>674.02</v>
      </c>
      <c r="AE405">
        <v>0</v>
      </c>
      <c r="AF405">
        <v>0</v>
      </c>
      <c r="AG405">
        <v>674.02</v>
      </c>
      <c r="AK405">
        <v>0</v>
      </c>
    </row>
    <row r="406" spans="1:37" x14ac:dyDescent="0.25">
      <c r="A406">
        <v>391672</v>
      </c>
      <c r="B406" t="s">
        <v>710</v>
      </c>
      <c r="C406">
        <v>577.57000000000005</v>
      </c>
      <c r="D406">
        <v>0</v>
      </c>
      <c r="E406">
        <v>92.411199999999994</v>
      </c>
      <c r="F406">
        <v>669.99</v>
      </c>
      <c r="J406">
        <v>0</v>
      </c>
      <c r="K406">
        <v>577.57000000000005</v>
      </c>
      <c r="L406">
        <v>0</v>
      </c>
      <c r="M406">
        <v>92.411199999999994</v>
      </c>
      <c r="N406">
        <v>669.98120000000006</v>
      </c>
      <c r="R406">
        <v>0</v>
      </c>
      <c r="S406">
        <v>0</v>
      </c>
      <c r="T406">
        <v>0</v>
      </c>
      <c r="U406" t="s">
        <v>256</v>
      </c>
      <c r="V406" t="s">
        <v>90</v>
      </c>
      <c r="W406">
        <v>4</v>
      </c>
      <c r="Y406" t="s">
        <v>238</v>
      </c>
      <c r="AB406" t="s">
        <v>279</v>
      </c>
      <c r="AD406">
        <v>669.99</v>
      </c>
      <c r="AE406">
        <v>0</v>
      </c>
      <c r="AF406">
        <v>0</v>
      </c>
      <c r="AG406">
        <v>669.99</v>
      </c>
      <c r="AK406">
        <v>0</v>
      </c>
    </row>
    <row r="407" spans="1:37" x14ac:dyDescent="0.25">
      <c r="A407">
        <v>335240</v>
      </c>
      <c r="B407" t="s">
        <v>711</v>
      </c>
      <c r="C407">
        <v>465.46978239999999</v>
      </c>
      <c r="D407">
        <v>0</v>
      </c>
      <c r="E407">
        <v>74.466899999999995</v>
      </c>
      <c r="F407">
        <v>539.93669999999997</v>
      </c>
      <c r="J407">
        <v>0</v>
      </c>
      <c r="K407">
        <v>465.46978239999999</v>
      </c>
      <c r="L407">
        <v>0</v>
      </c>
      <c r="M407">
        <v>74.466899999999995</v>
      </c>
      <c r="N407">
        <v>539.9366824</v>
      </c>
      <c r="R407">
        <v>0</v>
      </c>
      <c r="S407">
        <v>0</v>
      </c>
      <c r="T407">
        <v>0</v>
      </c>
      <c r="U407" t="s">
        <v>256</v>
      </c>
      <c r="V407" t="s">
        <v>90</v>
      </c>
      <c r="W407">
        <v>4</v>
      </c>
      <c r="Y407" t="s">
        <v>238</v>
      </c>
      <c r="AB407">
        <v>0</v>
      </c>
      <c r="AD407">
        <v>539.92999999999995</v>
      </c>
      <c r="AE407">
        <v>0</v>
      </c>
      <c r="AF407">
        <v>0</v>
      </c>
      <c r="AG407">
        <v>539.93669999999997</v>
      </c>
      <c r="AK407">
        <v>0</v>
      </c>
    </row>
    <row r="408" spans="1:37" x14ac:dyDescent="0.25">
      <c r="A408">
        <v>24125</v>
      </c>
      <c r="B408" t="s">
        <v>712</v>
      </c>
      <c r="C408">
        <v>427.02</v>
      </c>
      <c r="D408">
        <v>0</v>
      </c>
      <c r="E408">
        <v>68.3232</v>
      </c>
      <c r="F408">
        <v>495.34</v>
      </c>
      <c r="J408">
        <v>0</v>
      </c>
      <c r="K408">
        <v>427.02</v>
      </c>
      <c r="L408">
        <v>0</v>
      </c>
      <c r="M408">
        <v>68.3232</v>
      </c>
      <c r="N408">
        <v>495.34320000000002</v>
      </c>
      <c r="R408">
        <v>0</v>
      </c>
      <c r="S408">
        <v>0</v>
      </c>
      <c r="T408">
        <v>0</v>
      </c>
      <c r="U408" t="s">
        <v>256</v>
      </c>
      <c r="V408" t="s">
        <v>90</v>
      </c>
      <c r="W408">
        <v>4</v>
      </c>
      <c r="Y408" t="s">
        <v>238</v>
      </c>
      <c r="AB408">
        <v>0</v>
      </c>
      <c r="AD408">
        <v>495.34</v>
      </c>
      <c r="AE408">
        <v>0</v>
      </c>
      <c r="AF408">
        <v>0</v>
      </c>
      <c r="AG408">
        <v>495.34</v>
      </c>
      <c r="AK408">
        <v>0</v>
      </c>
    </row>
    <row r="409" spans="1:37" x14ac:dyDescent="0.25">
      <c r="A409">
        <v>3774</v>
      </c>
      <c r="B409" t="s">
        <v>713</v>
      </c>
      <c r="C409">
        <v>477.45</v>
      </c>
      <c r="D409">
        <v>0</v>
      </c>
      <c r="E409">
        <v>0</v>
      </c>
      <c r="F409">
        <v>477.45</v>
      </c>
      <c r="J409">
        <v>0</v>
      </c>
      <c r="K409">
        <v>477.45</v>
      </c>
      <c r="L409">
        <v>0</v>
      </c>
      <c r="M409">
        <v>0</v>
      </c>
      <c r="N409">
        <v>477.45</v>
      </c>
      <c r="R409">
        <v>0</v>
      </c>
      <c r="S409">
        <v>0</v>
      </c>
      <c r="T409">
        <v>0</v>
      </c>
      <c r="U409" t="s">
        <v>256</v>
      </c>
      <c r="V409" t="s">
        <v>90</v>
      </c>
      <c r="W409">
        <v>4</v>
      </c>
      <c r="Y409" t="s">
        <v>238</v>
      </c>
      <c r="AB409">
        <v>0</v>
      </c>
      <c r="AD409">
        <v>477.45</v>
      </c>
      <c r="AE409">
        <v>0</v>
      </c>
      <c r="AF409">
        <v>0</v>
      </c>
      <c r="AG409">
        <v>477.45</v>
      </c>
      <c r="AK409">
        <v>0</v>
      </c>
    </row>
    <row r="410" spans="1:37" x14ac:dyDescent="0.25">
      <c r="A410">
        <v>98137</v>
      </c>
      <c r="B410" t="s">
        <v>714</v>
      </c>
      <c r="C410">
        <v>341.29</v>
      </c>
      <c r="D410">
        <v>0</v>
      </c>
      <c r="E410">
        <v>54.606400000000001</v>
      </c>
      <c r="F410">
        <v>395.9</v>
      </c>
      <c r="J410">
        <v>0</v>
      </c>
      <c r="K410">
        <v>341.29</v>
      </c>
      <c r="L410">
        <v>0</v>
      </c>
      <c r="M410">
        <v>54.606400000000001</v>
      </c>
      <c r="N410">
        <v>395.89640000000003</v>
      </c>
      <c r="R410">
        <v>0</v>
      </c>
      <c r="S410">
        <v>0</v>
      </c>
      <c r="T410">
        <v>0</v>
      </c>
      <c r="U410" t="s">
        <v>256</v>
      </c>
      <c r="V410" t="s">
        <v>90</v>
      </c>
      <c r="W410">
        <v>4</v>
      </c>
      <c r="Y410" t="s">
        <v>73</v>
      </c>
      <c r="Z410">
        <v>341.29</v>
      </c>
      <c r="AA410">
        <v>395.89640000000003</v>
      </c>
      <c r="AB410" t="s">
        <v>333</v>
      </c>
      <c r="AD410">
        <v>0</v>
      </c>
      <c r="AE410">
        <v>0</v>
      </c>
      <c r="AF410">
        <v>395.9</v>
      </c>
      <c r="AG410">
        <v>395.9</v>
      </c>
      <c r="AK410">
        <v>0</v>
      </c>
    </row>
    <row r="411" spans="1:37" x14ac:dyDescent="0.25">
      <c r="A411">
        <v>22795</v>
      </c>
      <c r="B411" t="s">
        <v>715</v>
      </c>
      <c r="C411">
        <v>386.21</v>
      </c>
      <c r="D411">
        <v>0</v>
      </c>
      <c r="E411">
        <v>0</v>
      </c>
      <c r="F411">
        <v>386.21</v>
      </c>
      <c r="J411">
        <v>0</v>
      </c>
      <c r="K411">
        <v>386.21</v>
      </c>
      <c r="L411">
        <v>0</v>
      </c>
      <c r="M411">
        <v>0</v>
      </c>
      <c r="N411">
        <v>386.21</v>
      </c>
      <c r="R411">
        <v>0</v>
      </c>
      <c r="S411">
        <v>0</v>
      </c>
      <c r="T411">
        <v>0</v>
      </c>
      <c r="U411" t="s">
        <v>256</v>
      </c>
      <c r="V411" t="s">
        <v>90</v>
      </c>
      <c r="W411">
        <v>4</v>
      </c>
      <c r="Y411" t="s">
        <v>238</v>
      </c>
      <c r="AB411">
        <v>0</v>
      </c>
      <c r="AD411">
        <v>386.21</v>
      </c>
      <c r="AE411">
        <v>0</v>
      </c>
      <c r="AF411">
        <v>0</v>
      </c>
      <c r="AG411">
        <v>386.21</v>
      </c>
      <c r="AK411">
        <v>0</v>
      </c>
    </row>
    <row r="412" spans="1:37" x14ac:dyDescent="0.25">
      <c r="A412">
        <v>25874</v>
      </c>
      <c r="B412" t="s">
        <v>647</v>
      </c>
      <c r="C412">
        <v>324.88</v>
      </c>
      <c r="D412">
        <v>0</v>
      </c>
      <c r="E412">
        <v>51.980800000000002</v>
      </c>
      <c r="F412">
        <v>376.86</v>
      </c>
      <c r="J412">
        <v>0</v>
      </c>
      <c r="K412">
        <v>324.88</v>
      </c>
      <c r="L412">
        <v>0</v>
      </c>
      <c r="M412">
        <v>51.980800000000002</v>
      </c>
      <c r="N412">
        <v>376.86079999999998</v>
      </c>
      <c r="R412">
        <v>0</v>
      </c>
      <c r="S412">
        <v>0</v>
      </c>
      <c r="T412">
        <v>0</v>
      </c>
      <c r="U412" t="s">
        <v>256</v>
      </c>
      <c r="V412" t="s">
        <v>90</v>
      </c>
      <c r="W412">
        <v>4</v>
      </c>
      <c r="Y412" t="s">
        <v>73</v>
      </c>
      <c r="Z412">
        <v>324.88</v>
      </c>
      <c r="AA412">
        <v>376.86079999999998</v>
      </c>
      <c r="AB412">
        <v>0</v>
      </c>
      <c r="AD412">
        <v>0</v>
      </c>
      <c r="AE412">
        <v>0</v>
      </c>
      <c r="AF412">
        <v>376.86</v>
      </c>
      <c r="AG412">
        <v>376.86</v>
      </c>
      <c r="AK412">
        <v>0</v>
      </c>
    </row>
    <row r="413" spans="1:37" x14ac:dyDescent="0.25">
      <c r="A413">
        <v>327049</v>
      </c>
      <c r="B413" t="s">
        <v>716</v>
      </c>
      <c r="C413">
        <v>326.166165229</v>
      </c>
      <c r="D413">
        <v>26.093293218319999</v>
      </c>
      <c r="E413">
        <v>0</v>
      </c>
      <c r="F413">
        <v>352.26</v>
      </c>
      <c r="J413">
        <v>0</v>
      </c>
      <c r="K413">
        <v>326.166165229</v>
      </c>
      <c r="L413">
        <v>26.093293218319999</v>
      </c>
      <c r="M413">
        <v>0</v>
      </c>
      <c r="N413">
        <v>352.25945844732001</v>
      </c>
      <c r="R413">
        <v>0</v>
      </c>
      <c r="S413">
        <v>0</v>
      </c>
      <c r="T413">
        <v>0</v>
      </c>
      <c r="U413" t="s">
        <v>256</v>
      </c>
      <c r="V413" t="s">
        <v>90</v>
      </c>
      <c r="W413">
        <v>4</v>
      </c>
      <c r="Y413" t="s">
        <v>238</v>
      </c>
      <c r="AB413">
        <v>0</v>
      </c>
      <c r="AD413">
        <v>352.26</v>
      </c>
      <c r="AE413">
        <v>0</v>
      </c>
      <c r="AF413">
        <v>0</v>
      </c>
      <c r="AG413">
        <v>352.26</v>
      </c>
      <c r="AK413">
        <v>0</v>
      </c>
    </row>
    <row r="414" spans="1:37" x14ac:dyDescent="0.25">
      <c r="A414">
        <v>10678</v>
      </c>
      <c r="B414" t="s">
        <v>717</v>
      </c>
      <c r="C414">
        <v>264.87</v>
      </c>
      <c r="D414">
        <v>0</v>
      </c>
      <c r="E414">
        <v>42.399299999999997</v>
      </c>
      <c r="F414">
        <v>307.27</v>
      </c>
      <c r="J414">
        <v>0</v>
      </c>
      <c r="K414">
        <v>264.87</v>
      </c>
      <c r="L414">
        <v>0</v>
      </c>
      <c r="M414">
        <v>42.399299999999997</v>
      </c>
      <c r="N414">
        <v>307.26929999999999</v>
      </c>
      <c r="R414">
        <v>0</v>
      </c>
      <c r="S414">
        <v>0</v>
      </c>
      <c r="T414">
        <v>0</v>
      </c>
      <c r="U414" t="s">
        <v>256</v>
      </c>
      <c r="V414" t="s">
        <v>90</v>
      </c>
      <c r="W414">
        <v>4</v>
      </c>
      <c r="Y414" t="s">
        <v>238</v>
      </c>
      <c r="AB414">
        <v>0</v>
      </c>
      <c r="AD414">
        <v>0</v>
      </c>
      <c r="AE414">
        <v>307.27</v>
      </c>
      <c r="AF414">
        <v>0</v>
      </c>
      <c r="AG414">
        <v>0</v>
      </c>
      <c r="AK414">
        <v>0</v>
      </c>
    </row>
    <row r="415" spans="1:37" x14ac:dyDescent="0.25">
      <c r="A415">
        <v>20168</v>
      </c>
      <c r="B415" t="s">
        <v>718</v>
      </c>
      <c r="C415">
        <v>230.40505619999999</v>
      </c>
      <c r="D415">
        <v>0</v>
      </c>
      <c r="E415">
        <v>36.864808992</v>
      </c>
      <c r="F415">
        <v>267.27</v>
      </c>
      <c r="J415">
        <v>0</v>
      </c>
      <c r="K415">
        <v>230.40505619999999</v>
      </c>
      <c r="L415">
        <v>0</v>
      </c>
      <c r="M415">
        <v>36.864808992</v>
      </c>
      <c r="N415">
        <v>267.269865192</v>
      </c>
      <c r="R415">
        <v>0</v>
      </c>
      <c r="S415">
        <v>0</v>
      </c>
      <c r="T415">
        <v>0</v>
      </c>
      <c r="U415" t="s">
        <v>256</v>
      </c>
      <c r="V415" t="s">
        <v>90</v>
      </c>
      <c r="W415">
        <v>4</v>
      </c>
      <c r="Y415" t="s">
        <v>238</v>
      </c>
      <c r="AB415">
        <v>0</v>
      </c>
      <c r="AD415">
        <v>267.27</v>
      </c>
      <c r="AE415">
        <v>0</v>
      </c>
      <c r="AF415">
        <v>0</v>
      </c>
      <c r="AG415">
        <v>267.27</v>
      </c>
      <c r="AK415">
        <v>0</v>
      </c>
    </row>
    <row r="416" spans="1:37" x14ac:dyDescent="0.25">
      <c r="A416">
        <v>28209</v>
      </c>
      <c r="B416" t="s">
        <v>719</v>
      </c>
      <c r="C416">
        <v>217.68</v>
      </c>
      <c r="D416">
        <v>0</v>
      </c>
      <c r="E416">
        <v>34.826300000000003</v>
      </c>
      <c r="F416">
        <v>252.51</v>
      </c>
      <c r="J416">
        <v>0</v>
      </c>
      <c r="K416">
        <v>217.68</v>
      </c>
      <c r="L416">
        <v>0</v>
      </c>
      <c r="M416">
        <v>34.826300000000003</v>
      </c>
      <c r="N416">
        <v>252.50630000000001</v>
      </c>
      <c r="R416">
        <v>0</v>
      </c>
      <c r="S416">
        <v>0</v>
      </c>
      <c r="T416">
        <v>0</v>
      </c>
      <c r="U416" t="s">
        <v>256</v>
      </c>
      <c r="V416" t="s">
        <v>90</v>
      </c>
      <c r="W416">
        <v>4</v>
      </c>
      <c r="Y416" t="s">
        <v>238</v>
      </c>
      <c r="AB416" t="s">
        <v>279</v>
      </c>
      <c r="AD416">
        <v>252.51</v>
      </c>
      <c r="AE416">
        <v>0</v>
      </c>
      <c r="AF416">
        <v>0</v>
      </c>
      <c r="AG416">
        <v>252.51</v>
      </c>
      <c r="AK416">
        <v>0</v>
      </c>
    </row>
    <row r="417" spans="1:37" x14ac:dyDescent="0.25">
      <c r="A417">
        <v>11160</v>
      </c>
      <c r="B417" t="s">
        <v>720</v>
      </c>
      <c r="C417">
        <v>231.82</v>
      </c>
      <c r="D417">
        <v>18.5486</v>
      </c>
      <c r="E417">
        <v>0</v>
      </c>
      <c r="F417">
        <v>250.37</v>
      </c>
      <c r="J417">
        <v>0</v>
      </c>
      <c r="K417">
        <v>231.82</v>
      </c>
      <c r="L417">
        <v>18.5486</v>
      </c>
      <c r="M417">
        <v>0</v>
      </c>
      <c r="N417">
        <v>250.36859999999999</v>
      </c>
      <c r="R417">
        <v>0</v>
      </c>
      <c r="S417">
        <v>0</v>
      </c>
      <c r="T417">
        <v>0</v>
      </c>
      <c r="U417" t="s">
        <v>256</v>
      </c>
      <c r="V417" t="s">
        <v>90</v>
      </c>
      <c r="W417">
        <v>4</v>
      </c>
      <c r="Y417" t="s">
        <v>238</v>
      </c>
      <c r="AB417">
        <v>0</v>
      </c>
      <c r="AD417">
        <v>250.37</v>
      </c>
      <c r="AE417">
        <v>0</v>
      </c>
      <c r="AF417">
        <v>0</v>
      </c>
      <c r="AG417">
        <v>250.37</v>
      </c>
      <c r="AK417">
        <v>0</v>
      </c>
    </row>
    <row r="418" spans="1:37" x14ac:dyDescent="0.25">
      <c r="A418">
        <v>28407</v>
      </c>
      <c r="B418" t="s">
        <v>721</v>
      </c>
      <c r="C418">
        <v>205.57329379999999</v>
      </c>
      <c r="D418">
        <v>0</v>
      </c>
      <c r="E418">
        <v>32.891727007999997</v>
      </c>
      <c r="F418">
        <v>238.47</v>
      </c>
      <c r="J418">
        <v>0</v>
      </c>
      <c r="K418">
        <v>205.57329379999999</v>
      </c>
      <c r="L418">
        <v>0</v>
      </c>
      <c r="M418">
        <v>32.891727007999997</v>
      </c>
      <c r="N418">
        <v>238.46502080799999</v>
      </c>
      <c r="R418">
        <v>0</v>
      </c>
      <c r="S418">
        <v>0</v>
      </c>
      <c r="T418">
        <v>0</v>
      </c>
      <c r="U418" t="s">
        <v>256</v>
      </c>
      <c r="V418" t="s">
        <v>90</v>
      </c>
      <c r="W418">
        <v>4</v>
      </c>
      <c r="Y418" t="s">
        <v>73</v>
      </c>
      <c r="Z418">
        <v>205.57329379999999</v>
      </c>
      <c r="AA418">
        <v>238.46502080799999</v>
      </c>
      <c r="AB418" t="s">
        <v>386</v>
      </c>
      <c r="AD418">
        <v>0</v>
      </c>
      <c r="AE418">
        <v>0</v>
      </c>
      <c r="AF418">
        <v>238.47</v>
      </c>
      <c r="AG418">
        <v>238.47</v>
      </c>
      <c r="AK418">
        <v>0</v>
      </c>
    </row>
    <row r="419" spans="1:37" x14ac:dyDescent="0.25">
      <c r="A419">
        <v>2013</v>
      </c>
      <c r="B419" t="s">
        <v>722</v>
      </c>
      <c r="C419">
        <v>200.56</v>
      </c>
      <c r="D419">
        <v>0</v>
      </c>
      <c r="E419">
        <v>32.089599999999997</v>
      </c>
      <c r="F419">
        <v>232.65</v>
      </c>
      <c r="J419">
        <v>0</v>
      </c>
      <c r="K419">
        <v>200.56</v>
      </c>
      <c r="L419">
        <v>0</v>
      </c>
      <c r="M419">
        <v>32.089599999999997</v>
      </c>
      <c r="N419">
        <v>232.64959999999999</v>
      </c>
      <c r="R419">
        <v>0</v>
      </c>
      <c r="S419">
        <v>0</v>
      </c>
      <c r="T419">
        <v>0</v>
      </c>
      <c r="U419" t="s">
        <v>256</v>
      </c>
      <c r="V419" t="s">
        <v>90</v>
      </c>
      <c r="W419">
        <v>4</v>
      </c>
      <c r="Y419" t="s">
        <v>73</v>
      </c>
      <c r="Z419">
        <v>200.56</v>
      </c>
      <c r="AA419">
        <v>232.64959999999999</v>
      </c>
      <c r="AB419" t="s">
        <v>296</v>
      </c>
      <c r="AD419">
        <v>0</v>
      </c>
      <c r="AE419">
        <v>0</v>
      </c>
      <c r="AF419">
        <v>232.65</v>
      </c>
      <c r="AG419">
        <v>232.65</v>
      </c>
      <c r="AK419">
        <v>0</v>
      </c>
    </row>
    <row r="420" spans="1:37" x14ac:dyDescent="0.25">
      <c r="A420">
        <v>339069</v>
      </c>
      <c r="B420" t="s">
        <v>723</v>
      </c>
      <c r="C420">
        <v>215.13</v>
      </c>
      <c r="D420">
        <v>17.2104</v>
      </c>
      <c r="E420">
        <v>0</v>
      </c>
      <c r="F420">
        <v>232.34</v>
      </c>
      <c r="J420">
        <v>0</v>
      </c>
      <c r="K420">
        <v>215.13</v>
      </c>
      <c r="L420">
        <v>17.2104</v>
      </c>
      <c r="M420">
        <v>0</v>
      </c>
      <c r="N420">
        <v>232.34039999999999</v>
      </c>
      <c r="R420">
        <v>0</v>
      </c>
      <c r="S420">
        <v>0</v>
      </c>
      <c r="T420">
        <v>0</v>
      </c>
      <c r="U420" t="s">
        <v>256</v>
      </c>
      <c r="V420" t="s">
        <v>90</v>
      </c>
      <c r="W420">
        <v>4</v>
      </c>
      <c r="Y420" t="s">
        <v>238</v>
      </c>
      <c r="AB420">
        <v>0</v>
      </c>
      <c r="AD420">
        <v>232.34</v>
      </c>
      <c r="AE420">
        <v>0</v>
      </c>
      <c r="AF420">
        <v>0</v>
      </c>
      <c r="AG420">
        <v>232.34</v>
      </c>
      <c r="AK420">
        <v>0</v>
      </c>
    </row>
    <row r="421" spans="1:37" x14ac:dyDescent="0.25">
      <c r="A421">
        <v>18087</v>
      </c>
      <c r="B421" t="s">
        <v>724</v>
      </c>
      <c r="C421">
        <v>180.74</v>
      </c>
      <c r="D421">
        <v>0</v>
      </c>
      <c r="E421">
        <v>28.918399999999998</v>
      </c>
      <c r="F421">
        <v>209.66</v>
      </c>
      <c r="J421">
        <v>0</v>
      </c>
      <c r="K421">
        <v>180.74</v>
      </c>
      <c r="L421">
        <v>0</v>
      </c>
      <c r="M421">
        <v>28.918399999999998</v>
      </c>
      <c r="N421">
        <v>209.6584</v>
      </c>
      <c r="R421">
        <v>0</v>
      </c>
      <c r="S421">
        <v>0</v>
      </c>
      <c r="T421">
        <v>0</v>
      </c>
      <c r="U421" t="s">
        <v>256</v>
      </c>
      <c r="V421" t="s">
        <v>90</v>
      </c>
      <c r="W421">
        <v>4</v>
      </c>
      <c r="Y421" t="s">
        <v>238</v>
      </c>
      <c r="AB421">
        <v>0</v>
      </c>
      <c r="AD421">
        <v>209.66</v>
      </c>
      <c r="AE421">
        <v>0</v>
      </c>
      <c r="AF421">
        <v>0</v>
      </c>
      <c r="AG421">
        <v>209.66</v>
      </c>
      <c r="AK421">
        <v>0</v>
      </c>
    </row>
    <row r="422" spans="1:37" x14ac:dyDescent="0.25">
      <c r="A422">
        <v>228163</v>
      </c>
      <c r="B422" t="s">
        <v>725</v>
      </c>
      <c r="C422">
        <v>202.76</v>
      </c>
      <c r="D422">
        <v>0</v>
      </c>
      <c r="E422">
        <v>0</v>
      </c>
      <c r="F422">
        <v>202.76</v>
      </c>
      <c r="J422">
        <v>0</v>
      </c>
      <c r="K422">
        <v>202.76</v>
      </c>
      <c r="L422">
        <v>0</v>
      </c>
      <c r="M422">
        <v>0</v>
      </c>
      <c r="N422">
        <v>202.76</v>
      </c>
      <c r="R422">
        <v>0</v>
      </c>
      <c r="S422">
        <v>0</v>
      </c>
      <c r="T422">
        <v>0</v>
      </c>
      <c r="U422" t="s">
        <v>256</v>
      </c>
      <c r="V422" t="s">
        <v>90</v>
      </c>
      <c r="W422">
        <v>4</v>
      </c>
      <c r="Y422" t="s">
        <v>238</v>
      </c>
      <c r="AB422">
        <v>0</v>
      </c>
      <c r="AD422">
        <v>202.76</v>
      </c>
      <c r="AE422">
        <v>0</v>
      </c>
      <c r="AF422">
        <v>0</v>
      </c>
      <c r="AG422">
        <v>202.76</v>
      </c>
      <c r="AK422">
        <v>0</v>
      </c>
    </row>
    <row r="423" spans="1:37" x14ac:dyDescent="0.25">
      <c r="A423">
        <v>308592</v>
      </c>
      <c r="B423" t="s">
        <v>726</v>
      </c>
      <c r="C423">
        <v>168.15</v>
      </c>
      <c r="D423">
        <v>13.4688</v>
      </c>
      <c r="E423">
        <v>0</v>
      </c>
      <c r="F423">
        <v>181.62</v>
      </c>
      <c r="J423">
        <v>0</v>
      </c>
      <c r="K423">
        <v>168.15</v>
      </c>
      <c r="L423">
        <v>13.4688</v>
      </c>
      <c r="M423">
        <v>0</v>
      </c>
      <c r="N423">
        <v>181.61879999999999</v>
      </c>
      <c r="R423">
        <v>0</v>
      </c>
      <c r="S423">
        <v>0</v>
      </c>
      <c r="T423">
        <v>0</v>
      </c>
      <c r="U423" t="s">
        <v>256</v>
      </c>
      <c r="V423" t="s">
        <v>90</v>
      </c>
      <c r="W423">
        <v>4</v>
      </c>
      <c r="Y423" t="s">
        <v>73</v>
      </c>
      <c r="Z423">
        <v>168.15</v>
      </c>
      <c r="AA423">
        <v>181.61879999999999</v>
      </c>
      <c r="AB423">
        <v>0</v>
      </c>
      <c r="AD423">
        <v>0</v>
      </c>
      <c r="AE423">
        <v>0</v>
      </c>
      <c r="AF423">
        <v>181.62</v>
      </c>
      <c r="AG423">
        <v>181.62</v>
      </c>
      <c r="AK423">
        <v>0</v>
      </c>
    </row>
    <row r="424" spans="1:37" x14ac:dyDescent="0.25">
      <c r="A424">
        <v>21090</v>
      </c>
      <c r="B424" t="s">
        <v>727</v>
      </c>
      <c r="C424">
        <v>147.4</v>
      </c>
      <c r="D424">
        <v>0</v>
      </c>
      <c r="E424">
        <v>23.584</v>
      </c>
      <c r="F424">
        <v>170.98</v>
      </c>
      <c r="J424">
        <v>0</v>
      </c>
      <c r="K424">
        <v>147.4</v>
      </c>
      <c r="L424">
        <v>0</v>
      </c>
      <c r="M424">
        <v>23.584</v>
      </c>
      <c r="N424">
        <v>170.98400000000001</v>
      </c>
      <c r="R424">
        <v>0</v>
      </c>
      <c r="S424">
        <v>0</v>
      </c>
      <c r="T424">
        <v>0</v>
      </c>
      <c r="U424" t="s">
        <v>256</v>
      </c>
      <c r="V424" t="s">
        <v>90</v>
      </c>
      <c r="W424">
        <v>4</v>
      </c>
      <c r="Y424" t="s">
        <v>238</v>
      </c>
      <c r="AB424">
        <v>0</v>
      </c>
      <c r="AD424">
        <v>170.98</v>
      </c>
      <c r="AE424">
        <v>0</v>
      </c>
      <c r="AF424">
        <v>0</v>
      </c>
      <c r="AG424">
        <v>170.98</v>
      </c>
      <c r="AK424">
        <v>0</v>
      </c>
    </row>
    <row r="425" spans="1:37" x14ac:dyDescent="0.25">
      <c r="A425">
        <v>2949</v>
      </c>
      <c r="B425" t="s">
        <v>728</v>
      </c>
      <c r="C425">
        <v>134.06</v>
      </c>
      <c r="D425">
        <v>0</v>
      </c>
      <c r="E425">
        <v>21.4496</v>
      </c>
      <c r="F425">
        <v>155.51</v>
      </c>
      <c r="J425">
        <v>0</v>
      </c>
      <c r="K425">
        <v>134.06</v>
      </c>
      <c r="L425">
        <v>0</v>
      </c>
      <c r="M425">
        <v>21.4496</v>
      </c>
      <c r="N425">
        <v>155.50960000000001</v>
      </c>
      <c r="R425">
        <v>0</v>
      </c>
      <c r="S425">
        <v>0</v>
      </c>
      <c r="T425">
        <v>0</v>
      </c>
      <c r="U425" t="s">
        <v>256</v>
      </c>
      <c r="V425" t="s">
        <v>90</v>
      </c>
      <c r="W425">
        <v>4</v>
      </c>
      <c r="Y425" t="s">
        <v>73</v>
      </c>
      <c r="Z425">
        <v>134.06</v>
      </c>
      <c r="AA425">
        <v>155.50960000000001</v>
      </c>
      <c r="AB425" t="s">
        <v>655</v>
      </c>
      <c r="AD425">
        <v>0</v>
      </c>
      <c r="AE425">
        <v>0</v>
      </c>
      <c r="AF425">
        <v>155.51</v>
      </c>
      <c r="AG425">
        <v>155.51</v>
      </c>
      <c r="AK425">
        <v>0</v>
      </c>
    </row>
    <row r="426" spans="1:37" x14ac:dyDescent="0.25">
      <c r="A426">
        <v>13611</v>
      </c>
      <c r="B426" t="s">
        <v>729</v>
      </c>
      <c r="C426">
        <v>148.08250924999999</v>
      </c>
      <c r="D426">
        <v>0</v>
      </c>
      <c r="E426">
        <v>0</v>
      </c>
      <c r="F426">
        <v>148.08000000000001</v>
      </c>
      <c r="J426">
        <v>0</v>
      </c>
      <c r="K426">
        <v>148.08250924999999</v>
      </c>
      <c r="L426">
        <v>0</v>
      </c>
      <c r="M426">
        <v>0</v>
      </c>
      <c r="N426">
        <v>148.08250924999999</v>
      </c>
      <c r="R426">
        <v>0</v>
      </c>
      <c r="S426">
        <v>0</v>
      </c>
      <c r="T426">
        <v>0</v>
      </c>
      <c r="U426" t="s">
        <v>256</v>
      </c>
      <c r="V426" t="s">
        <v>90</v>
      </c>
      <c r="W426">
        <v>4</v>
      </c>
      <c r="Y426" t="s">
        <v>238</v>
      </c>
      <c r="AB426">
        <v>0</v>
      </c>
      <c r="AD426">
        <v>0</v>
      </c>
      <c r="AE426">
        <v>148.08000000000001</v>
      </c>
      <c r="AF426">
        <v>0</v>
      </c>
      <c r="AG426">
        <v>0</v>
      </c>
      <c r="AK426">
        <v>0</v>
      </c>
    </row>
    <row r="427" spans="1:37" x14ac:dyDescent="0.25">
      <c r="A427">
        <v>391193</v>
      </c>
      <c r="B427" t="s">
        <v>730</v>
      </c>
      <c r="C427">
        <v>125.73</v>
      </c>
      <c r="D427">
        <v>0</v>
      </c>
      <c r="E427">
        <v>20.104199999999999</v>
      </c>
      <c r="F427">
        <v>145.84</v>
      </c>
      <c r="J427">
        <v>0</v>
      </c>
      <c r="K427">
        <v>125.73</v>
      </c>
      <c r="L427">
        <v>0</v>
      </c>
      <c r="M427">
        <v>20.104199999999999</v>
      </c>
      <c r="N427">
        <v>145.83420000000001</v>
      </c>
      <c r="R427">
        <v>0</v>
      </c>
      <c r="S427">
        <v>0</v>
      </c>
      <c r="T427">
        <v>0</v>
      </c>
      <c r="U427" t="s">
        <v>256</v>
      </c>
      <c r="V427" t="s">
        <v>90</v>
      </c>
      <c r="W427">
        <v>4</v>
      </c>
      <c r="Y427" t="s">
        <v>238</v>
      </c>
      <c r="AB427" t="s">
        <v>279</v>
      </c>
      <c r="AD427">
        <v>145.84</v>
      </c>
      <c r="AE427">
        <v>0</v>
      </c>
      <c r="AF427">
        <v>0</v>
      </c>
      <c r="AG427">
        <v>145.84</v>
      </c>
      <c r="AK427">
        <v>0</v>
      </c>
    </row>
    <row r="428" spans="1:37" x14ac:dyDescent="0.25">
      <c r="A428">
        <v>322172</v>
      </c>
      <c r="B428" t="s">
        <v>731</v>
      </c>
      <c r="C428">
        <v>94.07</v>
      </c>
      <c r="D428">
        <v>0</v>
      </c>
      <c r="E428">
        <v>15.0512</v>
      </c>
      <c r="F428">
        <v>109.12</v>
      </c>
      <c r="J428">
        <v>0</v>
      </c>
      <c r="K428">
        <v>94.07</v>
      </c>
      <c r="L428">
        <v>0</v>
      </c>
      <c r="M428">
        <v>15.0512</v>
      </c>
      <c r="N428">
        <v>109.1212</v>
      </c>
      <c r="R428">
        <v>0</v>
      </c>
      <c r="S428">
        <v>0</v>
      </c>
      <c r="T428">
        <v>0</v>
      </c>
      <c r="U428" t="s">
        <v>256</v>
      </c>
      <c r="V428" t="s">
        <v>90</v>
      </c>
      <c r="W428">
        <v>4</v>
      </c>
      <c r="Y428" t="s">
        <v>73</v>
      </c>
      <c r="Z428">
        <v>94.07</v>
      </c>
      <c r="AA428">
        <v>109.1212</v>
      </c>
      <c r="AB428">
        <v>0</v>
      </c>
      <c r="AD428">
        <v>0</v>
      </c>
      <c r="AE428">
        <v>0</v>
      </c>
      <c r="AF428">
        <v>109.12</v>
      </c>
      <c r="AG428">
        <v>109.12</v>
      </c>
      <c r="AK428">
        <v>0</v>
      </c>
    </row>
    <row r="429" spans="1:37" x14ac:dyDescent="0.25">
      <c r="A429">
        <v>395855</v>
      </c>
      <c r="B429" t="s">
        <v>732</v>
      </c>
      <c r="C429">
        <v>82.899999999999991</v>
      </c>
      <c r="D429">
        <v>6.6306000000000003</v>
      </c>
      <c r="E429">
        <v>0</v>
      </c>
      <c r="F429">
        <v>89.53</v>
      </c>
      <c r="J429">
        <v>0</v>
      </c>
      <c r="K429">
        <v>82.899999999999991</v>
      </c>
      <c r="L429">
        <v>6.6306000000000003</v>
      </c>
      <c r="M429">
        <v>0</v>
      </c>
      <c r="N429">
        <v>89.530599999999993</v>
      </c>
      <c r="R429">
        <v>0</v>
      </c>
      <c r="S429">
        <v>0</v>
      </c>
      <c r="T429">
        <v>0</v>
      </c>
      <c r="U429" t="s">
        <v>256</v>
      </c>
      <c r="V429" t="s">
        <v>90</v>
      </c>
      <c r="W429">
        <v>4</v>
      </c>
      <c r="Y429" t="s">
        <v>238</v>
      </c>
      <c r="AB429">
        <v>0</v>
      </c>
      <c r="AD429">
        <v>89.53</v>
      </c>
      <c r="AE429">
        <v>0</v>
      </c>
      <c r="AF429">
        <v>0</v>
      </c>
      <c r="AG429">
        <v>89.53</v>
      </c>
      <c r="AK429">
        <v>0</v>
      </c>
    </row>
    <row r="430" spans="1:37" x14ac:dyDescent="0.25">
      <c r="A430">
        <v>51011</v>
      </c>
      <c r="B430" t="s">
        <v>733</v>
      </c>
      <c r="C430">
        <v>83.47</v>
      </c>
      <c r="D430">
        <v>0</v>
      </c>
      <c r="E430">
        <v>0</v>
      </c>
      <c r="F430">
        <v>83.47</v>
      </c>
      <c r="J430">
        <v>0</v>
      </c>
      <c r="K430">
        <v>83.47</v>
      </c>
      <c r="L430">
        <v>0</v>
      </c>
      <c r="M430">
        <v>0</v>
      </c>
      <c r="N430">
        <v>83.47</v>
      </c>
      <c r="R430">
        <v>0</v>
      </c>
      <c r="S430">
        <v>0</v>
      </c>
      <c r="T430">
        <v>0</v>
      </c>
      <c r="U430" t="s">
        <v>256</v>
      </c>
      <c r="V430" t="s">
        <v>90</v>
      </c>
      <c r="W430">
        <v>4</v>
      </c>
      <c r="Y430" t="s">
        <v>238</v>
      </c>
      <c r="AB430">
        <v>0</v>
      </c>
      <c r="AD430">
        <v>83.47</v>
      </c>
      <c r="AE430">
        <v>0</v>
      </c>
      <c r="AF430">
        <v>0</v>
      </c>
      <c r="AG430">
        <v>83.47</v>
      </c>
      <c r="AK430">
        <v>0</v>
      </c>
    </row>
    <row r="431" spans="1:37" x14ac:dyDescent="0.25">
      <c r="A431">
        <v>551</v>
      </c>
      <c r="B431" t="s">
        <v>734</v>
      </c>
      <c r="C431">
        <v>80.959999999999994</v>
      </c>
      <c r="D431">
        <v>0</v>
      </c>
      <c r="E431">
        <v>0</v>
      </c>
      <c r="F431">
        <v>80.959999999999994</v>
      </c>
      <c r="J431">
        <v>0</v>
      </c>
      <c r="K431">
        <v>80.959999999999994</v>
      </c>
      <c r="L431">
        <v>0</v>
      </c>
      <c r="M431">
        <v>0</v>
      </c>
      <c r="N431">
        <v>80.959999999999994</v>
      </c>
      <c r="R431">
        <v>0</v>
      </c>
      <c r="S431">
        <v>0</v>
      </c>
      <c r="T431">
        <v>0</v>
      </c>
      <c r="U431" t="s">
        <v>256</v>
      </c>
      <c r="V431" t="s">
        <v>90</v>
      </c>
      <c r="W431">
        <v>4</v>
      </c>
      <c r="Y431" t="s">
        <v>238</v>
      </c>
      <c r="AB431">
        <v>0</v>
      </c>
      <c r="AD431">
        <v>80.959999999999994</v>
      </c>
      <c r="AE431">
        <v>0</v>
      </c>
      <c r="AF431">
        <v>0</v>
      </c>
      <c r="AG431">
        <v>80.959999999999994</v>
      </c>
      <c r="AK431">
        <v>0</v>
      </c>
    </row>
    <row r="432" spans="1:37" x14ac:dyDescent="0.25">
      <c r="A432">
        <v>77750</v>
      </c>
      <c r="B432" t="s">
        <v>735</v>
      </c>
      <c r="C432">
        <v>58.07</v>
      </c>
      <c r="D432">
        <v>0</v>
      </c>
      <c r="E432">
        <v>9.2911999999999999</v>
      </c>
      <c r="F432">
        <v>67.36</v>
      </c>
      <c r="J432">
        <v>0</v>
      </c>
      <c r="K432">
        <v>58.07</v>
      </c>
      <c r="L432">
        <v>0</v>
      </c>
      <c r="M432">
        <v>9.2911999999999999</v>
      </c>
      <c r="N432">
        <v>67.361199999999997</v>
      </c>
      <c r="R432">
        <v>0</v>
      </c>
      <c r="S432">
        <v>0</v>
      </c>
      <c r="T432">
        <v>0</v>
      </c>
      <c r="U432" t="s">
        <v>256</v>
      </c>
      <c r="V432" t="s">
        <v>90</v>
      </c>
      <c r="W432">
        <v>4</v>
      </c>
      <c r="Y432" t="s">
        <v>238</v>
      </c>
      <c r="AB432">
        <v>0</v>
      </c>
      <c r="AD432">
        <v>67.36</v>
      </c>
      <c r="AE432">
        <v>0</v>
      </c>
      <c r="AF432">
        <v>0</v>
      </c>
      <c r="AG432">
        <v>67.36</v>
      </c>
      <c r="AK432">
        <v>0</v>
      </c>
    </row>
    <row r="433" spans="1:37" x14ac:dyDescent="0.25">
      <c r="A433">
        <v>393272</v>
      </c>
      <c r="B433" t="s">
        <v>736</v>
      </c>
      <c r="C433">
        <v>55.01</v>
      </c>
      <c r="D433">
        <v>0</v>
      </c>
      <c r="E433">
        <v>8.8071000000000002</v>
      </c>
      <c r="F433">
        <v>63.82</v>
      </c>
      <c r="J433">
        <v>0</v>
      </c>
      <c r="K433">
        <v>55.01</v>
      </c>
      <c r="L433">
        <v>0</v>
      </c>
      <c r="M433">
        <v>8.8071000000000002</v>
      </c>
      <c r="N433">
        <v>63.817100000000003</v>
      </c>
      <c r="R433">
        <v>0</v>
      </c>
      <c r="S433">
        <v>0</v>
      </c>
      <c r="T433">
        <v>0</v>
      </c>
      <c r="U433" t="s">
        <v>256</v>
      </c>
      <c r="V433" t="s">
        <v>90</v>
      </c>
      <c r="W433">
        <v>4</v>
      </c>
      <c r="Y433" t="s">
        <v>238</v>
      </c>
      <c r="AB433">
        <v>0</v>
      </c>
      <c r="AD433">
        <v>63.82</v>
      </c>
      <c r="AE433">
        <v>0</v>
      </c>
      <c r="AF433">
        <v>0</v>
      </c>
      <c r="AG433">
        <v>63.82</v>
      </c>
      <c r="AK433">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5A8AC-E11D-40B9-B7C8-324B3BF1AAAA}">
  <dimension ref="A3:B17"/>
  <sheetViews>
    <sheetView workbookViewId="0">
      <selection activeCell="B10" sqref="B10"/>
    </sheetView>
  </sheetViews>
  <sheetFormatPr defaultColWidth="8.5703125" defaultRowHeight="15" x14ac:dyDescent="0.25"/>
  <cols>
    <col min="1" max="1" width="39.42578125" customWidth="1"/>
    <col min="2" max="2" width="38.42578125" bestFit="1" customWidth="1"/>
    <col min="3" max="3" width="21" customWidth="1"/>
    <col min="4" max="4" width="18.42578125" bestFit="1" customWidth="1"/>
    <col min="5" max="5" width="25.42578125" bestFit="1" customWidth="1"/>
    <col min="6" max="6" width="20.42578125" bestFit="1" customWidth="1"/>
    <col min="7" max="7" width="15.42578125" bestFit="1" customWidth="1"/>
    <col min="8" max="8" width="24.5703125" bestFit="1" customWidth="1"/>
  </cols>
  <sheetData>
    <row r="3" spans="1:2" x14ac:dyDescent="0.25">
      <c r="A3" t="s">
        <v>902</v>
      </c>
    </row>
    <row r="4" spans="1:2" x14ac:dyDescent="0.25">
      <c r="A4" t="s">
        <v>903</v>
      </c>
    </row>
    <row r="5" spans="1:2" x14ac:dyDescent="0.25">
      <c r="A5" t="s">
        <v>904</v>
      </c>
    </row>
    <row r="6" spans="1:2" x14ac:dyDescent="0.25">
      <c r="A6" t="s">
        <v>905</v>
      </c>
    </row>
    <row r="7" spans="1:2" x14ac:dyDescent="0.25">
      <c r="A7" t="s">
        <v>906</v>
      </c>
    </row>
    <row r="8" spans="1:2" x14ac:dyDescent="0.25">
      <c r="A8" t="s">
        <v>907</v>
      </c>
    </row>
    <row r="10" spans="1:2" x14ac:dyDescent="0.25">
      <c r="B10" t="s">
        <v>908</v>
      </c>
    </row>
    <row r="11" spans="1:2" x14ac:dyDescent="0.25">
      <c r="A11" t="s">
        <v>909</v>
      </c>
      <c r="B11" t="s">
        <v>910</v>
      </c>
    </row>
    <row r="12" spans="1:2" x14ac:dyDescent="0.25">
      <c r="A12" t="s">
        <v>911</v>
      </c>
      <c r="B12" t="s">
        <v>912</v>
      </c>
    </row>
    <row r="13" spans="1:2" x14ac:dyDescent="0.25">
      <c r="A13" t="s">
        <v>913</v>
      </c>
      <c r="B13" t="s">
        <v>914</v>
      </c>
    </row>
    <row r="14" spans="1:2" x14ac:dyDescent="0.25">
      <c r="A14" t="s">
        <v>915</v>
      </c>
      <c r="B14" t="s">
        <v>916</v>
      </c>
    </row>
    <row r="15" spans="1:2" x14ac:dyDescent="0.25">
      <c r="B15" t="s">
        <v>917</v>
      </c>
    </row>
    <row r="16" spans="1:2" x14ac:dyDescent="0.25">
      <c r="A16" t="s">
        <v>918</v>
      </c>
      <c r="B16" t="s">
        <v>85</v>
      </c>
    </row>
    <row r="17" spans="2:2" x14ac:dyDescent="0.25">
      <c r="B17" t="s">
        <v>70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E4F68-5ABA-4D2C-94E4-DC2908A85128}">
  <dimension ref="A1:N1193"/>
  <sheetViews>
    <sheetView workbookViewId="0">
      <selection activeCell="B1" sqref="B1"/>
    </sheetView>
  </sheetViews>
  <sheetFormatPr defaultColWidth="8.5703125" defaultRowHeight="15" x14ac:dyDescent="0.25"/>
  <cols>
    <col min="2" max="2" width="24.5703125" customWidth="1"/>
    <col min="3" max="3" width="13.42578125" customWidth="1"/>
    <col min="4" max="4" width="20.5703125" bestFit="1" customWidth="1"/>
  </cols>
  <sheetData>
    <row r="1" spans="1:14" x14ac:dyDescent="0.25">
      <c r="A1" t="s">
        <v>3</v>
      </c>
      <c r="B1" t="s">
        <v>804</v>
      </c>
      <c r="C1" t="s">
        <v>919</v>
      </c>
      <c r="D1" t="s">
        <v>920</v>
      </c>
      <c r="E1" t="s">
        <v>921</v>
      </c>
      <c r="F1" t="s">
        <v>922</v>
      </c>
      <c r="G1" t="s">
        <v>923</v>
      </c>
      <c r="H1" t="s">
        <v>924</v>
      </c>
      <c r="I1" t="s">
        <v>923</v>
      </c>
      <c r="J1" t="s">
        <v>925</v>
      </c>
      <c r="K1" t="s">
        <v>926</v>
      </c>
      <c r="L1" t="s">
        <v>48</v>
      </c>
      <c r="M1" t="s">
        <v>927</v>
      </c>
      <c r="N1" t="s">
        <v>928</v>
      </c>
    </row>
    <row r="2" spans="1:14" x14ac:dyDescent="0.25">
      <c r="A2">
        <v>20388</v>
      </c>
      <c r="B2" t="s">
        <v>929</v>
      </c>
      <c r="C2" s="55">
        <v>182633069.13999999</v>
      </c>
      <c r="D2" t="s">
        <v>845</v>
      </c>
      <c r="E2" t="s">
        <v>930</v>
      </c>
      <c r="M2" t="s">
        <v>137</v>
      </c>
      <c r="N2" t="s">
        <v>928</v>
      </c>
    </row>
    <row r="3" spans="1:14" x14ac:dyDescent="0.25">
      <c r="A3">
        <v>9647</v>
      </c>
      <c r="B3" t="s">
        <v>64</v>
      </c>
      <c r="C3" s="55">
        <v>150564818.58000001</v>
      </c>
      <c r="D3" s="55">
        <v>-161010125.49000001</v>
      </c>
      <c r="E3" t="s">
        <v>931</v>
      </c>
      <c r="M3" t="s">
        <v>932</v>
      </c>
    </row>
    <row r="4" spans="1:14" x14ac:dyDescent="0.25">
      <c r="A4">
        <v>7112</v>
      </c>
      <c r="B4" t="s">
        <v>933</v>
      </c>
      <c r="C4" s="55">
        <v>139663643.55000001</v>
      </c>
      <c r="D4" t="s">
        <v>845</v>
      </c>
      <c r="E4" t="s">
        <v>930</v>
      </c>
      <c r="M4" t="s">
        <v>932</v>
      </c>
    </row>
    <row r="5" spans="1:14" x14ac:dyDescent="0.25">
      <c r="A5">
        <v>28027</v>
      </c>
      <c r="B5" t="s">
        <v>934</v>
      </c>
      <c r="C5" s="55">
        <v>83117133.909999996</v>
      </c>
      <c r="D5" t="s">
        <v>845</v>
      </c>
      <c r="E5" t="s">
        <v>930</v>
      </c>
      <c r="I5" t="s">
        <v>125</v>
      </c>
      <c r="J5" t="s">
        <v>189</v>
      </c>
      <c r="N5" t="s">
        <v>928</v>
      </c>
    </row>
    <row r="6" spans="1:14" x14ac:dyDescent="0.25">
      <c r="A6">
        <v>326629</v>
      </c>
      <c r="B6" t="s">
        <v>935</v>
      </c>
      <c r="C6" s="55">
        <v>74113980.890000001</v>
      </c>
      <c r="D6" t="s">
        <v>845</v>
      </c>
      <c r="E6" t="s">
        <v>930</v>
      </c>
      <c r="M6" t="s">
        <v>94</v>
      </c>
      <c r="N6" t="s">
        <v>928</v>
      </c>
    </row>
    <row r="7" spans="1:14" x14ac:dyDescent="0.25">
      <c r="A7">
        <v>66738</v>
      </c>
      <c r="B7" t="s">
        <v>55</v>
      </c>
      <c r="C7" s="55">
        <v>72733062.370000005</v>
      </c>
      <c r="D7" s="55">
        <v>-191326587</v>
      </c>
      <c r="E7" t="s">
        <v>931</v>
      </c>
      <c r="N7" t="s">
        <v>928</v>
      </c>
    </row>
    <row r="8" spans="1:14" x14ac:dyDescent="0.25">
      <c r="A8">
        <v>20073</v>
      </c>
      <c r="B8" t="s">
        <v>936</v>
      </c>
      <c r="C8" s="55">
        <v>64440177.009999998</v>
      </c>
      <c r="D8" s="55">
        <v>-5219714.45</v>
      </c>
      <c r="E8" t="s">
        <v>931</v>
      </c>
      <c r="M8" t="s">
        <v>61</v>
      </c>
      <c r="N8" t="s">
        <v>928</v>
      </c>
    </row>
    <row r="9" spans="1:14" x14ac:dyDescent="0.25">
      <c r="A9">
        <v>30064</v>
      </c>
      <c r="B9" t="s">
        <v>937</v>
      </c>
      <c r="C9" s="55">
        <v>61028060.219999999</v>
      </c>
      <c r="D9" t="s">
        <v>845</v>
      </c>
      <c r="E9" t="s">
        <v>930</v>
      </c>
      <c r="M9" t="s">
        <v>103</v>
      </c>
      <c r="N9" t="s">
        <v>928</v>
      </c>
    </row>
    <row r="10" spans="1:14" x14ac:dyDescent="0.25">
      <c r="A10">
        <v>310482</v>
      </c>
      <c r="B10" t="s">
        <v>938</v>
      </c>
      <c r="C10" s="55">
        <v>55611771.840000004</v>
      </c>
      <c r="D10" t="s">
        <v>845</v>
      </c>
      <c r="E10" t="s">
        <v>930</v>
      </c>
      <c r="M10" t="s">
        <v>112</v>
      </c>
      <c r="N10" t="s">
        <v>928</v>
      </c>
    </row>
    <row r="11" spans="1:14" x14ac:dyDescent="0.25">
      <c r="A11">
        <v>62117</v>
      </c>
      <c r="B11" t="s">
        <v>939</v>
      </c>
      <c r="C11" s="55">
        <v>44750295.409999996</v>
      </c>
      <c r="D11" t="s">
        <v>845</v>
      </c>
      <c r="E11" t="s">
        <v>930</v>
      </c>
      <c r="F11" t="s">
        <v>940</v>
      </c>
      <c r="N11" t="s">
        <v>928</v>
      </c>
    </row>
    <row r="12" spans="1:14" x14ac:dyDescent="0.25">
      <c r="A12">
        <v>229831</v>
      </c>
      <c r="B12" t="s">
        <v>941</v>
      </c>
      <c r="C12" s="55">
        <v>43051841.030000001</v>
      </c>
      <c r="D12" t="s">
        <v>845</v>
      </c>
      <c r="E12" t="s">
        <v>930</v>
      </c>
      <c r="M12" t="s">
        <v>932</v>
      </c>
      <c r="N12" t="s">
        <v>928</v>
      </c>
    </row>
    <row r="13" spans="1:14" x14ac:dyDescent="0.25">
      <c r="A13">
        <v>5462</v>
      </c>
      <c r="B13" t="s">
        <v>942</v>
      </c>
      <c r="C13" s="55">
        <v>40756101.299999997</v>
      </c>
      <c r="D13" s="55">
        <v>-3303045.01</v>
      </c>
      <c r="E13" t="s">
        <v>931</v>
      </c>
      <c r="M13" t="s">
        <v>162</v>
      </c>
    </row>
    <row r="14" spans="1:14" x14ac:dyDescent="0.25">
      <c r="A14">
        <v>205302</v>
      </c>
      <c r="B14" t="s">
        <v>943</v>
      </c>
      <c r="C14" s="55">
        <v>39739791.93</v>
      </c>
      <c r="D14" t="s">
        <v>845</v>
      </c>
      <c r="E14" t="s">
        <v>930</v>
      </c>
      <c r="M14" t="s">
        <v>112</v>
      </c>
      <c r="N14" t="s">
        <v>928</v>
      </c>
    </row>
    <row r="15" spans="1:14" x14ac:dyDescent="0.25">
      <c r="A15">
        <v>72470</v>
      </c>
      <c r="B15" t="s">
        <v>944</v>
      </c>
      <c r="C15" s="55">
        <v>39617225.659999996</v>
      </c>
      <c r="D15" t="s">
        <v>845</v>
      </c>
      <c r="E15" t="s">
        <v>930</v>
      </c>
      <c r="M15" t="s">
        <v>137</v>
      </c>
      <c r="N15" t="s">
        <v>928</v>
      </c>
    </row>
    <row r="16" spans="1:14" x14ac:dyDescent="0.25">
      <c r="A16">
        <v>322537</v>
      </c>
      <c r="B16" t="s">
        <v>945</v>
      </c>
      <c r="C16" s="55">
        <v>37905198.840000004</v>
      </c>
      <c r="D16" t="s">
        <v>845</v>
      </c>
      <c r="E16" t="s">
        <v>930</v>
      </c>
      <c r="M16" t="s">
        <v>83</v>
      </c>
      <c r="N16" t="s">
        <v>928</v>
      </c>
    </row>
    <row r="17" spans="1:14" x14ac:dyDescent="0.25">
      <c r="A17">
        <v>28076</v>
      </c>
      <c r="B17" t="s">
        <v>946</v>
      </c>
      <c r="C17" s="55">
        <v>36623726.130000003</v>
      </c>
      <c r="D17" s="55">
        <v>-4363446.2699999996</v>
      </c>
      <c r="E17" t="s">
        <v>931</v>
      </c>
      <c r="M17" t="s">
        <v>162</v>
      </c>
      <c r="N17" t="s">
        <v>928</v>
      </c>
    </row>
    <row r="18" spans="1:14" x14ac:dyDescent="0.25">
      <c r="A18">
        <v>15605</v>
      </c>
      <c r="B18" t="s">
        <v>947</v>
      </c>
      <c r="C18" s="55">
        <v>36500758.200000003</v>
      </c>
      <c r="D18" s="55">
        <v>3265152.59</v>
      </c>
      <c r="E18" t="s">
        <v>948</v>
      </c>
      <c r="N18" t="s">
        <v>928</v>
      </c>
    </row>
    <row r="19" spans="1:14" x14ac:dyDescent="0.25">
      <c r="A19">
        <v>67504</v>
      </c>
      <c r="B19" t="s">
        <v>949</v>
      </c>
      <c r="C19" s="55">
        <v>33637169.579999998</v>
      </c>
      <c r="D19" s="55">
        <v>-3366</v>
      </c>
      <c r="E19" t="s">
        <v>931</v>
      </c>
      <c r="M19" t="s">
        <v>148</v>
      </c>
    </row>
    <row r="20" spans="1:14" x14ac:dyDescent="0.25">
      <c r="A20">
        <v>87197</v>
      </c>
      <c r="B20" t="s">
        <v>950</v>
      </c>
      <c r="C20" s="55">
        <v>30292828.550000001</v>
      </c>
      <c r="D20" t="s">
        <v>845</v>
      </c>
      <c r="E20" t="s">
        <v>930</v>
      </c>
      <c r="M20" t="s">
        <v>137</v>
      </c>
      <c r="N20" t="s">
        <v>928</v>
      </c>
    </row>
    <row r="21" spans="1:14" x14ac:dyDescent="0.25">
      <c r="A21">
        <v>325662</v>
      </c>
      <c r="B21" t="s">
        <v>951</v>
      </c>
      <c r="C21" s="55">
        <v>28472061.920000002</v>
      </c>
      <c r="D21" s="55">
        <v>-43850.52</v>
      </c>
      <c r="E21" t="s">
        <v>931</v>
      </c>
      <c r="N21" t="s">
        <v>928</v>
      </c>
    </row>
    <row r="22" spans="1:14" x14ac:dyDescent="0.25">
      <c r="A22">
        <v>312231</v>
      </c>
      <c r="B22" t="s">
        <v>217</v>
      </c>
      <c r="C22" s="55">
        <v>27834652.32</v>
      </c>
      <c r="D22" s="55">
        <v>-39019082.969999999</v>
      </c>
      <c r="E22" t="s">
        <v>931</v>
      </c>
      <c r="N22" t="s">
        <v>928</v>
      </c>
    </row>
    <row r="23" spans="1:14" x14ac:dyDescent="0.25">
      <c r="A23">
        <v>514</v>
      </c>
      <c r="B23" t="s">
        <v>952</v>
      </c>
      <c r="C23" s="55">
        <v>24747316.09</v>
      </c>
      <c r="D23" s="55">
        <v>-1159740.02</v>
      </c>
      <c r="E23" t="s">
        <v>931</v>
      </c>
      <c r="N23" t="s">
        <v>953</v>
      </c>
    </row>
    <row r="24" spans="1:14" x14ac:dyDescent="0.25">
      <c r="A24">
        <v>4077</v>
      </c>
      <c r="B24" t="s">
        <v>80</v>
      </c>
      <c r="C24" s="55">
        <v>24076668.32</v>
      </c>
      <c r="D24" s="55">
        <v>-113333607.34999999</v>
      </c>
      <c r="E24" t="s">
        <v>931</v>
      </c>
      <c r="M24" t="s">
        <v>83</v>
      </c>
    </row>
    <row r="25" spans="1:14" x14ac:dyDescent="0.25">
      <c r="A25">
        <v>64014</v>
      </c>
      <c r="B25" t="s">
        <v>300</v>
      </c>
      <c r="C25" s="55">
        <v>23283717.09</v>
      </c>
      <c r="D25" s="55">
        <v>-56566278.890000001</v>
      </c>
      <c r="E25" t="s">
        <v>931</v>
      </c>
      <c r="M25" t="s">
        <v>94</v>
      </c>
      <c r="N25" t="s">
        <v>928</v>
      </c>
    </row>
    <row r="26" spans="1:14" x14ac:dyDescent="0.25">
      <c r="A26">
        <v>76471</v>
      </c>
      <c r="B26" t="s">
        <v>87</v>
      </c>
      <c r="C26" s="55">
        <v>22858397.27</v>
      </c>
      <c r="D26" s="55">
        <v>-71946426.430000007</v>
      </c>
      <c r="E26" t="s">
        <v>931</v>
      </c>
      <c r="M26" t="s">
        <v>91</v>
      </c>
    </row>
    <row r="27" spans="1:14" x14ac:dyDescent="0.25">
      <c r="A27">
        <v>304882</v>
      </c>
      <c r="B27" t="s">
        <v>954</v>
      </c>
      <c r="C27" s="55">
        <v>22676404.48</v>
      </c>
      <c r="D27" s="55">
        <v>-2084826.61</v>
      </c>
      <c r="E27" t="s">
        <v>931</v>
      </c>
      <c r="N27" t="s">
        <v>928</v>
      </c>
    </row>
    <row r="28" spans="1:14" x14ac:dyDescent="0.25">
      <c r="A28">
        <v>86041</v>
      </c>
      <c r="B28" t="s">
        <v>955</v>
      </c>
      <c r="C28" s="55">
        <v>22639237.550000001</v>
      </c>
      <c r="D28" s="55">
        <v>1852503.56</v>
      </c>
      <c r="E28" t="s">
        <v>948</v>
      </c>
      <c r="M28" t="s">
        <v>119</v>
      </c>
      <c r="N28" t="s">
        <v>928</v>
      </c>
    </row>
    <row r="29" spans="1:14" x14ac:dyDescent="0.25">
      <c r="A29">
        <v>25025</v>
      </c>
      <c r="B29" t="s">
        <v>956</v>
      </c>
      <c r="C29" s="55">
        <v>21990421.390000001</v>
      </c>
      <c r="D29" t="s">
        <v>845</v>
      </c>
      <c r="E29" t="s">
        <v>930</v>
      </c>
      <c r="M29" t="s">
        <v>137</v>
      </c>
    </row>
    <row r="30" spans="1:14" x14ac:dyDescent="0.25">
      <c r="A30">
        <v>398024</v>
      </c>
      <c r="B30" t="s">
        <v>116</v>
      </c>
      <c r="C30" s="55">
        <v>20851674.609999999</v>
      </c>
      <c r="D30" s="55">
        <v>-13477784.390000001</v>
      </c>
      <c r="E30" t="s">
        <v>931</v>
      </c>
      <c r="M30" t="s">
        <v>83</v>
      </c>
      <c r="N30" t="s">
        <v>928</v>
      </c>
    </row>
    <row r="31" spans="1:14" x14ac:dyDescent="0.25">
      <c r="A31">
        <v>399733</v>
      </c>
      <c r="B31" t="s">
        <v>957</v>
      </c>
      <c r="C31" s="55">
        <v>20017581.239999998</v>
      </c>
      <c r="D31" t="s">
        <v>845</v>
      </c>
      <c r="E31" t="s">
        <v>930</v>
      </c>
      <c r="N31" t="s">
        <v>928</v>
      </c>
    </row>
    <row r="32" spans="1:14" x14ac:dyDescent="0.25">
      <c r="A32">
        <v>24232</v>
      </c>
      <c r="B32" t="s">
        <v>72</v>
      </c>
      <c r="C32" s="55">
        <v>19425852.949999999</v>
      </c>
      <c r="D32" s="55">
        <v>-80459545.670000002</v>
      </c>
      <c r="E32" t="s">
        <v>931</v>
      </c>
      <c r="M32" t="s">
        <v>958</v>
      </c>
      <c r="N32" t="s">
        <v>928</v>
      </c>
    </row>
    <row r="33" spans="1:14" x14ac:dyDescent="0.25">
      <c r="A33">
        <v>12518</v>
      </c>
      <c r="B33" t="s">
        <v>959</v>
      </c>
      <c r="C33" s="55">
        <v>18677554.59</v>
      </c>
      <c r="D33" s="55">
        <v>-1284686.1599999999</v>
      </c>
      <c r="E33" t="s">
        <v>931</v>
      </c>
      <c r="N33" t="s">
        <v>928</v>
      </c>
    </row>
    <row r="34" spans="1:14" x14ac:dyDescent="0.25">
      <c r="A34">
        <v>64170</v>
      </c>
      <c r="B34" t="s">
        <v>960</v>
      </c>
      <c r="C34" s="55">
        <v>18541636.489999998</v>
      </c>
      <c r="D34" t="s">
        <v>845</v>
      </c>
      <c r="E34" t="s">
        <v>930</v>
      </c>
      <c r="N34" t="s">
        <v>928</v>
      </c>
    </row>
    <row r="35" spans="1:14" x14ac:dyDescent="0.25">
      <c r="A35">
        <v>364</v>
      </c>
      <c r="B35" t="s">
        <v>167</v>
      </c>
      <c r="C35" s="55">
        <v>18199055.43</v>
      </c>
      <c r="D35" s="55">
        <v>-272595.58</v>
      </c>
      <c r="E35" t="s">
        <v>931</v>
      </c>
      <c r="M35" t="s">
        <v>932</v>
      </c>
      <c r="N35" t="s">
        <v>928</v>
      </c>
    </row>
    <row r="36" spans="1:14" x14ac:dyDescent="0.25">
      <c r="A36">
        <v>21943</v>
      </c>
      <c r="B36" t="s">
        <v>163</v>
      </c>
      <c r="C36" s="55">
        <v>17985208.850000001</v>
      </c>
      <c r="D36" s="55">
        <v>-136674378.15000001</v>
      </c>
      <c r="E36" t="s">
        <v>931</v>
      </c>
      <c r="M36" t="s">
        <v>932</v>
      </c>
      <c r="N36" t="s">
        <v>928</v>
      </c>
    </row>
    <row r="37" spans="1:14" x14ac:dyDescent="0.25">
      <c r="A37">
        <v>56150</v>
      </c>
      <c r="B37" t="s">
        <v>106</v>
      </c>
      <c r="C37" s="55">
        <v>17817197.670000002</v>
      </c>
      <c r="D37" s="55">
        <v>-56862908.780000001</v>
      </c>
      <c r="E37" t="s">
        <v>931</v>
      </c>
      <c r="M37" t="s">
        <v>961</v>
      </c>
    </row>
    <row r="38" spans="1:14" x14ac:dyDescent="0.25">
      <c r="A38">
        <v>322545</v>
      </c>
      <c r="B38" t="s">
        <v>945</v>
      </c>
      <c r="C38" s="55">
        <v>16106404.6</v>
      </c>
      <c r="D38" t="s">
        <v>845</v>
      </c>
      <c r="E38" t="s">
        <v>930</v>
      </c>
      <c r="F38" t="s">
        <v>962</v>
      </c>
      <c r="K38" t="s">
        <v>125</v>
      </c>
      <c r="N38" t="s">
        <v>928</v>
      </c>
    </row>
    <row r="39" spans="1:14" x14ac:dyDescent="0.25">
      <c r="A39">
        <v>9175</v>
      </c>
      <c r="B39" t="s">
        <v>963</v>
      </c>
      <c r="C39" s="55">
        <v>15718431.16</v>
      </c>
      <c r="D39" t="s">
        <v>845</v>
      </c>
      <c r="E39" t="s">
        <v>930</v>
      </c>
      <c r="N39" t="s">
        <v>928</v>
      </c>
    </row>
    <row r="40" spans="1:14" x14ac:dyDescent="0.25">
      <c r="A40">
        <v>383349</v>
      </c>
      <c r="B40" t="s">
        <v>241</v>
      </c>
      <c r="C40" s="55">
        <v>15554669.6</v>
      </c>
      <c r="D40" s="55">
        <v>-495750.52</v>
      </c>
      <c r="E40" t="s">
        <v>931</v>
      </c>
      <c r="N40" t="s">
        <v>928</v>
      </c>
    </row>
    <row r="41" spans="1:14" x14ac:dyDescent="0.25">
      <c r="A41">
        <v>88815</v>
      </c>
      <c r="B41" t="s">
        <v>964</v>
      </c>
      <c r="C41" s="55">
        <v>15530884.609999999</v>
      </c>
      <c r="D41" t="s">
        <v>845</v>
      </c>
      <c r="E41" t="s">
        <v>930</v>
      </c>
      <c r="N41" t="s">
        <v>928</v>
      </c>
    </row>
    <row r="42" spans="1:14" x14ac:dyDescent="0.25">
      <c r="A42">
        <v>99457</v>
      </c>
      <c r="B42" t="s">
        <v>93</v>
      </c>
      <c r="C42" s="55">
        <v>15169011.470000001</v>
      </c>
      <c r="D42" s="55">
        <v>-67219005.829999998</v>
      </c>
      <c r="E42" t="s">
        <v>931</v>
      </c>
      <c r="M42" t="s">
        <v>94</v>
      </c>
      <c r="N42" t="s">
        <v>928</v>
      </c>
    </row>
    <row r="43" spans="1:14" x14ac:dyDescent="0.25">
      <c r="A43">
        <v>90738</v>
      </c>
      <c r="B43" t="s">
        <v>93</v>
      </c>
      <c r="C43" s="55">
        <v>14487404.289999999</v>
      </c>
      <c r="D43" s="55">
        <v>-35461634.289999999</v>
      </c>
      <c r="E43" t="s">
        <v>931</v>
      </c>
      <c r="M43" t="s">
        <v>94</v>
      </c>
      <c r="N43" t="s">
        <v>928</v>
      </c>
    </row>
    <row r="44" spans="1:14" x14ac:dyDescent="0.25">
      <c r="A44">
        <v>16105</v>
      </c>
      <c r="B44" t="s">
        <v>965</v>
      </c>
      <c r="C44" s="55">
        <v>14453015.699999999</v>
      </c>
      <c r="D44" s="55">
        <v>-9949.5</v>
      </c>
      <c r="E44" t="s">
        <v>931</v>
      </c>
      <c r="N44" t="s">
        <v>928</v>
      </c>
    </row>
    <row r="45" spans="1:14" x14ac:dyDescent="0.25">
      <c r="A45">
        <v>96909</v>
      </c>
      <c r="B45" t="s">
        <v>966</v>
      </c>
      <c r="C45" s="55">
        <v>13859104.73</v>
      </c>
      <c r="D45" t="s">
        <v>845</v>
      </c>
      <c r="E45" t="s">
        <v>930</v>
      </c>
      <c r="M45" t="s">
        <v>83</v>
      </c>
      <c r="N45" t="s">
        <v>928</v>
      </c>
    </row>
    <row r="46" spans="1:14" x14ac:dyDescent="0.25">
      <c r="A46">
        <v>388637</v>
      </c>
      <c r="B46" t="s">
        <v>967</v>
      </c>
      <c r="C46" s="55">
        <v>13225809.9</v>
      </c>
      <c r="D46" t="s">
        <v>845</v>
      </c>
      <c r="E46" t="s">
        <v>930</v>
      </c>
      <c r="N46" t="s">
        <v>953</v>
      </c>
    </row>
    <row r="47" spans="1:14" x14ac:dyDescent="0.25">
      <c r="A47">
        <v>82370</v>
      </c>
      <c r="B47" t="s">
        <v>319</v>
      </c>
      <c r="C47" s="55">
        <v>12271500.890000001</v>
      </c>
      <c r="D47" s="55">
        <v>-13590476.279999999</v>
      </c>
      <c r="E47" t="s">
        <v>931</v>
      </c>
      <c r="M47" t="s">
        <v>119</v>
      </c>
      <c r="N47" t="s">
        <v>928</v>
      </c>
    </row>
    <row r="48" spans="1:14" x14ac:dyDescent="0.25">
      <c r="A48">
        <v>55814</v>
      </c>
      <c r="B48" t="s">
        <v>449</v>
      </c>
      <c r="C48" s="55">
        <v>11798368.890000001</v>
      </c>
      <c r="D48" s="55">
        <v>-4389715.66</v>
      </c>
      <c r="E48" t="s">
        <v>931</v>
      </c>
      <c r="M48" t="s">
        <v>112</v>
      </c>
    </row>
    <row r="49" spans="1:14" x14ac:dyDescent="0.25">
      <c r="A49">
        <v>34934</v>
      </c>
      <c r="B49" t="s">
        <v>117</v>
      </c>
      <c r="C49" s="55">
        <v>11263015.85</v>
      </c>
      <c r="D49" s="55">
        <v>-22754146.140000001</v>
      </c>
      <c r="E49" t="s">
        <v>931</v>
      </c>
      <c r="F49" t="s">
        <v>940</v>
      </c>
      <c r="N49" t="s">
        <v>928</v>
      </c>
    </row>
    <row r="50" spans="1:14" x14ac:dyDescent="0.25">
      <c r="A50">
        <v>21844</v>
      </c>
      <c r="B50" t="s">
        <v>447</v>
      </c>
      <c r="C50" s="55">
        <v>11249033.939999999</v>
      </c>
      <c r="D50" s="55">
        <v>-7999131.1399999997</v>
      </c>
      <c r="E50" t="s">
        <v>931</v>
      </c>
      <c r="M50" t="s">
        <v>137</v>
      </c>
      <c r="N50" t="s">
        <v>928</v>
      </c>
    </row>
    <row r="51" spans="1:14" x14ac:dyDescent="0.25">
      <c r="A51">
        <v>53306</v>
      </c>
      <c r="B51" t="s">
        <v>456</v>
      </c>
      <c r="C51" s="55">
        <v>11089770.609999999</v>
      </c>
      <c r="D51" s="55">
        <v>-8950239.6899999995</v>
      </c>
      <c r="E51" t="s">
        <v>931</v>
      </c>
      <c r="M51" t="s">
        <v>137</v>
      </c>
      <c r="N51" t="s">
        <v>928</v>
      </c>
    </row>
    <row r="52" spans="1:14" x14ac:dyDescent="0.25">
      <c r="A52">
        <v>89102</v>
      </c>
      <c r="B52" t="s">
        <v>959</v>
      </c>
      <c r="C52" s="55">
        <v>10915592.539999999</v>
      </c>
      <c r="D52" s="55">
        <v>-1595465.95</v>
      </c>
      <c r="E52" t="s">
        <v>931</v>
      </c>
      <c r="N52" t="s">
        <v>928</v>
      </c>
    </row>
    <row r="53" spans="1:14" x14ac:dyDescent="0.25">
      <c r="A53">
        <v>46821</v>
      </c>
      <c r="B53" t="s">
        <v>968</v>
      </c>
      <c r="C53" s="55">
        <v>10896392.710000001</v>
      </c>
      <c r="D53" t="s">
        <v>845</v>
      </c>
      <c r="E53" t="s">
        <v>930</v>
      </c>
      <c r="M53" t="s">
        <v>61</v>
      </c>
      <c r="N53" t="s">
        <v>928</v>
      </c>
    </row>
    <row r="54" spans="1:14" x14ac:dyDescent="0.25">
      <c r="A54">
        <v>21869</v>
      </c>
      <c r="B54" t="s">
        <v>116</v>
      </c>
      <c r="C54" s="55">
        <v>10748678.9</v>
      </c>
      <c r="D54" s="55">
        <v>-6783984.0199999996</v>
      </c>
      <c r="E54" t="s">
        <v>931</v>
      </c>
      <c r="M54" t="s">
        <v>83</v>
      </c>
      <c r="N54" t="s">
        <v>928</v>
      </c>
    </row>
    <row r="55" spans="1:14" x14ac:dyDescent="0.25">
      <c r="A55">
        <v>38893</v>
      </c>
      <c r="B55" t="s">
        <v>122</v>
      </c>
      <c r="C55" s="55">
        <v>10412713.99</v>
      </c>
      <c r="D55" s="55">
        <v>-53629838.340000004</v>
      </c>
      <c r="E55" t="s">
        <v>931</v>
      </c>
      <c r="M55" t="s">
        <v>83</v>
      </c>
      <c r="N55" t="s">
        <v>928</v>
      </c>
    </row>
    <row r="56" spans="1:14" x14ac:dyDescent="0.25">
      <c r="A56">
        <v>61713</v>
      </c>
      <c r="B56" t="s">
        <v>114</v>
      </c>
      <c r="C56" s="55">
        <v>9975341.1799999997</v>
      </c>
      <c r="D56" s="55">
        <v>-50923000.549999997</v>
      </c>
      <c r="E56" t="s">
        <v>931</v>
      </c>
      <c r="M56" t="s">
        <v>932</v>
      </c>
      <c r="N56" t="s">
        <v>928</v>
      </c>
    </row>
    <row r="57" spans="1:14" x14ac:dyDescent="0.25">
      <c r="A57">
        <v>81018</v>
      </c>
      <c r="B57" t="s">
        <v>969</v>
      </c>
      <c r="C57" s="55">
        <v>9871549.7100000009</v>
      </c>
      <c r="D57" t="s">
        <v>845</v>
      </c>
      <c r="E57" t="s">
        <v>930</v>
      </c>
      <c r="N57" t="s">
        <v>953</v>
      </c>
    </row>
    <row r="58" spans="1:14" x14ac:dyDescent="0.25">
      <c r="A58">
        <v>44883</v>
      </c>
      <c r="B58" t="s">
        <v>290</v>
      </c>
      <c r="C58" s="55">
        <v>9605966.7100000009</v>
      </c>
      <c r="D58" s="55">
        <v>-40174445.130000003</v>
      </c>
      <c r="E58" t="s">
        <v>931</v>
      </c>
      <c r="M58" t="s">
        <v>94</v>
      </c>
    </row>
    <row r="59" spans="1:14" x14ac:dyDescent="0.25">
      <c r="A59">
        <v>36152</v>
      </c>
      <c r="B59" t="s">
        <v>382</v>
      </c>
      <c r="C59" s="55">
        <v>9554052.9900000002</v>
      </c>
      <c r="D59" s="55">
        <v>-63729667.979999997</v>
      </c>
      <c r="E59" t="s">
        <v>931</v>
      </c>
      <c r="M59" t="s">
        <v>932</v>
      </c>
      <c r="N59" t="s">
        <v>928</v>
      </c>
    </row>
    <row r="60" spans="1:14" x14ac:dyDescent="0.25">
      <c r="A60">
        <v>18382</v>
      </c>
      <c r="B60" t="s">
        <v>970</v>
      </c>
      <c r="C60" s="55">
        <v>9442136.4000000004</v>
      </c>
      <c r="D60" t="s">
        <v>845</v>
      </c>
      <c r="E60" t="s">
        <v>930</v>
      </c>
      <c r="M60" t="s">
        <v>119</v>
      </c>
    </row>
    <row r="61" spans="1:14" x14ac:dyDescent="0.25">
      <c r="A61">
        <v>334078</v>
      </c>
      <c r="B61" t="s">
        <v>971</v>
      </c>
      <c r="C61" s="55">
        <v>9409103.1600000001</v>
      </c>
      <c r="D61" t="s">
        <v>845</v>
      </c>
      <c r="E61" t="s">
        <v>930</v>
      </c>
      <c r="F61" t="s">
        <v>962</v>
      </c>
      <c r="K61" t="s">
        <v>189</v>
      </c>
      <c r="N61" t="s">
        <v>928</v>
      </c>
    </row>
    <row r="62" spans="1:14" x14ac:dyDescent="0.25">
      <c r="A62">
        <v>54569</v>
      </c>
      <c r="B62" t="s">
        <v>131</v>
      </c>
      <c r="C62" s="55">
        <v>9146362.9000000004</v>
      </c>
      <c r="D62" s="55">
        <v>-25045254.559999999</v>
      </c>
      <c r="E62" t="s">
        <v>931</v>
      </c>
      <c r="M62" t="s">
        <v>119</v>
      </c>
      <c r="N62" t="s">
        <v>928</v>
      </c>
    </row>
    <row r="63" spans="1:14" x14ac:dyDescent="0.25">
      <c r="A63">
        <v>21853</v>
      </c>
      <c r="B63" t="s">
        <v>301</v>
      </c>
      <c r="C63" s="55">
        <v>9049462.8800000008</v>
      </c>
      <c r="D63" s="55">
        <v>-22109228.489999998</v>
      </c>
      <c r="E63" t="s">
        <v>931</v>
      </c>
      <c r="M63" t="s">
        <v>162</v>
      </c>
      <c r="N63" t="s">
        <v>928</v>
      </c>
    </row>
    <row r="64" spans="1:14" x14ac:dyDescent="0.25">
      <c r="A64">
        <v>394189</v>
      </c>
      <c r="B64" t="s">
        <v>257</v>
      </c>
      <c r="C64" s="55">
        <v>9004960.8100000005</v>
      </c>
      <c r="D64" s="55">
        <v>-24788254.760000002</v>
      </c>
      <c r="E64" t="s">
        <v>931</v>
      </c>
      <c r="N64" t="s">
        <v>928</v>
      </c>
    </row>
    <row r="65" spans="1:14" x14ac:dyDescent="0.25">
      <c r="A65">
        <v>322552</v>
      </c>
      <c r="B65" t="s">
        <v>972</v>
      </c>
      <c r="C65" s="55">
        <v>8958082.9600000009</v>
      </c>
      <c r="D65" t="s">
        <v>845</v>
      </c>
      <c r="E65" t="s">
        <v>930</v>
      </c>
      <c r="M65" t="s">
        <v>107</v>
      </c>
      <c r="N65" t="s">
        <v>928</v>
      </c>
    </row>
    <row r="66" spans="1:14" x14ac:dyDescent="0.25">
      <c r="A66">
        <v>333344</v>
      </c>
      <c r="B66" t="s">
        <v>973</v>
      </c>
      <c r="C66" s="55">
        <v>8879668.3900000006</v>
      </c>
      <c r="D66" s="55">
        <v>-4430901.71</v>
      </c>
      <c r="E66" t="s">
        <v>931</v>
      </c>
      <c r="M66" t="s">
        <v>932</v>
      </c>
      <c r="N66" t="s">
        <v>928</v>
      </c>
    </row>
    <row r="67" spans="1:14" x14ac:dyDescent="0.25">
      <c r="A67">
        <v>392712</v>
      </c>
      <c r="B67" t="s">
        <v>974</v>
      </c>
      <c r="C67" s="55">
        <v>8879496.8599999994</v>
      </c>
      <c r="D67" t="s">
        <v>845</v>
      </c>
      <c r="E67" t="s">
        <v>930</v>
      </c>
      <c r="F67" t="s">
        <v>962</v>
      </c>
      <c r="N67" t="s">
        <v>928</v>
      </c>
    </row>
    <row r="68" spans="1:14" x14ac:dyDescent="0.25">
      <c r="A68">
        <v>9476</v>
      </c>
      <c r="B68" t="s">
        <v>975</v>
      </c>
      <c r="C68" s="55">
        <v>8645666.3900000006</v>
      </c>
      <c r="D68" t="s">
        <v>845</v>
      </c>
      <c r="E68" t="s">
        <v>930</v>
      </c>
      <c r="N68" t="s">
        <v>928</v>
      </c>
    </row>
    <row r="69" spans="1:14" x14ac:dyDescent="0.25">
      <c r="A69">
        <v>82511</v>
      </c>
      <c r="B69" t="s">
        <v>163</v>
      </c>
      <c r="C69" s="55">
        <v>8524572.0399999991</v>
      </c>
      <c r="D69" s="55">
        <v>-39430522.520000003</v>
      </c>
      <c r="E69" t="s">
        <v>931</v>
      </c>
      <c r="M69" t="s">
        <v>932</v>
      </c>
      <c r="N69" t="s">
        <v>928</v>
      </c>
    </row>
    <row r="70" spans="1:14" x14ac:dyDescent="0.25">
      <c r="A70">
        <v>21462</v>
      </c>
      <c r="B70" t="s">
        <v>976</v>
      </c>
      <c r="C70" s="55">
        <v>8240965.5599999996</v>
      </c>
      <c r="D70" s="55">
        <v>-204222.6</v>
      </c>
      <c r="E70" t="s">
        <v>931</v>
      </c>
      <c r="M70" t="s">
        <v>107</v>
      </c>
      <c r="N70" t="s">
        <v>928</v>
      </c>
    </row>
    <row r="71" spans="1:14" x14ac:dyDescent="0.25">
      <c r="A71">
        <v>17921</v>
      </c>
      <c r="B71" t="s">
        <v>135</v>
      </c>
      <c r="C71" s="55">
        <v>7893271.0800000001</v>
      </c>
      <c r="D71" s="55">
        <v>-53526126.479999997</v>
      </c>
      <c r="E71" t="s">
        <v>931</v>
      </c>
      <c r="M71" t="s">
        <v>137</v>
      </c>
      <c r="N71" t="s">
        <v>928</v>
      </c>
    </row>
    <row r="72" spans="1:14" x14ac:dyDescent="0.25">
      <c r="A72">
        <v>397984</v>
      </c>
      <c r="B72" t="s">
        <v>237</v>
      </c>
      <c r="C72" s="55">
        <v>7876892.9500000002</v>
      </c>
      <c r="D72" s="55">
        <v>-21100235.989999998</v>
      </c>
      <c r="E72" t="s">
        <v>931</v>
      </c>
      <c r="M72" t="s">
        <v>83</v>
      </c>
      <c r="N72" t="s">
        <v>928</v>
      </c>
    </row>
    <row r="73" spans="1:14" x14ac:dyDescent="0.25">
      <c r="A73">
        <v>43372</v>
      </c>
      <c r="B73" t="s">
        <v>977</v>
      </c>
      <c r="C73" s="55">
        <v>7862383.2999999998</v>
      </c>
      <c r="D73" s="55">
        <v>-19538627.010000002</v>
      </c>
      <c r="E73" t="s">
        <v>931</v>
      </c>
      <c r="N73" t="s">
        <v>928</v>
      </c>
    </row>
    <row r="74" spans="1:14" x14ac:dyDescent="0.25">
      <c r="A74">
        <v>75390</v>
      </c>
      <c r="B74" t="s">
        <v>221</v>
      </c>
      <c r="C74" s="55">
        <v>7322257.5999999996</v>
      </c>
      <c r="D74" s="55">
        <v>-20709406.02</v>
      </c>
      <c r="E74" t="s">
        <v>931</v>
      </c>
      <c r="M74" t="s">
        <v>932</v>
      </c>
      <c r="N74" t="s">
        <v>928</v>
      </c>
    </row>
    <row r="75" spans="1:14" x14ac:dyDescent="0.25">
      <c r="A75">
        <v>22582</v>
      </c>
      <c r="B75" t="s">
        <v>978</v>
      </c>
      <c r="C75" s="55">
        <v>7286236.1500000004</v>
      </c>
      <c r="D75" t="s">
        <v>845</v>
      </c>
      <c r="E75" t="s">
        <v>930</v>
      </c>
      <c r="N75" t="s">
        <v>928</v>
      </c>
    </row>
    <row r="76" spans="1:14" x14ac:dyDescent="0.25">
      <c r="A76">
        <v>49890</v>
      </c>
      <c r="B76" t="s">
        <v>345</v>
      </c>
      <c r="C76" s="55">
        <v>7281687.5199999996</v>
      </c>
      <c r="D76" s="55">
        <v>-32823728.039999999</v>
      </c>
      <c r="E76" t="s">
        <v>931</v>
      </c>
      <c r="N76" t="s">
        <v>928</v>
      </c>
    </row>
    <row r="77" spans="1:14" x14ac:dyDescent="0.25">
      <c r="A77">
        <v>52662</v>
      </c>
      <c r="B77" t="s">
        <v>979</v>
      </c>
      <c r="C77" s="55">
        <v>7164028.8700000001</v>
      </c>
      <c r="D77" t="s">
        <v>845</v>
      </c>
      <c r="E77" t="s">
        <v>930</v>
      </c>
      <c r="M77" t="s">
        <v>932</v>
      </c>
      <c r="N77" t="s">
        <v>928</v>
      </c>
    </row>
    <row r="78" spans="1:14" x14ac:dyDescent="0.25">
      <c r="A78">
        <v>853</v>
      </c>
      <c r="B78" t="s">
        <v>980</v>
      </c>
      <c r="C78" s="55">
        <v>7140819.7800000003</v>
      </c>
      <c r="D78" t="s">
        <v>845</v>
      </c>
      <c r="E78" t="s">
        <v>930</v>
      </c>
      <c r="N78" t="s">
        <v>928</v>
      </c>
    </row>
    <row r="79" spans="1:14" x14ac:dyDescent="0.25">
      <c r="A79">
        <v>11621</v>
      </c>
      <c r="B79" t="s">
        <v>981</v>
      </c>
      <c r="C79" s="55">
        <v>7122238.3899999997</v>
      </c>
      <c r="D79" s="55">
        <v>-8535.1200000000008</v>
      </c>
      <c r="E79" t="s">
        <v>931</v>
      </c>
      <c r="M79" t="s">
        <v>148</v>
      </c>
    </row>
    <row r="80" spans="1:14" x14ac:dyDescent="0.25">
      <c r="A80">
        <v>1792</v>
      </c>
      <c r="B80" t="s">
        <v>982</v>
      </c>
      <c r="C80" s="55">
        <v>7120518.1399999997</v>
      </c>
      <c r="D80" s="55">
        <v>-88646.15</v>
      </c>
      <c r="E80" t="s">
        <v>931</v>
      </c>
      <c r="N80" t="s">
        <v>928</v>
      </c>
    </row>
    <row r="81" spans="1:14" x14ac:dyDescent="0.25">
      <c r="A81">
        <v>313387</v>
      </c>
      <c r="B81" t="s">
        <v>158</v>
      </c>
      <c r="C81" s="55">
        <v>7033118.1500000004</v>
      </c>
      <c r="D81" s="55">
        <v>-13078705.49</v>
      </c>
      <c r="E81" t="s">
        <v>931</v>
      </c>
      <c r="N81" t="s">
        <v>928</v>
      </c>
    </row>
    <row r="82" spans="1:14" x14ac:dyDescent="0.25">
      <c r="A82">
        <v>24017</v>
      </c>
      <c r="B82" t="s">
        <v>983</v>
      </c>
      <c r="C82" s="55">
        <v>7024843.04</v>
      </c>
      <c r="D82" t="s">
        <v>845</v>
      </c>
      <c r="E82" t="s">
        <v>930</v>
      </c>
      <c r="F82" t="s">
        <v>962</v>
      </c>
      <c r="N82" t="s">
        <v>928</v>
      </c>
    </row>
    <row r="83" spans="1:14" x14ac:dyDescent="0.25">
      <c r="A83">
        <v>80622</v>
      </c>
      <c r="B83" t="s">
        <v>150</v>
      </c>
      <c r="C83" s="55">
        <v>6887053.1799999997</v>
      </c>
      <c r="D83" s="55">
        <v>-41048246.109999999</v>
      </c>
      <c r="E83" t="s">
        <v>931</v>
      </c>
      <c r="M83" t="s">
        <v>961</v>
      </c>
      <c r="N83" t="s">
        <v>928</v>
      </c>
    </row>
    <row r="84" spans="1:14" x14ac:dyDescent="0.25">
      <c r="A84">
        <v>57539</v>
      </c>
      <c r="B84" t="s">
        <v>984</v>
      </c>
      <c r="C84" s="55">
        <v>6500222.8899999997</v>
      </c>
      <c r="D84" t="s">
        <v>845</v>
      </c>
      <c r="E84" t="s">
        <v>930</v>
      </c>
      <c r="N84" t="s">
        <v>928</v>
      </c>
    </row>
    <row r="85" spans="1:14" x14ac:dyDescent="0.25">
      <c r="A85">
        <v>388124</v>
      </c>
      <c r="B85" t="s">
        <v>985</v>
      </c>
      <c r="C85" s="55">
        <v>6407565.4800000004</v>
      </c>
      <c r="D85" s="55">
        <v>5372.14</v>
      </c>
      <c r="E85" t="s">
        <v>948</v>
      </c>
      <c r="N85" t="s">
        <v>928</v>
      </c>
    </row>
    <row r="86" spans="1:14" x14ac:dyDescent="0.25">
      <c r="A86">
        <v>12699</v>
      </c>
      <c r="B86" t="s">
        <v>986</v>
      </c>
      <c r="C86" s="55">
        <v>6377256.54</v>
      </c>
      <c r="D86" t="s">
        <v>845</v>
      </c>
      <c r="E86" t="s">
        <v>930</v>
      </c>
      <c r="N86" t="s">
        <v>928</v>
      </c>
    </row>
    <row r="87" spans="1:14" x14ac:dyDescent="0.25">
      <c r="A87">
        <v>25133</v>
      </c>
      <c r="B87" t="s">
        <v>987</v>
      </c>
      <c r="C87" s="55">
        <v>6201037.1699999999</v>
      </c>
      <c r="D87" t="s">
        <v>845</v>
      </c>
      <c r="E87" t="s">
        <v>930</v>
      </c>
      <c r="M87" t="s">
        <v>119</v>
      </c>
      <c r="N87" t="s">
        <v>928</v>
      </c>
    </row>
    <row r="88" spans="1:14" x14ac:dyDescent="0.25">
      <c r="A88">
        <v>25027</v>
      </c>
      <c r="B88" t="s">
        <v>988</v>
      </c>
      <c r="C88" s="55">
        <v>6157310.9800000004</v>
      </c>
      <c r="D88" t="s">
        <v>845</v>
      </c>
      <c r="E88" t="s">
        <v>930</v>
      </c>
      <c r="N88" t="s">
        <v>928</v>
      </c>
    </row>
    <row r="89" spans="1:14" x14ac:dyDescent="0.25">
      <c r="A89">
        <v>24564</v>
      </c>
      <c r="B89" t="s">
        <v>989</v>
      </c>
      <c r="C89" s="55">
        <v>6125704.7400000002</v>
      </c>
      <c r="D89" t="s">
        <v>845</v>
      </c>
      <c r="E89" t="s">
        <v>930</v>
      </c>
      <c r="N89" t="s">
        <v>928</v>
      </c>
    </row>
    <row r="90" spans="1:14" x14ac:dyDescent="0.25">
      <c r="A90">
        <v>7410</v>
      </c>
      <c r="B90" t="s">
        <v>135</v>
      </c>
      <c r="C90" s="55">
        <v>6080952.8099999996</v>
      </c>
      <c r="D90" s="55">
        <v>-15734979.279999999</v>
      </c>
      <c r="E90" t="s">
        <v>931</v>
      </c>
      <c r="N90" t="s">
        <v>928</v>
      </c>
    </row>
    <row r="91" spans="1:14" x14ac:dyDescent="0.25">
      <c r="A91">
        <v>8593</v>
      </c>
      <c r="B91" t="s">
        <v>96</v>
      </c>
      <c r="C91" s="55">
        <v>6020405.9699999997</v>
      </c>
      <c r="D91" s="55">
        <v>-18306707.809999999</v>
      </c>
      <c r="E91" t="s">
        <v>931</v>
      </c>
      <c r="M91" t="s">
        <v>76</v>
      </c>
    </row>
    <row r="92" spans="1:14" x14ac:dyDescent="0.25">
      <c r="A92">
        <v>22253</v>
      </c>
      <c r="B92" t="s">
        <v>990</v>
      </c>
      <c r="C92" s="55">
        <v>5889877.0199999996</v>
      </c>
      <c r="D92" t="s">
        <v>845</v>
      </c>
      <c r="E92" t="s">
        <v>930</v>
      </c>
      <c r="N92" t="s">
        <v>928</v>
      </c>
    </row>
    <row r="93" spans="1:14" x14ac:dyDescent="0.25">
      <c r="A93">
        <v>16748</v>
      </c>
      <c r="B93" t="s">
        <v>991</v>
      </c>
      <c r="C93" s="55">
        <v>5685719</v>
      </c>
      <c r="D93" t="s">
        <v>845</v>
      </c>
      <c r="E93" t="s">
        <v>930</v>
      </c>
      <c r="F93" t="s">
        <v>992</v>
      </c>
      <c r="K93" t="s">
        <v>189</v>
      </c>
      <c r="N93" t="s">
        <v>928</v>
      </c>
    </row>
    <row r="94" spans="1:14" x14ac:dyDescent="0.25">
      <c r="A94">
        <v>325670</v>
      </c>
      <c r="B94" t="s">
        <v>399</v>
      </c>
      <c r="C94" s="55">
        <v>5652542.0599999996</v>
      </c>
      <c r="D94" s="55">
        <v>-13280192.4</v>
      </c>
      <c r="E94" t="s">
        <v>931</v>
      </c>
      <c r="M94" t="s">
        <v>103</v>
      </c>
      <c r="N94" t="s">
        <v>928</v>
      </c>
    </row>
    <row r="95" spans="1:14" x14ac:dyDescent="0.25">
      <c r="A95">
        <v>16499</v>
      </c>
      <c r="B95" t="s">
        <v>993</v>
      </c>
      <c r="C95" s="55">
        <v>5607960.8099999996</v>
      </c>
      <c r="D95" s="55">
        <v>-2368926.98</v>
      </c>
      <c r="E95" t="s">
        <v>931</v>
      </c>
    </row>
    <row r="96" spans="1:14" x14ac:dyDescent="0.25">
      <c r="A96">
        <v>9381</v>
      </c>
      <c r="B96" t="s">
        <v>139</v>
      </c>
      <c r="C96" s="55">
        <v>5586012.0599999996</v>
      </c>
      <c r="D96" s="55">
        <v>-72235531.780000001</v>
      </c>
      <c r="E96" t="s">
        <v>931</v>
      </c>
      <c r="N96" t="s">
        <v>928</v>
      </c>
    </row>
    <row r="97" spans="1:14" x14ac:dyDescent="0.25">
      <c r="A97">
        <v>3566</v>
      </c>
      <c r="B97" t="s">
        <v>628</v>
      </c>
      <c r="C97" s="55">
        <v>5477442.5300000003</v>
      </c>
      <c r="D97" s="55">
        <v>-2205957.52</v>
      </c>
      <c r="E97" t="s">
        <v>931</v>
      </c>
      <c r="N97" t="s">
        <v>928</v>
      </c>
    </row>
    <row r="98" spans="1:14" x14ac:dyDescent="0.25">
      <c r="A98">
        <v>4305</v>
      </c>
      <c r="B98" t="s">
        <v>994</v>
      </c>
      <c r="C98" s="55">
        <v>5458647.96</v>
      </c>
      <c r="D98" s="55">
        <v>-567731.76</v>
      </c>
      <c r="E98" t="s">
        <v>931</v>
      </c>
      <c r="N98" t="s">
        <v>928</v>
      </c>
    </row>
    <row r="99" spans="1:14" x14ac:dyDescent="0.25">
      <c r="A99">
        <v>71217</v>
      </c>
      <c r="B99" t="s">
        <v>146</v>
      </c>
      <c r="C99" s="55">
        <v>5458541.9900000002</v>
      </c>
      <c r="D99" s="55">
        <v>-24875740.48</v>
      </c>
      <c r="E99" t="s">
        <v>931</v>
      </c>
      <c r="N99" t="s">
        <v>928</v>
      </c>
    </row>
    <row r="100" spans="1:14" x14ac:dyDescent="0.25">
      <c r="A100">
        <v>21157</v>
      </c>
      <c r="B100" t="s">
        <v>547</v>
      </c>
      <c r="C100" s="55">
        <v>5307724.5</v>
      </c>
      <c r="D100" s="55">
        <v>-5754776.5899999999</v>
      </c>
      <c r="E100" t="s">
        <v>931</v>
      </c>
      <c r="N100" t="s">
        <v>928</v>
      </c>
    </row>
    <row r="101" spans="1:14" x14ac:dyDescent="0.25">
      <c r="A101">
        <v>55780</v>
      </c>
      <c r="B101" t="s">
        <v>227</v>
      </c>
      <c r="C101" s="55">
        <v>5114529.1399999997</v>
      </c>
      <c r="D101" s="55">
        <v>-20831360.670000002</v>
      </c>
      <c r="E101" t="s">
        <v>931</v>
      </c>
      <c r="M101" t="s">
        <v>103</v>
      </c>
      <c r="N101" t="s">
        <v>928</v>
      </c>
    </row>
    <row r="102" spans="1:14" x14ac:dyDescent="0.25">
      <c r="A102">
        <v>311050</v>
      </c>
      <c r="B102" t="s">
        <v>995</v>
      </c>
      <c r="C102" s="55">
        <v>5111919.9400000004</v>
      </c>
      <c r="D102" s="55">
        <v>3181322.43</v>
      </c>
      <c r="E102" t="s">
        <v>948</v>
      </c>
      <c r="N102" t="s">
        <v>928</v>
      </c>
    </row>
    <row r="103" spans="1:14" x14ac:dyDescent="0.25">
      <c r="A103">
        <v>11882</v>
      </c>
      <c r="B103" t="s">
        <v>996</v>
      </c>
      <c r="C103" s="55">
        <v>5036279.47</v>
      </c>
      <c r="D103" t="s">
        <v>845</v>
      </c>
      <c r="E103" t="s">
        <v>930</v>
      </c>
      <c r="N103" t="s">
        <v>928</v>
      </c>
    </row>
    <row r="104" spans="1:14" x14ac:dyDescent="0.25">
      <c r="A104">
        <v>20125</v>
      </c>
      <c r="B104" t="s">
        <v>101</v>
      </c>
      <c r="C104" s="55">
        <v>4964584.08</v>
      </c>
      <c r="D104" s="55">
        <v>-20083245.140000001</v>
      </c>
      <c r="E104" t="s">
        <v>931</v>
      </c>
      <c r="M104" t="s">
        <v>103</v>
      </c>
      <c r="N104" t="s">
        <v>928</v>
      </c>
    </row>
    <row r="105" spans="1:14" x14ac:dyDescent="0.25">
      <c r="A105">
        <v>307017</v>
      </c>
      <c r="B105" t="s">
        <v>545</v>
      </c>
      <c r="C105" s="55">
        <v>4944923.59</v>
      </c>
      <c r="D105" s="55">
        <v>-18708.96</v>
      </c>
      <c r="E105" t="s">
        <v>931</v>
      </c>
      <c r="N105" t="s">
        <v>928</v>
      </c>
    </row>
    <row r="106" spans="1:14" x14ac:dyDescent="0.25">
      <c r="A106">
        <v>16200</v>
      </c>
      <c r="B106" t="s">
        <v>599</v>
      </c>
      <c r="C106" s="55">
        <v>4940552.7300000004</v>
      </c>
      <c r="D106" s="55">
        <v>-2519204.44</v>
      </c>
      <c r="E106" t="s">
        <v>931</v>
      </c>
      <c r="M106" t="s">
        <v>112</v>
      </c>
      <c r="N106" t="s">
        <v>928</v>
      </c>
    </row>
    <row r="107" spans="1:14" x14ac:dyDescent="0.25">
      <c r="A107">
        <v>383612</v>
      </c>
      <c r="B107" t="s">
        <v>997</v>
      </c>
      <c r="C107" s="55">
        <v>4936912.66</v>
      </c>
      <c r="D107" s="55">
        <v>-1117614.17</v>
      </c>
      <c r="E107" t="s">
        <v>931</v>
      </c>
      <c r="N107" t="s">
        <v>953</v>
      </c>
    </row>
    <row r="108" spans="1:14" x14ac:dyDescent="0.25">
      <c r="A108">
        <v>4101</v>
      </c>
      <c r="B108" t="s">
        <v>998</v>
      </c>
      <c r="C108" s="55">
        <v>4405670.59</v>
      </c>
      <c r="D108" s="55">
        <v>-5011.3900000000003</v>
      </c>
      <c r="E108" t="s">
        <v>931</v>
      </c>
      <c r="N108" t="s">
        <v>928</v>
      </c>
    </row>
    <row r="109" spans="1:14" x14ac:dyDescent="0.25">
      <c r="A109">
        <v>81653</v>
      </c>
      <c r="B109" t="s">
        <v>110</v>
      </c>
      <c r="C109" s="55">
        <v>4400579.5</v>
      </c>
      <c r="D109" s="55">
        <v>-42185065</v>
      </c>
      <c r="E109" t="s">
        <v>931</v>
      </c>
      <c r="M109" t="s">
        <v>112</v>
      </c>
    </row>
    <row r="110" spans="1:14" x14ac:dyDescent="0.25">
      <c r="A110">
        <v>9506</v>
      </c>
      <c r="B110" t="s">
        <v>445</v>
      </c>
      <c r="C110" s="55">
        <v>4355738.18</v>
      </c>
      <c r="D110" s="55">
        <v>-20427525.210000001</v>
      </c>
      <c r="E110" t="s">
        <v>931</v>
      </c>
      <c r="M110" t="s">
        <v>91</v>
      </c>
      <c r="N110" t="s">
        <v>928</v>
      </c>
    </row>
    <row r="111" spans="1:14" x14ac:dyDescent="0.25">
      <c r="A111">
        <v>325803</v>
      </c>
      <c r="B111" t="s">
        <v>999</v>
      </c>
      <c r="C111" s="55">
        <v>4329803.21</v>
      </c>
      <c r="D111" s="55">
        <v>595764.52</v>
      </c>
      <c r="E111" t="s">
        <v>948</v>
      </c>
      <c r="N111" t="s">
        <v>928</v>
      </c>
    </row>
    <row r="112" spans="1:14" x14ac:dyDescent="0.25">
      <c r="A112">
        <v>5967</v>
      </c>
      <c r="B112" t="s">
        <v>1000</v>
      </c>
      <c r="C112" s="55">
        <v>4240246.13</v>
      </c>
      <c r="D112" t="s">
        <v>845</v>
      </c>
      <c r="E112" t="s">
        <v>930</v>
      </c>
      <c r="N112" t="s">
        <v>928</v>
      </c>
    </row>
    <row r="113" spans="1:14" x14ac:dyDescent="0.25">
      <c r="A113">
        <v>342295</v>
      </c>
      <c r="B113" t="s">
        <v>1001</v>
      </c>
      <c r="C113" s="55">
        <v>4199121.53</v>
      </c>
      <c r="D113" s="55">
        <v>-5575770.9400000004</v>
      </c>
      <c r="E113" t="s">
        <v>931</v>
      </c>
      <c r="N113" t="s">
        <v>928</v>
      </c>
    </row>
    <row r="114" spans="1:14" x14ac:dyDescent="0.25">
      <c r="A114">
        <v>29272</v>
      </c>
      <c r="B114" t="s">
        <v>192</v>
      </c>
      <c r="C114" s="55">
        <v>4135198.85</v>
      </c>
      <c r="D114" s="55">
        <v>-20986094.239999998</v>
      </c>
      <c r="E114" t="s">
        <v>931</v>
      </c>
      <c r="M114" t="s">
        <v>141</v>
      </c>
    </row>
    <row r="115" spans="1:14" x14ac:dyDescent="0.25">
      <c r="A115">
        <v>3437</v>
      </c>
      <c r="B115" t="s">
        <v>1002</v>
      </c>
      <c r="C115" s="55">
        <v>4110031.46</v>
      </c>
      <c r="D115" t="s">
        <v>845</v>
      </c>
      <c r="E115" t="s">
        <v>930</v>
      </c>
      <c r="N115" t="s">
        <v>928</v>
      </c>
    </row>
    <row r="116" spans="1:14" x14ac:dyDescent="0.25">
      <c r="A116">
        <v>11361</v>
      </c>
      <c r="B116" t="s">
        <v>1003</v>
      </c>
      <c r="C116" s="55">
        <v>4024372.96</v>
      </c>
      <c r="D116" s="55">
        <v>-9213267.4499999993</v>
      </c>
      <c r="E116" t="s">
        <v>931</v>
      </c>
      <c r="N116" t="s">
        <v>928</v>
      </c>
    </row>
    <row r="117" spans="1:14" x14ac:dyDescent="0.25">
      <c r="A117">
        <v>90159</v>
      </c>
      <c r="B117" t="s">
        <v>502</v>
      </c>
      <c r="C117" s="55">
        <v>4016405.23</v>
      </c>
      <c r="D117" s="55">
        <v>-19245113.140000001</v>
      </c>
      <c r="E117" t="s">
        <v>931</v>
      </c>
      <c r="F117" t="s">
        <v>962</v>
      </c>
      <c r="N117" t="s">
        <v>928</v>
      </c>
    </row>
    <row r="118" spans="1:14" x14ac:dyDescent="0.25">
      <c r="A118">
        <v>21678</v>
      </c>
      <c r="B118" t="s">
        <v>1004</v>
      </c>
      <c r="C118" s="55">
        <v>3991089.19</v>
      </c>
      <c r="D118" s="55">
        <v>-237492.87</v>
      </c>
      <c r="E118" t="s">
        <v>931</v>
      </c>
    </row>
    <row r="119" spans="1:14" x14ac:dyDescent="0.25">
      <c r="A119">
        <v>44040</v>
      </c>
      <c r="B119" t="s">
        <v>127</v>
      </c>
      <c r="C119" s="55">
        <v>3854818.94</v>
      </c>
      <c r="D119" s="55">
        <v>-45999553.200000003</v>
      </c>
      <c r="E119" t="s">
        <v>931</v>
      </c>
      <c r="M119" t="s">
        <v>91</v>
      </c>
      <c r="N119" t="s">
        <v>928</v>
      </c>
    </row>
    <row r="120" spans="1:14" x14ac:dyDescent="0.25">
      <c r="A120">
        <v>21367</v>
      </c>
      <c r="B120" t="s">
        <v>195</v>
      </c>
      <c r="C120" s="55">
        <v>3848800.75</v>
      </c>
      <c r="D120" s="55">
        <v>-12092692.02</v>
      </c>
      <c r="E120" t="s">
        <v>931</v>
      </c>
      <c r="N120" t="s">
        <v>928</v>
      </c>
    </row>
    <row r="121" spans="1:14" x14ac:dyDescent="0.25">
      <c r="A121">
        <v>90258</v>
      </c>
      <c r="B121" t="s">
        <v>106</v>
      </c>
      <c r="C121" s="55">
        <v>3753679.18</v>
      </c>
      <c r="D121" s="55">
        <v>-3076722.87</v>
      </c>
      <c r="E121" t="s">
        <v>931</v>
      </c>
      <c r="N121" t="s">
        <v>928</v>
      </c>
    </row>
    <row r="122" spans="1:14" x14ac:dyDescent="0.25">
      <c r="A122">
        <v>307988</v>
      </c>
      <c r="B122" t="s">
        <v>183</v>
      </c>
      <c r="C122" s="55">
        <v>3579101.17</v>
      </c>
      <c r="D122" s="55">
        <v>-1317955.8500000001</v>
      </c>
      <c r="E122" t="s">
        <v>931</v>
      </c>
      <c r="M122" t="s">
        <v>83</v>
      </c>
      <c r="N122" t="s">
        <v>928</v>
      </c>
    </row>
    <row r="123" spans="1:14" x14ac:dyDescent="0.25">
      <c r="A123">
        <v>26831</v>
      </c>
      <c r="B123" t="s">
        <v>370</v>
      </c>
      <c r="C123" s="55">
        <v>3533439.95</v>
      </c>
      <c r="D123" s="55">
        <v>-1632783.56</v>
      </c>
      <c r="E123" t="s">
        <v>931</v>
      </c>
      <c r="N123" t="s">
        <v>928</v>
      </c>
    </row>
    <row r="124" spans="1:14" x14ac:dyDescent="0.25">
      <c r="A124">
        <v>7325</v>
      </c>
      <c r="B124" t="s">
        <v>543</v>
      </c>
      <c r="C124" s="55">
        <v>3519805.52</v>
      </c>
      <c r="D124" s="55">
        <v>-890517.97</v>
      </c>
      <c r="E124" t="s">
        <v>931</v>
      </c>
      <c r="N124" t="s">
        <v>928</v>
      </c>
    </row>
    <row r="125" spans="1:14" x14ac:dyDescent="0.25">
      <c r="A125">
        <v>23939</v>
      </c>
      <c r="B125" t="s">
        <v>1005</v>
      </c>
      <c r="C125" s="55">
        <v>3416801.73</v>
      </c>
      <c r="D125" t="s">
        <v>845</v>
      </c>
      <c r="E125" t="s">
        <v>930</v>
      </c>
      <c r="N125" t="s">
        <v>928</v>
      </c>
    </row>
    <row r="126" spans="1:14" x14ac:dyDescent="0.25">
      <c r="A126">
        <v>21858</v>
      </c>
      <c r="B126" t="s">
        <v>1006</v>
      </c>
      <c r="C126" s="55">
        <v>3410387.83</v>
      </c>
      <c r="D126" s="55">
        <v>-4616044.76</v>
      </c>
      <c r="E126" t="s">
        <v>931</v>
      </c>
      <c r="M126" t="s">
        <v>119</v>
      </c>
    </row>
    <row r="127" spans="1:14" x14ac:dyDescent="0.25">
      <c r="A127">
        <v>24313</v>
      </c>
      <c r="B127" t="s">
        <v>1007</v>
      </c>
      <c r="C127" s="55">
        <v>3350900.25</v>
      </c>
      <c r="D127" t="s">
        <v>845</v>
      </c>
      <c r="E127" t="s">
        <v>930</v>
      </c>
      <c r="N127" t="s">
        <v>928</v>
      </c>
    </row>
    <row r="128" spans="1:14" x14ac:dyDescent="0.25">
      <c r="A128">
        <v>312397</v>
      </c>
      <c r="B128" t="s">
        <v>317</v>
      </c>
      <c r="C128" s="55">
        <v>3341863.47</v>
      </c>
      <c r="D128" s="55">
        <v>-10326730.949999999</v>
      </c>
      <c r="E128" t="s">
        <v>931</v>
      </c>
      <c r="N128" t="s">
        <v>928</v>
      </c>
    </row>
    <row r="129" spans="1:14" x14ac:dyDescent="0.25">
      <c r="A129">
        <v>51987</v>
      </c>
      <c r="B129" t="s">
        <v>225</v>
      </c>
      <c r="C129" s="55">
        <v>3341364.46</v>
      </c>
      <c r="D129" s="55">
        <v>-22718532.879999999</v>
      </c>
      <c r="E129" t="s">
        <v>931</v>
      </c>
      <c r="N129" t="s">
        <v>928</v>
      </c>
    </row>
    <row r="130" spans="1:14" x14ac:dyDescent="0.25">
      <c r="A130">
        <v>391177</v>
      </c>
      <c r="B130" t="s">
        <v>365</v>
      </c>
      <c r="C130" s="55">
        <v>3324974.97</v>
      </c>
      <c r="D130" s="55">
        <v>-2053385.53</v>
      </c>
      <c r="E130" t="s">
        <v>931</v>
      </c>
      <c r="N130" t="s">
        <v>928</v>
      </c>
    </row>
    <row r="131" spans="1:14" x14ac:dyDescent="0.25">
      <c r="A131">
        <v>24844</v>
      </c>
      <c r="B131" t="s">
        <v>1008</v>
      </c>
      <c r="C131" s="55">
        <v>3277299.88</v>
      </c>
      <c r="D131" t="s">
        <v>845</v>
      </c>
      <c r="E131" t="s">
        <v>930</v>
      </c>
    </row>
    <row r="132" spans="1:14" x14ac:dyDescent="0.25">
      <c r="A132">
        <v>386029</v>
      </c>
      <c r="B132" t="s">
        <v>1009</v>
      </c>
      <c r="C132" s="55">
        <v>3248364.77</v>
      </c>
      <c r="D132" t="s">
        <v>845</v>
      </c>
      <c r="E132" t="s">
        <v>930</v>
      </c>
      <c r="N132" t="s">
        <v>928</v>
      </c>
    </row>
    <row r="133" spans="1:14" x14ac:dyDescent="0.25">
      <c r="A133">
        <v>314815</v>
      </c>
      <c r="B133" t="s">
        <v>384</v>
      </c>
      <c r="C133" s="55">
        <v>3239701.28</v>
      </c>
      <c r="D133" s="55">
        <v>-12245352.640000001</v>
      </c>
      <c r="E133" t="s">
        <v>931</v>
      </c>
      <c r="G133" t="s">
        <v>125</v>
      </c>
      <c r="K133" t="s">
        <v>189</v>
      </c>
      <c r="N133" t="s">
        <v>928</v>
      </c>
    </row>
    <row r="134" spans="1:14" x14ac:dyDescent="0.25">
      <c r="A134">
        <v>3160</v>
      </c>
      <c r="B134" t="s">
        <v>508</v>
      </c>
      <c r="C134" s="55">
        <v>3166413.18</v>
      </c>
      <c r="D134" s="55">
        <v>-2842847.81</v>
      </c>
      <c r="E134" t="s">
        <v>931</v>
      </c>
      <c r="F134" t="s">
        <v>962</v>
      </c>
      <c r="K134" t="s">
        <v>189</v>
      </c>
      <c r="N134" t="s">
        <v>928</v>
      </c>
    </row>
    <row r="135" spans="1:14" x14ac:dyDescent="0.25">
      <c r="A135">
        <v>16747</v>
      </c>
      <c r="B135" t="s">
        <v>206</v>
      </c>
      <c r="C135" s="55">
        <v>3158791.75</v>
      </c>
      <c r="D135" s="55">
        <v>-9998283.0099999998</v>
      </c>
      <c r="E135" t="s">
        <v>931</v>
      </c>
      <c r="N135" t="s">
        <v>928</v>
      </c>
    </row>
    <row r="136" spans="1:14" x14ac:dyDescent="0.25">
      <c r="A136">
        <v>13642</v>
      </c>
      <c r="B136" t="s">
        <v>1003</v>
      </c>
      <c r="C136" s="55">
        <v>3106171.6</v>
      </c>
      <c r="D136" s="55">
        <v>-7009136.54</v>
      </c>
      <c r="E136" t="s">
        <v>931</v>
      </c>
      <c r="N136" t="s">
        <v>928</v>
      </c>
    </row>
    <row r="137" spans="1:14" x14ac:dyDescent="0.25">
      <c r="A137">
        <v>13835</v>
      </c>
      <c r="B137" t="s">
        <v>199</v>
      </c>
      <c r="C137" s="55">
        <v>3102758.04</v>
      </c>
      <c r="D137" s="55">
        <v>-26255185.699999999</v>
      </c>
      <c r="E137" t="s">
        <v>931</v>
      </c>
      <c r="M137" t="s">
        <v>61</v>
      </c>
      <c r="N137" t="s">
        <v>928</v>
      </c>
    </row>
    <row r="138" spans="1:14" x14ac:dyDescent="0.25">
      <c r="A138">
        <v>74310</v>
      </c>
      <c r="B138" t="s">
        <v>652</v>
      </c>
      <c r="C138" s="55">
        <v>3079169.27</v>
      </c>
      <c r="D138" s="55">
        <v>-600539.56000000006</v>
      </c>
      <c r="E138" t="s">
        <v>931</v>
      </c>
      <c r="F138" t="s">
        <v>992</v>
      </c>
      <c r="K138" t="s">
        <v>189</v>
      </c>
      <c r="N138" t="s">
        <v>928</v>
      </c>
    </row>
    <row r="139" spans="1:14" x14ac:dyDescent="0.25">
      <c r="A139">
        <v>81703</v>
      </c>
      <c r="B139" t="s">
        <v>1010</v>
      </c>
      <c r="C139" s="55">
        <v>3010302.83</v>
      </c>
      <c r="D139" s="55">
        <v>-9265656.0299999993</v>
      </c>
      <c r="E139" t="s">
        <v>931</v>
      </c>
      <c r="N139" t="s">
        <v>928</v>
      </c>
    </row>
    <row r="140" spans="1:14" x14ac:dyDescent="0.25">
      <c r="A140">
        <v>32953</v>
      </c>
      <c r="B140" t="s">
        <v>313</v>
      </c>
      <c r="C140" s="55">
        <v>2990546.31</v>
      </c>
      <c r="D140" s="55">
        <v>-11105259.49</v>
      </c>
      <c r="E140" t="s">
        <v>931</v>
      </c>
      <c r="F140" t="s">
        <v>962</v>
      </c>
      <c r="K140" t="s">
        <v>189</v>
      </c>
      <c r="N140" t="s">
        <v>928</v>
      </c>
    </row>
    <row r="141" spans="1:14" x14ac:dyDescent="0.25">
      <c r="A141">
        <v>76216</v>
      </c>
      <c r="B141" t="s">
        <v>359</v>
      </c>
      <c r="C141" s="55">
        <v>2960324.53</v>
      </c>
      <c r="D141" s="55">
        <v>-8131863.6900000004</v>
      </c>
      <c r="E141" t="s">
        <v>931</v>
      </c>
      <c r="M141" t="s">
        <v>103</v>
      </c>
      <c r="N141" t="s">
        <v>928</v>
      </c>
    </row>
    <row r="142" spans="1:14" x14ac:dyDescent="0.25">
      <c r="A142">
        <v>59113</v>
      </c>
      <c r="B142" t="s">
        <v>1011</v>
      </c>
      <c r="C142" s="55">
        <v>2945095.36</v>
      </c>
      <c r="D142" t="s">
        <v>845</v>
      </c>
      <c r="E142" t="s">
        <v>930</v>
      </c>
    </row>
    <row r="143" spans="1:14" x14ac:dyDescent="0.25">
      <c r="A143">
        <v>24177</v>
      </c>
      <c r="B143" t="s">
        <v>1012</v>
      </c>
      <c r="C143" s="55">
        <v>2920217.33</v>
      </c>
      <c r="D143" t="s">
        <v>845</v>
      </c>
      <c r="E143" t="s">
        <v>930</v>
      </c>
      <c r="N143" t="s">
        <v>928</v>
      </c>
    </row>
    <row r="144" spans="1:14" x14ac:dyDescent="0.25">
      <c r="A144">
        <v>387688</v>
      </c>
      <c r="B144" t="s">
        <v>1013</v>
      </c>
      <c r="C144" s="55">
        <v>2843370.33</v>
      </c>
      <c r="D144" t="s">
        <v>845</v>
      </c>
      <c r="E144" t="s">
        <v>930</v>
      </c>
    </row>
    <row r="145" spans="1:14" x14ac:dyDescent="0.25">
      <c r="A145">
        <v>12229</v>
      </c>
      <c r="B145" t="s">
        <v>537</v>
      </c>
      <c r="C145" s="55">
        <v>2829522.23</v>
      </c>
      <c r="D145" s="55">
        <v>-4255168.66</v>
      </c>
      <c r="E145" t="s">
        <v>931</v>
      </c>
      <c r="N145" t="s">
        <v>928</v>
      </c>
    </row>
    <row r="146" spans="1:14" x14ac:dyDescent="0.25">
      <c r="A146">
        <v>379719</v>
      </c>
      <c r="B146" t="s">
        <v>341</v>
      </c>
      <c r="C146" s="55">
        <v>2818822.76</v>
      </c>
      <c r="D146" s="55">
        <v>-15600388.58</v>
      </c>
      <c r="E146" t="s">
        <v>931</v>
      </c>
      <c r="N146" t="s">
        <v>928</v>
      </c>
    </row>
    <row r="147" spans="1:14" x14ac:dyDescent="0.25">
      <c r="A147">
        <v>1632</v>
      </c>
      <c r="B147" t="s">
        <v>1014</v>
      </c>
      <c r="C147" s="55">
        <v>2802991.93</v>
      </c>
      <c r="D147" s="55">
        <v>-5304011.41</v>
      </c>
      <c r="E147" t="s">
        <v>931</v>
      </c>
      <c r="M147" t="s">
        <v>932</v>
      </c>
      <c r="N147" t="s">
        <v>928</v>
      </c>
    </row>
    <row r="148" spans="1:14" x14ac:dyDescent="0.25">
      <c r="A148">
        <v>22225</v>
      </c>
      <c r="B148" t="s">
        <v>534</v>
      </c>
      <c r="C148" s="55">
        <v>2794557.06</v>
      </c>
      <c r="D148" s="55">
        <v>-10402705.48</v>
      </c>
      <c r="E148" t="s">
        <v>931</v>
      </c>
      <c r="F148" t="s">
        <v>962</v>
      </c>
      <c r="K148" t="s">
        <v>189</v>
      </c>
      <c r="N148" t="s">
        <v>928</v>
      </c>
    </row>
    <row r="149" spans="1:14" x14ac:dyDescent="0.25">
      <c r="A149">
        <v>327692</v>
      </c>
      <c r="B149" t="s">
        <v>1015</v>
      </c>
      <c r="C149" s="55">
        <v>2748847.83</v>
      </c>
      <c r="D149" t="s">
        <v>845</v>
      </c>
      <c r="E149" t="s">
        <v>930</v>
      </c>
      <c r="N149" t="s">
        <v>928</v>
      </c>
    </row>
    <row r="150" spans="1:14" x14ac:dyDescent="0.25">
      <c r="A150">
        <v>66464</v>
      </c>
      <c r="B150" t="s">
        <v>1016</v>
      </c>
      <c r="C150" s="55">
        <v>2745687.56</v>
      </c>
      <c r="D150" t="s">
        <v>845</v>
      </c>
      <c r="E150" t="s">
        <v>930</v>
      </c>
    </row>
    <row r="151" spans="1:14" x14ac:dyDescent="0.25">
      <c r="A151">
        <v>71324</v>
      </c>
      <c r="B151" t="s">
        <v>1017</v>
      </c>
      <c r="C151" s="55">
        <v>2734569.73</v>
      </c>
      <c r="D151" s="55">
        <v>-216585.25</v>
      </c>
      <c r="E151" t="s">
        <v>931</v>
      </c>
      <c r="N151" t="s">
        <v>928</v>
      </c>
    </row>
    <row r="152" spans="1:14" x14ac:dyDescent="0.25">
      <c r="A152">
        <v>23597</v>
      </c>
      <c r="B152" t="s">
        <v>465</v>
      </c>
      <c r="C152" s="55">
        <v>2731562.55</v>
      </c>
      <c r="D152" s="55">
        <v>-3345997.97</v>
      </c>
      <c r="E152" t="s">
        <v>931</v>
      </c>
      <c r="M152" t="s">
        <v>112</v>
      </c>
      <c r="N152" t="s">
        <v>928</v>
      </c>
    </row>
    <row r="153" spans="1:14" x14ac:dyDescent="0.25">
      <c r="A153">
        <v>8939</v>
      </c>
      <c r="B153" t="s">
        <v>452</v>
      </c>
      <c r="C153" s="55">
        <v>2730098.8</v>
      </c>
      <c r="D153" s="55">
        <v>-83481.56</v>
      </c>
      <c r="E153" t="s">
        <v>931</v>
      </c>
      <c r="N153" t="s">
        <v>928</v>
      </c>
    </row>
    <row r="154" spans="1:14" x14ac:dyDescent="0.25">
      <c r="A154">
        <v>312546</v>
      </c>
      <c r="B154" t="s">
        <v>1018</v>
      </c>
      <c r="C154" s="55">
        <v>2713829.86</v>
      </c>
      <c r="D154" t="s">
        <v>845</v>
      </c>
      <c r="E154" t="s">
        <v>930</v>
      </c>
      <c r="N154" t="s">
        <v>928</v>
      </c>
    </row>
    <row r="155" spans="1:14" x14ac:dyDescent="0.25">
      <c r="A155">
        <v>380857</v>
      </c>
      <c r="B155" t="s">
        <v>1019</v>
      </c>
      <c r="C155" s="55">
        <v>2700447.05</v>
      </c>
      <c r="D155" t="s">
        <v>845</v>
      </c>
      <c r="E155" t="s">
        <v>930</v>
      </c>
      <c r="N155" t="s">
        <v>928</v>
      </c>
    </row>
    <row r="156" spans="1:14" x14ac:dyDescent="0.25">
      <c r="A156">
        <v>64162</v>
      </c>
      <c r="B156" t="s">
        <v>1020</v>
      </c>
      <c r="C156" s="55">
        <v>2693340.98</v>
      </c>
      <c r="D156" s="55">
        <v>-45852.08</v>
      </c>
      <c r="E156" t="s">
        <v>931</v>
      </c>
      <c r="M156" t="s">
        <v>932</v>
      </c>
      <c r="N156" t="s">
        <v>928</v>
      </c>
    </row>
    <row r="157" spans="1:14" x14ac:dyDescent="0.25">
      <c r="A157">
        <v>33464</v>
      </c>
      <c r="B157" t="s">
        <v>1021</v>
      </c>
      <c r="C157" s="55">
        <v>2644724.2000000002</v>
      </c>
      <c r="D157" t="s">
        <v>845</v>
      </c>
      <c r="E157" t="s">
        <v>930</v>
      </c>
      <c r="N157" t="s">
        <v>928</v>
      </c>
    </row>
    <row r="158" spans="1:14" x14ac:dyDescent="0.25">
      <c r="A158">
        <v>22457</v>
      </c>
      <c r="B158" t="s">
        <v>1022</v>
      </c>
      <c r="C158" s="55">
        <v>2598529.37</v>
      </c>
      <c r="D158" t="s">
        <v>845</v>
      </c>
      <c r="E158" t="s">
        <v>930</v>
      </c>
      <c r="N158" t="s">
        <v>928</v>
      </c>
    </row>
    <row r="159" spans="1:14" x14ac:dyDescent="0.25">
      <c r="A159">
        <v>383711</v>
      </c>
      <c r="B159" t="s">
        <v>640</v>
      </c>
      <c r="C159" s="55">
        <v>2595522.7599999998</v>
      </c>
      <c r="D159" s="55">
        <v>-19421446.260000002</v>
      </c>
      <c r="E159" t="s">
        <v>931</v>
      </c>
    </row>
    <row r="160" spans="1:14" x14ac:dyDescent="0.25">
      <c r="A160">
        <v>379495</v>
      </c>
      <c r="B160" t="s">
        <v>224</v>
      </c>
      <c r="C160" s="55">
        <v>2593149.69</v>
      </c>
      <c r="D160" s="55">
        <v>-9690719.6199999992</v>
      </c>
      <c r="E160" t="s">
        <v>931</v>
      </c>
      <c r="N160" t="s">
        <v>928</v>
      </c>
    </row>
    <row r="161" spans="1:14" x14ac:dyDescent="0.25">
      <c r="A161">
        <v>93591</v>
      </c>
      <c r="B161" t="s">
        <v>378</v>
      </c>
      <c r="C161" s="55">
        <v>2591226.4</v>
      </c>
      <c r="D161" s="55">
        <v>-5554581.5199999996</v>
      </c>
      <c r="E161" t="s">
        <v>931</v>
      </c>
      <c r="N161" t="s">
        <v>928</v>
      </c>
    </row>
    <row r="162" spans="1:14" x14ac:dyDescent="0.25">
      <c r="A162">
        <v>2861</v>
      </c>
      <c r="B162" t="s">
        <v>1023</v>
      </c>
      <c r="C162" s="55">
        <v>2576734.19</v>
      </c>
      <c r="D162" t="s">
        <v>845</v>
      </c>
      <c r="E162" t="s">
        <v>930</v>
      </c>
    </row>
    <row r="163" spans="1:14" x14ac:dyDescent="0.25">
      <c r="A163">
        <v>12480</v>
      </c>
      <c r="B163" t="s">
        <v>176</v>
      </c>
      <c r="C163" s="55">
        <v>2552379.36</v>
      </c>
      <c r="D163" s="55">
        <v>-13601070.460000001</v>
      </c>
      <c r="E163" t="s">
        <v>931</v>
      </c>
      <c r="N163" t="s">
        <v>928</v>
      </c>
    </row>
    <row r="164" spans="1:14" x14ac:dyDescent="0.25">
      <c r="A164">
        <v>13045</v>
      </c>
      <c r="B164" t="s">
        <v>1024</v>
      </c>
      <c r="C164" s="55">
        <v>2530502.8199999998</v>
      </c>
      <c r="D164" t="s">
        <v>845</v>
      </c>
      <c r="E164" t="s">
        <v>930</v>
      </c>
    </row>
    <row r="165" spans="1:14" x14ac:dyDescent="0.25">
      <c r="A165">
        <v>12700</v>
      </c>
      <c r="B165" t="s">
        <v>1025</v>
      </c>
      <c r="C165" s="55">
        <v>2526985.41</v>
      </c>
      <c r="D165" t="s">
        <v>845</v>
      </c>
      <c r="E165" t="s">
        <v>930</v>
      </c>
    </row>
    <row r="166" spans="1:14" x14ac:dyDescent="0.25">
      <c r="A166">
        <v>10426</v>
      </c>
      <c r="B166" t="s">
        <v>696</v>
      </c>
      <c r="C166" s="55">
        <v>2518662.81</v>
      </c>
      <c r="D166" s="55">
        <v>-729365.64</v>
      </c>
      <c r="E166" t="s">
        <v>931</v>
      </c>
    </row>
    <row r="167" spans="1:14" x14ac:dyDescent="0.25">
      <c r="A167">
        <v>320259</v>
      </c>
      <c r="B167" t="s">
        <v>1026</v>
      </c>
      <c r="C167" s="55">
        <v>2473840.41</v>
      </c>
      <c r="D167" t="s">
        <v>845</v>
      </c>
      <c r="E167" t="s">
        <v>930</v>
      </c>
    </row>
    <row r="168" spans="1:14" x14ac:dyDescent="0.25">
      <c r="A168">
        <v>55004</v>
      </c>
      <c r="B168" t="s">
        <v>251</v>
      </c>
      <c r="C168" s="55">
        <v>2445046.2200000002</v>
      </c>
      <c r="D168" s="55">
        <v>-18943793.73</v>
      </c>
      <c r="E168" t="s">
        <v>931</v>
      </c>
      <c r="N168" t="s">
        <v>928</v>
      </c>
    </row>
    <row r="169" spans="1:14" x14ac:dyDescent="0.25">
      <c r="A169">
        <v>303895</v>
      </c>
      <c r="B169" t="s">
        <v>301</v>
      </c>
      <c r="C169" s="55">
        <v>2443407.29</v>
      </c>
      <c r="D169" s="55">
        <v>-3522211.8</v>
      </c>
      <c r="E169" t="s">
        <v>931</v>
      </c>
      <c r="N169" t="s">
        <v>928</v>
      </c>
    </row>
    <row r="170" spans="1:14" x14ac:dyDescent="0.25">
      <c r="A170">
        <v>348557</v>
      </c>
      <c r="B170" t="s">
        <v>436</v>
      </c>
      <c r="C170" s="55">
        <v>2398893.14</v>
      </c>
      <c r="D170" s="55">
        <v>-9812025.8900000006</v>
      </c>
      <c r="E170" t="s">
        <v>931</v>
      </c>
      <c r="N170" t="s">
        <v>928</v>
      </c>
    </row>
    <row r="171" spans="1:14" x14ac:dyDescent="0.25">
      <c r="A171">
        <v>22795</v>
      </c>
      <c r="B171" t="s">
        <v>715</v>
      </c>
      <c r="C171" s="55">
        <v>2373182.7799999998</v>
      </c>
      <c r="D171" s="55">
        <v>-1855527.39</v>
      </c>
      <c r="E171" t="s">
        <v>931</v>
      </c>
    </row>
    <row r="172" spans="1:14" x14ac:dyDescent="0.25">
      <c r="A172">
        <v>61788</v>
      </c>
      <c r="B172" t="s">
        <v>1027</v>
      </c>
      <c r="C172" s="55">
        <v>2371826.6800000002</v>
      </c>
      <c r="D172" t="s">
        <v>845</v>
      </c>
      <c r="E172" t="s">
        <v>930</v>
      </c>
      <c r="N172" t="s">
        <v>928</v>
      </c>
    </row>
    <row r="173" spans="1:14" x14ac:dyDescent="0.25">
      <c r="A173">
        <v>44412</v>
      </c>
      <c r="B173" t="s">
        <v>1028</v>
      </c>
      <c r="C173" s="55">
        <v>2359446.23</v>
      </c>
      <c r="D173" t="s">
        <v>845</v>
      </c>
      <c r="E173" t="s">
        <v>930</v>
      </c>
    </row>
    <row r="174" spans="1:14" x14ac:dyDescent="0.25">
      <c r="A174">
        <v>4423</v>
      </c>
      <c r="B174" t="s">
        <v>1029</v>
      </c>
      <c r="C174" s="55">
        <v>2348655.7799999998</v>
      </c>
      <c r="D174" t="s">
        <v>845</v>
      </c>
      <c r="E174" t="s">
        <v>930</v>
      </c>
      <c r="N174" t="s">
        <v>928</v>
      </c>
    </row>
    <row r="175" spans="1:14" x14ac:dyDescent="0.25">
      <c r="A175">
        <v>394429</v>
      </c>
      <c r="B175" t="s">
        <v>1030</v>
      </c>
      <c r="C175" s="55">
        <v>2294018.5299999998</v>
      </c>
      <c r="D175" s="55">
        <v>-4792017.96</v>
      </c>
      <c r="E175" t="s">
        <v>931</v>
      </c>
    </row>
    <row r="176" spans="1:14" x14ac:dyDescent="0.25">
      <c r="A176">
        <v>24927</v>
      </c>
      <c r="B176" t="s">
        <v>391</v>
      </c>
      <c r="C176" s="55">
        <v>2281446.4500000002</v>
      </c>
      <c r="D176" s="55">
        <v>-10483437.060000001</v>
      </c>
      <c r="E176" t="s">
        <v>931</v>
      </c>
    </row>
    <row r="177" spans="1:14" x14ac:dyDescent="0.25">
      <c r="A177">
        <v>24489</v>
      </c>
      <c r="B177" t="s">
        <v>144</v>
      </c>
      <c r="C177" s="55">
        <v>2280092.9</v>
      </c>
      <c r="D177" s="55">
        <v>-13513170.289999999</v>
      </c>
      <c r="E177" t="s">
        <v>931</v>
      </c>
      <c r="N177" t="s">
        <v>928</v>
      </c>
    </row>
    <row r="178" spans="1:14" x14ac:dyDescent="0.25">
      <c r="A178">
        <v>308651</v>
      </c>
      <c r="B178" t="s">
        <v>415</v>
      </c>
      <c r="C178" s="55">
        <v>2269586.7200000002</v>
      </c>
      <c r="D178" s="55">
        <v>-2253870.71</v>
      </c>
      <c r="E178" t="s">
        <v>931</v>
      </c>
    </row>
    <row r="179" spans="1:14" x14ac:dyDescent="0.25">
      <c r="A179">
        <v>313825</v>
      </c>
      <c r="B179" t="s">
        <v>1031</v>
      </c>
      <c r="C179" s="55">
        <v>2242022.21</v>
      </c>
      <c r="D179" t="s">
        <v>845</v>
      </c>
      <c r="E179" t="s">
        <v>930</v>
      </c>
    </row>
    <row r="180" spans="1:14" x14ac:dyDescent="0.25">
      <c r="A180">
        <v>21855</v>
      </c>
      <c r="B180" t="s">
        <v>1032</v>
      </c>
      <c r="C180" s="55">
        <v>2233414.31</v>
      </c>
      <c r="D180" t="s">
        <v>845</v>
      </c>
      <c r="E180" t="s">
        <v>930</v>
      </c>
    </row>
    <row r="181" spans="1:14" x14ac:dyDescent="0.25">
      <c r="A181">
        <v>16636</v>
      </c>
      <c r="B181" t="s">
        <v>407</v>
      </c>
      <c r="C181" s="55">
        <v>2231291.5699999998</v>
      </c>
      <c r="D181" s="55">
        <v>-8342248.3700000001</v>
      </c>
      <c r="E181" t="s">
        <v>931</v>
      </c>
    </row>
    <row r="182" spans="1:14" x14ac:dyDescent="0.25">
      <c r="A182">
        <v>23489</v>
      </c>
      <c r="B182" t="s">
        <v>1033</v>
      </c>
      <c r="C182" s="55">
        <v>2197596.88</v>
      </c>
      <c r="D182" t="s">
        <v>845</v>
      </c>
      <c r="E182" t="s">
        <v>930</v>
      </c>
    </row>
    <row r="183" spans="1:14" x14ac:dyDescent="0.25">
      <c r="A183">
        <v>333104</v>
      </c>
      <c r="B183" t="s">
        <v>1034</v>
      </c>
      <c r="C183" s="55">
        <v>2192367.5699999998</v>
      </c>
      <c r="D183" s="55">
        <v>-4521451.53</v>
      </c>
      <c r="E183" t="s">
        <v>931</v>
      </c>
      <c r="M183" t="s">
        <v>119</v>
      </c>
      <c r="N183" t="s">
        <v>928</v>
      </c>
    </row>
    <row r="184" spans="1:14" x14ac:dyDescent="0.25">
      <c r="A184">
        <v>305839</v>
      </c>
      <c r="B184" t="s">
        <v>1035</v>
      </c>
      <c r="C184" s="55">
        <v>2170212.4300000002</v>
      </c>
      <c r="D184" s="55">
        <v>-4052107.71</v>
      </c>
      <c r="E184" t="s">
        <v>931</v>
      </c>
    </row>
    <row r="185" spans="1:14" x14ac:dyDescent="0.25">
      <c r="A185">
        <v>60699</v>
      </c>
      <c r="B185" t="s">
        <v>1036</v>
      </c>
      <c r="C185" s="55">
        <v>2124460.9</v>
      </c>
      <c r="D185" t="s">
        <v>845</v>
      </c>
      <c r="E185" t="s">
        <v>930</v>
      </c>
      <c r="N185" t="s">
        <v>928</v>
      </c>
    </row>
    <row r="186" spans="1:14" x14ac:dyDescent="0.25">
      <c r="A186">
        <v>20436</v>
      </c>
      <c r="B186" t="s">
        <v>367</v>
      </c>
      <c r="C186" s="55">
        <v>2123942.21</v>
      </c>
      <c r="D186" s="55">
        <v>-3600019.13</v>
      </c>
      <c r="E186" t="s">
        <v>931</v>
      </c>
      <c r="N186" t="s">
        <v>928</v>
      </c>
    </row>
    <row r="187" spans="1:14" x14ac:dyDescent="0.25">
      <c r="A187">
        <v>25018</v>
      </c>
      <c r="B187" t="s">
        <v>1037</v>
      </c>
      <c r="C187" s="55">
        <v>2109004.1</v>
      </c>
      <c r="D187" t="s">
        <v>845</v>
      </c>
      <c r="E187" t="s">
        <v>930</v>
      </c>
    </row>
    <row r="188" spans="1:14" x14ac:dyDescent="0.25">
      <c r="A188">
        <v>25528</v>
      </c>
      <c r="B188" t="s">
        <v>506</v>
      </c>
      <c r="C188" s="55">
        <v>2108504.63</v>
      </c>
      <c r="D188" s="55">
        <v>-6474760.6200000001</v>
      </c>
      <c r="E188" t="s">
        <v>931</v>
      </c>
    </row>
    <row r="189" spans="1:14" x14ac:dyDescent="0.25">
      <c r="A189">
        <v>68155</v>
      </c>
      <c r="B189" t="s">
        <v>1038</v>
      </c>
      <c r="C189" s="55">
        <v>2023875.26</v>
      </c>
      <c r="D189" s="55">
        <v>-10319119.01</v>
      </c>
      <c r="E189" t="s">
        <v>931</v>
      </c>
      <c r="M189" t="s">
        <v>91</v>
      </c>
      <c r="N189" t="s">
        <v>928</v>
      </c>
    </row>
    <row r="190" spans="1:14" x14ac:dyDescent="0.25">
      <c r="A190">
        <v>327197</v>
      </c>
      <c r="B190" t="s">
        <v>201</v>
      </c>
      <c r="C190" s="55">
        <v>2022682.68</v>
      </c>
      <c r="D190" s="55">
        <v>-14449739.02</v>
      </c>
      <c r="E190" t="s">
        <v>931</v>
      </c>
      <c r="M190" t="s">
        <v>112</v>
      </c>
      <c r="N190" t="s">
        <v>928</v>
      </c>
    </row>
    <row r="191" spans="1:14" x14ac:dyDescent="0.25">
      <c r="A191">
        <v>54858</v>
      </c>
      <c r="B191" t="s">
        <v>1039</v>
      </c>
      <c r="C191" s="55">
        <v>2020896.27</v>
      </c>
      <c r="D191" t="s">
        <v>845</v>
      </c>
      <c r="E191" t="s">
        <v>930</v>
      </c>
    </row>
    <row r="192" spans="1:14" x14ac:dyDescent="0.25">
      <c r="A192">
        <v>25957</v>
      </c>
      <c r="B192" t="s">
        <v>517</v>
      </c>
      <c r="C192" s="55">
        <v>1988653.34</v>
      </c>
      <c r="D192" s="55">
        <v>-3454732.01</v>
      </c>
      <c r="E192" t="s">
        <v>931</v>
      </c>
      <c r="N192" t="s">
        <v>928</v>
      </c>
    </row>
    <row r="193" spans="1:14" x14ac:dyDescent="0.25">
      <c r="A193">
        <v>99432</v>
      </c>
      <c r="B193" t="s">
        <v>1040</v>
      </c>
      <c r="C193" s="55">
        <v>1973266.93</v>
      </c>
      <c r="D193" s="55">
        <v>-2290111.8199999998</v>
      </c>
      <c r="E193" t="s">
        <v>931</v>
      </c>
    </row>
    <row r="194" spans="1:14" x14ac:dyDescent="0.25">
      <c r="A194">
        <v>5151</v>
      </c>
      <c r="B194" t="s">
        <v>1041</v>
      </c>
      <c r="C194" s="55">
        <v>1872682.31</v>
      </c>
      <c r="D194" s="55">
        <v>-82096.02</v>
      </c>
      <c r="E194" t="s">
        <v>931</v>
      </c>
    </row>
    <row r="195" spans="1:14" x14ac:dyDescent="0.25">
      <c r="A195">
        <v>7875</v>
      </c>
      <c r="B195" t="s">
        <v>154</v>
      </c>
      <c r="C195" s="55">
        <v>1864880.45</v>
      </c>
      <c r="D195" s="55">
        <v>-12224443.17</v>
      </c>
      <c r="E195" t="s">
        <v>931</v>
      </c>
      <c r="N195" t="s">
        <v>928</v>
      </c>
    </row>
    <row r="196" spans="1:14" x14ac:dyDescent="0.25">
      <c r="A196">
        <v>23756</v>
      </c>
      <c r="B196" t="s">
        <v>423</v>
      </c>
      <c r="C196" s="55">
        <v>1860975.58</v>
      </c>
      <c r="D196" t="s">
        <v>845</v>
      </c>
      <c r="E196" t="s">
        <v>930</v>
      </c>
      <c r="N196" t="s">
        <v>928</v>
      </c>
    </row>
    <row r="197" spans="1:14" x14ac:dyDescent="0.25">
      <c r="A197">
        <v>384362</v>
      </c>
      <c r="B197" t="s">
        <v>1042</v>
      </c>
      <c r="C197" s="55">
        <v>1859699.44</v>
      </c>
      <c r="D197" s="55">
        <v>-8121495.2800000003</v>
      </c>
      <c r="E197" t="s">
        <v>931</v>
      </c>
    </row>
    <row r="198" spans="1:14" x14ac:dyDescent="0.25">
      <c r="A198">
        <v>12560</v>
      </c>
      <c r="B198" t="s">
        <v>421</v>
      </c>
      <c r="C198" s="55">
        <v>1850688.6</v>
      </c>
      <c r="D198" s="55">
        <v>-5043551.55</v>
      </c>
      <c r="E198" t="s">
        <v>931</v>
      </c>
    </row>
    <row r="199" spans="1:14" x14ac:dyDescent="0.25">
      <c r="A199">
        <v>21851</v>
      </c>
      <c r="B199" t="s">
        <v>1043</v>
      </c>
      <c r="C199" s="55">
        <v>1847018.96</v>
      </c>
      <c r="D199" s="55">
        <v>477862.04</v>
      </c>
      <c r="E199" t="s">
        <v>948</v>
      </c>
    </row>
    <row r="200" spans="1:14" x14ac:dyDescent="0.25">
      <c r="A200">
        <v>51698</v>
      </c>
      <c r="B200" t="s">
        <v>174</v>
      </c>
      <c r="C200" s="55">
        <v>1820258.92</v>
      </c>
      <c r="D200" s="55">
        <v>-19357735.16</v>
      </c>
      <c r="E200" t="s">
        <v>931</v>
      </c>
      <c r="F200" t="s">
        <v>962</v>
      </c>
      <c r="N200" t="s">
        <v>928</v>
      </c>
    </row>
    <row r="201" spans="1:14" x14ac:dyDescent="0.25">
      <c r="A201">
        <v>50153</v>
      </c>
      <c r="B201" t="s">
        <v>361</v>
      </c>
      <c r="C201" s="55">
        <v>1816796.03</v>
      </c>
      <c r="D201" s="55">
        <v>-3369086.56</v>
      </c>
      <c r="E201" t="s">
        <v>931</v>
      </c>
    </row>
    <row r="202" spans="1:14" x14ac:dyDescent="0.25">
      <c r="A202">
        <v>212464</v>
      </c>
      <c r="B202" t="s">
        <v>1044</v>
      </c>
      <c r="C202" s="55">
        <v>1811926.65</v>
      </c>
      <c r="D202" t="s">
        <v>845</v>
      </c>
      <c r="E202" t="s">
        <v>930</v>
      </c>
    </row>
    <row r="203" spans="1:14" x14ac:dyDescent="0.25">
      <c r="A203">
        <v>152561</v>
      </c>
      <c r="B203" t="s">
        <v>396</v>
      </c>
      <c r="C203" s="55">
        <v>1806986.96</v>
      </c>
      <c r="D203" s="55">
        <v>-24677918.739999998</v>
      </c>
      <c r="E203" t="s">
        <v>931</v>
      </c>
    </row>
    <row r="204" spans="1:14" x14ac:dyDescent="0.25">
      <c r="A204">
        <v>58487</v>
      </c>
      <c r="B204" t="s">
        <v>318</v>
      </c>
      <c r="C204" s="55">
        <v>1790863.23</v>
      </c>
      <c r="D204" s="55">
        <v>-6373518.0599999996</v>
      </c>
      <c r="E204" t="s">
        <v>931</v>
      </c>
      <c r="N204" t="s">
        <v>928</v>
      </c>
    </row>
    <row r="205" spans="1:14" x14ac:dyDescent="0.25">
      <c r="A205">
        <v>45401</v>
      </c>
      <c r="B205" t="s">
        <v>1045</v>
      </c>
      <c r="C205" s="55">
        <v>1770893.81</v>
      </c>
      <c r="D205" t="s">
        <v>845</v>
      </c>
      <c r="E205" t="s">
        <v>930</v>
      </c>
    </row>
    <row r="206" spans="1:14" x14ac:dyDescent="0.25">
      <c r="A206">
        <v>24651</v>
      </c>
      <c r="B206" t="s">
        <v>1046</v>
      </c>
      <c r="C206" s="55">
        <v>1770388.11</v>
      </c>
      <c r="D206" t="s">
        <v>845</v>
      </c>
      <c r="E206" t="s">
        <v>930</v>
      </c>
      <c r="N206" t="s">
        <v>928</v>
      </c>
    </row>
    <row r="207" spans="1:14" x14ac:dyDescent="0.25">
      <c r="A207">
        <v>325373</v>
      </c>
      <c r="B207" t="s">
        <v>356</v>
      </c>
      <c r="C207" s="55">
        <v>1757204.86</v>
      </c>
      <c r="D207" s="55">
        <v>-3477557.53</v>
      </c>
      <c r="E207" t="s">
        <v>931</v>
      </c>
    </row>
    <row r="208" spans="1:14" x14ac:dyDescent="0.25">
      <c r="A208">
        <v>23830</v>
      </c>
      <c r="B208" t="s">
        <v>1047</v>
      </c>
      <c r="C208" s="55">
        <v>1735452.8</v>
      </c>
      <c r="D208" t="s">
        <v>845</v>
      </c>
      <c r="E208" t="s">
        <v>930</v>
      </c>
      <c r="N208" t="s">
        <v>928</v>
      </c>
    </row>
    <row r="209" spans="1:14" x14ac:dyDescent="0.25">
      <c r="A209">
        <v>11716</v>
      </c>
      <c r="B209" t="s">
        <v>316</v>
      </c>
      <c r="C209" s="55">
        <v>1724425.07</v>
      </c>
      <c r="D209" s="55">
        <v>-3591390.95</v>
      </c>
      <c r="E209" t="s">
        <v>931</v>
      </c>
    </row>
    <row r="210" spans="1:14" x14ac:dyDescent="0.25">
      <c r="A210">
        <v>137</v>
      </c>
      <c r="B210" t="s">
        <v>233</v>
      </c>
      <c r="C210" s="55">
        <v>1717579.78</v>
      </c>
      <c r="D210" s="55">
        <v>-15548835.24</v>
      </c>
      <c r="E210" t="s">
        <v>931</v>
      </c>
      <c r="N210" t="s">
        <v>928</v>
      </c>
    </row>
    <row r="211" spans="1:14" x14ac:dyDescent="0.25">
      <c r="A211">
        <v>72231</v>
      </c>
      <c r="B211" t="s">
        <v>687</v>
      </c>
      <c r="C211" s="55">
        <v>1712495.73</v>
      </c>
      <c r="D211" s="55">
        <v>-11347502.77</v>
      </c>
      <c r="E211" t="s">
        <v>931</v>
      </c>
    </row>
    <row r="212" spans="1:14" x14ac:dyDescent="0.25">
      <c r="A212">
        <v>97378</v>
      </c>
      <c r="B212" t="s">
        <v>668</v>
      </c>
      <c r="C212" s="55">
        <v>1704766.23</v>
      </c>
      <c r="D212" s="55">
        <v>-1579515.25</v>
      </c>
      <c r="E212" t="s">
        <v>931</v>
      </c>
    </row>
    <row r="213" spans="1:14" x14ac:dyDescent="0.25">
      <c r="A213">
        <v>12186</v>
      </c>
      <c r="B213" t="s">
        <v>1048</v>
      </c>
      <c r="C213" s="55">
        <v>1687772.48</v>
      </c>
      <c r="D213" t="s">
        <v>845</v>
      </c>
      <c r="E213" t="s">
        <v>930</v>
      </c>
    </row>
    <row r="214" spans="1:14" x14ac:dyDescent="0.25">
      <c r="A214">
        <v>384446</v>
      </c>
      <c r="B214" t="s">
        <v>350</v>
      </c>
      <c r="C214" s="55">
        <v>1684953.91</v>
      </c>
      <c r="D214" s="55">
        <v>-24281187.91</v>
      </c>
      <c r="E214" t="s">
        <v>931</v>
      </c>
    </row>
    <row r="215" spans="1:14" x14ac:dyDescent="0.25">
      <c r="A215">
        <v>24476</v>
      </c>
      <c r="B215" t="s">
        <v>1049</v>
      </c>
      <c r="C215" s="55">
        <v>1681810.43</v>
      </c>
      <c r="D215" t="s">
        <v>845</v>
      </c>
      <c r="E215" t="s">
        <v>930</v>
      </c>
    </row>
    <row r="216" spans="1:14" x14ac:dyDescent="0.25">
      <c r="A216">
        <v>97071</v>
      </c>
      <c r="B216" t="s">
        <v>368</v>
      </c>
      <c r="C216" s="55">
        <v>1651195.74</v>
      </c>
      <c r="D216" s="55">
        <v>-4404523.3899999997</v>
      </c>
      <c r="E216" t="s">
        <v>931</v>
      </c>
      <c r="M216" t="s">
        <v>61</v>
      </c>
      <c r="N216" t="s">
        <v>928</v>
      </c>
    </row>
    <row r="217" spans="1:14" x14ac:dyDescent="0.25">
      <c r="A217">
        <v>24174</v>
      </c>
      <c r="B217" t="s">
        <v>1050</v>
      </c>
      <c r="C217" s="55">
        <v>1645091.64</v>
      </c>
      <c r="D217" t="s">
        <v>845</v>
      </c>
      <c r="E217" t="s">
        <v>930</v>
      </c>
    </row>
    <row r="218" spans="1:14" x14ac:dyDescent="0.25">
      <c r="A218">
        <v>328724</v>
      </c>
      <c r="B218" t="s">
        <v>322</v>
      </c>
      <c r="C218" s="55">
        <v>1643539.29</v>
      </c>
      <c r="D218" s="55">
        <v>-7289128.5300000003</v>
      </c>
      <c r="E218" t="s">
        <v>931</v>
      </c>
      <c r="N218" t="s">
        <v>928</v>
      </c>
    </row>
    <row r="219" spans="1:14" x14ac:dyDescent="0.25">
      <c r="A219">
        <v>83394</v>
      </c>
      <c r="B219" t="s">
        <v>209</v>
      </c>
      <c r="C219" s="55">
        <v>1639441.57</v>
      </c>
      <c r="D219" s="55">
        <v>-13781211.310000001</v>
      </c>
      <c r="E219" t="s">
        <v>931</v>
      </c>
      <c r="N219" t="s">
        <v>928</v>
      </c>
    </row>
    <row r="220" spans="1:14" x14ac:dyDescent="0.25">
      <c r="A220">
        <v>189175</v>
      </c>
      <c r="B220" t="s">
        <v>1051</v>
      </c>
      <c r="C220" s="55">
        <v>1595806.24</v>
      </c>
      <c r="D220" s="55">
        <v>-1099931.57</v>
      </c>
      <c r="E220" t="s">
        <v>931</v>
      </c>
    </row>
    <row r="221" spans="1:14" x14ac:dyDescent="0.25">
      <c r="A221">
        <v>16006</v>
      </c>
      <c r="B221" t="s">
        <v>706</v>
      </c>
      <c r="C221" s="55">
        <v>1584401.01</v>
      </c>
      <c r="D221" s="55">
        <v>-1292107.01</v>
      </c>
      <c r="E221" t="s">
        <v>931</v>
      </c>
    </row>
    <row r="222" spans="1:14" x14ac:dyDescent="0.25">
      <c r="A222">
        <v>6366</v>
      </c>
      <c r="B222" t="s">
        <v>1052</v>
      </c>
      <c r="C222" s="55">
        <v>1571033.16</v>
      </c>
      <c r="D222" t="s">
        <v>845</v>
      </c>
      <c r="E222" t="s">
        <v>930</v>
      </c>
    </row>
    <row r="223" spans="1:14" x14ac:dyDescent="0.25">
      <c r="A223">
        <v>306225</v>
      </c>
      <c r="B223" t="s">
        <v>266</v>
      </c>
      <c r="C223" s="55">
        <v>1564682.29</v>
      </c>
      <c r="D223" s="55">
        <v>-21906987.489999998</v>
      </c>
      <c r="E223" t="s">
        <v>931</v>
      </c>
      <c r="N223" t="s">
        <v>928</v>
      </c>
    </row>
    <row r="224" spans="1:14" x14ac:dyDescent="0.25">
      <c r="A224">
        <v>5766</v>
      </c>
      <c r="B224" t="s">
        <v>230</v>
      </c>
      <c r="C224" s="55">
        <v>1544383.68</v>
      </c>
      <c r="D224" s="55">
        <v>-9031239.1600000001</v>
      </c>
      <c r="E224" t="s">
        <v>931</v>
      </c>
      <c r="N224" t="s">
        <v>928</v>
      </c>
    </row>
    <row r="225" spans="1:14" x14ac:dyDescent="0.25">
      <c r="A225">
        <v>325258</v>
      </c>
      <c r="B225" t="s">
        <v>230</v>
      </c>
      <c r="C225" s="55">
        <v>1543899.35</v>
      </c>
      <c r="D225" s="55">
        <v>-5034542.5599999996</v>
      </c>
      <c r="E225" t="s">
        <v>931</v>
      </c>
      <c r="N225" t="s">
        <v>928</v>
      </c>
    </row>
    <row r="226" spans="1:14" x14ac:dyDescent="0.25">
      <c r="A226">
        <v>20949</v>
      </c>
      <c r="B226" t="s">
        <v>693</v>
      </c>
      <c r="C226" s="55">
        <v>1538427.16</v>
      </c>
      <c r="D226" s="55">
        <v>-2672151.75</v>
      </c>
      <c r="E226" t="s">
        <v>931</v>
      </c>
      <c r="N226" t="s">
        <v>928</v>
      </c>
    </row>
    <row r="227" spans="1:14" x14ac:dyDescent="0.25">
      <c r="A227">
        <v>398511</v>
      </c>
      <c r="B227" t="s">
        <v>1053</v>
      </c>
      <c r="C227" s="55">
        <v>1519727.53</v>
      </c>
      <c r="D227" t="s">
        <v>845</v>
      </c>
      <c r="E227" t="s">
        <v>930</v>
      </c>
    </row>
    <row r="228" spans="1:14" x14ac:dyDescent="0.25">
      <c r="A228">
        <v>49601</v>
      </c>
      <c r="B228" t="s">
        <v>385</v>
      </c>
      <c r="C228" s="55">
        <v>1471305.47</v>
      </c>
      <c r="D228" s="55">
        <v>-9466897.4399999995</v>
      </c>
      <c r="E228" t="s">
        <v>931</v>
      </c>
      <c r="M228" t="s">
        <v>932</v>
      </c>
    </row>
    <row r="229" spans="1:14" x14ac:dyDescent="0.25">
      <c r="A229">
        <v>326025</v>
      </c>
      <c r="B229" t="s">
        <v>1054</v>
      </c>
      <c r="C229" s="55">
        <v>1427493.18</v>
      </c>
      <c r="D229">
        <v>-149.44999999999999</v>
      </c>
      <c r="E229" t="s">
        <v>931</v>
      </c>
      <c r="M229" t="s">
        <v>91</v>
      </c>
      <c r="N229" t="s">
        <v>928</v>
      </c>
    </row>
    <row r="230" spans="1:14" x14ac:dyDescent="0.25">
      <c r="A230">
        <v>85902</v>
      </c>
      <c r="B230" t="s">
        <v>275</v>
      </c>
      <c r="C230" s="55">
        <v>1405532.52</v>
      </c>
      <c r="D230" s="55">
        <v>-10080008.720000001</v>
      </c>
      <c r="E230" t="s">
        <v>931</v>
      </c>
      <c r="M230" t="s">
        <v>94</v>
      </c>
    </row>
    <row r="231" spans="1:14" x14ac:dyDescent="0.25">
      <c r="A231">
        <v>99887</v>
      </c>
      <c r="B231" t="s">
        <v>1055</v>
      </c>
      <c r="C231" s="55">
        <v>1399809.58</v>
      </c>
      <c r="D231" t="s">
        <v>845</v>
      </c>
      <c r="E231" t="s">
        <v>930</v>
      </c>
    </row>
    <row r="232" spans="1:14" x14ac:dyDescent="0.25">
      <c r="A232">
        <v>308733</v>
      </c>
      <c r="B232" t="s">
        <v>1056</v>
      </c>
      <c r="C232" s="55">
        <v>1391108.62</v>
      </c>
      <c r="D232" s="55">
        <v>-6383048.4199999999</v>
      </c>
      <c r="E232" t="s">
        <v>931</v>
      </c>
    </row>
    <row r="233" spans="1:14" x14ac:dyDescent="0.25">
      <c r="A233">
        <v>384123</v>
      </c>
      <c r="B233" t="s">
        <v>1057</v>
      </c>
      <c r="C233" s="55">
        <v>1352859.96</v>
      </c>
      <c r="D233" s="55">
        <v>-211183.67</v>
      </c>
      <c r="E233" t="s">
        <v>931</v>
      </c>
      <c r="N233" t="s">
        <v>928</v>
      </c>
    </row>
    <row r="234" spans="1:14" x14ac:dyDescent="0.25">
      <c r="A234">
        <v>212257</v>
      </c>
      <c r="B234" t="s">
        <v>1058</v>
      </c>
      <c r="C234" s="55">
        <v>1350849.18</v>
      </c>
      <c r="D234" t="s">
        <v>845</v>
      </c>
      <c r="E234" t="s">
        <v>930</v>
      </c>
      <c r="N234" t="s">
        <v>928</v>
      </c>
    </row>
    <row r="235" spans="1:14" x14ac:dyDescent="0.25">
      <c r="A235">
        <v>22065</v>
      </c>
      <c r="B235" t="s">
        <v>472</v>
      </c>
      <c r="C235" s="55">
        <v>1346057.3</v>
      </c>
      <c r="D235" s="55">
        <v>-2042104.92</v>
      </c>
      <c r="E235" t="s">
        <v>931</v>
      </c>
    </row>
    <row r="236" spans="1:14" x14ac:dyDescent="0.25">
      <c r="A236">
        <v>225839</v>
      </c>
      <c r="B236" t="s">
        <v>331</v>
      </c>
      <c r="C236" s="55">
        <v>1340877.3500000001</v>
      </c>
      <c r="D236" s="55">
        <v>-7930988.3099999996</v>
      </c>
      <c r="E236" t="s">
        <v>931</v>
      </c>
    </row>
    <row r="237" spans="1:14" x14ac:dyDescent="0.25">
      <c r="A237">
        <v>322602</v>
      </c>
      <c r="B237" t="s">
        <v>536</v>
      </c>
      <c r="C237" s="55">
        <v>1340564.47</v>
      </c>
      <c r="D237" s="55">
        <v>-5123444.03</v>
      </c>
      <c r="E237" t="s">
        <v>931</v>
      </c>
    </row>
    <row r="238" spans="1:14" x14ac:dyDescent="0.25">
      <c r="A238">
        <v>94557</v>
      </c>
      <c r="B238" t="s">
        <v>1059</v>
      </c>
      <c r="C238" s="55">
        <v>1338297.06</v>
      </c>
      <c r="D238" s="55">
        <v>-215029.47</v>
      </c>
      <c r="E238" t="s">
        <v>931</v>
      </c>
    </row>
    <row r="239" spans="1:14" x14ac:dyDescent="0.25">
      <c r="A239">
        <v>206466</v>
      </c>
      <c r="B239" t="s">
        <v>432</v>
      </c>
      <c r="C239" s="55">
        <v>1332522.53</v>
      </c>
      <c r="D239" s="55">
        <v>-2661039.63</v>
      </c>
      <c r="E239" t="s">
        <v>931</v>
      </c>
    </row>
    <row r="240" spans="1:14" x14ac:dyDescent="0.25">
      <c r="A240">
        <v>319178</v>
      </c>
      <c r="B240" t="s">
        <v>184</v>
      </c>
      <c r="C240" s="55">
        <v>1312735.7</v>
      </c>
      <c r="D240" s="55">
        <v>-5889746.29</v>
      </c>
      <c r="E240" t="s">
        <v>931</v>
      </c>
      <c r="N240" t="s">
        <v>928</v>
      </c>
    </row>
    <row r="241" spans="1:14" x14ac:dyDescent="0.25">
      <c r="A241">
        <v>62760</v>
      </c>
      <c r="B241" t="s">
        <v>276</v>
      </c>
      <c r="C241" s="55">
        <v>1305389.21</v>
      </c>
      <c r="D241" s="55">
        <v>-6353594.8099999996</v>
      </c>
      <c r="E241" t="s">
        <v>931</v>
      </c>
    </row>
    <row r="242" spans="1:14" x14ac:dyDescent="0.25">
      <c r="A242">
        <v>83584</v>
      </c>
      <c r="B242" t="s">
        <v>1060</v>
      </c>
      <c r="C242" s="55">
        <v>1304102.07</v>
      </c>
      <c r="D242" s="55">
        <v>-141106.29999999999</v>
      </c>
      <c r="E242" t="s">
        <v>931</v>
      </c>
    </row>
    <row r="243" spans="1:14" x14ac:dyDescent="0.25">
      <c r="A243">
        <v>303974</v>
      </c>
      <c r="B243" t="s">
        <v>188</v>
      </c>
      <c r="C243" s="55">
        <v>1301552.52</v>
      </c>
      <c r="D243" s="55">
        <v>-9317785.6300000008</v>
      </c>
      <c r="E243" t="s">
        <v>931</v>
      </c>
      <c r="N243" t="s">
        <v>928</v>
      </c>
    </row>
    <row r="244" spans="1:14" x14ac:dyDescent="0.25">
      <c r="A244">
        <v>26138</v>
      </c>
      <c r="B244" t="s">
        <v>390</v>
      </c>
      <c r="C244" s="55">
        <v>1292308.81</v>
      </c>
      <c r="D244" s="55">
        <v>-6103527.9900000002</v>
      </c>
      <c r="E244" t="s">
        <v>931</v>
      </c>
      <c r="M244" t="s">
        <v>83</v>
      </c>
      <c r="N244" t="s">
        <v>928</v>
      </c>
    </row>
    <row r="245" spans="1:14" x14ac:dyDescent="0.25">
      <c r="A245">
        <v>308721</v>
      </c>
      <c r="B245" t="s">
        <v>586</v>
      </c>
      <c r="C245" s="55">
        <v>1280913.3400000001</v>
      </c>
      <c r="D245" s="55">
        <v>-766287.89</v>
      </c>
      <c r="E245" t="s">
        <v>931</v>
      </c>
    </row>
    <row r="246" spans="1:14" x14ac:dyDescent="0.25">
      <c r="A246">
        <v>11042</v>
      </c>
      <c r="B246" t="s">
        <v>180</v>
      </c>
      <c r="C246" s="55">
        <v>1267567.6299999999</v>
      </c>
      <c r="D246" s="55">
        <v>-9635914.9700000007</v>
      </c>
      <c r="E246" t="s">
        <v>931</v>
      </c>
      <c r="N246" t="s">
        <v>928</v>
      </c>
    </row>
    <row r="247" spans="1:14" x14ac:dyDescent="0.25">
      <c r="A247">
        <v>81422</v>
      </c>
      <c r="B247" t="s">
        <v>255</v>
      </c>
      <c r="C247" s="55">
        <v>1254105.24</v>
      </c>
      <c r="D247" s="55">
        <v>-15374009.9</v>
      </c>
      <c r="E247" t="s">
        <v>931</v>
      </c>
    </row>
    <row r="248" spans="1:14" x14ac:dyDescent="0.25">
      <c r="A248">
        <v>22722</v>
      </c>
      <c r="B248" t="s">
        <v>1061</v>
      </c>
      <c r="C248" s="55">
        <v>1253894.57</v>
      </c>
      <c r="D248" s="55">
        <v>-541474.68999999994</v>
      </c>
      <c r="E248" t="s">
        <v>931</v>
      </c>
    </row>
    <row r="249" spans="1:14" x14ac:dyDescent="0.25">
      <c r="A249">
        <v>13860</v>
      </c>
      <c r="B249" t="s">
        <v>297</v>
      </c>
      <c r="C249" s="55">
        <v>1249281.1200000001</v>
      </c>
      <c r="D249" s="55">
        <v>-5524359.4500000002</v>
      </c>
      <c r="E249" t="s">
        <v>931</v>
      </c>
      <c r="N249" t="s">
        <v>928</v>
      </c>
    </row>
    <row r="250" spans="1:14" x14ac:dyDescent="0.25">
      <c r="A250">
        <v>380204</v>
      </c>
      <c r="B250" t="s">
        <v>1062</v>
      </c>
      <c r="C250" s="55">
        <v>1227955.21</v>
      </c>
      <c r="D250" s="55">
        <v>-1832059.49</v>
      </c>
      <c r="E250" t="s">
        <v>931</v>
      </c>
    </row>
    <row r="251" spans="1:14" x14ac:dyDescent="0.25">
      <c r="A251">
        <v>11077</v>
      </c>
      <c r="B251" t="s">
        <v>424</v>
      </c>
      <c r="C251" s="55">
        <v>1225469.6000000001</v>
      </c>
      <c r="D251" s="55">
        <v>-1621953.73</v>
      </c>
      <c r="E251" t="s">
        <v>931</v>
      </c>
    </row>
    <row r="252" spans="1:14" x14ac:dyDescent="0.25">
      <c r="A252">
        <v>387860</v>
      </c>
      <c r="B252" t="s">
        <v>349</v>
      </c>
      <c r="C252" s="55">
        <v>1219888.93</v>
      </c>
      <c r="D252" s="55">
        <v>-6088637.9100000001</v>
      </c>
      <c r="E252" t="s">
        <v>931</v>
      </c>
    </row>
    <row r="253" spans="1:14" x14ac:dyDescent="0.25">
      <c r="A253">
        <v>15606</v>
      </c>
      <c r="B253" t="s">
        <v>366</v>
      </c>
      <c r="C253" s="55">
        <v>1210994.58</v>
      </c>
      <c r="D253" s="55">
        <v>-22177870.23</v>
      </c>
      <c r="E253" t="s">
        <v>931</v>
      </c>
      <c r="M253" t="s">
        <v>137</v>
      </c>
      <c r="N253" t="s">
        <v>928</v>
      </c>
    </row>
    <row r="254" spans="1:14" x14ac:dyDescent="0.25">
      <c r="A254">
        <v>36145</v>
      </c>
      <c r="B254" t="s">
        <v>1063</v>
      </c>
      <c r="C254" s="55">
        <v>1197974.05</v>
      </c>
      <c r="D254" s="55">
        <v>-4226215.3099999996</v>
      </c>
      <c r="E254" t="s">
        <v>931</v>
      </c>
      <c r="M254" t="s">
        <v>61</v>
      </c>
      <c r="N254" t="s">
        <v>928</v>
      </c>
    </row>
    <row r="255" spans="1:14" x14ac:dyDescent="0.25">
      <c r="A255">
        <v>11914</v>
      </c>
      <c r="B255" t="s">
        <v>171</v>
      </c>
      <c r="C255" s="55">
        <v>1195941.79</v>
      </c>
      <c r="D255" s="55">
        <v>-7597159.2400000002</v>
      </c>
      <c r="E255" t="s">
        <v>931</v>
      </c>
      <c r="N255" t="s">
        <v>928</v>
      </c>
    </row>
    <row r="256" spans="1:14" x14ac:dyDescent="0.25">
      <c r="A256">
        <v>6348</v>
      </c>
      <c r="B256" t="s">
        <v>648</v>
      </c>
      <c r="C256" s="55">
        <v>1187863.58</v>
      </c>
      <c r="D256" s="55">
        <v>-2679529.0099999998</v>
      </c>
      <c r="E256" t="s">
        <v>931</v>
      </c>
    </row>
    <row r="257" spans="1:14" x14ac:dyDescent="0.25">
      <c r="A257">
        <v>21434</v>
      </c>
      <c r="B257" t="s">
        <v>1064</v>
      </c>
      <c r="C257" s="55">
        <v>1181466.55</v>
      </c>
      <c r="D257" s="55">
        <v>-5079387.5999999996</v>
      </c>
      <c r="E257" t="s">
        <v>931</v>
      </c>
    </row>
    <row r="258" spans="1:14" x14ac:dyDescent="0.25">
      <c r="A258">
        <v>24687</v>
      </c>
      <c r="B258" t="s">
        <v>544</v>
      </c>
      <c r="C258" s="55">
        <v>1172837</v>
      </c>
      <c r="D258" s="55">
        <v>-1734968.7</v>
      </c>
      <c r="E258" t="s">
        <v>931</v>
      </c>
      <c r="N258" t="s">
        <v>928</v>
      </c>
    </row>
    <row r="259" spans="1:14" x14ac:dyDescent="0.25">
      <c r="A259">
        <v>33241</v>
      </c>
      <c r="B259" t="s">
        <v>387</v>
      </c>
      <c r="C259" s="55">
        <v>1156554.92</v>
      </c>
      <c r="D259" s="55">
        <v>-8755436.0999999996</v>
      </c>
      <c r="E259" t="s">
        <v>931</v>
      </c>
    </row>
    <row r="260" spans="1:14" x14ac:dyDescent="0.25">
      <c r="A260">
        <v>101113</v>
      </c>
      <c r="B260" t="s">
        <v>605</v>
      </c>
      <c r="C260" s="55">
        <v>1155107.52</v>
      </c>
      <c r="D260" s="55">
        <v>-2742676.19</v>
      </c>
      <c r="E260" t="s">
        <v>931</v>
      </c>
    </row>
    <row r="261" spans="1:14" x14ac:dyDescent="0.25">
      <c r="A261">
        <v>52480</v>
      </c>
      <c r="B261" t="s">
        <v>280</v>
      </c>
      <c r="C261" s="55">
        <v>1154248.3999999999</v>
      </c>
      <c r="D261" s="55">
        <v>-888852.26</v>
      </c>
      <c r="E261" t="s">
        <v>931</v>
      </c>
    </row>
    <row r="262" spans="1:14" x14ac:dyDescent="0.25">
      <c r="A262">
        <v>25056</v>
      </c>
      <c r="B262" t="s">
        <v>1065</v>
      </c>
      <c r="C262" s="55">
        <v>1151116.82</v>
      </c>
      <c r="D262" t="s">
        <v>845</v>
      </c>
      <c r="E262" t="s">
        <v>930</v>
      </c>
    </row>
    <row r="263" spans="1:14" x14ac:dyDescent="0.25">
      <c r="A263">
        <v>327148</v>
      </c>
      <c r="B263" t="s">
        <v>395</v>
      </c>
      <c r="C263" s="55">
        <v>1147255.18</v>
      </c>
      <c r="D263" s="55">
        <v>-2528824.2599999998</v>
      </c>
      <c r="E263" t="s">
        <v>931</v>
      </c>
    </row>
    <row r="264" spans="1:14" x14ac:dyDescent="0.25">
      <c r="A264">
        <v>21930</v>
      </c>
      <c r="B264" t="s">
        <v>1066</v>
      </c>
      <c r="C264" s="55">
        <v>1145217.1200000001</v>
      </c>
      <c r="D264" s="55">
        <v>-312113.25</v>
      </c>
      <c r="E264" t="s">
        <v>931</v>
      </c>
    </row>
    <row r="265" spans="1:14" x14ac:dyDescent="0.25">
      <c r="A265">
        <v>100370</v>
      </c>
      <c r="B265" t="s">
        <v>1067</v>
      </c>
      <c r="C265" s="55">
        <v>1142749.19</v>
      </c>
      <c r="D265" s="55">
        <v>-766031.89</v>
      </c>
      <c r="E265" t="s">
        <v>931</v>
      </c>
      <c r="M265" t="s">
        <v>107</v>
      </c>
      <c r="N265" t="s">
        <v>928</v>
      </c>
    </row>
    <row r="266" spans="1:14" x14ac:dyDescent="0.25">
      <c r="A266">
        <v>22068</v>
      </c>
      <c r="B266" t="s">
        <v>250</v>
      </c>
      <c r="C266" s="55">
        <v>1136864.42</v>
      </c>
      <c r="D266" s="55">
        <v>-3015683.31</v>
      </c>
      <c r="E266" t="s">
        <v>931</v>
      </c>
    </row>
    <row r="267" spans="1:14" x14ac:dyDescent="0.25">
      <c r="A267">
        <v>17183</v>
      </c>
      <c r="B267" t="s">
        <v>441</v>
      </c>
      <c r="C267" s="55">
        <v>1133495.3999999999</v>
      </c>
      <c r="D267" s="55">
        <v>-3580948.25</v>
      </c>
      <c r="E267" t="s">
        <v>931</v>
      </c>
    </row>
    <row r="268" spans="1:14" x14ac:dyDescent="0.25">
      <c r="A268">
        <v>16095</v>
      </c>
      <c r="B268" t="s">
        <v>1068</v>
      </c>
      <c r="C268" s="55">
        <v>1118511.79</v>
      </c>
      <c r="D268" t="s">
        <v>845</v>
      </c>
      <c r="E268" t="s">
        <v>930</v>
      </c>
    </row>
    <row r="269" spans="1:14" x14ac:dyDescent="0.25">
      <c r="A269">
        <v>52670</v>
      </c>
      <c r="B269" t="s">
        <v>438</v>
      </c>
      <c r="C269" s="55">
        <v>1116402.48</v>
      </c>
      <c r="D269" s="55">
        <v>-5547213.2699999996</v>
      </c>
      <c r="E269" t="s">
        <v>931</v>
      </c>
      <c r="M269" t="s">
        <v>932</v>
      </c>
      <c r="N269" t="s">
        <v>928</v>
      </c>
    </row>
    <row r="270" spans="1:14" x14ac:dyDescent="0.25">
      <c r="A270">
        <v>82875</v>
      </c>
      <c r="B270" t="s">
        <v>450</v>
      </c>
      <c r="C270" s="55">
        <v>1110110.6399999999</v>
      </c>
      <c r="D270" s="55">
        <v>-24127827.18</v>
      </c>
      <c r="E270" t="s">
        <v>931</v>
      </c>
    </row>
    <row r="271" spans="1:14" x14ac:dyDescent="0.25">
      <c r="A271">
        <v>328658</v>
      </c>
      <c r="B271" t="s">
        <v>398</v>
      </c>
      <c r="C271" s="55">
        <v>1107485.4099999999</v>
      </c>
      <c r="D271" s="55">
        <v>-16381345.109999999</v>
      </c>
      <c r="E271" t="s">
        <v>931</v>
      </c>
    </row>
    <row r="272" spans="1:14" x14ac:dyDescent="0.25">
      <c r="A272">
        <v>316273</v>
      </c>
      <c r="B272" t="s">
        <v>1069</v>
      </c>
      <c r="C272" s="55">
        <v>1103707.47</v>
      </c>
      <c r="D272" s="55">
        <v>-3528110.46</v>
      </c>
      <c r="E272" t="s">
        <v>931</v>
      </c>
    </row>
    <row r="273" spans="1:14" x14ac:dyDescent="0.25">
      <c r="A273">
        <v>885</v>
      </c>
      <c r="B273" t="s">
        <v>443</v>
      </c>
      <c r="C273" s="55">
        <v>1096864.3400000001</v>
      </c>
      <c r="D273" s="55">
        <v>-11360416.15</v>
      </c>
      <c r="E273" t="s">
        <v>931</v>
      </c>
    </row>
    <row r="274" spans="1:14" x14ac:dyDescent="0.25">
      <c r="A274">
        <v>329763</v>
      </c>
      <c r="B274" t="s">
        <v>590</v>
      </c>
      <c r="C274" s="55">
        <v>1090586.3400000001</v>
      </c>
      <c r="D274" s="55">
        <v>-1184874.03</v>
      </c>
      <c r="E274" t="s">
        <v>931</v>
      </c>
    </row>
    <row r="275" spans="1:14" x14ac:dyDescent="0.25">
      <c r="A275">
        <v>23490</v>
      </c>
      <c r="B275" t="s">
        <v>1070</v>
      </c>
      <c r="C275" s="55">
        <v>1087452.33</v>
      </c>
      <c r="D275" t="s">
        <v>845</v>
      </c>
      <c r="E275" t="s">
        <v>930</v>
      </c>
    </row>
    <row r="276" spans="1:14" x14ac:dyDescent="0.25">
      <c r="A276">
        <v>308421</v>
      </c>
      <c r="B276" t="s">
        <v>160</v>
      </c>
      <c r="C276" s="55">
        <v>1083868.48</v>
      </c>
      <c r="D276" s="55">
        <v>-12089199.25</v>
      </c>
      <c r="E276" t="s">
        <v>931</v>
      </c>
      <c r="N276" t="s">
        <v>928</v>
      </c>
    </row>
    <row r="277" spans="1:14" x14ac:dyDescent="0.25">
      <c r="A277">
        <v>50542</v>
      </c>
      <c r="B277" t="s">
        <v>1071</v>
      </c>
      <c r="C277" s="55">
        <v>1081686.82</v>
      </c>
      <c r="D277" s="55">
        <v>-776458.67</v>
      </c>
      <c r="E277" t="s">
        <v>931</v>
      </c>
    </row>
    <row r="278" spans="1:14" x14ac:dyDescent="0.25">
      <c r="A278">
        <v>384552</v>
      </c>
      <c r="B278" t="s">
        <v>233</v>
      </c>
      <c r="C278" s="55">
        <v>1078512.73</v>
      </c>
      <c r="D278" s="55">
        <v>-8393860.1400000006</v>
      </c>
      <c r="E278" t="s">
        <v>931</v>
      </c>
    </row>
    <row r="279" spans="1:14" x14ac:dyDescent="0.25">
      <c r="A279">
        <v>335</v>
      </c>
      <c r="B279" t="s">
        <v>1072</v>
      </c>
      <c r="C279" s="55">
        <v>1074685.98</v>
      </c>
      <c r="D279" s="55">
        <v>-6682069.2699999996</v>
      </c>
      <c r="E279" t="s">
        <v>931</v>
      </c>
    </row>
    <row r="280" spans="1:14" x14ac:dyDescent="0.25">
      <c r="A280">
        <v>208942</v>
      </c>
      <c r="B280" t="s">
        <v>1073</v>
      </c>
      <c r="C280" s="55">
        <v>1066216.7</v>
      </c>
      <c r="D280" t="s">
        <v>845</v>
      </c>
      <c r="E280" t="s">
        <v>930</v>
      </c>
    </row>
    <row r="281" spans="1:14" x14ac:dyDescent="0.25">
      <c r="A281">
        <v>20512</v>
      </c>
      <c r="B281" t="s">
        <v>348</v>
      </c>
      <c r="C281" s="55">
        <v>1057321.17</v>
      </c>
      <c r="D281" s="55">
        <v>-9622389.5500000007</v>
      </c>
      <c r="E281" t="s">
        <v>931</v>
      </c>
    </row>
    <row r="282" spans="1:14" x14ac:dyDescent="0.25">
      <c r="A282">
        <v>13111</v>
      </c>
      <c r="B282" t="s">
        <v>659</v>
      </c>
      <c r="C282" s="55">
        <v>1056021.68</v>
      </c>
      <c r="D282" s="55">
        <v>986629.58</v>
      </c>
      <c r="E282" t="s">
        <v>948</v>
      </c>
    </row>
    <row r="283" spans="1:14" x14ac:dyDescent="0.25">
      <c r="A283">
        <v>307819</v>
      </c>
      <c r="B283" t="s">
        <v>1074</v>
      </c>
      <c r="C283" s="55">
        <v>1037761.41</v>
      </c>
      <c r="D283" t="s">
        <v>845</v>
      </c>
      <c r="E283" t="s">
        <v>930</v>
      </c>
    </row>
    <row r="284" spans="1:14" x14ac:dyDescent="0.25">
      <c r="A284">
        <v>306571</v>
      </c>
      <c r="B284" t="s">
        <v>306</v>
      </c>
      <c r="C284" s="55">
        <v>1033798.44</v>
      </c>
      <c r="D284" s="55">
        <v>-6428598.2999999998</v>
      </c>
      <c r="E284" t="s">
        <v>931</v>
      </c>
    </row>
    <row r="285" spans="1:14" x14ac:dyDescent="0.25">
      <c r="A285">
        <v>392084</v>
      </c>
      <c r="B285" t="s">
        <v>1075</v>
      </c>
      <c r="C285" s="55">
        <v>1033787.08</v>
      </c>
      <c r="D285" s="55">
        <v>-2145506.83</v>
      </c>
      <c r="E285" t="s">
        <v>931</v>
      </c>
    </row>
    <row r="286" spans="1:14" x14ac:dyDescent="0.25">
      <c r="A286">
        <v>25237</v>
      </c>
      <c r="B286" t="s">
        <v>1076</v>
      </c>
      <c r="C286" s="55">
        <v>1031796.94</v>
      </c>
      <c r="D286" t="s">
        <v>845</v>
      </c>
      <c r="E286" t="s">
        <v>930</v>
      </c>
    </row>
    <row r="287" spans="1:14" x14ac:dyDescent="0.25">
      <c r="A287">
        <v>3137</v>
      </c>
      <c r="B287" t="s">
        <v>302</v>
      </c>
      <c r="C287" s="55">
        <v>1024896.45</v>
      </c>
      <c r="D287" s="55">
        <v>-6388040.6100000003</v>
      </c>
      <c r="E287" t="s">
        <v>931</v>
      </c>
      <c r="F287" t="s">
        <v>962</v>
      </c>
      <c r="K287" t="s">
        <v>189</v>
      </c>
      <c r="N287" t="s">
        <v>928</v>
      </c>
    </row>
    <row r="288" spans="1:14" x14ac:dyDescent="0.25">
      <c r="A288">
        <v>20016</v>
      </c>
      <c r="B288" t="s">
        <v>476</v>
      </c>
      <c r="C288" s="55">
        <v>1024392.6</v>
      </c>
      <c r="D288" s="55">
        <v>-13024805.24</v>
      </c>
      <c r="E288" t="s">
        <v>931</v>
      </c>
      <c r="N288" t="s">
        <v>928</v>
      </c>
    </row>
    <row r="289" spans="1:14" x14ac:dyDescent="0.25">
      <c r="A289">
        <v>23533</v>
      </c>
      <c r="B289" t="s">
        <v>1077</v>
      </c>
      <c r="C289" s="55">
        <v>1013055.33</v>
      </c>
      <c r="D289" t="s">
        <v>845</v>
      </c>
      <c r="E289" t="s">
        <v>930</v>
      </c>
    </row>
    <row r="290" spans="1:14" x14ac:dyDescent="0.25">
      <c r="A290">
        <v>2949</v>
      </c>
      <c r="B290" t="s">
        <v>728</v>
      </c>
      <c r="C290" s="55">
        <v>1009604.68</v>
      </c>
      <c r="D290" s="55">
        <v>-3597606.75</v>
      </c>
      <c r="E290" t="s">
        <v>931</v>
      </c>
      <c r="N290" t="s">
        <v>928</v>
      </c>
    </row>
    <row r="291" spans="1:14" x14ac:dyDescent="0.25">
      <c r="A291">
        <v>659</v>
      </c>
      <c r="B291" t="s">
        <v>1078</v>
      </c>
      <c r="C291" s="55">
        <v>1009330.47</v>
      </c>
      <c r="D291" t="s">
        <v>845</v>
      </c>
      <c r="E291" t="s">
        <v>930</v>
      </c>
    </row>
    <row r="292" spans="1:14" x14ac:dyDescent="0.25">
      <c r="A292">
        <v>50989</v>
      </c>
      <c r="B292" t="s">
        <v>569</v>
      </c>
      <c r="C292" s="55">
        <v>1006828.75</v>
      </c>
      <c r="D292" s="55">
        <v>-3512343.79</v>
      </c>
      <c r="E292" t="s">
        <v>931</v>
      </c>
    </row>
    <row r="293" spans="1:14" x14ac:dyDescent="0.25">
      <c r="A293">
        <v>392092</v>
      </c>
      <c r="B293" t="s">
        <v>458</v>
      </c>
      <c r="C293" s="55">
        <v>1003100.45</v>
      </c>
      <c r="D293" s="55">
        <v>-3223300.85</v>
      </c>
      <c r="E293" t="s">
        <v>931</v>
      </c>
      <c r="M293" t="s">
        <v>107</v>
      </c>
      <c r="N293" t="s">
        <v>928</v>
      </c>
    </row>
    <row r="294" spans="1:14" x14ac:dyDescent="0.25">
      <c r="A294">
        <v>14833</v>
      </c>
      <c r="B294" t="s">
        <v>226</v>
      </c>
      <c r="C294" s="55">
        <v>989331.12</v>
      </c>
      <c r="D294" s="55">
        <v>-6784899.3499999996</v>
      </c>
      <c r="E294" t="s">
        <v>931</v>
      </c>
    </row>
    <row r="295" spans="1:14" x14ac:dyDescent="0.25">
      <c r="A295">
        <v>943</v>
      </c>
      <c r="B295" t="s">
        <v>380</v>
      </c>
      <c r="C295" s="55">
        <v>987815.31</v>
      </c>
      <c r="D295" s="55">
        <v>-2695338.3</v>
      </c>
      <c r="E295" t="s">
        <v>931</v>
      </c>
    </row>
    <row r="296" spans="1:14" x14ac:dyDescent="0.25">
      <c r="A296">
        <v>304030</v>
      </c>
      <c r="B296" t="s">
        <v>1079</v>
      </c>
      <c r="C296" s="55">
        <v>984038.63</v>
      </c>
      <c r="D296" t="s">
        <v>845</v>
      </c>
      <c r="E296" t="s">
        <v>930</v>
      </c>
    </row>
    <row r="297" spans="1:14" x14ac:dyDescent="0.25">
      <c r="A297">
        <v>307900</v>
      </c>
      <c r="B297" t="s">
        <v>429</v>
      </c>
      <c r="C297" s="55">
        <v>976666.06</v>
      </c>
      <c r="D297" s="55">
        <v>-1385698.54</v>
      </c>
      <c r="E297" t="s">
        <v>931</v>
      </c>
    </row>
    <row r="298" spans="1:14" x14ac:dyDescent="0.25">
      <c r="A298">
        <v>7542</v>
      </c>
      <c r="B298" t="s">
        <v>376</v>
      </c>
      <c r="C298" s="55">
        <v>969861.16</v>
      </c>
      <c r="D298" s="55">
        <v>-5848442.4299999997</v>
      </c>
      <c r="E298" t="s">
        <v>931</v>
      </c>
    </row>
    <row r="299" spans="1:14" x14ac:dyDescent="0.25">
      <c r="A299">
        <v>53256</v>
      </c>
      <c r="B299" t="s">
        <v>260</v>
      </c>
      <c r="C299" s="55">
        <v>969636.03</v>
      </c>
      <c r="D299" s="55">
        <v>-4568380.6900000004</v>
      </c>
      <c r="E299" t="s">
        <v>931</v>
      </c>
    </row>
    <row r="300" spans="1:14" x14ac:dyDescent="0.25">
      <c r="A300">
        <v>395350</v>
      </c>
      <c r="B300" t="s">
        <v>1080</v>
      </c>
      <c r="C300" s="55">
        <v>960587.5</v>
      </c>
      <c r="D300" s="55">
        <v>-5333146.54</v>
      </c>
      <c r="E300" t="s">
        <v>931</v>
      </c>
    </row>
    <row r="301" spans="1:14" x14ac:dyDescent="0.25">
      <c r="A301">
        <v>21356</v>
      </c>
      <c r="B301" t="s">
        <v>249</v>
      </c>
      <c r="C301" s="55">
        <v>956210.21</v>
      </c>
      <c r="D301" s="55">
        <v>-1661451.55</v>
      </c>
      <c r="E301" t="s">
        <v>931</v>
      </c>
      <c r="N301" t="s">
        <v>928</v>
      </c>
    </row>
    <row r="302" spans="1:14" x14ac:dyDescent="0.25">
      <c r="A302">
        <v>48298</v>
      </c>
      <c r="B302" t="s">
        <v>287</v>
      </c>
      <c r="C302" s="55">
        <v>954257.95</v>
      </c>
      <c r="D302" s="55">
        <v>-3755275.13</v>
      </c>
      <c r="E302" t="s">
        <v>931</v>
      </c>
      <c r="N302" t="s">
        <v>928</v>
      </c>
    </row>
    <row r="303" spans="1:14" x14ac:dyDescent="0.25">
      <c r="A303">
        <v>7034</v>
      </c>
      <c r="B303" t="s">
        <v>525</v>
      </c>
      <c r="C303" s="55">
        <v>948399.76</v>
      </c>
      <c r="D303" s="55">
        <v>-16185045.49</v>
      </c>
      <c r="E303" t="s">
        <v>931</v>
      </c>
    </row>
    <row r="304" spans="1:14" x14ac:dyDescent="0.25">
      <c r="A304">
        <v>96610</v>
      </c>
      <c r="B304" t="s">
        <v>460</v>
      </c>
      <c r="C304" s="55">
        <v>934232.13</v>
      </c>
      <c r="D304" s="55">
        <v>-3381481.58</v>
      </c>
      <c r="E304" t="s">
        <v>931</v>
      </c>
    </row>
    <row r="305" spans="1:14" x14ac:dyDescent="0.25">
      <c r="A305">
        <v>21845</v>
      </c>
      <c r="B305" t="s">
        <v>249</v>
      </c>
      <c r="C305" s="55">
        <v>926636.9</v>
      </c>
      <c r="D305" s="55">
        <v>-6337724.1799999997</v>
      </c>
      <c r="E305" t="s">
        <v>931</v>
      </c>
    </row>
    <row r="306" spans="1:14" x14ac:dyDescent="0.25">
      <c r="A306">
        <v>55798</v>
      </c>
      <c r="B306" t="s">
        <v>273</v>
      </c>
      <c r="C306" s="55">
        <v>925108.34</v>
      </c>
      <c r="D306" s="55">
        <v>-6489321.5999999996</v>
      </c>
      <c r="E306" t="s">
        <v>931</v>
      </c>
      <c r="N306" t="s">
        <v>928</v>
      </c>
    </row>
    <row r="307" spans="1:14" x14ac:dyDescent="0.25">
      <c r="A307">
        <v>17806</v>
      </c>
      <c r="B307" t="s">
        <v>1081</v>
      </c>
      <c r="C307" s="55">
        <v>922231.09</v>
      </c>
      <c r="D307" s="55">
        <v>-39300.71</v>
      </c>
      <c r="E307" t="s">
        <v>931</v>
      </c>
    </row>
    <row r="308" spans="1:14" x14ac:dyDescent="0.25">
      <c r="A308">
        <v>51722</v>
      </c>
      <c r="B308" t="s">
        <v>1082</v>
      </c>
      <c r="C308" s="55">
        <v>915303.42</v>
      </c>
      <c r="D308" t="s">
        <v>845</v>
      </c>
      <c r="E308" t="s">
        <v>930</v>
      </c>
    </row>
    <row r="309" spans="1:14" x14ac:dyDescent="0.25">
      <c r="A309">
        <v>43463</v>
      </c>
      <c r="B309" t="s">
        <v>281</v>
      </c>
      <c r="C309" s="55">
        <v>914343</v>
      </c>
      <c r="D309" s="55">
        <v>-12845935.140000001</v>
      </c>
      <c r="E309" t="s">
        <v>931</v>
      </c>
      <c r="N309" t="s">
        <v>928</v>
      </c>
    </row>
    <row r="310" spans="1:14" x14ac:dyDescent="0.25">
      <c r="A310">
        <v>16068</v>
      </c>
      <c r="B310" t="s">
        <v>263</v>
      </c>
      <c r="C310" s="55">
        <v>894050.83</v>
      </c>
      <c r="D310" s="55">
        <v>-479125.89</v>
      </c>
      <c r="E310" t="s">
        <v>931</v>
      </c>
    </row>
    <row r="311" spans="1:14" x14ac:dyDescent="0.25">
      <c r="A311">
        <v>8599</v>
      </c>
      <c r="B311" t="s">
        <v>1083</v>
      </c>
      <c r="C311" s="55">
        <v>886876.54</v>
      </c>
      <c r="D311" s="55">
        <v>-1547605.12</v>
      </c>
      <c r="E311" t="s">
        <v>931</v>
      </c>
    </row>
    <row r="312" spans="1:14" x14ac:dyDescent="0.25">
      <c r="A312">
        <v>333823</v>
      </c>
      <c r="B312" t="s">
        <v>1084</v>
      </c>
      <c r="C312" s="55">
        <v>884283.75</v>
      </c>
      <c r="D312" s="55">
        <v>-6630.85</v>
      </c>
      <c r="E312" t="s">
        <v>931</v>
      </c>
    </row>
    <row r="313" spans="1:14" x14ac:dyDescent="0.25">
      <c r="A313">
        <v>86199</v>
      </c>
      <c r="B313" t="s">
        <v>568</v>
      </c>
      <c r="C313" s="55">
        <v>872274.14</v>
      </c>
      <c r="D313" s="55">
        <v>-5062411.83</v>
      </c>
      <c r="E313" t="s">
        <v>931</v>
      </c>
    </row>
    <row r="314" spans="1:14" x14ac:dyDescent="0.25">
      <c r="A314">
        <v>3806</v>
      </c>
      <c r="B314" t="s">
        <v>358</v>
      </c>
      <c r="C314" s="55">
        <v>871716.24</v>
      </c>
      <c r="D314" s="55">
        <v>-2694790.96</v>
      </c>
      <c r="E314" t="s">
        <v>931</v>
      </c>
    </row>
    <row r="315" spans="1:14" x14ac:dyDescent="0.25">
      <c r="A315">
        <v>389783</v>
      </c>
      <c r="B315" t="s">
        <v>235</v>
      </c>
      <c r="C315" s="55">
        <v>857399.01</v>
      </c>
      <c r="D315" s="55">
        <v>-8493728.4399999995</v>
      </c>
      <c r="E315" t="s">
        <v>931</v>
      </c>
    </row>
    <row r="316" spans="1:14" x14ac:dyDescent="0.25">
      <c r="A316">
        <v>397315</v>
      </c>
      <c r="B316" t="s">
        <v>420</v>
      </c>
      <c r="C316" s="55">
        <v>855199.97</v>
      </c>
      <c r="D316" s="55">
        <v>-7186796.7800000003</v>
      </c>
      <c r="E316" t="s">
        <v>931</v>
      </c>
      <c r="M316" t="s">
        <v>94</v>
      </c>
      <c r="N316" t="s">
        <v>928</v>
      </c>
    </row>
    <row r="317" spans="1:14" x14ac:dyDescent="0.25">
      <c r="A317">
        <v>66951</v>
      </c>
      <c r="B317" t="s">
        <v>564</v>
      </c>
      <c r="C317" s="55">
        <v>855143.04</v>
      </c>
      <c r="D317" s="55">
        <v>-1109324.05</v>
      </c>
      <c r="E317" t="s">
        <v>931</v>
      </c>
      <c r="M317" t="s">
        <v>112</v>
      </c>
    </row>
    <row r="318" spans="1:14" x14ac:dyDescent="0.25">
      <c r="A318">
        <v>22140</v>
      </c>
      <c r="B318" t="s">
        <v>1085</v>
      </c>
      <c r="C318" s="55">
        <v>853719.54</v>
      </c>
      <c r="D318" t="s">
        <v>845</v>
      </c>
      <c r="E318" t="s">
        <v>930</v>
      </c>
    </row>
    <row r="319" spans="1:14" x14ac:dyDescent="0.25">
      <c r="A319">
        <v>40279</v>
      </c>
      <c r="B319" t="s">
        <v>389</v>
      </c>
      <c r="C319" s="55">
        <v>847652.48</v>
      </c>
      <c r="D319" s="55">
        <v>-5053824.66</v>
      </c>
      <c r="E319" t="s">
        <v>931</v>
      </c>
    </row>
    <row r="320" spans="1:14" x14ac:dyDescent="0.25">
      <c r="A320">
        <v>92189</v>
      </c>
      <c r="B320" t="s">
        <v>1086</v>
      </c>
      <c r="C320" s="55">
        <v>836999.92</v>
      </c>
      <c r="D320" s="55">
        <v>-28670.16</v>
      </c>
      <c r="E320" t="s">
        <v>931</v>
      </c>
    </row>
    <row r="321" spans="1:14" x14ac:dyDescent="0.25">
      <c r="A321">
        <v>76067</v>
      </c>
      <c r="B321" t="s">
        <v>334</v>
      </c>
      <c r="C321" s="55">
        <v>834951.18</v>
      </c>
      <c r="D321" s="55">
        <v>-4544126.32</v>
      </c>
      <c r="E321" t="s">
        <v>931</v>
      </c>
    </row>
    <row r="322" spans="1:14" x14ac:dyDescent="0.25">
      <c r="A322">
        <v>33571</v>
      </c>
      <c r="B322" t="s">
        <v>264</v>
      </c>
      <c r="C322" s="55">
        <v>832738.77</v>
      </c>
      <c r="D322" s="55">
        <v>-766699.53</v>
      </c>
      <c r="E322" t="s">
        <v>931</v>
      </c>
    </row>
    <row r="323" spans="1:14" x14ac:dyDescent="0.25">
      <c r="A323">
        <v>387183</v>
      </c>
      <c r="B323" t="s">
        <v>253</v>
      </c>
      <c r="C323" s="55">
        <v>831703.47</v>
      </c>
      <c r="D323" s="55">
        <v>-6395271.8399999999</v>
      </c>
      <c r="E323" t="s">
        <v>931</v>
      </c>
    </row>
    <row r="324" spans="1:14" x14ac:dyDescent="0.25">
      <c r="A324">
        <v>34801</v>
      </c>
      <c r="B324" t="s">
        <v>214</v>
      </c>
      <c r="C324" s="55">
        <v>830451.08</v>
      </c>
      <c r="D324" s="55">
        <v>-6023189.3399999999</v>
      </c>
      <c r="E324" t="s">
        <v>931</v>
      </c>
      <c r="M324" t="s">
        <v>216</v>
      </c>
    </row>
    <row r="325" spans="1:14" x14ac:dyDescent="0.25">
      <c r="A325">
        <v>373894</v>
      </c>
      <c r="B325" t="s">
        <v>332</v>
      </c>
      <c r="C325" s="55">
        <v>829228.05</v>
      </c>
      <c r="D325" s="55">
        <v>-4956763.1900000004</v>
      </c>
      <c r="E325" t="s">
        <v>931</v>
      </c>
    </row>
    <row r="326" spans="1:14" x14ac:dyDescent="0.25">
      <c r="A326">
        <v>61077</v>
      </c>
      <c r="B326" t="s">
        <v>461</v>
      </c>
      <c r="C326" s="55">
        <v>827313.65</v>
      </c>
      <c r="D326" s="55">
        <v>-116824.55</v>
      </c>
      <c r="E326" t="s">
        <v>931</v>
      </c>
      <c r="M326" t="s">
        <v>119</v>
      </c>
      <c r="N326" t="s">
        <v>928</v>
      </c>
    </row>
    <row r="327" spans="1:14" x14ac:dyDescent="0.25">
      <c r="A327">
        <v>24125</v>
      </c>
      <c r="B327" t="s">
        <v>712</v>
      </c>
      <c r="C327" s="55">
        <v>823926.19</v>
      </c>
      <c r="D327" s="55">
        <v>-398789.76</v>
      </c>
      <c r="E327" t="s">
        <v>931</v>
      </c>
    </row>
    <row r="328" spans="1:14" x14ac:dyDescent="0.25">
      <c r="A328">
        <v>315838</v>
      </c>
      <c r="B328" t="s">
        <v>372</v>
      </c>
      <c r="C328" s="55">
        <v>823139.12</v>
      </c>
      <c r="D328" s="55">
        <v>-5787199.7599999998</v>
      </c>
      <c r="E328" t="s">
        <v>931</v>
      </c>
    </row>
    <row r="329" spans="1:14" x14ac:dyDescent="0.25">
      <c r="A329">
        <v>18155</v>
      </c>
      <c r="B329" t="s">
        <v>1087</v>
      </c>
      <c r="C329" s="55">
        <v>814512.44</v>
      </c>
      <c r="D329" s="55">
        <v>-3768655.82</v>
      </c>
      <c r="E329" t="s">
        <v>931</v>
      </c>
    </row>
    <row r="330" spans="1:14" x14ac:dyDescent="0.25">
      <c r="A330">
        <v>6346</v>
      </c>
      <c r="B330" t="s">
        <v>362</v>
      </c>
      <c r="C330" s="55">
        <v>806997.24</v>
      </c>
      <c r="D330" s="55">
        <v>-6028713.8399999999</v>
      </c>
      <c r="E330" t="s">
        <v>931</v>
      </c>
    </row>
    <row r="331" spans="1:14" x14ac:dyDescent="0.25">
      <c r="A331">
        <v>71233</v>
      </c>
      <c r="B331" t="s">
        <v>292</v>
      </c>
      <c r="C331" s="55">
        <v>801618.89</v>
      </c>
      <c r="D331" s="55">
        <v>-4628690.33</v>
      </c>
      <c r="E331" t="s">
        <v>931</v>
      </c>
      <c r="N331" t="s">
        <v>928</v>
      </c>
    </row>
    <row r="332" spans="1:14" x14ac:dyDescent="0.25">
      <c r="A332">
        <v>8684</v>
      </c>
      <c r="B332" t="s">
        <v>423</v>
      </c>
      <c r="C332" s="55">
        <v>796521.4</v>
      </c>
      <c r="D332" s="55">
        <v>-1745118.4</v>
      </c>
      <c r="E332" t="s">
        <v>931</v>
      </c>
    </row>
    <row r="333" spans="1:14" x14ac:dyDescent="0.25">
      <c r="A333">
        <v>9957</v>
      </c>
      <c r="B333" t="s">
        <v>501</v>
      </c>
      <c r="C333" s="55">
        <v>793735.48</v>
      </c>
      <c r="D333" s="55">
        <v>-8425450.8399999999</v>
      </c>
      <c r="E333" t="s">
        <v>931</v>
      </c>
    </row>
    <row r="334" spans="1:14" x14ac:dyDescent="0.25">
      <c r="A334">
        <v>383505</v>
      </c>
      <c r="B334" t="s">
        <v>1088</v>
      </c>
      <c r="C334" s="55">
        <v>793123.71</v>
      </c>
      <c r="D334" s="55">
        <v>-433586.59</v>
      </c>
      <c r="E334" t="s">
        <v>931</v>
      </c>
    </row>
    <row r="335" spans="1:14" x14ac:dyDescent="0.25">
      <c r="A335">
        <v>17219</v>
      </c>
      <c r="B335" t="s">
        <v>1089</v>
      </c>
      <c r="C335" s="55">
        <v>788337.65</v>
      </c>
      <c r="D335" s="55">
        <v>-1211869.79</v>
      </c>
      <c r="E335" t="s">
        <v>931</v>
      </c>
    </row>
    <row r="336" spans="1:14" x14ac:dyDescent="0.25">
      <c r="A336">
        <v>23709</v>
      </c>
      <c r="B336" t="s">
        <v>1090</v>
      </c>
      <c r="C336" s="55">
        <v>786253.4</v>
      </c>
      <c r="D336" t="s">
        <v>845</v>
      </c>
      <c r="E336" t="s">
        <v>930</v>
      </c>
    </row>
    <row r="337" spans="1:14" x14ac:dyDescent="0.25">
      <c r="A337">
        <v>3773</v>
      </c>
      <c r="B337" t="s">
        <v>475</v>
      </c>
      <c r="C337" s="55">
        <v>783936.82</v>
      </c>
      <c r="D337" s="55">
        <v>-8937081.9700000007</v>
      </c>
      <c r="E337" t="s">
        <v>931</v>
      </c>
      <c r="M337" t="s">
        <v>91</v>
      </c>
      <c r="N337" t="s">
        <v>928</v>
      </c>
    </row>
    <row r="338" spans="1:14" x14ac:dyDescent="0.25">
      <c r="A338">
        <v>54999</v>
      </c>
      <c r="B338" t="s">
        <v>360</v>
      </c>
      <c r="C338" s="55">
        <v>782840.94</v>
      </c>
      <c r="D338" s="55">
        <v>-2211207.62</v>
      </c>
      <c r="E338" t="s">
        <v>931</v>
      </c>
    </row>
    <row r="339" spans="1:14" x14ac:dyDescent="0.25">
      <c r="A339">
        <v>39974</v>
      </c>
      <c r="B339" t="s">
        <v>1091</v>
      </c>
      <c r="C339" s="55">
        <v>773849.69</v>
      </c>
      <c r="D339" t="s">
        <v>845</v>
      </c>
      <c r="E339" t="s">
        <v>930</v>
      </c>
    </row>
    <row r="340" spans="1:14" x14ac:dyDescent="0.25">
      <c r="A340">
        <v>19236</v>
      </c>
      <c r="B340" t="s">
        <v>1092</v>
      </c>
      <c r="C340" s="55">
        <v>767547.53</v>
      </c>
      <c r="D340" t="s">
        <v>845</v>
      </c>
      <c r="E340" t="s">
        <v>930</v>
      </c>
    </row>
    <row r="341" spans="1:14" x14ac:dyDescent="0.25">
      <c r="A341">
        <v>58958</v>
      </c>
      <c r="B341" t="s">
        <v>251</v>
      </c>
      <c r="C341" s="55">
        <v>763595.94</v>
      </c>
      <c r="D341" s="55">
        <v>-8524088.4399999995</v>
      </c>
      <c r="E341" t="s">
        <v>931</v>
      </c>
    </row>
    <row r="342" spans="1:14" x14ac:dyDescent="0.25">
      <c r="A342">
        <v>5330</v>
      </c>
      <c r="B342" t="s">
        <v>245</v>
      </c>
      <c r="C342" s="55">
        <v>748824.76</v>
      </c>
      <c r="D342" s="55">
        <v>-3821862.61</v>
      </c>
      <c r="E342" t="s">
        <v>931</v>
      </c>
      <c r="N342" t="s">
        <v>928</v>
      </c>
    </row>
    <row r="343" spans="1:14" x14ac:dyDescent="0.25">
      <c r="A343">
        <v>836</v>
      </c>
      <c r="B343" t="s">
        <v>1093</v>
      </c>
      <c r="C343" s="55">
        <v>748108.72</v>
      </c>
      <c r="D343" t="s">
        <v>845</v>
      </c>
      <c r="E343" t="s">
        <v>930</v>
      </c>
    </row>
    <row r="344" spans="1:14" x14ac:dyDescent="0.25">
      <c r="A344">
        <v>11619</v>
      </c>
      <c r="B344" t="s">
        <v>463</v>
      </c>
      <c r="C344" s="55">
        <v>743381.88</v>
      </c>
      <c r="D344" s="55">
        <v>-14495016.34</v>
      </c>
      <c r="E344" t="s">
        <v>931</v>
      </c>
    </row>
    <row r="345" spans="1:14" x14ac:dyDescent="0.25">
      <c r="A345">
        <v>78055</v>
      </c>
      <c r="B345" t="s">
        <v>1094</v>
      </c>
      <c r="C345" s="55">
        <v>736461.67</v>
      </c>
      <c r="D345" s="55">
        <v>1185632.7</v>
      </c>
      <c r="E345" t="s">
        <v>948</v>
      </c>
    </row>
    <row r="346" spans="1:14" x14ac:dyDescent="0.25">
      <c r="A346">
        <v>24332</v>
      </c>
      <c r="B346" t="s">
        <v>1095</v>
      </c>
      <c r="C346" s="55">
        <v>731715.15</v>
      </c>
      <c r="D346" t="s">
        <v>845</v>
      </c>
      <c r="E346" t="s">
        <v>930</v>
      </c>
    </row>
    <row r="347" spans="1:14" x14ac:dyDescent="0.25">
      <c r="A347">
        <v>61846</v>
      </c>
      <c r="B347" t="s">
        <v>483</v>
      </c>
      <c r="C347" s="55">
        <v>727843.87</v>
      </c>
      <c r="D347" s="55">
        <v>-4253346.8499999996</v>
      </c>
      <c r="E347" t="s">
        <v>931</v>
      </c>
    </row>
    <row r="348" spans="1:14" x14ac:dyDescent="0.25">
      <c r="A348">
        <v>325977</v>
      </c>
      <c r="B348" t="s">
        <v>1096</v>
      </c>
      <c r="C348" s="55">
        <v>727279.17</v>
      </c>
      <c r="D348" s="55">
        <v>-7178915.9500000002</v>
      </c>
      <c r="E348" t="s">
        <v>931</v>
      </c>
    </row>
    <row r="349" spans="1:14" x14ac:dyDescent="0.25">
      <c r="A349">
        <v>20456</v>
      </c>
      <c r="B349" t="s">
        <v>523</v>
      </c>
      <c r="C349" s="55">
        <v>722116.81</v>
      </c>
      <c r="D349" s="55">
        <v>-854444.75</v>
      </c>
      <c r="E349" t="s">
        <v>931</v>
      </c>
      <c r="N349" t="s">
        <v>928</v>
      </c>
    </row>
    <row r="350" spans="1:14" x14ac:dyDescent="0.25">
      <c r="A350">
        <v>399139</v>
      </c>
      <c r="B350" t="s">
        <v>1097</v>
      </c>
      <c r="C350" s="55">
        <v>717937.58</v>
      </c>
      <c r="D350" s="55">
        <v>264173.34999999998</v>
      </c>
      <c r="E350" t="s">
        <v>948</v>
      </c>
    </row>
    <row r="351" spans="1:14" x14ac:dyDescent="0.25">
      <c r="A351">
        <v>90647</v>
      </c>
      <c r="B351" t="s">
        <v>515</v>
      </c>
      <c r="C351" s="55">
        <v>714437.37</v>
      </c>
      <c r="D351" s="55">
        <v>-111995.49</v>
      </c>
      <c r="E351" t="s">
        <v>931</v>
      </c>
    </row>
    <row r="352" spans="1:14" x14ac:dyDescent="0.25">
      <c r="A352">
        <v>393140</v>
      </c>
      <c r="B352" t="s">
        <v>1098</v>
      </c>
      <c r="C352" s="55">
        <v>704720.63</v>
      </c>
      <c r="D352" s="55">
        <v>-2046515.78</v>
      </c>
      <c r="E352" t="s">
        <v>931</v>
      </c>
    </row>
    <row r="353" spans="1:14" x14ac:dyDescent="0.25">
      <c r="A353">
        <v>47613</v>
      </c>
      <c r="B353" t="s">
        <v>1099</v>
      </c>
      <c r="C353" s="55">
        <v>694493.46</v>
      </c>
      <c r="D353" t="s">
        <v>845</v>
      </c>
      <c r="E353" t="s">
        <v>930</v>
      </c>
      <c r="M353" t="s">
        <v>76</v>
      </c>
      <c r="N353" t="s">
        <v>928</v>
      </c>
    </row>
    <row r="354" spans="1:14" x14ac:dyDescent="0.25">
      <c r="A354">
        <v>381467</v>
      </c>
      <c r="B354" t="s">
        <v>336</v>
      </c>
      <c r="C354" s="55">
        <v>692002.19</v>
      </c>
      <c r="D354" s="55">
        <v>-2632457.4</v>
      </c>
      <c r="E354" t="s">
        <v>931</v>
      </c>
      <c r="N354" t="s">
        <v>928</v>
      </c>
    </row>
    <row r="355" spans="1:14" x14ac:dyDescent="0.25">
      <c r="A355">
        <v>314567</v>
      </c>
      <c r="B355" t="s">
        <v>553</v>
      </c>
      <c r="C355" s="55">
        <v>685775.42</v>
      </c>
      <c r="D355" s="55">
        <v>-9296338.6500000004</v>
      </c>
      <c r="E355" t="s">
        <v>931</v>
      </c>
    </row>
    <row r="356" spans="1:14" x14ac:dyDescent="0.25">
      <c r="A356">
        <v>390252</v>
      </c>
      <c r="B356" t="s">
        <v>1100</v>
      </c>
      <c r="C356" s="55">
        <v>681804.32</v>
      </c>
      <c r="D356" s="55">
        <v>-2616230.4900000002</v>
      </c>
      <c r="E356" t="s">
        <v>931</v>
      </c>
    </row>
    <row r="357" spans="1:14" x14ac:dyDescent="0.25">
      <c r="A357">
        <v>214913</v>
      </c>
      <c r="B357" t="s">
        <v>1101</v>
      </c>
      <c r="C357" s="55">
        <v>676491.06</v>
      </c>
      <c r="D357" s="55">
        <v>-777200.98</v>
      </c>
      <c r="E357" t="s">
        <v>931</v>
      </c>
    </row>
    <row r="358" spans="1:14" x14ac:dyDescent="0.25">
      <c r="A358">
        <v>313072</v>
      </c>
      <c r="B358" t="s">
        <v>1102</v>
      </c>
      <c r="C358" s="55">
        <v>676040.49</v>
      </c>
      <c r="D358" t="s">
        <v>845</v>
      </c>
      <c r="E358" t="s">
        <v>930</v>
      </c>
    </row>
    <row r="359" spans="1:14" x14ac:dyDescent="0.25">
      <c r="A359">
        <v>316893</v>
      </c>
      <c r="B359" t="s">
        <v>1103</v>
      </c>
      <c r="C359" s="55">
        <v>674623.04</v>
      </c>
      <c r="D359" s="55">
        <v>-6431448.21</v>
      </c>
      <c r="E359" t="s">
        <v>931</v>
      </c>
    </row>
    <row r="360" spans="1:14" x14ac:dyDescent="0.25">
      <c r="A360">
        <v>23744</v>
      </c>
      <c r="B360" t="s">
        <v>1104</v>
      </c>
      <c r="C360" s="55">
        <v>663157.54</v>
      </c>
      <c r="D360" t="s">
        <v>845</v>
      </c>
      <c r="E360" t="s">
        <v>930</v>
      </c>
    </row>
    <row r="361" spans="1:14" x14ac:dyDescent="0.25">
      <c r="A361">
        <v>342899</v>
      </c>
      <c r="B361" t="s">
        <v>1105</v>
      </c>
      <c r="C361" s="55">
        <v>655362.6</v>
      </c>
      <c r="D361" s="55">
        <v>-34441.599999999999</v>
      </c>
      <c r="E361" t="s">
        <v>931</v>
      </c>
    </row>
    <row r="362" spans="1:14" x14ac:dyDescent="0.25">
      <c r="A362">
        <v>11544</v>
      </c>
      <c r="B362" t="s">
        <v>369</v>
      </c>
      <c r="C362" s="55">
        <v>649966.56000000006</v>
      </c>
      <c r="D362" s="55">
        <v>-6754255.8700000001</v>
      </c>
      <c r="E362" t="s">
        <v>931</v>
      </c>
    </row>
    <row r="363" spans="1:14" x14ac:dyDescent="0.25">
      <c r="A363">
        <v>39057</v>
      </c>
      <c r="B363" t="s">
        <v>278</v>
      </c>
      <c r="C363" s="55">
        <v>644172.1</v>
      </c>
      <c r="D363" s="55">
        <v>-8338006.4900000002</v>
      </c>
      <c r="E363" t="s">
        <v>931</v>
      </c>
    </row>
    <row r="364" spans="1:14" x14ac:dyDescent="0.25">
      <c r="A364">
        <v>69310</v>
      </c>
      <c r="B364" t="s">
        <v>1106</v>
      </c>
      <c r="C364" s="55">
        <v>644065.12</v>
      </c>
      <c r="D364" t="s">
        <v>845</v>
      </c>
      <c r="E364" t="s">
        <v>930</v>
      </c>
    </row>
    <row r="365" spans="1:14" x14ac:dyDescent="0.25">
      <c r="A365">
        <v>90589</v>
      </c>
      <c r="B365" t="s">
        <v>375</v>
      </c>
      <c r="C365" s="55">
        <v>639142.39</v>
      </c>
      <c r="D365" s="55">
        <v>-2456760.08</v>
      </c>
      <c r="E365" t="s">
        <v>931</v>
      </c>
    </row>
    <row r="366" spans="1:14" x14ac:dyDescent="0.25">
      <c r="A366">
        <v>315002</v>
      </c>
      <c r="B366" t="s">
        <v>1107</v>
      </c>
      <c r="C366" s="55">
        <v>638733.80000000005</v>
      </c>
      <c r="D366" s="55">
        <v>-881648.36</v>
      </c>
      <c r="E366" t="s">
        <v>931</v>
      </c>
    </row>
    <row r="367" spans="1:14" x14ac:dyDescent="0.25">
      <c r="A367">
        <v>387977</v>
      </c>
      <c r="B367" t="s">
        <v>377</v>
      </c>
      <c r="C367" s="55">
        <v>637644.14</v>
      </c>
      <c r="D367" s="55">
        <v>-788083.57</v>
      </c>
      <c r="E367" t="s">
        <v>931</v>
      </c>
      <c r="M367" t="s">
        <v>112</v>
      </c>
    </row>
    <row r="368" spans="1:14" x14ac:dyDescent="0.25">
      <c r="A368">
        <v>21753</v>
      </c>
      <c r="B368" t="s">
        <v>638</v>
      </c>
      <c r="C368" s="55">
        <v>630148.76</v>
      </c>
      <c r="D368" s="55">
        <v>-2035574.45</v>
      </c>
      <c r="E368" t="s">
        <v>931</v>
      </c>
    </row>
    <row r="369" spans="1:14" x14ac:dyDescent="0.25">
      <c r="A369">
        <v>14482</v>
      </c>
      <c r="B369" t="s">
        <v>1108</v>
      </c>
      <c r="C369" s="55">
        <v>628077.1</v>
      </c>
      <c r="D369" t="s">
        <v>845</v>
      </c>
      <c r="E369" t="s">
        <v>930</v>
      </c>
    </row>
    <row r="370" spans="1:14" x14ac:dyDescent="0.25">
      <c r="A370">
        <v>14239</v>
      </c>
      <c r="B370" t="s">
        <v>1109</v>
      </c>
      <c r="C370" s="55">
        <v>623999.1</v>
      </c>
      <c r="D370" s="55">
        <v>-113389.29</v>
      </c>
      <c r="E370" t="s">
        <v>931</v>
      </c>
    </row>
    <row r="371" spans="1:14" x14ac:dyDescent="0.25">
      <c r="A371">
        <v>98657</v>
      </c>
      <c r="B371" t="s">
        <v>1110</v>
      </c>
      <c r="C371" s="55">
        <v>621820.53</v>
      </c>
      <c r="D371" s="55">
        <v>-3850964.68</v>
      </c>
      <c r="E371" t="s">
        <v>931</v>
      </c>
    </row>
    <row r="372" spans="1:14" x14ac:dyDescent="0.25">
      <c r="A372">
        <v>98327</v>
      </c>
      <c r="B372" t="s">
        <v>324</v>
      </c>
      <c r="C372" s="55">
        <v>621049.68000000005</v>
      </c>
      <c r="D372" s="55">
        <v>-2069613.61</v>
      </c>
      <c r="E372" t="s">
        <v>931</v>
      </c>
    </row>
    <row r="373" spans="1:14" x14ac:dyDescent="0.25">
      <c r="A373">
        <v>395210</v>
      </c>
      <c r="B373" t="s">
        <v>669</v>
      </c>
      <c r="C373" s="55">
        <v>619011.06000000006</v>
      </c>
      <c r="D373" s="55">
        <v>-146507.24</v>
      </c>
      <c r="E373" t="s">
        <v>931</v>
      </c>
    </row>
    <row r="374" spans="1:14" x14ac:dyDescent="0.25">
      <c r="A374">
        <v>97741</v>
      </c>
      <c r="B374" t="s">
        <v>457</v>
      </c>
      <c r="C374" s="55">
        <v>617142.30000000005</v>
      </c>
      <c r="D374" s="55">
        <v>-1373173.94</v>
      </c>
      <c r="E374" t="s">
        <v>931</v>
      </c>
    </row>
    <row r="375" spans="1:14" x14ac:dyDescent="0.25">
      <c r="A375">
        <v>56184</v>
      </c>
      <c r="B375" t="s">
        <v>1111</v>
      </c>
      <c r="C375" s="55">
        <v>615982.68000000005</v>
      </c>
      <c r="D375" s="55">
        <v>-1005485.11</v>
      </c>
      <c r="E375" t="s">
        <v>931</v>
      </c>
      <c r="M375" t="s">
        <v>137</v>
      </c>
      <c r="N375" t="s">
        <v>928</v>
      </c>
    </row>
    <row r="376" spans="1:14" x14ac:dyDescent="0.25">
      <c r="A376">
        <v>377929</v>
      </c>
      <c r="B376" t="s">
        <v>1112</v>
      </c>
      <c r="C376" s="55">
        <v>615917.85</v>
      </c>
      <c r="D376" s="55">
        <v>456955.38</v>
      </c>
      <c r="E376" t="s">
        <v>948</v>
      </c>
    </row>
    <row r="377" spans="1:14" x14ac:dyDescent="0.25">
      <c r="A377">
        <v>24780</v>
      </c>
      <c r="B377" t="s">
        <v>1113</v>
      </c>
      <c r="C377" s="55">
        <v>612507.75</v>
      </c>
      <c r="D377" t="s">
        <v>845</v>
      </c>
      <c r="E377" t="s">
        <v>930</v>
      </c>
    </row>
    <row r="378" spans="1:14" x14ac:dyDescent="0.25">
      <c r="A378">
        <v>13773</v>
      </c>
      <c r="B378" t="s">
        <v>418</v>
      </c>
      <c r="C378" s="55">
        <v>605374.05000000005</v>
      </c>
      <c r="D378" s="55">
        <v>-2265246.94</v>
      </c>
      <c r="E378" t="s">
        <v>931</v>
      </c>
      <c r="N378" t="s">
        <v>928</v>
      </c>
    </row>
    <row r="379" spans="1:14" x14ac:dyDescent="0.25">
      <c r="A379">
        <v>191</v>
      </c>
      <c r="B379" t="s">
        <v>477</v>
      </c>
      <c r="C379" s="55">
        <v>605042.23</v>
      </c>
      <c r="D379" s="55">
        <v>-2348722.14</v>
      </c>
      <c r="E379" t="s">
        <v>931</v>
      </c>
    </row>
    <row r="380" spans="1:14" x14ac:dyDescent="0.25">
      <c r="A380">
        <v>8474</v>
      </c>
      <c r="B380" t="s">
        <v>654</v>
      </c>
      <c r="C380" s="55">
        <v>596798.27</v>
      </c>
      <c r="D380" s="55">
        <v>-1623972.63</v>
      </c>
      <c r="E380" t="s">
        <v>931</v>
      </c>
    </row>
    <row r="381" spans="1:14" x14ac:dyDescent="0.25">
      <c r="A381">
        <v>9943</v>
      </c>
      <c r="B381" t="s">
        <v>410</v>
      </c>
      <c r="C381" s="55">
        <v>592439.52</v>
      </c>
      <c r="D381" s="55">
        <v>-2264998.0299999998</v>
      </c>
      <c r="E381" t="s">
        <v>931</v>
      </c>
    </row>
    <row r="382" spans="1:14" x14ac:dyDescent="0.25">
      <c r="A382">
        <v>24509</v>
      </c>
      <c r="B382" t="s">
        <v>1114</v>
      </c>
      <c r="C382" s="55">
        <v>583890.46</v>
      </c>
      <c r="D382" t="s">
        <v>845</v>
      </c>
      <c r="E382" t="s">
        <v>930</v>
      </c>
    </row>
    <row r="383" spans="1:14" x14ac:dyDescent="0.25">
      <c r="A383">
        <v>316877</v>
      </c>
      <c r="B383" t="s">
        <v>291</v>
      </c>
      <c r="C383" s="55">
        <v>581945.18000000005</v>
      </c>
      <c r="D383" s="55">
        <v>-919462.13</v>
      </c>
      <c r="E383" t="s">
        <v>931</v>
      </c>
    </row>
    <row r="384" spans="1:14" x14ac:dyDescent="0.25">
      <c r="A384">
        <v>387779</v>
      </c>
      <c r="B384" t="s">
        <v>596</v>
      </c>
      <c r="C384" s="55">
        <v>576833.03</v>
      </c>
      <c r="D384" s="55">
        <v>-360231.99</v>
      </c>
      <c r="E384" t="s">
        <v>931</v>
      </c>
    </row>
    <row r="385" spans="1:14" x14ac:dyDescent="0.25">
      <c r="A385">
        <v>40089</v>
      </c>
      <c r="B385" t="s">
        <v>522</v>
      </c>
      <c r="C385" s="55">
        <v>574253.15</v>
      </c>
      <c r="D385" s="55">
        <v>-3005233.11</v>
      </c>
      <c r="E385" t="s">
        <v>931</v>
      </c>
    </row>
    <row r="386" spans="1:14" x14ac:dyDescent="0.25">
      <c r="A386">
        <v>56143</v>
      </c>
      <c r="B386" t="s">
        <v>1115</v>
      </c>
      <c r="C386" s="55">
        <v>571809.76</v>
      </c>
      <c r="D386" t="s">
        <v>845</v>
      </c>
      <c r="E386" t="s">
        <v>930</v>
      </c>
    </row>
    <row r="387" spans="1:14" x14ac:dyDescent="0.25">
      <c r="A387">
        <v>397521</v>
      </c>
      <c r="B387" t="s">
        <v>530</v>
      </c>
      <c r="C387" s="55">
        <v>560849.54</v>
      </c>
      <c r="D387" s="55">
        <v>-4574065.66</v>
      </c>
      <c r="E387" t="s">
        <v>931</v>
      </c>
    </row>
    <row r="388" spans="1:14" x14ac:dyDescent="0.25">
      <c r="A388">
        <v>79087</v>
      </c>
      <c r="B388" t="s">
        <v>310</v>
      </c>
      <c r="C388" s="55">
        <v>559777.36</v>
      </c>
      <c r="D388" s="55">
        <v>-2789352.46</v>
      </c>
      <c r="E388" t="s">
        <v>931</v>
      </c>
      <c r="N388" t="s">
        <v>928</v>
      </c>
    </row>
    <row r="389" spans="1:14" x14ac:dyDescent="0.25">
      <c r="A389">
        <v>24221</v>
      </c>
      <c r="B389" t="s">
        <v>1116</v>
      </c>
      <c r="C389" s="55">
        <v>555918.12</v>
      </c>
      <c r="D389" t="s">
        <v>845</v>
      </c>
      <c r="E389" t="s">
        <v>930</v>
      </c>
    </row>
    <row r="390" spans="1:14" x14ac:dyDescent="0.25">
      <c r="A390">
        <v>20192</v>
      </c>
      <c r="B390" t="s">
        <v>667</v>
      </c>
      <c r="C390" s="55">
        <v>553013.96</v>
      </c>
      <c r="D390" s="55">
        <v>-3700931.59</v>
      </c>
      <c r="E390" t="s">
        <v>931</v>
      </c>
    </row>
    <row r="391" spans="1:14" x14ac:dyDescent="0.25">
      <c r="A391">
        <v>339</v>
      </c>
      <c r="B391" t="s">
        <v>1117</v>
      </c>
      <c r="C391" s="55">
        <v>549853.68000000005</v>
      </c>
      <c r="D391" s="55">
        <v>-1354498.36</v>
      </c>
      <c r="E391" t="s">
        <v>931</v>
      </c>
    </row>
    <row r="392" spans="1:14" x14ac:dyDescent="0.25">
      <c r="A392">
        <v>303632</v>
      </c>
      <c r="B392" t="s">
        <v>1118</v>
      </c>
      <c r="C392" s="55">
        <v>545744.06999999995</v>
      </c>
      <c r="D392" t="s">
        <v>845</v>
      </c>
      <c r="E392" t="s">
        <v>930</v>
      </c>
    </row>
    <row r="393" spans="1:14" x14ac:dyDescent="0.25">
      <c r="A393">
        <v>8923</v>
      </c>
      <c r="B393" t="s">
        <v>1119</v>
      </c>
      <c r="C393" s="55">
        <v>542489.97</v>
      </c>
      <c r="D393" s="55">
        <v>-195389.79</v>
      </c>
      <c r="E393" t="s">
        <v>931</v>
      </c>
    </row>
    <row r="394" spans="1:14" x14ac:dyDescent="0.25">
      <c r="A394">
        <v>70664</v>
      </c>
      <c r="B394" t="s">
        <v>433</v>
      </c>
      <c r="C394" s="55">
        <v>542004.5</v>
      </c>
      <c r="D394" s="55">
        <v>-7499318.8300000001</v>
      </c>
      <c r="E394" t="s">
        <v>931</v>
      </c>
    </row>
    <row r="395" spans="1:14" x14ac:dyDescent="0.25">
      <c r="A395">
        <v>245</v>
      </c>
      <c r="B395" t="s">
        <v>1120</v>
      </c>
      <c r="C395" s="55">
        <v>541215.42000000004</v>
      </c>
      <c r="D395" s="55">
        <v>-2766887.97</v>
      </c>
      <c r="E395" t="s">
        <v>931</v>
      </c>
    </row>
    <row r="396" spans="1:14" x14ac:dyDescent="0.25">
      <c r="A396">
        <v>8652</v>
      </c>
      <c r="B396" t="s">
        <v>1121</v>
      </c>
      <c r="C396" s="55">
        <v>540041.1</v>
      </c>
      <c r="D396" s="55">
        <v>-1713460.83</v>
      </c>
      <c r="E396" t="s">
        <v>931</v>
      </c>
    </row>
    <row r="397" spans="1:14" x14ac:dyDescent="0.25">
      <c r="A397">
        <v>8617</v>
      </c>
      <c r="B397" t="s">
        <v>1122</v>
      </c>
      <c r="C397" s="55">
        <v>533247.19999999995</v>
      </c>
      <c r="D397" t="s">
        <v>845</v>
      </c>
      <c r="E397" t="s">
        <v>930</v>
      </c>
    </row>
    <row r="398" spans="1:14" x14ac:dyDescent="0.25">
      <c r="A398">
        <v>303990</v>
      </c>
      <c r="B398" t="s">
        <v>1123</v>
      </c>
      <c r="C398" s="55">
        <v>527713.80000000005</v>
      </c>
      <c r="D398" s="55">
        <v>-2098880.0299999998</v>
      </c>
      <c r="E398" t="s">
        <v>931</v>
      </c>
    </row>
    <row r="399" spans="1:14" x14ac:dyDescent="0.25">
      <c r="A399">
        <v>313460</v>
      </c>
      <c r="B399" t="s">
        <v>1124</v>
      </c>
      <c r="C399" s="55">
        <v>525734.48</v>
      </c>
      <c r="D399" t="s">
        <v>845</v>
      </c>
      <c r="E399" t="s">
        <v>930</v>
      </c>
    </row>
    <row r="400" spans="1:14" x14ac:dyDescent="0.25">
      <c r="A400">
        <v>335307</v>
      </c>
      <c r="B400" t="s">
        <v>512</v>
      </c>
      <c r="C400" s="55">
        <v>522293.99</v>
      </c>
      <c r="D400" s="55">
        <v>-6745777.8499999996</v>
      </c>
      <c r="E400" t="s">
        <v>931</v>
      </c>
    </row>
    <row r="401" spans="1:13" x14ac:dyDescent="0.25">
      <c r="A401">
        <v>12500</v>
      </c>
      <c r="B401" t="s">
        <v>1125</v>
      </c>
      <c r="C401" s="55">
        <v>520644.21</v>
      </c>
      <c r="D401" s="55">
        <v>-43691.96</v>
      </c>
      <c r="E401" t="s">
        <v>931</v>
      </c>
    </row>
    <row r="402" spans="1:13" x14ac:dyDescent="0.25">
      <c r="A402">
        <v>22602</v>
      </c>
      <c r="B402" t="s">
        <v>1126</v>
      </c>
      <c r="C402" s="55">
        <v>505955.53</v>
      </c>
      <c r="D402" s="55">
        <v>-55947.97</v>
      </c>
      <c r="E402" t="s">
        <v>931</v>
      </c>
    </row>
    <row r="403" spans="1:13" x14ac:dyDescent="0.25">
      <c r="A403">
        <v>44768</v>
      </c>
      <c r="B403" t="s">
        <v>1127</v>
      </c>
      <c r="C403" s="55">
        <v>504786.67</v>
      </c>
      <c r="D403" s="55">
        <v>-1856110.8</v>
      </c>
      <c r="E403" t="s">
        <v>931</v>
      </c>
    </row>
    <row r="404" spans="1:13" x14ac:dyDescent="0.25">
      <c r="A404">
        <v>320671</v>
      </c>
      <c r="B404" t="s">
        <v>1128</v>
      </c>
      <c r="C404" s="55">
        <v>504315.33</v>
      </c>
      <c r="D404" s="55">
        <v>-14839103.59</v>
      </c>
      <c r="E404" t="s">
        <v>931</v>
      </c>
    </row>
    <row r="405" spans="1:13" x14ac:dyDescent="0.25">
      <c r="A405">
        <v>12995</v>
      </c>
      <c r="B405" t="s">
        <v>282</v>
      </c>
      <c r="C405" s="55">
        <v>501100.46</v>
      </c>
      <c r="D405" s="55">
        <v>-2097238.39</v>
      </c>
      <c r="E405" t="s">
        <v>931</v>
      </c>
    </row>
    <row r="406" spans="1:13" x14ac:dyDescent="0.25">
      <c r="A406">
        <v>229732</v>
      </c>
      <c r="B406" t="s">
        <v>430</v>
      </c>
      <c r="C406" s="55">
        <v>500919.34</v>
      </c>
      <c r="D406" s="55">
        <v>-5313079.59</v>
      </c>
      <c r="E406" t="s">
        <v>931</v>
      </c>
    </row>
    <row r="407" spans="1:13" x14ac:dyDescent="0.25">
      <c r="A407">
        <v>317073</v>
      </c>
      <c r="B407" t="s">
        <v>1129</v>
      </c>
      <c r="C407" s="55">
        <v>499010.92</v>
      </c>
      <c r="D407" t="s">
        <v>845</v>
      </c>
      <c r="E407" t="s">
        <v>930</v>
      </c>
    </row>
    <row r="408" spans="1:13" x14ac:dyDescent="0.25">
      <c r="A408">
        <v>326603</v>
      </c>
      <c r="B408" t="s">
        <v>1130</v>
      </c>
      <c r="C408" s="55">
        <v>497087.61</v>
      </c>
      <c r="D408" t="s">
        <v>845</v>
      </c>
      <c r="E408" t="s">
        <v>930</v>
      </c>
    </row>
    <row r="409" spans="1:13" x14ac:dyDescent="0.25">
      <c r="A409">
        <v>51011</v>
      </c>
      <c r="B409" t="s">
        <v>733</v>
      </c>
      <c r="C409" s="55">
        <v>495314.72</v>
      </c>
      <c r="D409" s="55">
        <v>368176.76</v>
      </c>
      <c r="E409" t="s">
        <v>948</v>
      </c>
    </row>
    <row r="410" spans="1:13" x14ac:dyDescent="0.25">
      <c r="A410">
        <v>24568</v>
      </c>
      <c r="B410" t="s">
        <v>1131</v>
      </c>
      <c r="C410" s="55">
        <v>495256.52</v>
      </c>
      <c r="D410" t="s">
        <v>845</v>
      </c>
      <c r="E410" t="s">
        <v>930</v>
      </c>
    </row>
    <row r="411" spans="1:13" x14ac:dyDescent="0.25">
      <c r="A411">
        <v>37481</v>
      </c>
      <c r="B411" t="s">
        <v>283</v>
      </c>
      <c r="C411" s="55">
        <v>492891.03</v>
      </c>
      <c r="D411" s="55">
        <v>-2048630.9</v>
      </c>
      <c r="E411" t="s">
        <v>931</v>
      </c>
    </row>
    <row r="412" spans="1:13" x14ac:dyDescent="0.25">
      <c r="A412">
        <v>208892</v>
      </c>
      <c r="B412" t="s">
        <v>295</v>
      </c>
      <c r="C412" s="55">
        <v>492503.78</v>
      </c>
      <c r="D412" s="55">
        <v>-3005321.45</v>
      </c>
      <c r="E412" t="s">
        <v>931</v>
      </c>
    </row>
    <row r="413" spans="1:13" x14ac:dyDescent="0.25">
      <c r="A413">
        <v>300426</v>
      </c>
      <c r="B413" t="s">
        <v>1132</v>
      </c>
      <c r="C413" s="55">
        <v>492479.39</v>
      </c>
      <c r="D413" s="55">
        <v>-1662612.74</v>
      </c>
      <c r="E413" t="s">
        <v>931</v>
      </c>
      <c r="M413" t="s">
        <v>103</v>
      </c>
    </row>
    <row r="414" spans="1:13" x14ac:dyDescent="0.25">
      <c r="A414">
        <v>23596</v>
      </c>
      <c r="B414" t="s">
        <v>1133</v>
      </c>
      <c r="C414" s="55">
        <v>489425.65</v>
      </c>
      <c r="D414" t="s">
        <v>845</v>
      </c>
      <c r="E414" t="s">
        <v>930</v>
      </c>
    </row>
    <row r="415" spans="1:13" x14ac:dyDescent="0.25">
      <c r="A415">
        <v>390344</v>
      </c>
      <c r="B415" t="s">
        <v>1134</v>
      </c>
      <c r="C415" s="55">
        <v>488922.57</v>
      </c>
      <c r="D415" s="55">
        <v>-5769874.6399999997</v>
      </c>
      <c r="E415" t="s">
        <v>931</v>
      </c>
    </row>
    <row r="416" spans="1:13" x14ac:dyDescent="0.25">
      <c r="A416">
        <v>12036</v>
      </c>
      <c r="B416" t="s">
        <v>1135</v>
      </c>
      <c r="C416" s="55">
        <v>486835.23</v>
      </c>
      <c r="D416" s="55">
        <v>-2107879.56</v>
      </c>
      <c r="E416" t="s">
        <v>931</v>
      </c>
    </row>
    <row r="417" spans="1:5" x14ac:dyDescent="0.25">
      <c r="A417">
        <v>348847</v>
      </c>
      <c r="B417" t="s">
        <v>1136</v>
      </c>
      <c r="C417" s="55">
        <v>479156.78</v>
      </c>
      <c r="D417" t="s">
        <v>845</v>
      </c>
      <c r="E417" t="s">
        <v>930</v>
      </c>
    </row>
    <row r="418" spans="1:5" x14ac:dyDescent="0.25">
      <c r="A418">
        <v>314807</v>
      </c>
      <c r="B418" t="s">
        <v>600</v>
      </c>
      <c r="C418" s="55">
        <v>478549.74</v>
      </c>
      <c r="D418" s="55">
        <v>-6129637.4800000004</v>
      </c>
      <c r="E418" t="s">
        <v>931</v>
      </c>
    </row>
    <row r="419" spans="1:5" x14ac:dyDescent="0.25">
      <c r="A419">
        <v>20859</v>
      </c>
      <c r="B419" t="s">
        <v>549</v>
      </c>
      <c r="C419" s="55">
        <v>476753.04</v>
      </c>
      <c r="D419" s="55">
        <v>-1665824.27</v>
      </c>
      <c r="E419" t="s">
        <v>931</v>
      </c>
    </row>
    <row r="420" spans="1:5" x14ac:dyDescent="0.25">
      <c r="A420">
        <v>64840</v>
      </c>
      <c r="B420" t="s">
        <v>570</v>
      </c>
      <c r="C420" s="55">
        <v>474913.19</v>
      </c>
      <c r="D420" s="55">
        <v>-1883349.71</v>
      </c>
      <c r="E420" t="s">
        <v>931</v>
      </c>
    </row>
    <row r="421" spans="1:5" x14ac:dyDescent="0.25">
      <c r="A421">
        <v>24123</v>
      </c>
      <c r="B421" t="s">
        <v>1137</v>
      </c>
      <c r="C421" s="55">
        <v>473656.42</v>
      </c>
      <c r="D421" t="s">
        <v>845</v>
      </c>
      <c r="E421" t="s">
        <v>930</v>
      </c>
    </row>
    <row r="422" spans="1:5" x14ac:dyDescent="0.25">
      <c r="A422">
        <v>393041</v>
      </c>
      <c r="B422" t="s">
        <v>1138</v>
      </c>
      <c r="C422" s="55">
        <v>473514.75</v>
      </c>
      <c r="D422" s="55">
        <v>-2925661.32</v>
      </c>
      <c r="E422" t="s">
        <v>931</v>
      </c>
    </row>
    <row r="423" spans="1:5" x14ac:dyDescent="0.25">
      <c r="A423">
        <v>737</v>
      </c>
      <c r="B423" t="s">
        <v>1139</v>
      </c>
      <c r="C423" s="55">
        <v>472989.14</v>
      </c>
      <c r="D423" s="55">
        <v>-1262399.77</v>
      </c>
      <c r="E423" t="s">
        <v>931</v>
      </c>
    </row>
    <row r="424" spans="1:5" x14ac:dyDescent="0.25">
      <c r="A424">
        <v>22689</v>
      </c>
      <c r="B424" t="s">
        <v>1140</v>
      </c>
      <c r="C424" s="55">
        <v>471790.59</v>
      </c>
      <c r="D424" s="55">
        <v>-215512.91</v>
      </c>
      <c r="E424" t="s">
        <v>931</v>
      </c>
    </row>
    <row r="425" spans="1:5" x14ac:dyDescent="0.25">
      <c r="A425">
        <v>312132</v>
      </c>
      <c r="B425" t="s">
        <v>1141</v>
      </c>
      <c r="C425" s="55">
        <v>471300.35</v>
      </c>
      <c r="D425" s="55">
        <v>2252.37</v>
      </c>
      <c r="E425" t="s">
        <v>948</v>
      </c>
    </row>
    <row r="426" spans="1:5" x14ac:dyDescent="0.25">
      <c r="A426">
        <v>779</v>
      </c>
      <c r="B426" t="s">
        <v>1142</v>
      </c>
      <c r="C426" s="55">
        <v>470624.36</v>
      </c>
      <c r="D426" s="55">
        <v>-104519.99</v>
      </c>
      <c r="E426" t="s">
        <v>931</v>
      </c>
    </row>
    <row r="427" spans="1:5" x14ac:dyDescent="0.25">
      <c r="A427">
        <v>22666</v>
      </c>
      <c r="B427" t="s">
        <v>413</v>
      </c>
      <c r="C427" s="55">
        <v>469284.18</v>
      </c>
      <c r="D427" s="55">
        <v>-2265276.9300000002</v>
      </c>
      <c r="E427" t="s">
        <v>931</v>
      </c>
    </row>
    <row r="428" spans="1:5" x14ac:dyDescent="0.25">
      <c r="A428">
        <v>24622</v>
      </c>
      <c r="B428" t="s">
        <v>1143</v>
      </c>
      <c r="C428" s="55">
        <v>468059.5</v>
      </c>
      <c r="D428" t="s">
        <v>845</v>
      </c>
      <c r="E428" t="s">
        <v>930</v>
      </c>
    </row>
    <row r="429" spans="1:5" x14ac:dyDescent="0.25">
      <c r="A429">
        <v>326967</v>
      </c>
      <c r="B429" t="s">
        <v>1144</v>
      </c>
      <c r="C429" s="55">
        <v>464738.4</v>
      </c>
      <c r="D429" t="s">
        <v>845</v>
      </c>
      <c r="E429" t="s">
        <v>930</v>
      </c>
    </row>
    <row r="430" spans="1:5" x14ac:dyDescent="0.25">
      <c r="A430">
        <v>339564</v>
      </c>
      <c r="B430" t="s">
        <v>335</v>
      </c>
      <c r="C430" s="55">
        <v>464408.83</v>
      </c>
      <c r="D430" s="55">
        <v>-1643360.42</v>
      </c>
      <c r="E430" t="s">
        <v>931</v>
      </c>
    </row>
    <row r="431" spans="1:5" x14ac:dyDescent="0.25">
      <c r="A431">
        <v>95273</v>
      </c>
      <c r="B431" t="s">
        <v>1145</v>
      </c>
      <c r="C431" s="55">
        <v>460745.8</v>
      </c>
      <c r="D431" s="55">
        <v>-2525377.44</v>
      </c>
      <c r="E431" t="s">
        <v>931</v>
      </c>
    </row>
    <row r="432" spans="1:5" x14ac:dyDescent="0.25">
      <c r="A432">
        <v>6394</v>
      </c>
      <c r="B432" t="s">
        <v>1146</v>
      </c>
      <c r="C432" s="55">
        <v>460080.09</v>
      </c>
      <c r="D432" t="s">
        <v>845</v>
      </c>
      <c r="E432" t="s">
        <v>930</v>
      </c>
    </row>
    <row r="433" spans="1:13" x14ac:dyDescent="0.25">
      <c r="A433">
        <v>396648</v>
      </c>
      <c r="B433" t="s">
        <v>1147</v>
      </c>
      <c r="C433" s="55">
        <v>456524.57</v>
      </c>
      <c r="D433" t="s">
        <v>845</v>
      </c>
      <c r="E433" t="s">
        <v>930</v>
      </c>
    </row>
    <row r="434" spans="1:13" x14ac:dyDescent="0.25">
      <c r="A434">
        <v>92148</v>
      </c>
      <c r="B434" t="s">
        <v>1148</v>
      </c>
      <c r="C434" s="55">
        <v>456379.07</v>
      </c>
      <c r="D434" s="55">
        <v>-264461.40999999997</v>
      </c>
      <c r="E434" t="s">
        <v>931</v>
      </c>
    </row>
    <row r="435" spans="1:13" x14ac:dyDescent="0.25">
      <c r="A435">
        <v>18614</v>
      </c>
      <c r="B435" t="s">
        <v>531</v>
      </c>
      <c r="C435" s="55">
        <v>455736.57</v>
      </c>
      <c r="D435" s="55">
        <v>-2667628.02</v>
      </c>
      <c r="E435" t="s">
        <v>931</v>
      </c>
    </row>
    <row r="436" spans="1:13" x14ac:dyDescent="0.25">
      <c r="A436">
        <v>20118</v>
      </c>
      <c r="B436" t="s">
        <v>1149</v>
      </c>
      <c r="C436" s="55">
        <v>454539.23</v>
      </c>
      <c r="D436" s="55">
        <v>-3777373.34</v>
      </c>
      <c r="E436" t="s">
        <v>931</v>
      </c>
    </row>
    <row r="437" spans="1:13" x14ac:dyDescent="0.25">
      <c r="A437">
        <v>24314</v>
      </c>
      <c r="B437" t="s">
        <v>1150</v>
      </c>
      <c r="C437" s="55">
        <v>450527.61</v>
      </c>
      <c r="D437" t="s">
        <v>845</v>
      </c>
      <c r="E437" t="s">
        <v>930</v>
      </c>
    </row>
    <row r="438" spans="1:13" x14ac:dyDescent="0.25">
      <c r="A438">
        <v>307189</v>
      </c>
      <c r="B438" t="s">
        <v>1151</v>
      </c>
      <c r="C438" s="55">
        <v>447016.48</v>
      </c>
      <c r="D438" s="55">
        <v>-1228231.96</v>
      </c>
      <c r="E438" t="s">
        <v>931</v>
      </c>
    </row>
    <row r="439" spans="1:13" x14ac:dyDescent="0.25">
      <c r="A439">
        <v>196</v>
      </c>
      <c r="B439" t="s">
        <v>1152</v>
      </c>
      <c r="C439" s="55">
        <v>440327.25</v>
      </c>
      <c r="D439" s="55">
        <v>319666.65999999997</v>
      </c>
      <c r="E439" t="s">
        <v>948</v>
      </c>
    </row>
    <row r="440" spans="1:13" x14ac:dyDescent="0.25">
      <c r="A440">
        <v>1966</v>
      </c>
      <c r="B440" t="s">
        <v>1153</v>
      </c>
      <c r="C440" s="55">
        <v>439015.22</v>
      </c>
      <c r="D440" t="s">
        <v>845</v>
      </c>
      <c r="E440" t="s">
        <v>930</v>
      </c>
    </row>
    <row r="441" spans="1:13" x14ac:dyDescent="0.25">
      <c r="A441">
        <v>52449</v>
      </c>
      <c r="B441" t="s">
        <v>599</v>
      </c>
      <c r="C441" s="55">
        <v>435477.85</v>
      </c>
      <c r="D441" s="55">
        <v>-528283.04</v>
      </c>
      <c r="E441" t="s">
        <v>931</v>
      </c>
      <c r="M441" t="s">
        <v>216</v>
      </c>
    </row>
    <row r="442" spans="1:13" x14ac:dyDescent="0.25">
      <c r="A442">
        <v>311803</v>
      </c>
      <c r="B442" t="s">
        <v>1154</v>
      </c>
      <c r="C442" s="55">
        <v>435313.77</v>
      </c>
      <c r="D442" s="55">
        <v>-4502.41</v>
      </c>
      <c r="E442" t="s">
        <v>931</v>
      </c>
    </row>
    <row r="443" spans="1:13" x14ac:dyDescent="0.25">
      <c r="A443">
        <v>6470</v>
      </c>
      <c r="B443" t="s">
        <v>482</v>
      </c>
      <c r="C443" s="55">
        <v>432422.52</v>
      </c>
      <c r="D443" s="55">
        <v>-699634.1</v>
      </c>
      <c r="E443" t="s">
        <v>931</v>
      </c>
    </row>
    <row r="444" spans="1:13" x14ac:dyDescent="0.25">
      <c r="A444">
        <v>335240</v>
      </c>
      <c r="B444" t="s">
        <v>711</v>
      </c>
      <c r="C444" s="55">
        <v>424662.38</v>
      </c>
      <c r="D444" s="55">
        <v>-991761.45</v>
      </c>
      <c r="E444" t="s">
        <v>931</v>
      </c>
    </row>
    <row r="445" spans="1:13" x14ac:dyDescent="0.25">
      <c r="A445">
        <v>28241</v>
      </c>
      <c r="B445" t="s">
        <v>550</v>
      </c>
      <c r="C445" s="55">
        <v>422532.21</v>
      </c>
      <c r="D445" s="55">
        <v>-3959193.26</v>
      </c>
      <c r="E445" t="s">
        <v>931</v>
      </c>
    </row>
    <row r="446" spans="1:13" x14ac:dyDescent="0.25">
      <c r="A446">
        <v>90399</v>
      </c>
      <c r="B446" t="s">
        <v>1155</v>
      </c>
      <c r="C446" s="55">
        <v>420343.55</v>
      </c>
      <c r="D446" s="55">
        <v>-2919508.4</v>
      </c>
      <c r="E446" t="s">
        <v>931</v>
      </c>
    </row>
    <row r="447" spans="1:13" x14ac:dyDescent="0.25">
      <c r="A447">
        <v>317909</v>
      </c>
      <c r="B447" t="s">
        <v>1156</v>
      </c>
      <c r="C447" s="55">
        <v>420112.73</v>
      </c>
      <c r="D447" s="55">
        <v>-19116.580000000002</v>
      </c>
      <c r="E447" t="s">
        <v>931</v>
      </c>
    </row>
    <row r="448" spans="1:13" x14ac:dyDescent="0.25">
      <c r="A448">
        <v>381202</v>
      </c>
      <c r="B448" t="s">
        <v>556</v>
      </c>
      <c r="C448" s="55">
        <v>418503.85</v>
      </c>
      <c r="D448" s="55">
        <v>10064993.77</v>
      </c>
      <c r="E448" t="s">
        <v>948</v>
      </c>
    </row>
    <row r="449" spans="1:14" x14ac:dyDescent="0.25">
      <c r="A449">
        <v>99861</v>
      </c>
      <c r="B449" t="s">
        <v>548</v>
      </c>
      <c r="C449" s="55">
        <v>416854.91</v>
      </c>
      <c r="D449" s="55">
        <v>-3067272.86</v>
      </c>
      <c r="E449" t="s">
        <v>931</v>
      </c>
    </row>
    <row r="450" spans="1:14" x14ac:dyDescent="0.25">
      <c r="A450">
        <v>206417</v>
      </c>
      <c r="B450" t="s">
        <v>444</v>
      </c>
      <c r="C450" s="55">
        <v>416401.78</v>
      </c>
      <c r="D450" s="55">
        <v>-2521641.64</v>
      </c>
      <c r="E450" t="s">
        <v>931</v>
      </c>
      <c r="M450" t="s">
        <v>91</v>
      </c>
      <c r="N450" t="s">
        <v>928</v>
      </c>
    </row>
    <row r="451" spans="1:14" x14ac:dyDescent="0.25">
      <c r="A451">
        <v>86520</v>
      </c>
      <c r="B451" t="s">
        <v>305</v>
      </c>
      <c r="C451" s="55">
        <v>415815.22</v>
      </c>
      <c r="D451" s="55">
        <v>-2633055.2599999998</v>
      </c>
      <c r="E451" t="s">
        <v>931</v>
      </c>
    </row>
    <row r="452" spans="1:14" x14ac:dyDescent="0.25">
      <c r="A452">
        <v>11949</v>
      </c>
      <c r="B452" t="s">
        <v>1157</v>
      </c>
      <c r="C452" s="55">
        <v>414475.89</v>
      </c>
      <c r="D452" s="55">
        <v>1438348.4</v>
      </c>
      <c r="E452" t="s">
        <v>948</v>
      </c>
      <c r="M452" t="s">
        <v>94</v>
      </c>
      <c r="N452" t="s">
        <v>928</v>
      </c>
    </row>
    <row r="453" spans="1:14" x14ac:dyDescent="0.25">
      <c r="A453">
        <v>309401</v>
      </c>
      <c r="B453" t="s">
        <v>608</v>
      </c>
      <c r="C453" s="55">
        <v>414252.67</v>
      </c>
      <c r="D453" s="55">
        <v>-1765113.47</v>
      </c>
      <c r="E453" t="s">
        <v>931</v>
      </c>
    </row>
    <row r="454" spans="1:14" x14ac:dyDescent="0.25">
      <c r="A454">
        <v>382119</v>
      </c>
      <c r="B454" t="s">
        <v>1158</v>
      </c>
      <c r="C454" s="55">
        <v>408116.87</v>
      </c>
      <c r="D454" s="55">
        <v>-383750.54</v>
      </c>
      <c r="E454" t="s">
        <v>931</v>
      </c>
      <c r="M454" t="s">
        <v>137</v>
      </c>
      <c r="N454" t="s">
        <v>928</v>
      </c>
    </row>
    <row r="455" spans="1:14" x14ac:dyDescent="0.25">
      <c r="A455">
        <v>314997</v>
      </c>
      <c r="B455" t="s">
        <v>1159</v>
      </c>
      <c r="C455" s="55">
        <v>407760.56</v>
      </c>
      <c r="D455" t="s">
        <v>845</v>
      </c>
      <c r="E455" t="s">
        <v>930</v>
      </c>
    </row>
    <row r="456" spans="1:14" x14ac:dyDescent="0.25">
      <c r="A456">
        <v>20364</v>
      </c>
      <c r="B456" t="s">
        <v>1160</v>
      </c>
      <c r="C456" s="55">
        <v>405405.31</v>
      </c>
      <c r="D456" s="55">
        <v>-754883.3</v>
      </c>
      <c r="E456" t="s">
        <v>931</v>
      </c>
      <c r="F456" t="s">
        <v>992</v>
      </c>
      <c r="N456" t="s">
        <v>928</v>
      </c>
    </row>
    <row r="457" spans="1:14" x14ac:dyDescent="0.25">
      <c r="A457">
        <v>20623</v>
      </c>
      <c r="B457" t="s">
        <v>511</v>
      </c>
      <c r="C457" s="55">
        <v>405024.98</v>
      </c>
      <c r="D457" s="55">
        <v>-29087.9</v>
      </c>
      <c r="E457" t="s">
        <v>931</v>
      </c>
    </row>
    <row r="458" spans="1:14" x14ac:dyDescent="0.25">
      <c r="A458">
        <v>327080</v>
      </c>
      <c r="B458" t="s">
        <v>649</v>
      </c>
      <c r="C458" s="55">
        <v>403758.09</v>
      </c>
      <c r="D458" s="55">
        <v>-1842742.68</v>
      </c>
      <c r="E458" t="s">
        <v>931</v>
      </c>
    </row>
    <row r="459" spans="1:14" x14ac:dyDescent="0.25">
      <c r="A459">
        <v>14907</v>
      </c>
      <c r="B459" t="s">
        <v>1161</v>
      </c>
      <c r="C459" s="55">
        <v>401148.3</v>
      </c>
      <c r="D459" t="s">
        <v>845</v>
      </c>
      <c r="E459" t="s">
        <v>930</v>
      </c>
    </row>
    <row r="460" spans="1:14" x14ac:dyDescent="0.25">
      <c r="A460">
        <v>327460</v>
      </c>
      <c r="B460" t="s">
        <v>571</v>
      </c>
      <c r="C460" s="55">
        <v>400848.85</v>
      </c>
      <c r="D460" s="55">
        <v>-4971823.87</v>
      </c>
      <c r="E460" t="s">
        <v>931</v>
      </c>
    </row>
    <row r="461" spans="1:14" x14ac:dyDescent="0.25">
      <c r="A461">
        <v>23547</v>
      </c>
      <c r="B461" t="s">
        <v>1162</v>
      </c>
      <c r="C461" s="55">
        <v>399745.17</v>
      </c>
      <c r="D461">
        <v>-730.7</v>
      </c>
      <c r="E461" t="s">
        <v>931</v>
      </c>
    </row>
    <row r="462" spans="1:14" x14ac:dyDescent="0.25">
      <c r="A462">
        <v>21986</v>
      </c>
      <c r="B462" t="s">
        <v>499</v>
      </c>
      <c r="C462" s="55">
        <v>395019.81</v>
      </c>
      <c r="D462" s="55">
        <v>-1285735.8799999999</v>
      </c>
      <c r="E462" t="s">
        <v>931</v>
      </c>
    </row>
    <row r="463" spans="1:14" x14ac:dyDescent="0.25">
      <c r="A463">
        <v>390088</v>
      </c>
      <c r="B463" t="s">
        <v>1163</v>
      </c>
      <c r="C463" s="55">
        <v>393689.63</v>
      </c>
      <c r="D463" s="55">
        <v>-4878.7299999999996</v>
      </c>
      <c r="E463" t="s">
        <v>931</v>
      </c>
    </row>
    <row r="464" spans="1:14" x14ac:dyDescent="0.25">
      <c r="A464">
        <v>5272</v>
      </c>
      <c r="B464" t="s">
        <v>1164</v>
      </c>
      <c r="C464" s="55">
        <v>389714.53</v>
      </c>
      <c r="D464" s="55">
        <v>-776740.46</v>
      </c>
      <c r="E464" t="s">
        <v>931</v>
      </c>
    </row>
    <row r="465" spans="1:13" x14ac:dyDescent="0.25">
      <c r="A465">
        <v>4502</v>
      </c>
      <c r="B465" t="s">
        <v>350</v>
      </c>
      <c r="C465" s="55">
        <v>387964.12</v>
      </c>
      <c r="D465" s="55">
        <v>-642647.29</v>
      </c>
      <c r="E465" t="s">
        <v>931</v>
      </c>
    </row>
    <row r="466" spans="1:13" x14ac:dyDescent="0.25">
      <c r="A466">
        <v>325969</v>
      </c>
      <c r="B466" t="s">
        <v>1165</v>
      </c>
      <c r="C466" s="55">
        <v>386179.05</v>
      </c>
      <c r="D466" s="55">
        <v>-318932.83</v>
      </c>
      <c r="E466" t="s">
        <v>931</v>
      </c>
    </row>
    <row r="467" spans="1:13" x14ac:dyDescent="0.25">
      <c r="A467">
        <v>345983</v>
      </c>
      <c r="B467" t="s">
        <v>598</v>
      </c>
      <c r="C467" s="55">
        <v>382112.52</v>
      </c>
      <c r="D467" s="55">
        <v>-28887.31</v>
      </c>
      <c r="E467" t="s">
        <v>931</v>
      </c>
    </row>
    <row r="468" spans="1:13" x14ac:dyDescent="0.25">
      <c r="A468">
        <v>3570</v>
      </c>
      <c r="B468" t="s">
        <v>673</v>
      </c>
      <c r="C468" s="55">
        <v>380416.08</v>
      </c>
      <c r="D468" s="55">
        <v>-299498.58</v>
      </c>
      <c r="E468" t="s">
        <v>931</v>
      </c>
    </row>
    <row r="469" spans="1:13" x14ac:dyDescent="0.25">
      <c r="A469">
        <v>24786</v>
      </c>
      <c r="B469" t="s">
        <v>1166</v>
      </c>
      <c r="C469" s="55">
        <v>379889.93</v>
      </c>
      <c r="D469" t="s">
        <v>845</v>
      </c>
      <c r="E469" t="s">
        <v>930</v>
      </c>
    </row>
    <row r="470" spans="1:13" x14ac:dyDescent="0.25">
      <c r="A470">
        <v>23673</v>
      </c>
      <c r="B470" t="s">
        <v>1167</v>
      </c>
      <c r="C470" s="55">
        <v>379384.52</v>
      </c>
      <c r="D470" t="s">
        <v>845</v>
      </c>
      <c r="E470" t="s">
        <v>930</v>
      </c>
    </row>
    <row r="471" spans="1:13" x14ac:dyDescent="0.25">
      <c r="A471">
        <v>17893</v>
      </c>
      <c r="B471" t="s">
        <v>1168</v>
      </c>
      <c r="C471" s="55">
        <v>377876.07</v>
      </c>
      <c r="D471" s="55">
        <v>-906739.3</v>
      </c>
      <c r="E471" t="s">
        <v>931</v>
      </c>
    </row>
    <row r="472" spans="1:13" x14ac:dyDescent="0.25">
      <c r="A472">
        <v>16433</v>
      </c>
      <c r="B472" t="s">
        <v>451</v>
      </c>
      <c r="C472" s="55">
        <v>375750.38</v>
      </c>
      <c r="D472" s="55">
        <v>-5185632.0199999996</v>
      </c>
      <c r="E472" t="s">
        <v>931</v>
      </c>
    </row>
    <row r="473" spans="1:13" x14ac:dyDescent="0.25">
      <c r="A473">
        <v>20185</v>
      </c>
      <c r="B473" t="s">
        <v>1169</v>
      </c>
      <c r="C473" s="55">
        <v>375568.1</v>
      </c>
      <c r="D473" s="55">
        <v>-5336442.26</v>
      </c>
      <c r="E473" t="s">
        <v>931</v>
      </c>
    </row>
    <row r="474" spans="1:13" x14ac:dyDescent="0.25">
      <c r="A474">
        <v>221226</v>
      </c>
      <c r="B474" t="s">
        <v>404</v>
      </c>
      <c r="C474" s="55">
        <v>374067.54</v>
      </c>
      <c r="D474" s="55">
        <v>-1900630.95</v>
      </c>
      <c r="E474" t="s">
        <v>931</v>
      </c>
      <c r="M474" t="s">
        <v>216</v>
      </c>
    </row>
    <row r="475" spans="1:13" x14ac:dyDescent="0.25">
      <c r="A475">
        <v>304329</v>
      </c>
      <c r="B475" t="s">
        <v>505</v>
      </c>
      <c r="C475" s="55">
        <v>372232.02</v>
      </c>
      <c r="D475" s="55">
        <v>-3205335.48</v>
      </c>
      <c r="E475" t="s">
        <v>931</v>
      </c>
    </row>
    <row r="476" spans="1:13" x14ac:dyDescent="0.25">
      <c r="A476">
        <v>251758</v>
      </c>
      <c r="B476" t="s">
        <v>1170</v>
      </c>
      <c r="C476" s="55">
        <v>370410.79</v>
      </c>
      <c r="D476" s="55">
        <v>-587515.4</v>
      </c>
      <c r="E476" t="s">
        <v>931</v>
      </c>
    </row>
    <row r="477" spans="1:13" x14ac:dyDescent="0.25">
      <c r="A477">
        <v>466</v>
      </c>
      <c r="B477" t="s">
        <v>535</v>
      </c>
      <c r="C477" s="55">
        <v>369618.51</v>
      </c>
      <c r="D477" s="55">
        <v>-1182569.1200000001</v>
      </c>
      <c r="E477" t="s">
        <v>931</v>
      </c>
    </row>
    <row r="478" spans="1:13" x14ac:dyDescent="0.25">
      <c r="A478">
        <v>332296</v>
      </c>
      <c r="B478" t="s">
        <v>397</v>
      </c>
      <c r="C478" s="55">
        <v>369000.68</v>
      </c>
      <c r="D478" s="55">
        <v>-1868893.03</v>
      </c>
      <c r="E478" t="s">
        <v>931</v>
      </c>
    </row>
    <row r="479" spans="1:13" x14ac:dyDescent="0.25">
      <c r="A479">
        <v>77867</v>
      </c>
      <c r="B479" t="s">
        <v>1171</v>
      </c>
      <c r="C479" s="55">
        <v>368095.11</v>
      </c>
      <c r="D479" t="s">
        <v>845</v>
      </c>
      <c r="E479" t="s">
        <v>930</v>
      </c>
    </row>
    <row r="480" spans="1:13" x14ac:dyDescent="0.25">
      <c r="A480">
        <v>40477</v>
      </c>
      <c r="B480" t="s">
        <v>658</v>
      </c>
      <c r="C480" s="55">
        <v>367338.21</v>
      </c>
      <c r="D480" s="55">
        <v>-1145317.02</v>
      </c>
      <c r="E480" t="s">
        <v>931</v>
      </c>
    </row>
    <row r="481" spans="1:14" x14ac:dyDescent="0.25">
      <c r="A481">
        <v>3540</v>
      </c>
      <c r="B481" t="s">
        <v>1172</v>
      </c>
      <c r="C481" s="55">
        <v>364022.7</v>
      </c>
      <c r="D481" s="55">
        <v>-4803368.63</v>
      </c>
      <c r="E481" t="s">
        <v>931</v>
      </c>
      <c r="M481" t="s">
        <v>107</v>
      </c>
      <c r="N481" t="s">
        <v>928</v>
      </c>
    </row>
    <row r="482" spans="1:14" x14ac:dyDescent="0.25">
      <c r="A482">
        <v>226092</v>
      </c>
      <c r="B482" t="s">
        <v>581</v>
      </c>
      <c r="C482" s="55">
        <v>362385.09</v>
      </c>
      <c r="D482" s="55">
        <v>-4663208.3600000003</v>
      </c>
      <c r="E482" t="s">
        <v>931</v>
      </c>
    </row>
    <row r="483" spans="1:14" x14ac:dyDescent="0.25">
      <c r="A483">
        <v>865</v>
      </c>
      <c r="B483" t="s">
        <v>1173</v>
      </c>
      <c r="C483" s="55">
        <v>360650.16</v>
      </c>
      <c r="D483" s="55">
        <v>-276695.8</v>
      </c>
      <c r="E483" t="s">
        <v>931</v>
      </c>
    </row>
    <row r="484" spans="1:14" x14ac:dyDescent="0.25">
      <c r="A484">
        <v>167</v>
      </c>
      <c r="B484" t="s">
        <v>678</v>
      </c>
      <c r="C484" s="55">
        <v>359488.83</v>
      </c>
      <c r="D484" s="55">
        <v>-687518.26</v>
      </c>
      <c r="E484" t="s">
        <v>931</v>
      </c>
    </row>
    <row r="485" spans="1:14" x14ac:dyDescent="0.25">
      <c r="A485">
        <v>318444</v>
      </c>
      <c r="B485" t="s">
        <v>1174</v>
      </c>
      <c r="C485" s="55">
        <v>356783.12</v>
      </c>
      <c r="D485" t="s">
        <v>845</v>
      </c>
      <c r="E485" t="s">
        <v>930</v>
      </c>
    </row>
    <row r="486" spans="1:14" x14ac:dyDescent="0.25">
      <c r="A486">
        <v>312017</v>
      </c>
      <c r="B486" t="s">
        <v>589</v>
      </c>
      <c r="C486" s="55">
        <v>352721.39</v>
      </c>
      <c r="D486" s="55">
        <v>-1159832.27</v>
      </c>
      <c r="E486" t="s">
        <v>931</v>
      </c>
    </row>
    <row r="487" spans="1:14" x14ac:dyDescent="0.25">
      <c r="A487">
        <v>332114</v>
      </c>
      <c r="B487" t="s">
        <v>1175</v>
      </c>
      <c r="C487" s="55">
        <v>351338.68</v>
      </c>
      <c r="D487" t="s">
        <v>845</v>
      </c>
      <c r="E487" t="s">
        <v>930</v>
      </c>
    </row>
    <row r="488" spans="1:14" x14ac:dyDescent="0.25">
      <c r="A488">
        <v>23738</v>
      </c>
      <c r="B488" t="s">
        <v>1176</v>
      </c>
      <c r="C488" s="55">
        <v>345355.67</v>
      </c>
      <c r="D488" s="55">
        <v>-8833.8700000000008</v>
      </c>
      <c r="E488" t="s">
        <v>931</v>
      </c>
    </row>
    <row r="489" spans="1:14" x14ac:dyDescent="0.25">
      <c r="A489">
        <v>315697</v>
      </c>
      <c r="B489" t="s">
        <v>1177</v>
      </c>
      <c r="C489" s="55">
        <v>344574.8</v>
      </c>
      <c r="D489" s="55">
        <v>-3137259.95</v>
      </c>
      <c r="E489" t="s">
        <v>931</v>
      </c>
    </row>
    <row r="490" spans="1:14" x14ac:dyDescent="0.25">
      <c r="A490">
        <v>398289</v>
      </c>
      <c r="B490" t="s">
        <v>409</v>
      </c>
      <c r="C490" s="55">
        <v>341891.62</v>
      </c>
      <c r="D490" s="55">
        <v>-766506.49</v>
      </c>
      <c r="E490" t="s">
        <v>931</v>
      </c>
    </row>
    <row r="491" spans="1:14" x14ac:dyDescent="0.25">
      <c r="A491">
        <v>210369</v>
      </c>
      <c r="B491" t="s">
        <v>461</v>
      </c>
      <c r="C491" s="55">
        <v>340224.41</v>
      </c>
      <c r="D491" s="55">
        <v>-2995816.72</v>
      </c>
      <c r="E491" t="s">
        <v>931</v>
      </c>
    </row>
    <row r="492" spans="1:14" x14ac:dyDescent="0.25">
      <c r="A492">
        <v>23652</v>
      </c>
      <c r="B492" t="s">
        <v>1178</v>
      </c>
      <c r="C492" s="55">
        <v>334997.24</v>
      </c>
      <c r="D492" t="s">
        <v>845</v>
      </c>
      <c r="E492" t="s">
        <v>930</v>
      </c>
    </row>
    <row r="493" spans="1:14" x14ac:dyDescent="0.25">
      <c r="A493">
        <v>19155</v>
      </c>
      <c r="B493" t="s">
        <v>1179</v>
      </c>
      <c r="C493" s="55">
        <v>333916.62</v>
      </c>
      <c r="D493" s="55">
        <v>-2136443.04</v>
      </c>
      <c r="E493" t="s">
        <v>931</v>
      </c>
    </row>
    <row r="494" spans="1:14" x14ac:dyDescent="0.25">
      <c r="A494">
        <v>22831</v>
      </c>
      <c r="B494" t="s">
        <v>1180</v>
      </c>
      <c r="C494" s="55">
        <v>328856.82</v>
      </c>
      <c r="D494" t="s">
        <v>845</v>
      </c>
      <c r="E494" t="s">
        <v>930</v>
      </c>
    </row>
    <row r="495" spans="1:14" x14ac:dyDescent="0.25">
      <c r="A495">
        <v>68494</v>
      </c>
      <c r="B495" t="s">
        <v>1181</v>
      </c>
      <c r="C495" s="55">
        <v>328193.78999999998</v>
      </c>
      <c r="D495" s="55">
        <v>-163370.23000000001</v>
      </c>
      <c r="E495" t="s">
        <v>931</v>
      </c>
    </row>
    <row r="496" spans="1:14" x14ac:dyDescent="0.25">
      <c r="A496">
        <v>21355</v>
      </c>
      <c r="B496" t="s">
        <v>1182</v>
      </c>
      <c r="C496" s="55">
        <v>328056.12</v>
      </c>
      <c r="D496" s="55">
        <v>-178902.18</v>
      </c>
      <c r="E496" t="s">
        <v>931</v>
      </c>
    </row>
    <row r="497" spans="1:14" x14ac:dyDescent="0.25">
      <c r="A497">
        <v>316588</v>
      </c>
      <c r="B497" t="s">
        <v>1183</v>
      </c>
      <c r="C497" s="55">
        <v>326665.43</v>
      </c>
      <c r="D497" s="55">
        <v>-241589.22</v>
      </c>
      <c r="E497" t="s">
        <v>931</v>
      </c>
    </row>
    <row r="498" spans="1:14" x14ac:dyDescent="0.25">
      <c r="A498">
        <v>40972</v>
      </c>
      <c r="B498" t="s">
        <v>645</v>
      </c>
      <c r="C498" s="55">
        <v>322302.61</v>
      </c>
      <c r="D498" s="55">
        <v>-610057.12</v>
      </c>
      <c r="E498" t="s">
        <v>931</v>
      </c>
    </row>
    <row r="499" spans="1:14" x14ac:dyDescent="0.25">
      <c r="A499">
        <v>21889</v>
      </c>
      <c r="B499" t="s">
        <v>471</v>
      </c>
      <c r="C499" s="55">
        <v>321670.25</v>
      </c>
      <c r="D499" s="55">
        <v>-3057601.37</v>
      </c>
      <c r="E499" t="s">
        <v>931</v>
      </c>
    </row>
    <row r="500" spans="1:14" x14ac:dyDescent="0.25">
      <c r="A500">
        <v>21828</v>
      </c>
      <c r="B500" t="s">
        <v>1184</v>
      </c>
      <c r="C500" s="55">
        <v>321262.34999999998</v>
      </c>
      <c r="D500" t="s">
        <v>845</v>
      </c>
      <c r="E500" t="s">
        <v>930</v>
      </c>
    </row>
    <row r="501" spans="1:14" x14ac:dyDescent="0.25">
      <c r="A501">
        <v>20337</v>
      </c>
      <c r="B501" t="s">
        <v>1185</v>
      </c>
      <c r="C501" s="55">
        <v>320552</v>
      </c>
      <c r="D501" s="55">
        <v>-877740.31</v>
      </c>
      <c r="E501" t="s">
        <v>931</v>
      </c>
    </row>
    <row r="502" spans="1:14" x14ac:dyDescent="0.25">
      <c r="A502">
        <v>21940</v>
      </c>
      <c r="B502" t="s">
        <v>1186</v>
      </c>
      <c r="C502" s="55">
        <v>317103.08</v>
      </c>
      <c r="D502" s="55">
        <v>-22263.65</v>
      </c>
      <c r="E502" t="s">
        <v>931</v>
      </c>
    </row>
    <row r="503" spans="1:14" x14ac:dyDescent="0.25">
      <c r="A503">
        <v>331975</v>
      </c>
      <c r="B503" t="s">
        <v>1187</v>
      </c>
      <c r="C503" s="55">
        <v>315984.2</v>
      </c>
      <c r="D503" t="s">
        <v>845</v>
      </c>
      <c r="E503" t="s">
        <v>930</v>
      </c>
    </row>
    <row r="504" spans="1:14" x14ac:dyDescent="0.25">
      <c r="A504">
        <v>209106</v>
      </c>
      <c r="B504" t="s">
        <v>1188</v>
      </c>
      <c r="C504" s="55">
        <v>312386.46000000002</v>
      </c>
      <c r="D504" s="55">
        <v>-1412590.25</v>
      </c>
      <c r="E504" t="s">
        <v>931</v>
      </c>
    </row>
    <row r="505" spans="1:14" x14ac:dyDescent="0.25">
      <c r="A505">
        <v>36582</v>
      </c>
      <c r="B505" t="s">
        <v>1189</v>
      </c>
      <c r="C505" s="55">
        <v>311881.25</v>
      </c>
      <c r="D505" t="s">
        <v>845</v>
      </c>
      <c r="E505" t="s">
        <v>930</v>
      </c>
    </row>
    <row r="506" spans="1:14" x14ac:dyDescent="0.25">
      <c r="A506">
        <v>14311</v>
      </c>
      <c r="B506" t="s">
        <v>1190</v>
      </c>
      <c r="C506" s="55">
        <v>310395.01</v>
      </c>
      <c r="D506" s="55">
        <v>-255128.78</v>
      </c>
      <c r="E506" t="s">
        <v>931</v>
      </c>
      <c r="M506" t="s">
        <v>137</v>
      </c>
      <c r="N506" t="s">
        <v>928</v>
      </c>
    </row>
    <row r="507" spans="1:14" x14ac:dyDescent="0.25">
      <c r="A507">
        <v>15715</v>
      </c>
      <c r="B507" t="s">
        <v>1191</v>
      </c>
      <c r="C507" s="55">
        <v>308837.25</v>
      </c>
      <c r="D507" s="55">
        <v>-2451596.61</v>
      </c>
      <c r="E507" t="s">
        <v>931</v>
      </c>
    </row>
    <row r="508" spans="1:14" x14ac:dyDescent="0.25">
      <c r="A508">
        <v>315432</v>
      </c>
      <c r="B508" t="s">
        <v>1192</v>
      </c>
      <c r="C508" s="55">
        <v>302028.79999999999</v>
      </c>
      <c r="D508" s="55">
        <v>-871239.28</v>
      </c>
      <c r="E508" t="s">
        <v>931</v>
      </c>
    </row>
    <row r="509" spans="1:14" x14ac:dyDescent="0.25">
      <c r="A509">
        <v>309807</v>
      </c>
      <c r="B509" t="s">
        <v>629</v>
      </c>
      <c r="C509" s="55">
        <v>300432.64000000001</v>
      </c>
      <c r="D509" s="55">
        <v>-7443493.3399999999</v>
      </c>
      <c r="E509" t="s">
        <v>931</v>
      </c>
    </row>
    <row r="510" spans="1:14" x14ac:dyDescent="0.25">
      <c r="A510">
        <v>2121</v>
      </c>
      <c r="B510" t="s">
        <v>1193</v>
      </c>
      <c r="C510" s="55">
        <v>299667.12</v>
      </c>
      <c r="D510" t="s">
        <v>845</v>
      </c>
      <c r="E510" t="s">
        <v>930</v>
      </c>
    </row>
    <row r="511" spans="1:14" x14ac:dyDescent="0.25">
      <c r="A511">
        <v>14296</v>
      </c>
      <c r="B511" t="s">
        <v>514</v>
      </c>
      <c r="C511" s="55">
        <v>298198.58</v>
      </c>
      <c r="D511" s="55">
        <v>-849921.45</v>
      </c>
      <c r="E511" t="s">
        <v>931</v>
      </c>
    </row>
    <row r="512" spans="1:14" x14ac:dyDescent="0.25">
      <c r="A512">
        <v>11999</v>
      </c>
      <c r="B512" t="s">
        <v>1194</v>
      </c>
      <c r="C512" s="55">
        <v>297902.86</v>
      </c>
      <c r="D512" s="55">
        <v>-484131.8</v>
      </c>
      <c r="E512" t="s">
        <v>931</v>
      </c>
    </row>
    <row r="513" spans="1:14" x14ac:dyDescent="0.25">
      <c r="A513">
        <v>334086</v>
      </c>
      <c r="B513" t="s">
        <v>1195</v>
      </c>
      <c r="C513" s="55">
        <v>297707.88</v>
      </c>
      <c r="D513" t="s">
        <v>845</v>
      </c>
      <c r="E513" t="s">
        <v>930</v>
      </c>
    </row>
    <row r="514" spans="1:14" x14ac:dyDescent="0.25">
      <c r="A514">
        <v>327775</v>
      </c>
      <c r="B514" t="s">
        <v>1196</v>
      </c>
      <c r="C514" s="55">
        <v>296309.61</v>
      </c>
      <c r="D514" s="55">
        <v>-17502.27</v>
      </c>
      <c r="E514" t="s">
        <v>931</v>
      </c>
    </row>
    <row r="515" spans="1:14" x14ac:dyDescent="0.25">
      <c r="A515">
        <v>24072</v>
      </c>
      <c r="B515" t="s">
        <v>1197</v>
      </c>
      <c r="C515" s="55">
        <v>295690.45</v>
      </c>
      <c r="D515" t="s">
        <v>845</v>
      </c>
      <c r="E515" t="s">
        <v>930</v>
      </c>
    </row>
    <row r="516" spans="1:14" x14ac:dyDescent="0.25">
      <c r="A516">
        <v>6828</v>
      </c>
      <c r="B516" t="s">
        <v>1198</v>
      </c>
      <c r="C516" s="55">
        <v>295468.58</v>
      </c>
      <c r="D516" s="55">
        <v>-195818.01</v>
      </c>
      <c r="E516" t="s">
        <v>931</v>
      </c>
    </row>
    <row r="517" spans="1:14" x14ac:dyDescent="0.25">
      <c r="A517">
        <v>23285</v>
      </c>
      <c r="B517" t="s">
        <v>1199</v>
      </c>
      <c r="C517" s="55">
        <v>294514.86</v>
      </c>
      <c r="D517" t="s">
        <v>845</v>
      </c>
      <c r="E517" t="s">
        <v>930</v>
      </c>
    </row>
    <row r="518" spans="1:14" x14ac:dyDescent="0.25">
      <c r="A518">
        <v>326637</v>
      </c>
      <c r="B518" t="s">
        <v>1200</v>
      </c>
      <c r="C518" s="55">
        <v>293221.73</v>
      </c>
      <c r="D518" s="55">
        <v>-161172.69</v>
      </c>
      <c r="E518" t="s">
        <v>931</v>
      </c>
    </row>
    <row r="519" spans="1:14" x14ac:dyDescent="0.25">
      <c r="A519">
        <v>21448</v>
      </c>
      <c r="B519" t="s">
        <v>1201</v>
      </c>
      <c r="C519" s="55">
        <v>291705.40000000002</v>
      </c>
      <c r="D519" s="55">
        <v>-4484.8900000000003</v>
      </c>
      <c r="E519" t="s">
        <v>931</v>
      </c>
    </row>
    <row r="520" spans="1:14" x14ac:dyDescent="0.25">
      <c r="A520">
        <v>14951</v>
      </c>
      <c r="B520" t="s">
        <v>1202</v>
      </c>
      <c r="C520" s="55">
        <v>290952.74</v>
      </c>
      <c r="D520" s="55">
        <v>-1527226.88</v>
      </c>
      <c r="E520" t="s">
        <v>931</v>
      </c>
    </row>
    <row r="521" spans="1:14" x14ac:dyDescent="0.25">
      <c r="A521">
        <v>21597</v>
      </c>
      <c r="B521" t="s">
        <v>663</v>
      </c>
      <c r="C521" s="55">
        <v>290473.27</v>
      </c>
      <c r="D521" s="55">
        <v>-1420019.54</v>
      </c>
      <c r="E521" t="s">
        <v>931</v>
      </c>
    </row>
    <row r="522" spans="1:14" x14ac:dyDescent="0.25">
      <c r="A522">
        <v>24468</v>
      </c>
      <c r="B522" t="s">
        <v>1203</v>
      </c>
      <c r="C522" s="55">
        <v>289381.90000000002</v>
      </c>
      <c r="D522" t="s">
        <v>845</v>
      </c>
      <c r="E522" t="s">
        <v>930</v>
      </c>
    </row>
    <row r="523" spans="1:14" x14ac:dyDescent="0.25">
      <c r="A523">
        <v>3774</v>
      </c>
      <c r="B523" t="s">
        <v>713</v>
      </c>
      <c r="C523" s="55">
        <v>283975.15000000002</v>
      </c>
      <c r="D523" s="55">
        <v>-5477399.0099999998</v>
      </c>
      <c r="E523" t="s">
        <v>931</v>
      </c>
    </row>
    <row r="524" spans="1:14" x14ac:dyDescent="0.25">
      <c r="A524">
        <v>382523</v>
      </c>
      <c r="B524" t="s">
        <v>707</v>
      </c>
      <c r="C524" s="55">
        <v>282041.03000000003</v>
      </c>
      <c r="D524" s="55">
        <v>-2206432.14</v>
      </c>
      <c r="E524" t="s">
        <v>931</v>
      </c>
      <c r="N524" t="s">
        <v>928</v>
      </c>
    </row>
    <row r="525" spans="1:14" x14ac:dyDescent="0.25">
      <c r="A525">
        <v>188</v>
      </c>
      <c r="B525" t="s">
        <v>1204</v>
      </c>
      <c r="C525" s="55">
        <v>279329.57</v>
      </c>
      <c r="D525" t="s">
        <v>845</v>
      </c>
      <c r="E525" t="s">
        <v>930</v>
      </c>
    </row>
    <row r="526" spans="1:14" x14ac:dyDescent="0.25">
      <c r="A526">
        <v>9588</v>
      </c>
      <c r="B526" t="s">
        <v>1205</v>
      </c>
      <c r="C526" s="55">
        <v>278050.39</v>
      </c>
      <c r="D526" s="55">
        <v>-3842392.83</v>
      </c>
      <c r="E526" t="s">
        <v>931</v>
      </c>
    </row>
    <row r="527" spans="1:14" x14ac:dyDescent="0.25">
      <c r="A527">
        <v>77750</v>
      </c>
      <c r="B527" t="s">
        <v>735</v>
      </c>
      <c r="C527" s="55">
        <v>277608.46999999997</v>
      </c>
      <c r="D527" s="55">
        <v>-1563215.78</v>
      </c>
      <c r="E527" t="s">
        <v>931</v>
      </c>
    </row>
    <row r="528" spans="1:14" x14ac:dyDescent="0.25">
      <c r="A528">
        <v>61325</v>
      </c>
      <c r="B528" t="s">
        <v>632</v>
      </c>
      <c r="C528" s="55">
        <v>276074.38</v>
      </c>
      <c r="D528" s="55">
        <v>-1888330.44</v>
      </c>
      <c r="E528" t="s">
        <v>931</v>
      </c>
    </row>
    <row r="529" spans="1:14" x14ac:dyDescent="0.25">
      <c r="A529">
        <v>15628</v>
      </c>
      <c r="B529" t="s">
        <v>1206</v>
      </c>
      <c r="C529" s="55">
        <v>276003.34999999998</v>
      </c>
      <c r="D529" s="55">
        <v>-7770.8</v>
      </c>
      <c r="E529" t="s">
        <v>931</v>
      </c>
    </row>
    <row r="530" spans="1:14" x14ac:dyDescent="0.25">
      <c r="A530">
        <v>9264</v>
      </c>
      <c r="B530" t="s">
        <v>416</v>
      </c>
      <c r="C530" s="55">
        <v>271668.90999999997</v>
      </c>
      <c r="D530" s="55">
        <v>-4491561.9000000004</v>
      </c>
      <c r="E530" t="s">
        <v>931</v>
      </c>
    </row>
    <row r="531" spans="1:14" x14ac:dyDescent="0.25">
      <c r="A531">
        <v>14129</v>
      </c>
      <c r="B531" t="s">
        <v>1207</v>
      </c>
      <c r="C531" s="55">
        <v>270287.71000000002</v>
      </c>
      <c r="D531" s="55">
        <v>-1699184.43</v>
      </c>
      <c r="E531" t="s">
        <v>931</v>
      </c>
    </row>
    <row r="532" spans="1:14" x14ac:dyDescent="0.25">
      <c r="A532">
        <v>311696</v>
      </c>
      <c r="B532" t="s">
        <v>1208</v>
      </c>
      <c r="C532" s="55">
        <v>270189.18</v>
      </c>
      <c r="D532" s="55">
        <v>-2608.13</v>
      </c>
      <c r="E532" t="s">
        <v>931</v>
      </c>
    </row>
    <row r="533" spans="1:14" x14ac:dyDescent="0.25">
      <c r="A533">
        <v>24049</v>
      </c>
      <c r="B533" t="s">
        <v>1209</v>
      </c>
      <c r="C533" s="55">
        <v>267544.88</v>
      </c>
      <c r="D533" t="s">
        <v>845</v>
      </c>
      <c r="E533" t="s">
        <v>930</v>
      </c>
    </row>
    <row r="534" spans="1:14" x14ac:dyDescent="0.25">
      <c r="A534">
        <v>1024</v>
      </c>
      <c r="B534" t="s">
        <v>1210</v>
      </c>
      <c r="C534" s="55">
        <v>266424.09999999998</v>
      </c>
      <c r="D534" t="s">
        <v>845</v>
      </c>
      <c r="E534" t="s">
        <v>930</v>
      </c>
      <c r="M534" t="s">
        <v>61</v>
      </c>
      <c r="N534" t="s">
        <v>928</v>
      </c>
    </row>
    <row r="535" spans="1:14" x14ac:dyDescent="0.25">
      <c r="A535">
        <v>329540</v>
      </c>
      <c r="B535" t="s">
        <v>1211</v>
      </c>
      <c r="C535" s="55">
        <v>264428.78999999998</v>
      </c>
      <c r="D535" s="55">
        <v>-324190.46000000002</v>
      </c>
      <c r="E535" t="s">
        <v>931</v>
      </c>
    </row>
    <row r="536" spans="1:14" x14ac:dyDescent="0.25">
      <c r="A536">
        <v>13445</v>
      </c>
      <c r="B536" t="s">
        <v>1212</v>
      </c>
      <c r="C536" s="55">
        <v>263608.15000000002</v>
      </c>
      <c r="D536" t="s">
        <v>845</v>
      </c>
      <c r="E536" t="s">
        <v>930</v>
      </c>
    </row>
    <row r="537" spans="1:14" x14ac:dyDescent="0.25">
      <c r="A537">
        <v>27011</v>
      </c>
      <c r="B537" t="s">
        <v>561</v>
      </c>
      <c r="C537" s="55">
        <v>262665.17</v>
      </c>
      <c r="D537" s="55">
        <v>-1251719.98</v>
      </c>
      <c r="E537" t="s">
        <v>931</v>
      </c>
    </row>
    <row r="538" spans="1:14" x14ac:dyDescent="0.25">
      <c r="A538">
        <v>24309</v>
      </c>
      <c r="B538" t="s">
        <v>1213</v>
      </c>
      <c r="C538" s="55">
        <v>261998.45</v>
      </c>
      <c r="D538" t="s">
        <v>845</v>
      </c>
      <c r="E538" t="s">
        <v>930</v>
      </c>
    </row>
    <row r="539" spans="1:14" x14ac:dyDescent="0.25">
      <c r="A539">
        <v>7752</v>
      </c>
      <c r="B539" t="s">
        <v>1214</v>
      </c>
      <c r="C539" s="55">
        <v>260890.57</v>
      </c>
      <c r="D539" t="s">
        <v>845</v>
      </c>
      <c r="E539" t="s">
        <v>930</v>
      </c>
    </row>
    <row r="540" spans="1:14" x14ac:dyDescent="0.25">
      <c r="A540">
        <v>230</v>
      </c>
      <c r="B540" t="s">
        <v>1215</v>
      </c>
      <c r="C540" s="55">
        <v>259978.29</v>
      </c>
      <c r="D540" s="55">
        <v>-2292475.5699999998</v>
      </c>
      <c r="E540" t="s">
        <v>931</v>
      </c>
      <c r="F540" t="s">
        <v>992</v>
      </c>
      <c r="N540" t="s">
        <v>928</v>
      </c>
    </row>
    <row r="541" spans="1:14" x14ac:dyDescent="0.25">
      <c r="A541">
        <v>23243</v>
      </c>
      <c r="B541" t="s">
        <v>375</v>
      </c>
      <c r="C541" s="55">
        <v>259037.56</v>
      </c>
      <c r="D541" t="s">
        <v>845</v>
      </c>
      <c r="E541" t="s">
        <v>930</v>
      </c>
    </row>
    <row r="542" spans="1:14" x14ac:dyDescent="0.25">
      <c r="A542">
        <v>5614</v>
      </c>
      <c r="B542" t="s">
        <v>464</v>
      </c>
      <c r="C542" s="55">
        <v>258237.28</v>
      </c>
      <c r="D542" s="55">
        <v>-2508358.9500000002</v>
      </c>
      <c r="E542" t="s">
        <v>931</v>
      </c>
    </row>
    <row r="543" spans="1:14" x14ac:dyDescent="0.25">
      <c r="A543">
        <v>558</v>
      </c>
      <c r="B543" t="s">
        <v>1216</v>
      </c>
      <c r="C543" s="55">
        <v>256689.91</v>
      </c>
      <c r="D543" t="s">
        <v>845</v>
      </c>
      <c r="E543" t="s">
        <v>930</v>
      </c>
      <c r="N543" t="s">
        <v>928</v>
      </c>
    </row>
    <row r="544" spans="1:14" x14ac:dyDescent="0.25">
      <c r="A544">
        <v>301531</v>
      </c>
      <c r="B544" t="s">
        <v>558</v>
      </c>
      <c r="C544" s="55">
        <v>255675.09</v>
      </c>
      <c r="D544" s="55">
        <v>-109340.69</v>
      </c>
      <c r="E544" t="s">
        <v>931</v>
      </c>
    </row>
    <row r="545" spans="1:14" x14ac:dyDescent="0.25">
      <c r="A545">
        <v>23873</v>
      </c>
      <c r="B545" t="s">
        <v>1217</v>
      </c>
      <c r="C545" s="55">
        <v>255231.62</v>
      </c>
      <c r="D545" t="s">
        <v>845</v>
      </c>
      <c r="E545" t="s">
        <v>930</v>
      </c>
    </row>
    <row r="546" spans="1:14" x14ac:dyDescent="0.25">
      <c r="A546">
        <v>22203</v>
      </c>
      <c r="B546" t="s">
        <v>1218</v>
      </c>
      <c r="C546" s="55">
        <v>254546.29</v>
      </c>
      <c r="D546" s="55">
        <v>-4266876.84</v>
      </c>
      <c r="E546" t="s">
        <v>931</v>
      </c>
    </row>
    <row r="547" spans="1:14" x14ac:dyDescent="0.25">
      <c r="A547">
        <v>16985</v>
      </c>
      <c r="B547" t="s">
        <v>662</v>
      </c>
      <c r="C547" s="55">
        <v>254011.19</v>
      </c>
      <c r="D547" s="55">
        <v>-782866.7</v>
      </c>
      <c r="E547" t="s">
        <v>931</v>
      </c>
    </row>
    <row r="548" spans="1:14" x14ac:dyDescent="0.25">
      <c r="A548">
        <v>391151</v>
      </c>
      <c r="B548" t="s">
        <v>1219</v>
      </c>
      <c r="C548" s="55">
        <v>252990.44</v>
      </c>
      <c r="D548" s="55">
        <v>-396427.77</v>
      </c>
      <c r="E548" t="s">
        <v>931</v>
      </c>
    </row>
    <row r="549" spans="1:14" x14ac:dyDescent="0.25">
      <c r="A549">
        <v>53462</v>
      </c>
      <c r="B549" t="s">
        <v>1220</v>
      </c>
      <c r="C549" s="55">
        <v>251902.01</v>
      </c>
      <c r="D549" s="55">
        <v>-562751.28</v>
      </c>
      <c r="E549" t="s">
        <v>931</v>
      </c>
    </row>
    <row r="550" spans="1:14" x14ac:dyDescent="0.25">
      <c r="A550">
        <v>309468</v>
      </c>
      <c r="B550" t="s">
        <v>480</v>
      </c>
      <c r="C550" s="55">
        <v>251269.11</v>
      </c>
      <c r="D550" s="55">
        <v>-1460050.74</v>
      </c>
      <c r="E550" t="s">
        <v>931</v>
      </c>
    </row>
    <row r="551" spans="1:14" x14ac:dyDescent="0.25">
      <c r="A551">
        <v>384156</v>
      </c>
      <c r="B551" t="s">
        <v>1221</v>
      </c>
      <c r="C551" s="55">
        <v>248223.15</v>
      </c>
      <c r="D551" s="55">
        <v>-1973727.12</v>
      </c>
      <c r="E551" t="s">
        <v>931</v>
      </c>
    </row>
    <row r="552" spans="1:14" x14ac:dyDescent="0.25">
      <c r="A552">
        <v>388801</v>
      </c>
      <c r="B552" t="s">
        <v>446</v>
      </c>
      <c r="C552" s="55">
        <v>244464.55</v>
      </c>
      <c r="D552" s="55">
        <v>-2742615.94</v>
      </c>
      <c r="E552" t="s">
        <v>931</v>
      </c>
    </row>
    <row r="553" spans="1:14" x14ac:dyDescent="0.25">
      <c r="A553">
        <v>4226</v>
      </c>
      <c r="B553" t="s">
        <v>683</v>
      </c>
      <c r="C553" s="55">
        <v>244047.92</v>
      </c>
      <c r="D553" s="55">
        <v>-2076149.42</v>
      </c>
      <c r="E553" t="s">
        <v>931</v>
      </c>
    </row>
    <row r="554" spans="1:14" x14ac:dyDescent="0.25">
      <c r="A554">
        <v>315564</v>
      </c>
      <c r="B554" t="s">
        <v>1222</v>
      </c>
      <c r="C554" s="55">
        <v>242316.74</v>
      </c>
      <c r="D554" t="s">
        <v>845</v>
      </c>
      <c r="E554" t="s">
        <v>930</v>
      </c>
    </row>
    <row r="555" spans="1:14" x14ac:dyDescent="0.25">
      <c r="A555">
        <v>332155</v>
      </c>
      <c r="B555" t="s">
        <v>1033</v>
      </c>
      <c r="C555" s="55">
        <v>240589.6</v>
      </c>
      <c r="D555" s="55">
        <v>-341699.25</v>
      </c>
      <c r="E555" t="s">
        <v>931</v>
      </c>
      <c r="M555" t="s">
        <v>932</v>
      </c>
    </row>
    <row r="556" spans="1:14" x14ac:dyDescent="0.25">
      <c r="A556">
        <v>96685</v>
      </c>
      <c r="B556" t="s">
        <v>1223</v>
      </c>
      <c r="C556" s="55">
        <v>240397.37</v>
      </c>
      <c r="D556" s="55">
        <v>-212137.83</v>
      </c>
      <c r="E556" t="s">
        <v>931</v>
      </c>
    </row>
    <row r="557" spans="1:14" x14ac:dyDescent="0.25">
      <c r="A557">
        <v>339457</v>
      </c>
      <c r="B557" t="s">
        <v>624</v>
      </c>
      <c r="C557" s="55">
        <v>238248.02</v>
      </c>
      <c r="D557" s="55">
        <v>-2994040.66</v>
      </c>
      <c r="E557" t="s">
        <v>931</v>
      </c>
      <c r="M557" t="s">
        <v>91</v>
      </c>
      <c r="N557" t="s">
        <v>928</v>
      </c>
    </row>
    <row r="558" spans="1:14" x14ac:dyDescent="0.25">
      <c r="A558">
        <v>308833</v>
      </c>
      <c r="B558" t="s">
        <v>1224</v>
      </c>
      <c r="C558" s="55">
        <v>236842.23</v>
      </c>
      <c r="D558" s="55">
        <v>-2125118.58</v>
      </c>
      <c r="E558" t="s">
        <v>931</v>
      </c>
    </row>
    <row r="559" spans="1:14" x14ac:dyDescent="0.25">
      <c r="A559">
        <v>379487</v>
      </c>
      <c r="B559" t="s">
        <v>1225</v>
      </c>
      <c r="C559" s="55">
        <v>236205.31</v>
      </c>
      <c r="D559" s="55">
        <v>236818.99</v>
      </c>
      <c r="E559" t="s">
        <v>948</v>
      </c>
    </row>
    <row r="560" spans="1:14" x14ac:dyDescent="0.25">
      <c r="A560">
        <v>38885</v>
      </c>
      <c r="B560" t="s">
        <v>1226</v>
      </c>
      <c r="C560" s="55">
        <v>234736.32</v>
      </c>
      <c r="D560" s="55">
        <v>-1440293.91</v>
      </c>
      <c r="E560" t="s">
        <v>931</v>
      </c>
    </row>
    <row r="561" spans="1:14" x14ac:dyDescent="0.25">
      <c r="A561">
        <v>20257</v>
      </c>
      <c r="B561" t="s">
        <v>701</v>
      </c>
      <c r="C561" s="55">
        <v>234165.2</v>
      </c>
      <c r="D561" s="55">
        <v>-1226093.3999999999</v>
      </c>
      <c r="E561" t="s">
        <v>931</v>
      </c>
    </row>
    <row r="562" spans="1:14" x14ac:dyDescent="0.25">
      <c r="A562">
        <v>52035</v>
      </c>
      <c r="B562" t="s">
        <v>473</v>
      </c>
      <c r="C562" s="55">
        <v>233224.6</v>
      </c>
      <c r="D562" s="55">
        <v>-3753879.87</v>
      </c>
      <c r="E562" t="s">
        <v>931</v>
      </c>
      <c r="M562" t="s">
        <v>61</v>
      </c>
      <c r="N562" t="s">
        <v>928</v>
      </c>
    </row>
    <row r="563" spans="1:14" x14ac:dyDescent="0.25">
      <c r="A563">
        <v>384461</v>
      </c>
      <c r="B563" t="s">
        <v>1227</v>
      </c>
      <c r="C563" s="55">
        <v>232848</v>
      </c>
      <c r="D563" t="s">
        <v>845</v>
      </c>
      <c r="E563" t="s">
        <v>930</v>
      </c>
    </row>
    <row r="564" spans="1:14" x14ac:dyDescent="0.25">
      <c r="A564">
        <v>21368</v>
      </c>
      <c r="B564" t="s">
        <v>1228</v>
      </c>
      <c r="C564" s="55">
        <v>230810.64</v>
      </c>
      <c r="D564" t="s">
        <v>845</v>
      </c>
      <c r="E564" t="s">
        <v>930</v>
      </c>
    </row>
    <row r="565" spans="1:14" x14ac:dyDescent="0.25">
      <c r="A565">
        <v>23900</v>
      </c>
      <c r="B565" t="s">
        <v>1229</v>
      </c>
      <c r="C565" s="55">
        <v>230346.27</v>
      </c>
      <c r="D565" s="55">
        <v>-230615.87</v>
      </c>
      <c r="E565" t="s">
        <v>931</v>
      </c>
    </row>
    <row r="566" spans="1:14" x14ac:dyDescent="0.25">
      <c r="A566">
        <v>321216</v>
      </c>
      <c r="B566" t="s">
        <v>1230</v>
      </c>
      <c r="C566" s="55">
        <v>229981.72</v>
      </c>
      <c r="D566" s="55">
        <v>-417735.7</v>
      </c>
      <c r="E566" t="s">
        <v>931</v>
      </c>
    </row>
    <row r="567" spans="1:14" x14ac:dyDescent="0.25">
      <c r="A567">
        <v>300657</v>
      </c>
      <c r="B567" t="s">
        <v>1231</v>
      </c>
      <c r="C567" s="55">
        <v>229797.88</v>
      </c>
      <c r="D567" s="55">
        <v>-78479.16</v>
      </c>
      <c r="E567" t="s">
        <v>931</v>
      </c>
    </row>
    <row r="568" spans="1:14" x14ac:dyDescent="0.25">
      <c r="A568">
        <v>25100</v>
      </c>
      <c r="B568" t="s">
        <v>1232</v>
      </c>
      <c r="C568" s="55">
        <v>229527.19</v>
      </c>
      <c r="D568" t="s">
        <v>845</v>
      </c>
      <c r="E568" t="s">
        <v>930</v>
      </c>
    </row>
    <row r="569" spans="1:14" x14ac:dyDescent="0.25">
      <c r="A569">
        <v>318196</v>
      </c>
      <c r="B569" t="s">
        <v>284</v>
      </c>
      <c r="C569" s="55">
        <v>228211.6</v>
      </c>
      <c r="D569" s="55">
        <v>-5569740.5899999999</v>
      </c>
      <c r="E569" t="s">
        <v>931</v>
      </c>
    </row>
    <row r="570" spans="1:14" x14ac:dyDescent="0.25">
      <c r="A570">
        <v>318600</v>
      </c>
      <c r="B570" t="s">
        <v>1233</v>
      </c>
      <c r="C570" s="55">
        <v>227558.62</v>
      </c>
      <c r="D570" t="s">
        <v>845</v>
      </c>
      <c r="E570" t="s">
        <v>930</v>
      </c>
    </row>
    <row r="571" spans="1:14" x14ac:dyDescent="0.25">
      <c r="A571">
        <v>26922</v>
      </c>
      <c r="B571" t="s">
        <v>1234</v>
      </c>
      <c r="C571" s="55">
        <v>227108.78</v>
      </c>
      <c r="D571" s="55">
        <v>149490.98000000001</v>
      </c>
      <c r="E571" t="s">
        <v>948</v>
      </c>
    </row>
    <row r="572" spans="1:14" x14ac:dyDescent="0.25">
      <c r="A572">
        <v>18320</v>
      </c>
      <c r="B572" t="s">
        <v>1235</v>
      </c>
      <c r="C572" s="55">
        <v>225395.88</v>
      </c>
      <c r="D572" t="s">
        <v>845</v>
      </c>
      <c r="E572" t="s">
        <v>930</v>
      </c>
    </row>
    <row r="573" spans="1:14" x14ac:dyDescent="0.25">
      <c r="A573">
        <v>2151</v>
      </c>
      <c r="B573" t="s">
        <v>1236</v>
      </c>
      <c r="C573" s="55">
        <v>224557.54</v>
      </c>
      <c r="D573" s="55">
        <v>-141730.78</v>
      </c>
      <c r="E573" t="s">
        <v>931</v>
      </c>
    </row>
    <row r="574" spans="1:14" x14ac:dyDescent="0.25">
      <c r="A574">
        <v>77974</v>
      </c>
      <c r="B574" t="s">
        <v>493</v>
      </c>
      <c r="C574" s="55">
        <v>224066.42</v>
      </c>
      <c r="D574" s="55">
        <v>-1270091.3700000001</v>
      </c>
      <c r="E574" t="s">
        <v>931</v>
      </c>
      <c r="N574" t="s">
        <v>928</v>
      </c>
    </row>
    <row r="575" spans="1:14" x14ac:dyDescent="0.25">
      <c r="A575">
        <v>24355</v>
      </c>
      <c r="B575" t="s">
        <v>1237</v>
      </c>
      <c r="C575" s="55">
        <v>222472.48</v>
      </c>
      <c r="D575" t="s">
        <v>845</v>
      </c>
      <c r="E575" t="s">
        <v>930</v>
      </c>
    </row>
    <row r="576" spans="1:14" x14ac:dyDescent="0.25">
      <c r="A576">
        <v>311159</v>
      </c>
      <c r="B576" t="s">
        <v>425</v>
      </c>
      <c r="C576" s="55">
        <v>221361.93</v>
      </c>
      <c r="D576" s="55">
        <v>-783099.06</v>
      </c>
      <c r="E576" t="s">
        <v>931</v>
      </c>
    </row>
    <row r="577" spans="1:13" x14ac:dyDescent="0.25">
      <c r="A577">
        <v>23889</v>
      </c>
      <c r="B577" t="s">
        <v>1238</v>
      </c>
      <c r="C577" s="55">
        <v>219508.48000000001</v>
      </c>
      <c r="D577" t="s">
        <v>845</v>
      </c>
      <c r="E577" t="s">
        <v>930</v>
      </c>
    </row>
    <row r="578" spans="1:13" x14ac:dyDescent="0.25">
      <c r="A578">
        <v>24773</v>
      </c>
      <c r="B578" t="s">
        <v>1239</v>
      </c>
      <c r="C578" s="55">
        <v>218828.26</v>
      </c>
      <c r="D578" t="s">
        <v>845</v>
      </c>
      <c r="E578" t="s">
        <v>930</v>
      </c>
    </row>
    <row r="579" spans="1:13" x14ac:dyDescent="0.25">
      <c r="A579">
        <v>23950</v>
      </c>
      <c r="B579" t="s">
        <v>1240</v>
      </c>
      <c r="C579" s="55">
        <v>216573.11</v>
      </c>
      <c r="D579" t="s">
        <v>845</v>
      </c>
      <c r="E579" t="s">
        <v>930</v>
      </c>
    </row>
    <row r="580" spans="1:13" x14ac:dyDescent="0.25">
      <c r="A580">
        <v>63677</v>
      </c>
      <c r="B580" t="s">
        <v>1241</v>
      </c>
      <c r="C580" s="55">
        <v>216447.95</v>
      </c>
      <c r="D580" s="55">
        <v>-1254089.71</v>
      </c>
      <c r="E580" t="s">
        <v>931</v>
      </c>
    </row>
    <row r="581" spans="1:13" x14ac:dyDescent="0.25">
      <c r="A581">
        <v>49692</v>
      </c>
      <c r="B581" t="s">
        <v>1242</v>
      </c>
      <c r="C581" s="55">
        <v>215637.04</v>
      </c>
      <c r="D581" t="s">
        <v>845</v>
      </c>
      <c r="E581" t="s">
        <v>930</v>
      </c>
    </row>
    <row r="582" spans="1:13" x14ac:dyDescent="0.25">
      <c r="A582">
        <v>81</v>
      </c>
      <c r="B582" t="s">
        <v>1243</v>
      </c>
      <c r="C582" s="55">
        <v>215526.78</v>
      </c>
      <c r="D582" s="55">
        <v>-684660.56</v>
      </c>
      <c r="E582" t="s">
        <v>931</v>
      </c>
    </row>
    <row r="583" spans="1:13" x14ac:dyDescent="0.25">
      <c r="A583">
        <v>14535</v>
      </c>
      <c r="B583" t="s">
        <v>672</v>
      </c>
      <c r="C583" s="55">
        <v>215425.5</v>
      </c>
      <c r="D583" s="55">
        <v>-5165093.67</v>
      </c>
      <c r="E583" t="s">
        <v>931</v>
      </c>
    </row>
    <row r="584" spans="1:13" x14ac:dyDescent="0.25">
      <c r="A584">
        <v>22605</v>
      </c>
      <c r="B584" t="s">
        <v>526</v>
      </c>
      <c r="C584" s="55">
        <v>214330.93</v>
      </c>
      <c r="D584" s="55">
        <v>-612274.42000000004</v>
      </c>
      <c r="E584" t="s">
        <v>931</v>
      </c>
    </row>
    <row r="585" spans="1:13" x14ac:dyDescent="0.25">
      <c r="A585">
        <v>21262</v>
      </c>
      <c r="B585" t="s">
        <v>1244</v>
      </c>
      <c r="C585" s="55">
        <v>212886.47</v>
      </c>
      <c r="D585" s="55">
        <v>-427851.94</v>
      </c>
      <c r="E585" t="s">
        <v>931</v>
      </c>
    </row>
    <row r="586" spans="1:13" x14ac:dyDescent="0.25">
      <c r="A586">
        <v>208678</v>
      </c>
      <c r="B586" t="s">
        <v>708</v>
      </c>
      <c r="C586" s="55">
        <v>212723.19</v>
      </c>
      <c r="D586" s="55">
        <v>-1826.49</v>
      </c>
      <c r="E586" t="s">
        <v>931</v>
      </c>
    </row>
    <row r="587" spans="1:13" x14ac:dyDescent="0.25">
      <c r="A587">
        <v>304865</v>
      </c>
      <c r="B587" t="s">
        <v>1245</v>
      </c>
      <c r="C587" s="55">
        <v>210494.73</v>
      </c>
      <c r="D587" s="55">
        <v>-225429.53</v>
      </c>
      <c r="E587" t="s">
        <v>931</v>
      </c>
    </row>
    <row r="588" spans="1:13" x14ac:dyDescent="0.25">
      <c r="A588">
        <v>13761</v>
      </c>
      <c r="B588" t="s">
        <v>1246</v>
      </c>
      <c r="C588" s="55">
        <v>209622.88</v>
      </c>
      <c r="D588" s="55">
        <v>-12946.42</v>
      </c>
      <c r="E588" t="s">
        <v>931</v>
      </c>
    </row>
    <row r="589" spans="1:13" x14ac:dyDescent="0.25">
      <c r="A589">
        <v>4830</v>
      </c>
      <c r="B589" t="s">
        <v>611</v>
      </c>
      <c r="C589" s="55">
        <v>208566.13</v>
      </c>
      <c r="D589" s="55">
        <v>-228497.59</v>
      </c>
      <c r="E589" t="s">
        <v>931</v>
      </c>
      <c r="M589" t="s">
        <v>91</v>
      </c>
    </row>
    <row r="590" spans="1:13" x14ac:dyDescent="0.25">
      <c r="A590">
        <v>302786</v>
      </c>
      <c r="B590" t="s">
        <v>572</v>
      </c>
      <c r="C590" s="55">
        <v>208059.74</v>
      </c>
      <c r="D590" s="55">
        <v>-3229217.86</v>
      </c>
      <c r="E590" t="s">
        <v>931</v>
      </c>
    </row>
    <row r="591" spans="1:13" x14ac:dyDescent="0.25">
      <c r="A591">
        <v>305</v>
      </c>
      <c r="B591" t="s">
        <v>211</v>
      </c>
      <c r="C591" s="55">
        <v>205657.02</v>
      </c>
      <c r="D591" s="55">
        <v>-1399405.8</v>
      </c>
      <c r="E591" t="s">
        <v>931</v>
      </c>
      <c r="M591" t="s">
        <v>148</v>
      </c>
    </row>
    <row r="592" spans="1:13" x14ac:dyDescent="0.25">
      <c r="A592">
        <v>1048</v>
      </c>
      <c r="B592" t="s">
        <v>1247</v>
      </c>
      <c r="C592" s="55">
        <v>205562.55</v>
      </c>
      <c r="D592" t="s">
        <v>845</v>
      </c>
      <c r="E592" t="s">
        <v>930</v>
      </c>
    </row>
    <row r="593" spans="1:5" x14ac:dyDescent="0.25">
      <c r="A593">
        <v>323303</v>
      </c>
      <c r="B593" t="s">
        <v>1248</v>
      </c>
      <c r="C593" s="55">
        <v>203394.16</v>
      </c>
      <c r="D593" t="s">
        <v>845</v>
      </c>
      <c r="E593" t="s">
        <v>930</v>
      </c>
    </row>
    <row r="594" spans="1:5" x14ac:dyDescent="0.25">
      <c r="A594">
        <v>64345</v>
      </c>
      <c r="B594" t="s">
        <v>478</v>
      </c>
      <c r="C594" s="55">
        <v>202615.14</v>
      </c>
      <c r="D594" s="55">
        <v>-3389623.99</v>
      </c>
      <c r="E594" t="s">
        <v>931</v>
      </c>
    </row>
    <row r="595" spans="1:5" x14ac:dyDescent="0.25">
      <c r="A595">
        <v>17541</v>
      </c>
      <c r="B595" t="s">
        <v>1249</v>
      </c>
      <c r="C595" s="55">
        <v>200490.72</v>
      </c>
      <c r="D595" s="55">
        <v>-3411772.76</v>
      </c>
      <c r="E595" t="s">
        <v>931</v>
      </c>
    </row>
    <row r="596" spans="1:5" x14ac:dyDescent="0.25">
      <c r="A596">
        <v>82289</v>
      </c>
      <c r="B596" t="s">
        <v>1250</v>
      </c>
      <c r="C596" s="55">
        <v>199692.93</v>
      </c>
      <c r="D596" t="s">
        <v>845</v>
      </c>
      <c r="E596" t="s">
        <v>930</v>
      </c>
    </row>
    <row r="597" spans="1:5" x14ac:dyDescent="0.25">
      <c r="A597">
        <v>71886</v>
      </c>
      <c r="B597" t="s">
        <v>1251</v>
      </c>
      <c r="C597" s="55">
        <v>199152.68</v>
      </c>
      <c r="D597" t="s">
        <v>845</v>
      </c>
      <c r="E597" t="s">
        <v>930</v>
      </c>
    </row>
    <row r="598" spans="1:5" x14ac:dyDescent="0.25">
      <c r="A598">
        <v>8859</v>
      </c>
      <c r="B598" t="s">
        <v>459</v>
      </c>
      <c r="C598" s="55">
        <v>198331.54</v>
      </c>
      <c r="D598" s="55">
        <v>-788054.51</v>
      </c>
      <c r="E598" t="s">
        <v>931</v>
      </c>
    </row>
    <row r="599" spans="1:5" x14ac:dyDescent="0.25">
      <c r="A599">
        <v>325928</v>
      </c>
      <c r="B599" t="s">
        <v>1252</v>
      </c>
      <c r="C599" s="55">
        <v>198201.34</v>
      </c>
      <c r="D599" s="55">
        <v>-1886382.41</v>
      </c>
      <c r="E599" t="s">
        <v>931</v>
      </c>
    </row>
    <row r="600" spans="1:5" x14ac:dyDescent="0.25">
      <c r="A600">
        <v>11509</v>
      </c>
      <c r="B600" t="s">
        <v>1253</v>
      </c>
      <c r="C600" s="55">
        <v>196208.14</v>
      </c>
      <c r="D600" s="55">
        <v>-301143.39</v>
      </c>
      <c r="E600" t="s">
        <v>931</v>
      </c>
    </row>
    <row r="601" spans="1:5" x14ac:dyDescent="0.25">
      <c r="A601">
        <v>24877</v>
      </c>
      <c r="B601" t="s">
        <v>1254</v>
      </c>
      <c r="C601" s="55">
        <v>195581.92</v>
      </c>
      <c r="D601" t="s">
        <v>845</v>
      </c>
      <c r="E601" t="s">
        <v>930</v>
      </c>
    </row>
    <row r="602" spans="1:5" x14ac:dyDescent="0.25">
      <c r="A602">
        <v>49064</v>
      </c>
      <c r="B602" t="s">
        <v>1255</v>
      </c>
      <c r="C602" s="55">
        <v>194584.6</v>
      </c>
      <c r="D602" s="55">
        <v>-604732.56000000006</v>
      </c>
      <c r="E602" t="s">
        <v>931</v>
      </c>
    </row>
    <row r="603" spans="1:5" x14ac:dyDescent="0.25">
      <c r="A603">
        <v>49775</v>
      </c>
      <c r="B603" t="s">
        <v>1256</v>
      </c>
      <c r="C603" s="55">
        <v>194259.21</v>
      </c>
      <c r="D603" t="s">
        <v>845</v>
      </c>
      <c r="E603" t="s">
        <v>930</v>
      </c>
    </row>
    <row r="604" spans="1:5" x14ac:dyDescent="0.25">
      <c r="A604">
        <v>32169</v>
      </c>
      <c r="B604" t="s">
        <v>355</v>
      </c>
      <c r="C604" s="55">
        <v>191640.37</v>
      </c>
      <c r="D604" s="55">
        <v>-1654124.72</v>
      </c>
      <c r="E604" t="s">
        <v>931</v>
      </c>
    </row>
    <row r="605" spans="1:5" x14ac:dyDescent="0.25">
      <c r="A605">
        <v>9782</v>
      </c>
      <c r="B605" t="s">
        <v>1257</v>
      </c>
      <c r="C605" s="55">
        <v>191246.21</v>
      </c>
      <c r="D605" s="55">
        <v>-3618623.65</v>
      </c>
      <c r="E605" t="s">
        <v>931</v>
      </c>
    </row>
    <row r="606" spans="1:5" x14ac:dyDescent="0.25">
      <c r="A606">
        <v>65219</v>
      </c>
      <c r="B606" t="s">
        <v>1258</v>
      </c>
      <c r="C606" s="55">
        <v>189984.69</v>
      </c>
      <c r="D606" s="55">
        <v>-576266.01</v>
      </c>
      <c r="E606" t="s">
        <v>931</v>
      </c>
    </row>
    <row r="607" spans="1:5" x14ac:dyDescent="0.25">
      <c r="A607">
        <v>26393</v>
      </c>
      <c r="B607" t="s">
        <v>400</v>
      </c>
      <c r="C607" s="55">
        <v>187691.15</v>
      </c>
      <c r="D607" s="55">
        <v>-1089073.6200000001</v>
      </c>
      <c r="E607" t="s">
        <v>931</v>
      </c>
    </row>
    <row r="608" spans="1:5" x14ac:dyDescent="0.25">
      <c r="A608">
        <v>68080</v>
      </c>
      <c r="B608" t="s">
        <v>1259</v>
      </c>
      <c r="C608" s="55">
        <v>187335.61</v>
      </c>
      <c r="D608" s="55">
        <v>-516756.63</v>
      </c>
      <c r="E608" t="s">
        <v>931</v>
      </c>
    </row>
    <row r="609" spans="1:13" x14ac:dyDescent="0.25">
      <c r="A609">
        <v>322784</v>
      </c>
      <c r="B609" t="s">
        <v>1260</v>
      </c>
      <c r="C609" s="55">
        <v>186223.15</v>
      </c>
      <c r="D609" s="55">
        <v>287106.82</v>
      </c>
      <c r="E609" t="s">
        <v>948</v>
      </c>
    </row>
    <row r="610" spans="1:13" x14ac:dyDescent="0.25">
      <c r="A610">
        <v>8359</v>
      </c>
      <c r="B610" t="s">
        <v>1261</v>
      </c>
      <c r="C610" s="55">
        <v>184607.19</v>
      </c>
      <c r="D610" s="55">
        <v>-14256357.960000001</v>
      </c>
      <c r="E610" t="s">
        <v>931</v>
      </c>
    </row>
    <row r="611" spans="1:13" x14ac:dyDescent="0.25">
      <c r="A611">
        <v>43398</v>
      </c>
      <c r="B611" t="s">
        <v>1262</v>
      </c>
      <c r="C611" s="55">
        <v>183453.87</v>
      </c>
      <c r="D611" s="55">
        <v>-407832.05</v>
      </c>
      <c r="E611" t="s">
        <v>931</v>
      </c>
    </row>
    <row r="612" spans="1:13" x14ac:dyDescent="0.25">
      <c r="A612">
        <v>378562</v>
      </c>
      <c r="B612" t="s">
        <v>1263</v>
      </c>
      <c r="C612" s="55">
        <v>183318.38</v>
      </c>
      <c r="D612" s="55">
        <v>-2827310.04</v>
      </c>
      <c r="E612" t="s">
        <v>931</v>
      </c>
    </row>
    <row r="613" spans="1:13" x14ac:dyDescent="0.25">
      <c r="A613">
        <v>25076</v>
      </c>
      <c r="B613" t="s">
        <v>1264</v>
      </c>
      <c r="C613" s="55">
        <v>181825.72</v>
      </c>
      <c r="D613" t="s">
        <v>845</v>
      </c>
      <c r="E613" t="s">
        <v>930</v>
      </c>
    </row>
    <row r="614" spans="1:13" x14ac:dyDescent="0.25">
      <c r="A614">
        <v>20828</v>
      </c>
      <c r="B614" t="s">
        <v>1265</v>
      </c>
      <c r="C614" s="55">
        <v>178183.35</v>
      </c>
      <c r="D614" s="55">
        <v>-255824.14</v>
      </c>
      <c r="E614" t="s">
        <v>931</v>
      </c>
    </row>
    <row r="615" spans="1:13" x14ac:dyDescent="0.25">
      <c r="A615">
        <v>327429</v>
      </c>
      <c r="B615" t="s">
        <v>1266</v>
      </c>
      <c r="C615" s="55">
        <v>177352.34</v>
      </c>
      <c r="D615" s="55">
        <v>-1649009.62</v>
      </c>
      <c r="E615" t="s">
        <v>931</v>
      </c>
    </row>
    <row r="616" spans="1:13" x14ac:dyDescent="0.25">
      <c r="A616">
        <v>35519</v>
      </c>
      <c r="B616" t="s">
        <v>1267</v>
      </c>
      <c r="C616" s="55">
        <v>176144.91</v>
      </c>
      <c r="D616" t="s">
        <v>845</v>
      </c>
      <c r="E616" t="s">
        <v>930</v>
      </c>
    </row>
    <row r="617" spans="1:13" x14ac:dyDescent="0.25">
      <c r="A617">
        <v>18500</v>
      </c>
      <c r="B617" t="s">
        <v>1268</v>
      </c>
      <c r="C617" s="55">
        <v>175966.13</v>
      </c>
      <c r="D617" t="s">
        <v>845</v>
      </c>
      <c r="E617" t="s">
        <v>930</v>
      </c>
    </row>
    <row r="618" spans="1:13" x14ac:dyDescent="0.25">
      <c r="A618">
        <v>318493</v>
      </c>
      <c r="B618" t="s">
        <v>422</v>
      </c>
      <c r="C618" s="55">
        <v>175210.67</v>
      </c>
      <c r="D618" s="55">
        <v>-2574243.88</v>
      </c>
      <c r="E618" t="s">
        <v>931</v>
      </c>
    </row>
    <row r="619" spans="1:13" x14ac:dyDescent="0.25">
      <c r="A619">
        <v>3860</v>
      </c>
      <c r="B619" t="s">
        <v>435</v>
      </c>
      <c r="C619" s="55">
        <v>173909.9</v>
      </c>
      <c r="D619" s="55">
        <v>-732019.03</v>
      </c>
      <c r="E619" t="s">
        <v>931</v>
      </c>
      <c r="M619" t="s">
        <v>216</v>
      </c>
    </row>
    <row r="620" spans="1:13" x14ac:dyDescent="0.25">
      <c r="A620">
        <v>386649</v>
      </c>
      <c r="B620" t="s">
        <v>1269</v>
      </c>
      <c r="C620" s="55">
        <v>173205.95</v>
      </c>
      <c r="D620" s="55">
        <v>-381341.14</v>
      </c>
      <c r="E620" t="s">
        <v>931</v>
      </c>
    </row>
    <row r="621" spans="1:13" x14ac:dyDescent="0.25">
      <c r="A621">
        <v>1814</v>
      </c>
      <c r="B621" t="s">
        <v>1270</v>
      </c>
      <c r="C621" s="55">
        <v>173122.01</v>
      </c>
      <c r="D621" s="55">
        <v>-759419.29</v>
      </c>
      <c r="E621" t="s">
        <v>931</v>
      </c>
    </row>
    <row r="622" spans="1:13" x14ac:dyDescent="0.25">
      <c r="A622">
        <v>14746</v>
      </c>
      <c r="B622" t="s">
        <v>1271</v>
      </c>
      <c r="C622" s="55">
        <v>171368.53</v>
      </c>
      <c r="D622" s="55">
        <v>-704505.63</v>
      </c>
      <c r="E622" t="s">
        <v>931</v>
      </c>
    </row>
    <row r="623" spans="1:13" x14ac:dyDescent="0.25">
      <c r="A623">
        <v>23473</v>
      </c>
      <c r="B623" t="s">
        <v>1272</v>
      </c>
      <c r="C623" s="55">
        <v>168577.88</v>
      </c>
      <c r="D623" s="55">
        <v>-278531.15000000002</v>
      </c>
      <c r="E623" t="s">
        <v>931</v>
      </c>
    </row>
    <row r="624" spans="1:13" x14ac:dyDescent="0.25">
      <c r="A624">
        <v>89540</v>
      </c>
      <c r="B624" t="s">
        <v>479</v>
      </c>
      <c r="C624" s="55">
        <v>164891.17000000001</v>
      </c>
      <c r="D624" s="55">
        <v>-241798.49</v>
      </c>
      <c r="E624" t="s">
        <v>931</v>
      </c>
    </row>
    <row r="625" spans="1:14" x14ac:dyDescent="0.25">
      <c r="A625">
        <v>92767</v>
      </c>
      <c r="B625" t="s">
        <v>489</v>
      </c>
      <c r="C625" s="55">
        <v>164683.79999999999</v>
      </c>
      <c r="D625" s="55">
        <v>-1798948.41</v>
      </c>
      <c r="E625" t="s">
        <v>931</v>
      </c>
    </row>
    <row r="626" spans="1:14" x14ac:dyDescent="0.25">
      <c r="A626">
        <v>384578</v>
      </c>
      <c r="B626" t="s">
        <v>1273</v>
      </c>
      <c r="C626" s="55">
        <v>163624</v>
      </c>
      <c r="D626" t="s">
        <v>845</v>
      </c>
      <c r="E626" t="s">
        <v>930</v>
      </c>
    </row>
    <row r="627" spans="1:14" x14ac:dyDescent="0.25">
      <c r="A627">
        <v>203749</v>
      </c>
      <c r="B627" t="s">
        <v>588</v>
      </c>
      <c r="C627" s="55">
        <v>162976.04999999999</v>
      </c>
      <c r="D627" s="55">
        <v>-336219.82</v>
      </c>
      <c r="E627" t="s">
        <v>931</v>
      </c>
    </row>
    <row r="628" spans="1:14" x14ac:dyDescent="0.25">
      <c r="A628">
        <v>23431</v>
      </c>
      <c r="B628" t="s">
        <v>504</v>
      </c>
      <c r="C628" s="55">
        <v>162870.82999999999</v>
      </c>
      <c r="D628" s="55">
        <v>-1037896.21</v>
      </c>
      <c r="E628" t="s">
        <v>931</v>
      </c>
    </row>
    <row r="629" spans="1:14" x14ac:dyDescent="0.25">
      <c r="A629">
        <v>16807</v>
      </c>
      <c r="B629" t="s">
        <v>676</v>
      </c>
      <c r="C629" s="55">
        <v>161713.56</v>
      </c>
      <c r="D629" s="55">
        <v>-242041.28</v>
      </c>
      <c r="E629" t="s">
        <v>931</v>
      </c>
    </row>
    <row r="630" spans="1:14" x14ac:dyDescent="0.25">
      <c r="A630">
        <v>20486</v>
      </c>
      <c r="B630" t="s">
        <v>1274</v>
      </c>
      <c r="C630" s="55">
        <v>161137.41</v>
      </c>
      <c r="D630" s="55">
        <v>37549</v>
      </c>
      <c r="E630" t="s">
        <v>948</v>
      </c>
    </row>
    <row r="631" spans="1:14" x14ac:dyDescent="0.25">
      <c r="A631">
        <v>385534</v>
      </c>
      <c r="B631" t="s">
        <v>601</v>
      </c>
      <c r="C631" s="55">
        <v>161114.23999999999</v>
      </c>
      <c r="D631" s="55">
        <v>-5437641.0899999999</v>
      </c>
      <c r="E631" t="s">
        <v>931</v>
      </c>
    </row>
    <row r="632" spans="1:14" x14ac:dyDescent="0.25">
      <c r="A632">
        <v>32821</v>
      </c>
      <c r="B632" t="s">
        <v>675</v>
      </c>
      <c r="C632" s="55">
        <v>159654.22</v>
      </c>
      <c r="D632" s="55">
        <v>104604.08</v>
      </c>
      <c r="E632" t="s">
        <v>948</v>
      </c>
    </row>
    <row r="633" spans="1:14" x14ac:dyDescent="0.25">
      <c r="A633">
        <v>384776</v>
      </c>
      <c r="B633" t="s">
        <v>270</v>
      </c>
      <c r="C633" s="55">
        <v>159233.19</v>
      </c>
      <c r="D633" s="55">
        <v>-7066989.2000000002</v>
      </c>
      <c r="E633" t="s">
        <v>931</v>
      </c>
      <c r="F633" t="s">
        <v>962</v>
      </c>
      <c r="N633" t="s">
        <v>928</v>
      </c>
    </row>
    <row r="634" spans="1:14" x14ac:dyDescent="0.25">
      <c r="A634">
        <v>321786</v>
      </c>
      <c r="B634" t="s">
        <v>469</v>
      </c>
      <c r="C634" s="55">
        <v>159187.14000000001</v>
      </c>
      <c r="D634" s="55">
        <v>-2489791.9700000002</v>
      </c>
      <c r="E634" t="s">
        <v>931</v>
      </c>
    </row>
    <row r="635" spans="1:14" x14ac:dyDescent="0.25">
      <c r="A635">
        <v>24637</v>
      </c>
      <c r="B635" t="s">
        <v>1275</v>
      </c>
      <c r="C635" s="55">
        <v>159092.82</v>
      </c>
      <c r="D635" t="s">
        <v>845</v>
      </c>
      <c r="E635" t="s">
        <v>930</v>
      </c>
    </row>
    <row r="636" spans="1:14" x14ac:dyDescent="0.25">
      <c r="A636">
        <v>317651</v>
      </c>
      <c r="B636" t="s">
        <v>1276</v>
      </c>
      <c r="C636" s="55">
        <v>158936.29</v>
      </c>
      <c r="D636" t="s">
        <v>845</v>
      </c>
      <c r="E636" t="s">
        <v>930</v>
      </c>
    </row>
    <row r="637" spans="1:14" x14ac:dyDescent="0.25">
      <c r="A637">
        <v>41988</v>
      </c>
      <c r="B637" t="s">
        <v>1277</v>
      </c>
      <c r="C637" s="55">
        <v>156404.07999999999</v>
      </c>
      <c r="D637" s="55">
        <v>-690269.7</v>
      </c>
      <c r="E637" t="s">
        <v>931</v>
      </c>
    </row>
    <row r="638" spans="1:14" x14ac:dyDescent="0.25">
      <c r="A638">
        <v>374140</v>
      </c>
      <c r="B638" t="s">
        <v>959</v>
      </c>
      <c r="C638" s="55">
        <v>153083.71</v>
      </c>
      <c r="D638" s="55">
        <v>-320175.87</v>
      </c>
      <c r="E638" t="s">
        <v>931</v>
      </c>
    </row>
    <row r="639" spans="1:14" x14ac:dyDescent="0.25">
      <c r="A639">
        <v>10348</v>
      </c>
      <c r="B639" t="s">
        <v>277</v>
      </c>
      <c r="C639" s="55">
        <v>153005.07999999999</v>
      </c>
      <c r="D639" s="55">
        <v>-661913.37</v>
      </c>
      <c r="E639" t="s">
        <v>931</v>
      </c>
    </row>
    <row r="640" spans="1:14" x14ac:dyDescent="0.25">
      <c r="A640">
        <v>337956</v>
      </c>
      <c r="B640" t="s">
        <v>565</v>
      </c>
      <c r="C640" s="55">
        <v>151689.97</v>
      </c>
      <c r="D640" s="55">
        <v>-4001780.2</v>
      </c>
      <c r="E640" t="s">
        <v>931</v>
      </c>
    </row>
    <row r="641" spans="1:14" x14ac:dyDescent="0.25">
      <c r="A641">
        <v>386037</v>
      </c>
      <c r="B641" t="s">
        <v>1278</v>
      </c>
      <c r="C641" s="55">
        <v>150926.85999999999</v>
      </c>
      <c r="D641" s="55">
        <v>-700248.2</v>
      </c>
      <c r="E641" t="s">
        <v>931</v>
      </c>
    </row>
    <row r="642" spans="1:14" x14ac:dyDescent="0.25">
      <c r="A642">
        <v>322206</v>
      </c>
      <c r="B642" t="s">
        <v>604</v>
      </c>
      <c r="C642" s="55">
        <v>150383.42000000001</v>
      </c>
      <c r="D642" s="55">
        <v>-159009.60000000001</v>
      </c>
      <c r="E642" t="s">
        <v>931</v>
      </c>
    </row>
    <row r="643" spans="1:14" x14ac:dyDescent="0.25">
      <c r="A643">
        <v>62646</v>
      </c>
      <c r="B643" t="s">
        <v>1279</v>
      </c>
      <c r="C643" s="55">
        <v>150238.97</v>
      </c>
      <c r="D643" s="55">
        <v>-8436642.2899999991</v>
      </c>
      <c r="E643" t="s">
        <v>931</v>
      </c>
      <c r="M643" t="s">
        <v>94</v>
      </c>
      <c r="N643" t="s">
        <v>928</v>
      </c>
    </row>
    <row r="644" spans="1:14" x14ac:dyDescent="0.25">
      <c r="A644">
        <v>3604</v>
      </c>
      <c r="B644" t="s">
        <v>452</v>
      </c>
      <c r="C644" s="55">
        <v>148688.15</v>
      </c>
      <c r="D644" s="55">
        <v>-3067.32</v>
      </c>
      <c r="E644" t="s">
        <v>931</v>
      </c>
    </row>
    <row r="645" spans="1:14" x14ac:dyDescent="0.25">
      <c r="A645">
        <v>381087</v>
      </c>
      <c r="B645" t="s">
        <v>1280</v>
      </c>
      <c r="C645" s="55">
        <v>148170.57999999999</v>
      </c>
      <c r="D645" s="55">
        <v>-230565.35</v>
      </c>
      <c r="E645" t="s">
        <v>931</v>
      </c>
    </row>
    <row r="646" spans="1:14" x14ac:dyDescent="0.25">
      <c r="A646">
        <v>20176</v>
      </c>
      <c r="B646" t="s">
        <v>1281</v>
      </c>
      <c r="C646" s="55">
        <v>147959.12</v>
      </c>
      <c r="D646" s="55">
        <v>-475088.62</v>
      </c>
      <c r="E646" t="s">
        <v>931</v>
      </c>
    </row>
    <row r="647" spans="1:14" x14ac:dyDescent="0.25">
      <c r="A647">
        <v>324251</v>
      </c>
      <c r="B647" t="s">
        <v>1282</v>
      </c>
      <c r="C647" s="55">
        <v>147604.06</v>
      </c>
      <c r="D647" s="55">
        <v>-5436437.21</v>
      </c>
      <c r="E647" t="s">
        <v>931</v>
      </c>
    </row>
    <row r="648" spans="1:14" x14ac:dyDescent="0.25">
      <c r="A648">
        <v>391961</v>
      </c>
      <c r="B648" t="s">
        <v>566</v>
      </c>
      <c r="C648" s="55">
        <v>147022.98000000001</v>
      </c>
      <c r="D648" s="55">
        <v>-1173270.8999999999</v>
      </c>
      <c r="E648" t="s">
        <v>931</v>
      </c>
    </row>
    <row r="649" spans="1:14" x14ac:dyDescent="0.25">
      <c r="A649">
        <v>22381</v>
      </c>
      <c r="B649" t="s">
        <v>1283</v>
      </c>
      <c r="C649" s="55">
        <v>146221.01999999999</v>
      </c>
      <c r="D649" s="55">
        <v>-1160478.56</v>
      </c>
      <c r="E649" t="s">
        <v>931</v>
      </c>
    </row>
    <row r="650" spans="1:14" x14ac:dyDescent="0.25">
      <c r="A650">
        <v>23372</v>
      </c>
      <c r="B650" t="s">
        <v>1284</v>
      </c>
      <c r="C650" s="55">
        <v>144393.79999999999</v>
      </c>
      <c r="D650" t="s">
        <v>845</v>
      </c>
      <c r="E650" t="s">
        <v>930</v>
      </c>
    </row>
    <row r="651" spans="1:14" x14ac:dyDescent="0.25">
      <c r="A651">
        <v>20751</v>
      </c>
      <c r="B651" t="s">
        <v>1285</v>
      </c>
      <c r="C651" s="55">
        <v>143629.12</v>
      </c>
      <c r="D651" t="s">
        <v>845</v>
      </c>
      <c r="E651" t="s">
        <v>930</v>
      </c>
    </row>
    <row r="652" spans="1:14" x14ac:dyDescent="0.25">
      <c r="A652">
        <v>13775</v>
      </c>
      <c r="B652" t="s">
        <v>1286</v>
      </c>
      <c r="C652" s="55">
        <v>143624.88</v>
      </c>
      <c r="D652" s="55">
        <v>-15524.99</v>
      </c>
      <c r="E652" t="s">
        <v>931</v>
      </c>
    </row>
    <row r="653" spans="1:14" x14ac:dyDescent="0.25">
      <c r="A653">
        <v>377242</v>
      </c>
      <c r="B653" t="s">
        <v>1287</v>
      </c>
      <c r="C653" s="55">
        <v>143578.26</v>
      </c>
      <c r="D653" s="55">
        <v>-437283.22</v>
      </c>
      <c r="E653" t="s">
        <v>931</v>
      </c>
    </row>
    <row r="654" spans="1:14" x14ac:dyDescent="0.25">
      <c r="A654">
        <v>96834</v>
      </c>
      <c r="B654" t="s">
        <v>1288</v>
      </c>
      <c r="C654" s="55">
        <v>142669.54999999999</v>
      </c>
      <c r="D654" s="55">
        <v>-390277.85</v>
      </c>
      <c r="E654" t="s">
        <v>931</v>
      </c>
    </row>
    <row r="655" spans="1:14" x14ac:dyDescent="0.25">
      <c r="A655">
        <v>392670</v>
      </c>
      <c r="B655" t="s">
        <v>1289</v>
      </c>
      <c r="C655" s="55">
        <v>141984.19</v>
      </c>
      <c r="D655" s="55">
        <v>-163354.64000000001</v>
      </c>
      <c r="E655" t="s">
        <v>931</v>
      </c>
    </row>
    <row r="656" spans="1:14" x14ac:dyDescent="0.25">
      <c r="A656">
        <v>300210</v>
      </c>
      <c r="B656" t="s">
        <v>411</v>
      </c>
      <c r="C656" s="55">
        <v>141673.41</v>
      </c>
      <c r="D656" s="55">
        <v>-210563.84</v>
      </c>
      <c r="E656" t="s">
        <v>931</v>
      </c>
    </row>
    <row r="657" spans="1:14" x14ac:dyDescent="0.25">
      <c r="A657">
        <v>24388</v>
      </c>
      <c r="B657" t="s">
        <v>1290</v>
      </c>
      <c r="C657" s="55">
        <v>141329.60999999999</v>
      </c>
      <c r="D657" t="s">
        <v>845</v>
      </c>
      <c r="E657" t="s">
        <v>930</v>
      </c>
    </row>
    <row r="658" spans="1:14" x14ac:dyDescent="0.25">
      <c r="A658">
        <v>20870</v>
      </c>
      <c r="B658" t="s">
        <v>621</v>
      </c>
      <c r="C658" s="55">
        <v>140745.88</v>
      </c>
      <c r="D658" s="55">
        <v>-1022922.68</v>
      </c>
      <c r="E658" t="s">
        <v>931</v>
      </c>
    </row>
    <row r="659" spans="1:14" x14ac:dyDescent="0.25">
      <c r="A659">
        <v>318246</v>
      </c>
      <c r="B659" t="s">
        <v>1291</v>
      </c>
      <c r="C659" s="55">
        <v>139389.01999999999</v>
      </c>
      <c r="D659" s="55">
        <v>-1761674.36</v>
      </c>
      <c r="E659" t="s">
        <v>931</v>
      </c>
    </row>
    <row r="660" spans="1:14" x14ac:dyDescent="0.25">
      <c r="A660">
        <v>390716</v>
      </c>
      <c r="B660" t="s">
        <v>646</v>
      </c>
      <c r="C660" s="55">
        <v>139374.14000000001</v>
      </c>
      <c r="D660" s="55">
        <v>-1986785.86</v>
      </c>
      <c r="E660" t="s">
        <v>931</v>
      </c>
    </row>
    <row r="661" spans="1:14" x14ac:dyDescent="0.25">
      <c r="A661">
        <v>1530</v>
      </c>
      <c r="B661" t="s">
        <v>607</v>
      </c>
      <c r="C661" s="55">
        <v>138816.87</v>
      </c>
      <c r="D661" s="55">
        <v>-844898.96</v>
      </c>
      <c r="E661" t="s">
        <v>931</v>
      </c>
    </row>
    <row r="662" spans="1:14" x14ac:dyDescent="0.25">
      <c r="A662">
        <v>34280</v>
      </c>
      <c r="B662" t="s">
        <v>697</v>
      </c>
      <c r="C662" s="55">
        <v>138445.45000000001</v>
      </c>
      <c r="D662" s="55">
        <v>-2960966.56</v>
      </c>
      <c r="E662" t="s">
        <v>931</v>
      </c>
      <c r="N662" t="s">
        <v>928</v>
      </c>
    </row>
    <row r="663" spans="1:14" x14ac:dyDescent="0.25">
      <c r="A663">
        <v>33894</v>
      </c>
      <c r="B663" t="s">
        <v>1292</v>
      </c>
      <c r="C663" s="55">
        <v>137800.62</v>
      </c>
      <c r="D663" s="55">
        <v>-598277.35</v>
      </c>
      <c r="E663" t="s">
        <v>931</v>
      </c>
    </row>
    <row r="664" spans="1:14" x14ac:dyDescent="0.25">
      <c r="A664">
        <v>62356</v>
      </c>
      <c r="B664" t="s">
        <v>1032</v>
      </c>
      <c r="C664" s="55">
        <v>137793.1</v>
      </c>
      <c r="D664" s="55">
        <v>-3667864.04</v>
      </c>
      <c r="E664" t="s">
        <v>931</v>
      </c>
    </row>
    <row r="665" spans="1:14" x14ac:dyDescent="0.25">
      <c r="A665">
        <v>395053</v>
      </c>
      <c r="B665" t="s">
        <v>524</v>
      </c>
      <c r="C665" s="55">
        <v>137787.01999999999</v>
      </c>
      <c r="D665" s="55">
        <v>-1731104.4</v>
      </c>
      <c r="E665" t="s">
        <v>931</v>
      </c>
      <c r="M665" t="s">
        <v>932</v>
      </c>
      <c r="N665" t="s">
        <v>928</v>
      </c>
    </row>
    <row r="666" spans="1:14" x14ac:dyDescent="0.25">
      <c r="A666">
        <v>24333</v>
      </c>
      <c r="B666" t="s">
        <v>1293</v>
      </c>
      <c r="C666" s="55">
        <v>137358</v>
      </c>
      <c r="D666" t="s">
        <v>845</v>
      </c>
      <c r="E666" t="s">
        <v>930</v>
      </c>
    </row>
    <row r="667" spans="1:14" x14ac:dyDescent="0.25">
      <c r="A667">
        <v>301077</v>
      </c>
      <c r="B667" t="s">
        <v>1294</v>
      </c>
      <c r="C667" s="55">
        <v>136403.81</v>
      </c>
      <c r="D667" s="55">
        <v>-434401.61</v>
      </c>
      <c r="E667" t="s">
        <v>931</v>
      </c>
    </row>
    <row r="668" spans="1:14" x14ac:dyDescent="0.25">
      <c r="A668">
        <v>46524</v>
      </c>
      <c r="B668" t="s">
        <v>1295</v>
      </c>
      <c r="C668" s="55">
        <v>133725.42000000001</v>
      </c>
      <c r="D668" s="55">
        <v>-1069737.1399999999</v>
      </c>
      <c r="E668" t="s">
        <v>931</v>
      </c>
    </row>
    <row r="669" spans="1:14" x14ac:dyDescent="0.25">
      <c r="A669">
        <v>9263</v>
      </c>
      <c r="B669" t="s">
        <v>442</v>
      </c>
      <c r="C669" s="55">
        <v>131529.59</v>
      </c>
      <c r="D669" s="55">
        <v>-484605.03</v>
      </c>
      <c r="E669" t="s">
        <v>931</v>
      </c>
    </row>
    <row r="670" spans="1:14" x14ac:dyDescent="0.25">
      <c r="A670">
        <v>308715</v>
      </c>
      <c r="B670" t="s">
        <v>1296</v>
      </c>
      <c r="C670" s="55">
        <v>131316.17000000001</v>
      </c>
      <c r="D670" t="s">
        <v>845</v>
      </c>
      <c r="E670" t="s">
        <v>930</v>
      </c>
    </row>
    <row r="671" spans="1:14" x14ac:dyDescent="0.25">
      <c r="A671">
        <v>303428</v>
      </c>
      <c r="B671" t="s">
        <v>1297</v>
      </c>
      <c r="C671" s="55">
        <v>130619.56</v>
      </c>
      <c r="D671" t="s">
        <v>845</v>
      </c>
      <c r="E671" t="s">
        <v>930</v>
      </c>
    </row>
    <row r="672" spans="1:14" x14ac:dyDescent="0.25">
      <c r="A672">
        <v>72884</v>
      </c>
      <c r="B672" t="s">
        <v>1298</v>
      </c>
      <c r="C672" s="55">
        <v>129421.27</v>
      </c>
      <c r="D672" s="55">
        <v>-2103730.58</v>
      </c>
      <c r="E672" t="s">
        <v>931</v>
      </c>
      <c r="M672" t="s">
        <v>76</v>
      </c>
      <c r="N672" t="s">
        <v>928</v>
      </c>
    </row>
    <row r="673" spans="1:14" x14ac:dyDescent="0.25">
      <c r="A673">
        <v>349019</v>
      </c>
      <c r="B673" t="s">
        <v>691</v>
      </c>
      <c r="C673" s="55">
        <v>129263.89</v>
      </c>
      <c r="D673" s="55">
        <v>-822713.19</v>
      </c>
      <c r="E673" t="s">
        <v>931</v>
      </c>
    </row>
    <row r="674" spans="1:14" x14ac:dyDescent="0.25">
      <c r="A674">
        <v>216218</v>
      </c>
      <c r="B674" t="s">
        <v>1299</v>
      </c>
      <c r="C674" s="55">
        <v>126972.95</v>
      </c>
      <c r="D674" s="55">
        <v>-114738.41</v>
      </c>
      <c r="E674" t="s">
        <v>931</v>
      </c>
      <c r="M674" t="s">
        <v>61</v>
      </c>
      <c r="N674" t="s">
        <v>928</v>
      </c>
    </row>
    <row r="675" spans="1:14" x14ac:dyDescent="0.25">
      <c r="A675">
        <v>18208</v>
      </c>
      <c r="B675" t="s">
        <v>1300</v>
      </c>
      <c r="C675" s="55">
        <v>126582.77</v>
      </c>
      <c r="D675" s="55">
        <v>-415186.15</v>
      </c>
      <c r="E675" t="s">
        <v>931</v>
      </c>
    </row>
    <row r="676" spans="1:14" x14ac:dyDescent="0.25">
      <c r="A676">
        <v>8613</v>
      </c>
      <c r="B676" t="s">
        <v>405</v>
      </c>
      <c r="C676" s="55">
        <v>126063.7</v>
      </c>
      <c r="D676" s="55">
        <v>-2835162.93</v>
      </c>
      <c r="E676" t="s">
        <v>931</v>
      </c>
    </row>
    <row r="677" spans="1:14" x14ac:dyDescent="0.25">
      <c r="A677">
        <v>469</v>
      </c>
      <c r="B677" t="s">
        <v>1301</v>
      </c>
      <c r="C677" s="55">
        <v>123881.67</v>
      </c>
      <c r="D677" s="55">
        <v>-55786.67</v>
      </c>
      <c r="E677" t="s">
        <v>931</v>
      </c>
    </row>
    <row r="678" spans="1:14" x14ac:dyDescent="0.25">
      <c r="A678">
        <v>392688</v>
      </c>
      <c r="B678" t="s">
        <v>1302</v>
      </c>
      <c r="C678" s="55">
        <v>123868.03</v>
      </c>
      <c r="D678" s="55">
        <v>-8891.4</v>
      </c>
      <c r="E678" t="s">
        <v>931</v>
      </c>
    </row>
    <row r="679" spans="1:14" x14ac:dyDescent="0.25">
      <c r="A679">
        <v>60954</v>
      </c>
      <c r="B679" t="s">
        <v>1303</v>
      </c>
      <c r="C679" s="55">
        <v>122944.39</v>
      </c>
      <c r="D679" s="55">
        <v>-34740</v>
      </c>
      <c r="E679" t="s">
        <v>931</v>
      </c>
    </row>
    <row r="680" spans="1:14" x14ac:dyDescent="0.25">
      <c r="A680">
        <v>320457</v>
      </c>
      <c r="B680" t="s">
        <v>1304</v>
      </c>
      <c r="C680" s="55">
        <v>122790.27</v>
      </c>
      <c r="D680" s="55">
        <v>-314031.27</v>
      </c>
      <c r="E680" t="s">
        <v>931</v>
      </c>
    </row>
    <row r="681" spans="1:14" x14ac:dyDescent="0.25">
      <c r="A681">
        <v>21175</v>
      </c>
      <c r="B681" t="s">
        <v>1305</v>
      </c>
      <c r="C681" s="55">
        <v>122647.5</v>
      </c>
      <c r="D681" s="55">
        <v>-8832394.2799999993</v>
      </c>
      <c r="E681" t="s">
        <v>931</v>
      </c>
    </row>
    <row r="682" spans="1:14" x14ac:dyDescent="0.25">
      <c r="A682">
        <v>4630</v>
      </c>
      <c r="B682" t="s">
        <v>1306</v>
      </c>
      <c r="C682" s="55">
        <v>121951.27</v>
      </c>
      <c r="D682" s="55">
        <v>-1086860.8600000001</v>
      </c>
      <c r="E682" t="s">
        <v>931</v>
      </c>
    </row>
    <row r="683" spans="1:14" x14ac:dyDescent="0.25">
      <c r="A683">
        <v>380220</v>
      </c>
      <c r="B683" t="s">
        <v>1307</v>
      </c>
      <c r="C683" s="55">
        <v>121221.1</v>
      </c>
      <c r="D683" s="55">
        <v>-51065.29</v>
      </c>
      <c r="E683" t="s">
        <v>931</v>
      </c>
    </row>
    <row r="684" spans="1:14" x14ac:dyDescent="0.25">
      <c r="A684">
        <v>68650</v>
      </c>
      <c r="B684" t="s">
        <v>1308</v>
      </c>
      <c r="C684" s="55">
        <v>120983.82</v>
      </c>
      <c r="D684" s="55">
        <v>-195912.76</v>
      </c>
      <c r="E684" t="s">
        <v>931</v>
      </c>
    </row>
    <row r="685" spans="1:14" x14ac:dyDescent="0.25">
      <c r="A685">
        <v>23647</v>
      </c>
      <c r="B685" t="s">
        <v>1309</v>
      </c>
      <c r="C685" s="55">
        <v>120416.43</v>
      </c>
      <c r="D685" t="s">
        <v>845</v>
      </c>
      <c r="E685" t="s">
        <v>930</v>
      </c>
    </row>
    <row r="686" spans="1:14" x14ac:dyDescent="0.25">
      <c r="A686">
        <v>11643</v>
      </c>
      <c r="B686" t="s">
        <v>1310</v>
      </c>
      <c r="C686" s="55">
        <v>119177.79</v>
      </c>
      <c r="D686" s="55">
        <v>-732406.69</v>
      </c>
      <c r="E686" t="s">
        <v>931</v>
      </c>
    </row>
    <row r="687" spans="1:14" x14ac:dyDescent="0.25">
      <c r="A687">
        <v>24836</v>
      </c>
      <c r="B687" t="s">
        <v>507</v>
      </c>
      <c r="C687" s="55">
        <v>119076.03</v>
      </c>
      <c r="D687" s="55">
        <v>-826765.24</v>
      </c>
      <c r="E687" t="s">
        <v>931</v>
      </c>
    </row>
    <row r="688" spans="1:14" x14ac:dyDescent="0.25">
      <c r="A688">
        <v>79681</v>
      </c>
      <c r="B688" t="s">
        <v>529</v>
      </c>
      <c r="C688" s="55">
        <v>118285.27</v>
      </c>
      <c r="D688" s="55">
        <v>-6167053.9199999999</v>
      </c>
      <c r="E688" t="s">
        <v>931</v>
      </c>
      <c r="M688" t="s">
        <v>112</v>
      </c>
      <c r="N688" t="s">
        <v>928</v>
      </c>
    </row>
    <row r="689" spans="1:5" x14ac:dyDescent="0.25">
      <c r="A689">
        <v>31617</v>
      </c>
      <c r="B689" t="s">
        <v>1311</v>
      </c>
      <c r="C689" s="55">
        <v>118251.3</v>
      </c>
      <c r="D689" t="s">
        <v>845</v>
      </c>
      <c r="E689" t="s">
        <v>930</v>
      </c>
    </row>
    <row r="690" spans="1:5" x14ac:dyDescent="0.25">
      <c r="A690">
        <v>98608</v>
      </c>
      <c r="B690" t="s">
        <v>1312</v>
      </c>
      <c r="C690" s="55">
        <v>118134.75</v>
      </c>
      <c r="D690" s="55">
        <v>-8811053.4700000007</v>
      </c>
      <c r="E690" t="s">
        <v>931</v>
      </c>
    </row>
    <row r="691" spans="1:5" x14ac:dyDescent="0.25">
      <c r="A691">
        <v>30494</v>
      </c>
      <c r="B691" t="s">
        <v>487</v>
      </c>
      <c r="C691" s="55">
        <v>117303.5</v>
      </c>
      <c r="D691" s="55">
        <v>-4576267.8899999997</v>
      </c>
      <c r="E691" t="s">
        <v>931</v>
      </c>
    </row>
    <row r="692" spans="1:5" x14ac:dyDescent="0.25">
      <c r="A692">
        <v>394767</v>
      </c>
      <c r="B692" t="s">
        <v>1313</v>
      </c>
      <c r="C692" s="55">
        <v>116338.36</v>
      </c>
      <c r="D692" s="55">
        <v>216819.5</v>
      </c>
      <c r="E692" t="s">
        <v>948</v>
      </c>
    </row>
    <row r="693" spans="1:5" x14ac:dyDescent="0.25">
      <c r="A693">
        <v>38331</v>
      </c>
      <c r="B693" t="s">
        <v>1314</v>
      </c>
      <c r="C693" s="55">
        <v>113735.09</v>
      </c>
      <c r="D693" s="55">
        <v>-1299446.51</v>
      </c>
      <c r="E693" t="s">
        <v>931</v>
      </c>
    </row>
    <row r="694" spans="1:5" x14ac:dyDescent="0.25">
      <c r="A694">
        <v>20851</v>
      </c>
      <c r="B694" t="s">
        <v>351</v>
      </c>
      <c r="C694" s="55">
        <v>113580.98</v>
      </c>
      <c r="D694" s="55">
        <v>-5060526.2699999996</v>
      </c>
      <c r="E694" t="s">
        <v>931</v>
      </c>
    </row>
    <row r="695" spans="1:5" x14ac:dyDescent="0.25">
      <c r="A695">
        <v>396234</v>
      </c>
      <c r="B695" t="s">
        <v>584</v>
      </c>
      <c r="C695" s="55">
        <v>113153.43</v>
      </c>
      <c r="D695" s="55">
        <v>-895444.95</v>
      </c>
      <c r="E695" t="s">
        <v>931</v>
      </c>
    </row>
    <row r="696" spans="1:5" x14ac:dyDescent="0.25">
      <c r="A696">
        <v>314161</v>
      </c>
      <c r="B696" t="s">
        <v>540</v>
      </c>
      <c r="C696" s="55">
        <v>113103.58</v>
      </c>
      <c r="D696" s="55">
        <v>-539275.21</v>
      </c>
      <c r="E696" t="s">
        <v>931</v>
      </c>
    </row>
    <row r="697" spans="1:5" x14ac:dyDescent="0.25">
      <c r="A697">
        <v>10822</v>
      </c>
      <c r="B697" t="s">
        <v>679</v>
      </c>
      <c r="C697" s="55">
        <v>111377.08</v>
      </c>
      <c r="D697" s="55">
        <v>-530645.24</v>
      </c>
      <c r="E697" t="s">
        <v>931</v>
      </c>
    </row>
    <row r="698" spans="1:5" x14ac:dyDescent="0.25">
      <c r="A698">
        <v>21873</v>
      </c>
      <c r="B698" t="s">
        <v>1315</v>
      </c>
      <c r="C698" s="55">
        <v>111115.65</v>
      </c>
      <c r="D698" s="55">
        <v>-124367.1</v>
      </c>
      <c r="E698" t="s">
        <v>931</v>
      </c>
    </row>
    <row r="699" spans="1:5" x14ac:dyDescent="0.25">
      <c r="A699">
        <v>9589</v>
      </c>
      <c r="B699" t="s">
        <v>1316</v>
      </c>
      <c r="C699" s="55">
        <v>110968.95</v>
      </c>
      <c r="D699" t="s">
        <v>845</v>
      </c>
      <c r="E699" t="s">
        <v>930</v>
      </c>
    </row>
    <row r="700" spans="1:5" x14ac:dyDescent="0.25">
      <c r="A700">
        <v>319731</v>
      </c>
      <c r="B700" t="s">
        <v>680</v>
      </c>
      <c r="C700" s="55">
        <v>106513.92</v>
      </c>
      <c r="D700" s="55">
        <v>-1405430.07</v>
      </c>
      <c r="E700" t="s">
        <v>931</v>
      </c>
    </row>
    <row r="701" spans="1:5" x14ac:dyDescent="0.25">
      <c r="A701">
        <v>250113</v>
      </c>
      <c r="B701" t="s">
        <v>1317</v>
      </c>
      <c r="C701" s="55">
        <v>106433.39</v>
      </c>
      <c r="D701" s="55">
        <v>-1645245.45</v>
      </c>
      <c r="E701" t="s">
        <v>931</v>
      </c>
    </row>
    <row r="702" spans="1:5" x14ac:dyDescent="0.25">
      <c r="A702">
        <v>305638</v>
      </c>
      <c r="B702" t="s">
        <v>1318</v>
      </c>
      <c r="C702" s="55">
        <v>105414.28</v>
      </c>
      <c r="D702" t="s">
        <v>845</v>
      </c>
      <c r="E702" t="s">
        <v>930</v>
      </c>
    </row>
    <row r="703" spans="1:5" x14ac:dyDescent="0.25">
      <c r="A703">
        <v>22070</v>
      </c>
      <c r="B703" t="s">
        <v>1319</v>
      </c>
      <c r="C703" s="55">
        <v>105023.33</v>
      </c>
      <c r="D703" s="55">
        <v>-403122.64</v>
      </c>
      <c r="E703" t="s">
        <v>931</v>
      </c>
    </row>
    <row r="704" spans="1:5" x14ac:dyDescent="0.25">
      <c r="A704">
        <v>24410</v>
      </c>
      <c r="B704" t="s">
        <v>1320</v>
      </c>
      <c r="C704" s="55">
        <v>104915.6</v>
      </c>
      <c r="D704" t="s">
        <v>845</v>
      </c>
      <c r="E704" t="s">
        <v>930</v>
      </c>
    </row>
    <row r="705" spans="1:13" x14ac:dyDescent="0.25">
      <c r="A705">
        <v>66746</v>
      </c>
      <c r="B705" t="s">
        <v>1321</v>
      </c>
      <c r="C705" s="55">
        <v>101844.3</v>
      </c>
      <c r="D705" s="55">
        <v>-233953.59</v>
      </c>
      <c r="E705" t="s">
        <v>931</v>
      </c>
    </row>
    <row r="706" spans="1:13" x14ac:dyDescent="0.25">
      <c r="A706">
        <v>87270</v>
      </c>
      <c r="B706" t="s">
        <v>557</v>
      </c>
      <c r="C706" s="55">
        <v>100709.57</v>
      </c>
      <c r="D706" s="55">
        <v>-3614563.65</v>
      </c>
      <c r="E706" t="s">
        <v>931</v>
      </c>
    </row>
    <row r="707" spans="1:13" x14ac:dyDescent="0.25">
      <c r="A707">
        <v>70</v>
      </c>
      <c r="B707" t="s">
        <v>1322</v>
      </c>
      <c r="C707" s="55">
        <v>100708.22</v>
      </c>
      <c r="D707" s="55">
        <v>-149621.93</v>
      </c>
      <c r="E707" t="s">
        <v>931</v>
      </c>
    </row>
    <row r="708" spans="1:13" x14ac:dyDescent="0.25">
      <c r="A708">
        <v>18943</v>
      </c>
      <c r="B708" t="s">
        <v>1323</v>
      </c>
      <c r="C708" s="55">
        <v>100386</v>
      </c>
      <c r="D708" s="55">
        <v>-152618.41</v>
      </c>
      <c r="E708" t="s">
        <v>931</v>
      </c>
    </row>
    <row r="709" spans="1:13" x14ac:dyDescent="0.25">
      <c r="A709">
        <v>24614</v>
      </c>
      <c r="B709" t="s">
        <v>1324</v>
      </c>
      <c r="C709" s="55">
        <v>98437.11</v>
      </c>
      <c r="D709" t="s">
        <v>845</v>
      </c>
      <c r="E709" t="s">
        <v>930</v>
      </c>
    </row>
    <row r="710" spans="1:13" x14ac:dyDescent="0.25">
      <c r="A710">
        <v>332866</v>
      </c>
      <c r="B710" t="s">
        <v>1325</v>
      </c>
      <c r="C710" s="55">
        <v>97567.33</v>
      </c>
      <c r="D710" s="55">
        <v>-169334.74</v>
      </c>
      <c r="E710" t="s">
        <v>931</v>
      </c>
    </row>
    <row r="711" spans="1:13" x14ac:dyDescent="0.25">
      <c r="A711">
        <v>25044</v>
      </c>
      <c r="B711" t="s">
        <v>1326</v>
      </c>
      <c r="C711" s="55">
        <v>97531.39</v>
      </c>
      <c r="D711" t="s">
        <v>845</v>
      </c>
      <c r="E711" t="s">
        <v>930</v>
      </c>
    </row>
    <row r="712" spans="1:13" x14ac:dyDescent="0.25">
      <c r="A712">
        <v>374645</v>
      </c>
      <c r="B712" t="s">
        <v>519</v>
      </c>
      <c r="C712" s="55">
        <v>97278</v>
      </c>
      <c r="D712" s="55">
        <v>-2186267.7400000002</v>
      </c>
      <c r="E712" t="s">
        <v>931</v>
      </c>
    </row>
    <row r="713" spans="1:13" x14ac:dyDescent="0.25">
      <c r="A713">
        <v>24656</v>
      </c>
      <c r="B713" t="s">
        <v>1327</v>
      </c>
      <c r="C713" s="55">
        <v>96316.82</v>
      </c>
      <c r="D713" t="s">
        <v>845</v>
      </c>
      <c r="E713" t="s">
        <v>930</v>
      </c>
    </row>
    <row r="714" spans="1:13" x14ac:dyDescent="0.25">
      <c r="A714">
        <v>63388</v>
      </c>
      <c r="B714" t="s">
        <v>1328</v>
      </c>
      <c r="C714" s="55">
        <v>96289.7</v>
      </c>
      <c r="D714" s="55">
        <v>-287970</v>
      </c>
      <c r="E714" t="s">
        <v>931</v>
      </c>
      <c r="M714" t="s">
        <v>162</v>
      </c>
    </row>
    <row r="715" spans="1:13" x14ac:dyDescent="0.25">
      <c r="A715">
        <v>381418</v>
      </c>
      <c r="B715" t="s">
        <v>1329</v>
      </c>
      <c r="C715" s="55">
        <v>96040.61</v>
      </c>
      <c r="D715" s="55">
        <v>-42199.1</v>
      </c>
      <c r="E715" t="s">
        <v>931</v>
      </c>
    </row>
    <row r="716" spans="1:13" x14ac:dyDescent="0.25">
      <c r="A716">
        <v>22007</v>
      </c>
      <c r="B716" t="s">
        <v>684</v>
      </c>
      <c r="C716" s="55">
        <v>95934.06</v>
      </c>
      <c r="D716" s="55">
        <v>-169992.93</v>
      </c>
      <c r="E716" t="s">
        <v>931</v>
      </c>
    </row>
    <row r="717" spans="1:13" x14ac:dyDescent="0.25">
      <c r="A717">
        <v>5845</v>
      </c>
      <c r="B717" t="s">
        <v>1330</v>
      </c>
      <c r="C717" s="55">
        <v>95541.92</v>
      </c>
      <c r="D717" s="55">
        <v>-814537.63</v>
      </c>
      <c r="E717" t="s">
        <v>931</v>
      </c>
    </row>
    <row r="718" spans="1:13" x14ac:dyDescent="0.25">
      <c r="A718">
        <v>55731</v>
      </c>
      <c r="B718" t="s">
        <v>1331</v>
      </c>
      <c r="C718" s="55">
        <v>95411.77</v>
      </c>
      <c r="D718" s="55">
        <v>-21516.18</v>
      </c>
      <c r="E718" t="s">
        <v>931</v>
      </c>
    </row>
    <row r="719" spans="1:13" x14ac:dyDescent="0.25">
      <c r="A719">
        <v>93872</v>
      </c>
      <c r="B719" t="s">
        <v>651</v>
      </c>
      <c r="C719" s="55">
        <v>94952.38</v>
      </c>
      <c r="D719" s="55">
        <v>-683886.27</v>
      </c>
      <c r="E719" t="s">
        <v>931</v>
      </c>
    </row>
    <row r="720" spans="1:13" x14ac:dyDescent="0.25">
      <c r="A720">
        <v>304547</v>
      </c>
      <c r="B720" t="s">
        <v>1332</v>
      </c>
      <c r="C720" s="55">
        <v>94767.96</v>
      </c>
      <c r="D720" s="55">
        <v>-546376.28</v>
      </c>
      <c r="E720" t="s">
        <v>931</v>
      </c>
    </row>
    <row r="721" spans="1:5" x14ac:dyDescent="0.25">
      <c r="A721">
        <v>24757</v>
      </c>
      <c r="B721" t="s">
        <v>1333</v>
      </c>
      <c r="C721" s="55">
        <v>94115.4</v>
      </c>
      <c r="D721" t="s">
        <v>845</v>
      </c>
      <c r="E721" t="s">
        <v>930</v>
      </c>
    </row>
    <row r="722" spans="1:5" x14ac:dyDescent="0.25">
      <c r="A722">
        <v>226969</v>
      </c>
      <c r="B722" t="s">
        <v>1334</v>
      </c>
      <c r="C722" s="55">
        <v>94110.81</v>
      </c>
      <c r="D722" t="s">
        <v>845</v>
      </c>
      <c r="E722" t="s">
        <v>930</v>
      </c>
    </row>
    <row r="723" spans="1:5" x14ac:dyDescent="0.25">
      <c r="A723">
        <v>24183</v>
      </c>
      <c r="B723" t="s">
        <v>1335</v>
      </c>
      <c r="C723" s="55">
        <v>93754.98</v>
      </c>
      <c r="D723" t="s">
        <v>845</v>
      </c>
      <c r="E723" t="s">
        <v>930</v>
      </c>
    </row>
    <row r="724" spans="1:5" x14ac:dyDescent="0.25">
      <c r="A724">
        <v>206706</v>
      </c>
      <c r="B724" t="s">
        <v>704</v>
      </c>
      <c r="C724" s="55">
        <v>93180.74</v>
      </c>
      <c r="D724" s="55">
        <v>-734660.94</v>
      </c>
      <c r="E724" t="s">
        <v>931</v>
      </c>
    </row>
    <row r="725" spans="1:5" x14ac:dyDescent="0.25">
      <c r="A725">
        <v>11874</v>
      </c>
      <c r="B725" t="s">
        <v>1336</v>
      </c>
      <c r="C725" s="55">
        <v>91940.36</v>
      </c>
      <c r="D725" s="55">
        <v>21466.05</v>
      </c>
      <c r="E725" t="s">
        <v>948</v>
      </c>
    </row>
    <row r="726" spans="1:5" x14ac:dyDescent="0.25">
      <c r="A726">
        <v>24085</v>
      </c>
      <c r="B726" t="s">
        <v>1337</v>
      </c>
      <c r="C726" s="55">
        <v>90401.69</v>
      </c>
      <c r="D726" t="s">
        <v>845</v>
      </c>
      <c r="E726" t="s">
        <v>930</v>
      </c>
    </row>
    <row r="727" spans="1:5" x14ac:dyDescent="0.25">
      <c r="A727">
        <v>395855</v>
      </c>
      <c r="B727" t="s">
        <v>732</v>
      </c>
      <c r="C727" s="55">
        <v>90068.62</v>
      </c>
      <c r="D727" s="55">
        <v>-356230.65</v>
      </c>
      <c r="E727" t="s">
        <v>931</v>
      </c>
    </row>
    <row r="728" spans="1:5" x14ac:dyDescent="0.25">
      <c r="A728">
        <v>12567</v>
      </c>
      <c r="B728" t="s">
        <v>1338</v>
      </c>
      <c r="C728" s="55">
        <v>89768</v>
      </c>
      <c r="D728" s="55">
        <v>-289920.55</v>
      </c>
      <c r="E728" t="s">
        <v>931</v>
      </c>
    </row>
    <row r="729" spans="1:5" x14ac:dyDescent="0.25">
      <c r="A729">
        <v>24820</v>
      </c>
      <c r="B729" t="s">
        <v>1339</v>
      </c>
      <c r="C729" s="55">
        <v>89141.63</v>
      </c>
      <c r="D729" t="s">
        <v>845</v>
      </c>
      <c r="E729" t="s">
        <v>930</v>
      </c>
    </row>
    <row r="730" spans="1:5" x14ac:dyDescent="0.25">
      <c r="A730">
        <v>315812</v>
      </c>
      <c r="B730" t="s">
        <v>1340</v>
      </c>
      <c r="C730" s="55">
        <v>88510.9</v>
      </c>
      <c r="D730" s="55">
        <v>-662188.82999999996</v>
      </c>
      <c r="E730" t="s">
        <v>931</v>
      </c>
    </row>
    <row r="731" spans="1:5" x14ac:dyDescent="0.25">
      <c r="A731">
        <v>23318</v>
      </c>
      <c r="B731" t="s">
        <v>1341</v>
      </c>
      <c r="C731" s="55">
        <v>88084.17</v>
      </c>
      <c r="D731" t="s">
        <v>845</v>
      </c>
      <c r="E731" t="s">
        <v>930</v>
      </c>
    </row>
    <row r="732" spans="1:5" x14ac:dyDescent="0.25">
      <c r="A732">
        <v>23789</v>
      </c>
      <c r="B732" t="s">
        <v>1342</v>
      </c>
      <c r="C732" s="55">
        <v>87881.35</v>
      </c>
      <c r="D732" t="s">
        <v>845</v>
      </c>
      <c r="E732" t="s">
        <v>930</v>
      </c>
    </row>
    <row r="733" spans="1:5" x14ac:dyDescent="0.25">
      <c r="A733">
        <v>6052</v>
      </c>
      <c r="B733" t="s">
        <v>573</v>
      </c>
      <c r="C733" s="55">
        <v>87000.71</v>
      </c>
      <c r="D733" s="55">
        <v>-218771.71</v>
      </c>
      <c r="E733" t="s">
        <v>931</v>
      </c>
    </row>
    <row r="734" spans="1:5" x14ac:dyDescent="0.25">
      <c r="A734">
        <v>251484</v>
      </c>
      <c r="B734" t="s">
        <v>436</v>
      </c>
      <c r="C734" s="55">
        <v>86469.28</v>
      </c>
      <c r="D734" s="55">
        <v>-307570.90999999997</v>
      </c>
      <c r="E734" t="s">
        <v>931</v>
      </c>
    </row>
    <row r="735" spans="1:5" x14ac:dyDescent="0.25">
      <c r="A735">
        <v>19729</v>
      </c>
      <c r="B735" t="s">
        <v>1343</v>
      </c>
      <c r="C735" s="55">
        <v>85751.43</v>
      </c>
      <c r="D735" s="55">
        <v>-1300732.02</v>
      </c>
      <c r="E735" t="s">
        <v>931</v>
      </c>
    </row>
    <row r="736" spans="1:5" x14ac:dyDescent="0.25">
      <c r="A736">
        <v>14107</v>
      </c>
      <c r="B736" t="s">
        <v>1344</v>
      </c>
      <c r="C736" s="55">
        <v>85048.89</v>
      </c>
      <c r="D736" s="55">
        <v>-443887.67</v>
      </c>
      <c r="E736" t="s">
        <v>931</v>
      </c>
    </row>
    <row r="737" spans="1:14" x14ac:dyDescent="0.25">
      <c r="A737">
        <v>38232</v>
      </c>
      <c r="B737" t="s">
        <v>641</v>
      </c>
      <c r="C737" s="55">
        <v>84985.35</v>
      </c>
      <c r="D737" s="55">
        <v>-931933.78</v>
      </c>
      <c r="E737" t="s">
        <v>931</v>
      </c>
    </row>
    <row r="738" spans="1:14" x14ac:dyDescent="0.25">
      <c r="A738">
        <v>9275</v>
      </c>
      <c r="B738" t="s">
        <v>497</v>
      </c>
      <c r="C738" s="55">
        <v>83762.710000000006</v>
      </c>
      <c r="D738" s="55">
        <v>-940492.66</v>
      </c>
      <c r="E738" t="s">
        <v>931</v>
      </c>
      <c r="F738" t="s">
        <v>992</v>
      </c>
      <c r="K738" t="s">
        <v>189</v>
      </c>
      <c r="N738" t="s">
        <v>928</v>
      </c>
    </row>
    <row r="739" spans="1:14" x14ac:dyDescent="0.25">
      <c r="A739">
        <v>24751</v>
      </c>
      <c r="B739" t="s">
        <v>1345</v>
      </c>
      <c r="C739" s="55">
        <v>83751.34</v>
      </c>
      <c r="D739" t="s">
        <v>845</v>
      </c>
      <c r="E739" t="s">
        <v>930</v>
      </c>
    </row>
    <row r="740" spans="1:14" x14ac:dyDescent="0.25">
      <c r="A740">
        <v>11439</v>
      </c>
      <c r="B740" t="s">
        <v>360</v>
      </c>
      <c r="C740" s="55">
        <v>81880.06</v>
      </c>
      <c r="D740" s="55">
        <v>-383476.78</v>
      </c>
      <c r="E740" t="s">
        <v>931</v>
      </c>
    </row>
    <row r="741" spans="1:14" x14ac:dyDescent="0.25">
      <c r="A741">
        <v>22843</v>
      </c>
      <c r="B741" t="s">
        <v>1346</v>
      </c>
      <c r="C741" s="55">
        <v>81830.12</v>
      </c>
      <c r="D741" s="55">
        <v>-417432.13</v>
      </c>
      <c r="E741" t="s">
        <v>931</v>
      </c>
    </row>
    <row r="742" spans="1:14" x14ac:dyDescent="0.25">
      <c r="A742">
        <v>201</v>
      </c>
      <c r="B742" t="s">
        <v>388</v>
      </c>
      <c r="C742" s="55">
        <v>81285.179999999993</v>
      </c>
      <c r="D742" s="55">
        <v>-530584.01</v>
      </c>
      <c r="E742" t="s">
        <v>931</v>
      </c>
    </row>
    <row r="743" spans="1:14" x14ac:dyDescent="0.25">
      <c r="A743">
        <v>314658</v>
      </c>
      <c r="B743" t="s">
        <v>1347</v>
      </c>
      <c r="C743" s="55">
        <v>81270.5</v>
      </c>
      <c r="D743" t="s">
        <v>845</v>
      </c>
      <c r="E743" t="s">
        <v>930</v>
      </c>
    </row>
    <row r="744" spans="1:14" x14ac:dyDescent="0.25">
      <c r="A744">
        <v>319335</v>
      </c>
      <c r="B744" t="s">
        <v>412</v>
      </c>
      <c r="C744" s="55">
        <v>80982.22</v>
      </c>
      <c r="D744" s="55">
        <v>-1409936.67</v>
      </c>
      <c r="E744" t="s">
        <v>931</v>
      </c>
    </row>
    <row r="745" spans="1:14" x14ac:dyDescent="0.25">
      <c r="A745">
        <v>92692</v>
      </c>
      <c r="B745" t="s">
        <v>665</v>
      </c>
      <c r="C745" s="55">
        <v>80961.62</v>
      </c>
      <c r="D745" s="55">
        <v>-1692480.88</v>
      </c>
      <c r="E745" t="s">
        <v>931</v>
      </c>
    </row>
    <row r="746" spans="1:14" x14ac:dyDescent="0.25">
      <c r="A746">
        <v>85464</v>
      </c>
      <c r="B746" t="s">
        <v>1348</v>
      </c>
      <c r="C746" s="55">
        <v>80840.649999999994</v>
      </c>
      <c r="D746" s="55">
        <v>-576636.21</v>
      </c>
      <c r="E746" t="s">
        <v>931</v>
      </c>
    </row>
    <row r="747" spans="1:14" x14ac:dyDescent="0.25">
      <c r="A747">
        <v>390518</v>
      </c>
      <c r="B747" t="s">
        <v>532</v>
      </c>
      <c r="C747" s="55">
        <v>80474.28</v>
      </c>
      <c r="D747" s="55">
        <v>-1699781.03</v>
      </c>
      <c r="E747" t="s">
        <v>931</v>
      </c>
    </row>
    <row r="748" spans="1:14" x14ac:dyDescent="0.25">
      <c r="A748">
        <v>20539</v>
      </c>
      <c r="B748" t="s">
        <v>551</v>
      </c>
      <c r="C748" s="55">
        <v>80327.509999999995</v>
      </c>
      <c r="D748" s="55">
        <v>-312313.67</v>
      </c>
      <c r="E748" t="s">
        <v>931</v>
      </c>
      <c r="N748" t="s">
        <v>928</v>
      </c>
    </row>
    <row r="749" spans="1:14" x14ac:dyDescent="0.25">
      <c r="A749">
        <v>28779</v>
      </c>
      <c r="B749" t="s">
        <v>1349</v>
      </c>
      <c r="C749" s="55">
        <v>77705.84</v>
      </c>
      <c r="D749" s="55">
        <v>-227643.93</v>
      </c>
      <c r="E749" t="s">
        <v>931</v>
      </c>
    </row>
    <row r="750" spans="1:14" x14ac:dyDescent="0.25">
      <c r="A750">
        <v>56051</v>
      </c>
      <c r="B750" t="s">
        <v>567</v>
      </c>
      <c r="C750" s="55">
        <v>77266.89</v>
      </c>
      <c r="D750" s="55">
        <v>-2446598.4</v>
      </c>
      <c r="E750" t="s">
        <v>931</v>
      </c>
    </row>
    <row r="751" spans="1:14" x14ac:dyDescent="0.25">
      <c r="A751">
        <v>304964</v>
      </c>
      <c r="B751" t="s">
        <v>1350</v>
      </c>
      <c r="C751" s="55">
        <v>77025.119999999995</v>
      </c>
      <c r="D751" s="55">
        <v>-1820445.22</v>
      </c>
      <c r="E751" t="s">
        <v>931</v>
      </c>
    </row>
    <row r="752" spans="1:14" x14ac:dyDescent="0.25">
      <c r="A752">
        <v>317537</v>
      </c>
      <c r="B752" t="s">
        <v>1351</v>
      </c>
      <c r="C752" s="55">
        <v>76295.710000000006</v>
      </c>
      <c r="D752" s="55">
        <v>-824505.31</v>
      </c>
      <c r="E752" t="s">
        <v>931</v>
      </c>
    </row>
    <row r="753" spans="1:5" x14ac:dyDescent="0.25">
      <c r="A753">
        <v>3366</v>
      </c>
      <c r="B753" t="s">
        <v>1352</v>
      </c>
      <c r="C753" s="55">
        <v>76111.19</v>
      </c>
      <c r="D753" s="55">
        <v>-174522.48</v>
      </c>
      <c r="E753" t="s">
        <v>931</v>
      </c>
    </row>
    <row r="754" spans="1:5" x14ac:dyDescent="0.25">
      <c r="A754">
        <v>391888</v>
      </c>
      <c r="B754" t="s">
        <v>1353</v>
      </c>
      <c r="C754" s="55">
        <v>75589.990000000005</v>
      </c>
      <c r="D754" s="55">
        <v>-97832.93</v>
      </c>
      <c r="E754" t="s">
        <v>931</v>
      </c>
    </row>
    <row r="755" spans="1:5" x14ac:dyDescent="0.25">
      <c r="A755">
        <v>4666</v>
      </c>
      <c r="B755" t="s">
        <v>1354</v>
      </c>
      <c r="C755" s="55">
        <v>74962.02</v>
      </c>
      <c r="D755" t="s">
        <v>845</v>
      </c>
      <c r="E755" t="s">
        <v>930</v>
      </c>
    </row>
    <row r="756" spans="1:5" x14ac:dyDescent="0.25">
      <c r="A756">
        <v>24956</v>
      </c>
      <c r="B756" t="s">
        <v>1355</v>
      </c>
      <c r="C756" s="55">
        <v>74907.42</v>
      </c>
      <c r="D756" t="s">
        <v>845</v>
      </c>
      <c r="E756" t="s">
        <v>930</v>
      </c>
    </row>
    <row r="757" spans="1:5" x14ac:dyDescent="0.25">
      <c r="A757">
        <v>9115</v>
      </c>
      <c r="B757" t="s">
        <v>1356</v>
      </c>
      <c r="C757" s="55">
        <v>73088.990000000005</v>
      </c>
      <c r="D757" s="55">
        <v>-327063.7</v>
      </c>
      <c r="E757" t="s">
        <v>931</v>
      </c>
    </row>
    <row r="758" spans="1:5" x14ac:dyDescent="0.25">
      <c r="A758">
        <v>3221</v>
      </c>
      <c r="B758" t="s">
        <v>1357</v>
      </c>
      <c r="C758" s="55">
        <v>73003.44</v>
      </c>
      <c r="D758" s="55">
        <v>-3640964.19</v>
      </c>
      <c r="E758" t="s">
        <v>931</v>
      </c>
    </row>
    <row r="759" spans="1:5" x14ac:dyDescent="0.25">
      <c r="A759">
        <v>40949</v>
      </c>
      <c r="B759" t="s">
        <v>633</v>
      </c>
      <c r="C759" s="55">
        <v>72441.990000000005</v>
      </c>
      <c r="D759" s="55">
        <v>-163653.43</v>
      </c>
      <c r="E759" t="s">
        <v>931</v>
      </c>
    </row>
    <row r="760" spans="1:5" x14ac:dyDescent="0.25">
      <c r="A760">
        <v>85449</v>
      </c>
      <c r="B760" t="s">
        <v>643</v>
      </c>
      <c r="C760" s="55">
        <v>72429.929999999993</v>
      </c>
      <c r="D760" s="55">
        <v>-435047.43</v>
      </c>
      <c r="E760" t="s">
        <v>931</v>
      </c>
    </row>
    <row r="761" spans="1:5" x14ac:dyDescent="0.25">
      <c r="A761">
        <v>13325</v>
      </c>
      <c r="B761" t="s">
        <v>1358</v>
      </c>
      <c r="C761" s="55">
        <v>72157.73</v>
      </c>
      <c r="D761" t="s">
        <v>845</v>
      </c>
      <c r="E761" t="s">
        <v>930</v>
      </c>
    </row>
    <row r="762" spans="1:5" x14ac:dyDescent="0.25">
      <c r="A762">
        <v>666</v>
      </c>
      <c r="B762" t="s">
        <v>613</v>
      </c>
      <c r="C762" s="55">
        <v>71878.929999999993</v>
      </c>
      <c r="D762" s="55">
        <v>-525033.06999999995</v>
      </c>
      <c r="E762" t="s">
        <v>931</v>
      </c>
    </row>
    <row r="763" spans="1:5" x14ac:dyDescent="0.25">
      <c r="A763">
        <v>305664</v>
      </c>
      <c r="B763" t="s">
        <v>1359</v>
      </c>
      <c r="C763" s="55">
        <v>71829.42</v>
      </c>
      <c r="D763" s="55">
        <v>-216655.72</v>
      </c>
      <c r="E763" t="s">
        <v>931</v>
      </c>
    </row>
    <row r="764" spans="1:5" x14ac:dyDescent="0.25">
      <c r="A764">
        <v>6256</v>
      </c>
      <c r="B764" t="s">
        <v>1360</v>
      </c>
      <c r="C764" s="55">
        <v>70623.759999999995</v>
      </c>
      <c r="D764" s="55">
        <v>-128723.06</v>
      </c>
      <c r="E764" t="s">
        <v>931</v>
      </c>
    </row>
    <row r="765" spans="1:5" x14ac:dyDescent="0.25">
      <c r="A765">
        <v>20793</v>
      </c>
      <c r="B765" t="s">
        <v>682</v>
      </c>
      <c r="C765" s="55">
        <v>70467.850000000006</v>
      </c>
      <c r="D765" s="55">
        <v>-599746.89</v>
      </c>
      <c r="E765" t="s">
        <v>931</v>
      </c>
    </row>
    <row r="766" spans="1:5" x14ac:dyDescent="0.25">
      <c r="A766">
        <v>19271</v>
      </c>
      <c r="B766" t="s">
        <v>1361</v>
      </c>
      <c r="C766" s="55">
        <v>70238.539999999994</v>
      </c>
      <c r="D766" t="s">
        <v>845</v>
      </c>
      <c r="E766" t="s">
        <v>930</v>
      </c>
    </row>
    <row r="767" spans="1:5" x14ac:dyDescent="0.25">
      <c r="A767">
        <v>384297</v>
      </c>
      <c r="B767" t="s">
        <v>1362</v>
      </c>
      <c r="C767" s="55">
        <v>70225.119999999995</v>
      </c>
      <c r="D767" s="55">
        <v>-52818.67</v>
      </c>
      <c r="E767" t="s">
        <v>931</v>
      </c>
    </row>
    <row r="768" spans="1:5" x14ac:dyDescent="0.25">
      <c r="A768">
        <v>8073</v>
      </c>
      <c r="B768" t="s">
        <v>1363</v>
      </c>
      <c r="C768" s="55">
        <v>70089.09</v>
      </c>
      <c r="D768" s="55">
        <v>-1032727.76</v>
      </c>
      <c r="E768" t="s">
        <v>931</v>
      </c>
    </row>
    <row r="769" spans="1:5" x14ac:dyDescent="0.25">
      <c r="A769">
        <v>300442</v>
      </c>
      <c r="B769" t="s">
        <v>1364</v>
      </c>
      <c r="C769" s="55">
        <v>70063.490000000005</v>
      </c>
      <c r="D769" s="55">
        <v>-159296</v>
      </c>
      <c r="E769" t="s">
        <v>931</v>
      </c>
    </row>
    <row r="770" spans="1:5" x14ac:dyDescent="0.25">
      <c r="A770">
        <v>316315</v>
      </c>
      <c r="B770" t="s">
        <v>1365</v>
      </c>
      <c r="C770" s="55">
        <v>69701.710000000006</v>
      </c>
      <c r="D770" s="55">
        <v>-839104.77</v>
      </c>
      <c r="E770" t="s">
        <v>931</v>
      </c>
    </row>
    <row r="771" spans="1:5" x14ac:dyDescent="0.25">
      <c r="A771">
        <v>394403</v>
      </c>
      <c r="B771" t="s">
        <v>1366</v>
      </c>
      <c r="C771" s="55">
        <v>69697.98</v>
      </c>
      <c r="D771" s="55">
        <v>-5594.15</v>
      </c>
      <c r="E771" t="s">
        <v>931</v>
      </c>
    </row>
    <row r="772" spans="1:5" x14ac:dyDescent="0.25">
      <c r="A772">
        <v>250148</v>
      </c>
      <c r="B772" t="s">
        <v>1367</v>
      </c>
      <c r="C772" s="55">
        <v>69326.64</v>
      </c>
      <c r="D772" s="55">
        <v>-9216</v>
      </c>
      <c r="E772" t="s">
        <v>931</v>
      </c>
    </row>
    <row r="773" spans="1:5" x14ac:dyDescent="0.25">
      <c r="A773">
        <v>303284</v>
      </c>
      <c r="B773" t="s">
        <v>1368</v>
      </c>
      <c r="C773" s="55">
        <v>69300.639999999999</v>
      </c>
      <c r="D773" s="55">
        <v>-1639710.83</v>
      </c>
      <c r="E773" t="s">
        <v>931</v>
      </c>
    </row>
    <row r="774" spans="1:5" x14ac:dyDescent="0.25">
      <c r="A774">
        <v>25254</v>
      </c>
      <c r="B774" t="s">
        <v>1369</v>
      </c>
      <c r="C774" s="55">
        <v>69114.81</v>
      </c>
      <c r="D774" s="55">
        <v>-994871.95</v>
      </c>
      <c r="E774" t="s">
        <v>931</v>
      </c>
    </row>
    <row r="775" spans="1:5" x14ac:dyDescent="0.25">
      <c r="A775">
        <v>21102</v>
      </c>
      <c r="B775" t="s">
        <v>1370</v>
      </c>
      <c r="C775" s="55">
        <v>68335.83</v>
      </c>
      <c r="D775" s="55">
        <v>-1018213.25</v>
      </c>
      <c r="E775" t="s">
        <v>931</v>
      </c>
    </row>
    <row r="776" spans="1:5" x14ac:dyDescent="0.25">
      <c r="A776">
        <v>11876</v>
      </c>
      <c r="B776" t="s">
        <v>1371</v>
      </c>
      <c r="C776" s="55">
        <v>67379.12</v>
      </c>
      <c r="D776" s="55">
        <v>-154690.23000000001</v>
      </c>
      <c r="E776" t="s">
        <v>931</v>
      </c>
    </row>
    <row r="777" spans="1:5" x14ac:dyDescent="0.25">
      <c r="A777">
        <v>300640</v>
      </c>
      <c r="B777" t="s">
        <v>1372</v>
      </c>
      <c r="C777" s="55">
        <v>66935.070000000007</v>
      </c>
      <c r="D777" s="55">
        <v>-1123707.6599999999</v>
      </c>
      <c r="E777" t="s">
        <v>931</v>
      </c>
    </row>
    <row r="778" spans="1:5" x14ac:dyDescent="0.25">
      <c r="A778">
        <v>21762</v>
      </c>
      <c r="B778" t="s">
        <v>1373</v>
      </c>
      <c r="C778" s="55">
        <v>66867.89</v>
      </c>
      <c r="D778" s="55">
        <v>-472263.63</v>
      </c>
      <c r="E778" t="s">
        <v>931</v>
      </c>
    </row>
    <row r="779" spans="1:5" x14ac:dyDescent="0.25">
      <c r="A779">
        <v>24090</v>
      </c>
      <c r="B779" t="s">
        <v>1374</v>
      </c>
      <c r="C779" s="55">
        <v>66662.320000000007</v>
      </c>
      <c r="D779" t="s">
        <v>845</v>
      </c>
      <c r="E779" t="s">
        <v>930</v>
      </c>
    </row>
    <row r="780" spans="1:5" x14ac:dyDescent="0.25">
      <c r="A780">
        <v>11160</v>
      </c>
      <c r="B780" t="s">
        <v>720</v>
      </c>
      <c r="C780" s="55">
        <v>65673.81</v>
      </c>
      <c r="D780" s="55">
        <v>-177674.13</v>
      </c>
      <c r="E780" t="s">
        <v>931</v>
      </c>
    </row>
    <row r="781" spans="1:5" x14ac:dyDescent="0.25">
      <c r="A781">
        <v>394882</v>
      </c>
      <c r="B781" t="s">
        <v>642</v>
      </c>
      <c r="C781" s="55">
        <v>65232.18</v>
      </c>
      <c r="D781" s="55">
        <v>-113159.17</v>
      </c>
      <c r="E781" t="s">
        <v>931</v>
      </c>
    </row>
    <row r="782" spans="1:5" x14ac:dyDescent="0.25">
      <c r="A782">
        <v>3835</v>
      </c>
      <c r="B782" t="s">
        <v>1375</v>
      </c>
      <c r="C782" s="55">
        <v>64969.57</v>
      </c>
      <c r="D782" s="55">
        <v>-239478.12</v>
      </c>
      <c r="E782" t="s">
        <v>931</v>
      </c>
    </row>
    <row r="783" spans="1:5" x14ac:dyDescent="0.25">
      <c r="A783">
        <v>20172</v>
      </c>
      <c r="B783" t="s">
        <v>1376</v>
      </c>
      <c r="C783" s="55">
        <v>64149</v>
      </c>
      <c r="D783" s="55">
        <v>-322869.01</v>
      </c>
      <c r="E783" t="s">
        <v>931</v>
      </c>
    </row>
    <row r="784" spans="1:5" x14ac:dyDescent="0.25">
      <c r="A784">
        <v>13833</v>
      </c>
      <c r="B784" t="s">
        <v>1377</v>
      </c>
      <c r="C784" s="55">
        <v>63618.14</v>
      </c>
      <c r="D784" s="55">
        <v>-1324629.46</v>
      </c>
      <c r="E784" t="s">
        <v>931</v>
      </c>
    </row>
    <row r="785" spans="1:5" x14ac:dyDescent="0.25">
      <c r="A785">
        <v>391219</v>
      </c>
      <c r="B785" t="s">
        <v>623</v>
      </c>
      <c r="C785" s="55">
        <v>62962.5</v>
      </c>
      <c r="D785" s="55">
        <v>-44791.24</v>
      </c>
      <c r="E785" t="s">
        <v>931</v>
      </c>
    </row>
    <row r="786" spans="1:5" x14ac:dyDescent="0.25">
      <c r="A786">
        <v>44586</v>
      </c>
      <c r="B786" t="s">
        <v>686</v>
      </c>
      <c r="C786" s="55">
        <v>62028.81</v>
      </c>
      <c r="D786" s="55">
        <v>-2617779.91</v>
      </c>
      <c r="E786" t="s">
        <v>931</v>
      </c>
    </row>
    <row r="787" spans="1:5" x14ac:dyDescent="0.25">
      <c r="A787">
        <v>52969</v>
      </c>
      <c r="B787" t="s">
        <v>1378</v>
      </c>
      <c r="C787" s="55">
        <v>61397.35</v>
      </c>
      <c r="D787" s="55">
        <v>337447.02</v>
      </c>
      <c r="E787" t="s">
        <v>948</v>
      </c>
    </row>
    <row r="788" spans="1:5" x14ac:dyDescent="0.25">
      <c r="A788">
        <v>23290</v>
      </c>
      <c r="B788" t="s">
        <v>1379</v>
      </c>
      <c r="C788" s="55">
        <v>61316.61</v>
      </c>
      <c r="D788" s="55">
        <v>-132118.64000000001</v>
      </c>
      <c r="E788" t="s">
        <v>931</v>
      </c>
    </row>
    <row r="789" spans="1:5" x14ac:dyDescent="0.25">
      <c r="A789">
        <v>318980</v>
      </c>
      <c r="B789" t="s">
        <v>408</v>
      </c>
      <c r="C789" s="55">
        <v>60839.06</v>
      </c>
      <c r="D789" s="55">
        <v>-2397451.17</v>
      </c>
      <c r="E789" t="s">
        <v>931</v>
      </c>
    </row>
    <row r="790" spans="1:5" x14ac:dyDescent="0.25">
      <c r="A790">
        <v>19196</v>
      </c>
      <c r="B790" t="s">
        <v>698</v>
      </c>
      <c r="C790" s="55">
        <v>60787.42</v>
      </c>
      <c r="D790" s="55">
        <v>-233314.71</v>
      </c>
      <c r="E790" t="s">
        <v>931</v>
      </c>
    </row>
    <row r="791" spans="1:5" x14ac:dyDescent="0.25">
      <c r="A791">
        <v>204701</v>
      </c>
      <c r="B791" t="s">
        <v>1380</v>
      </c>
      <c r="C791" s="55">
        <v>60515.1</v>
      </c>
      <c r="D791" s="55">
        <v>-167680.76</v>
      </c>
      <c r="E791" t="s">
        <v>931</v>
      </c>
    </row>
    <row r="792" spans="1:5" x14ac:dyDescent="0.25">
      <c r="A792">
        <v>24592</v>
      </c>
      <c r="B792" t="s">
        <v>1381</v>
      </c>
      <c r="C792" s="55">
        <v>59725.91</v>
      </c>
      <c r="D792" t="s">
        <v>845</v>
      </c>
      <c r="E792" t="s">
        <v>930</v>
      </c>
    </row>
    <row r="793" spans="1:5" x14ac:dyDescent="0.25">
      <c r="A793">
        <v>24615</v>
      </c>
      <c r="B793" t="s">
        <v>1382</v>
      </c>
      <c r="C793" s="55">
        <v>59682.99</v>
      </c>
      <c r="D793" t="s">
        <v>845</v>
      </c>
      <c r="E793" t="s">
        <v>930</v>
      </c>
    </row>
    <row r="794" spans="1:5" x14ac:dyDescent="0.25">
      <c r="A794">
        <v>58750</v>
      </c>
      <c r="B794" t="s">
        <v>1383</v>
      </c>
      <c r="C794" s="55">
        <v>59641.52</v>
      </c>
      <c r="D794" s="55">
        <v>-1013033.59</v>
      </c>
      <c r="E794" t="s">
        <v>931</v>
      </c>
    </row>
    <row r="795" spans="1:5" x14ac:dyDescent="0.25">
      <c r="A795">
        <v>24113</v>
      </c>
      <c r="B795" t="s">
        <v>1384</v>
      </c>
      <c r="C795" s="55">
        <v>59629.56</v>
      </c>
      <c r="D795" t="s">
        <v>845</v>
      </c>
      <c r="E795" t="s">
        <v>930</v>
      </c>
    </row>
    <row r="796" spans="1:5" x14ac:dyDescent="0.25">
      <c r="A796">
        <v>21446</v>
      </c>
      <c r="B796" t="s">
        <v>1385</v>
      </c>
      <c r="C796" s="55">
        <v>59477.75</v>
      </c>
      <c r="D796" t="s">
        <v>845</v>
      </c>
      <c r="E796" t="s">
        <v>930</v>
      </c>
    </row>
    <row r="797" spans="1:5" x14ac:dyDescent="0.25">
      <c r="A797">
        <v>20777</v>
      </c>
      <c r="B797" t="s">
        <v>562</v>
      </c>
      <c r="C797" s="55">
        <v>58662.96</v>
      </c>
      <c r="D797" s="55">
        <v>-534111.73</v>
      </c>
      <c r="E797" t="s">
        <v>931</v>
      </c>
    </row>
    <row r="798" spans="1:5" x14ac:dyDescent="0.25">
      <c r="A798">
        <v>391672</v>
      </c>
      <c r="B798" t="s">
        <v>710</v>
      </c>
      <c r="C798" s="55">
        <v>58113.04</v>
      </c>
      <c r="D798" s="55">
        <v>-972187.79</v>
      </c>
      <c r="E798" t="s">
        <v>931</v>
      </c>
    </row>
    <row r="799" spans="1:5" x14ac:dyDescent="0.25">
      <c r="A799">
        <v>25068</v>
      </c>
      <c r="B799" t="s">
        <v>1386</v>
      </c>
      <c r="C799" s="55">
        <v>57797.09</v>
      </c>
      <c r="D799" t="s">
        <v>845</v>
      </c>
      <c r="E799" t="s">
        <v>930</v>
      </c>
    </row>
    <row r="800" spans="1:5" x14ac:dyDescent="0.25">
      <c r="A800">
        <v>382689</v>
      </c>
      <c r="B800" t="s">
        <v>1387</v>
      </c>
      <c r="C800" s="55">
        <v>57548.87</v>
      </c>
      <c r="D800" s="55">
        <v>478872.17</v>
      </c>
      <c r="E800" t="s">
        <v>948</v>
      </c>
    </row>
    <row r="801" spans="1:5" x14ac:dyDescent="0.25">
      <c r="A801">
        <v>18497</v>
      </c>
      <c r="B801" t="s">
        <v>1388</v>
      </c>
      <c r="C801" s="55">
        <v>57330</v>
      </c>
      <c r="D801" t="s">
        <v>845</v>
      </c>
      <c r="E801" t="s">
        <v>930</v>
      </c>
    </row>
    <row r="802" spans="1:5" x14ac:dyDescent="0.25">
      <c r="A802">
        <v>383265</v>
      </c>
      <c r="B802" t="s">
        <v>1389</v>
      </c>
      <c r="C802" s="55">
        <v>56845.85</v>
      </c>
      <c r="D802" s="55">
        <v>-586273.64</v>
      </c>
      <c r="E802" t="s">
        <v>931</v>
      </c>
    </row>
    <row r="803" spans="1:5" x14ac:dyDescent="0.25">
      <c r="A803">
        <v>21128</v>
      </c>
      <c r="B803" t="s">
        <v>1390</v>
      </c>
      <c r="C803" s="55">
        <v>56450.559999999998</v>
      </c>
      <c r="D803" s="55">
        <v>-129874.65</v>
      </c>
      <c r="E803" t="s">
        <v>931</v>
      </c>
    </row>
    <row r="804" spans="1:5" x14ac:dyDescent="0.25">
      <c r="A804">
        <v>384289</v>
      </c>
      <c r="B804" t="s">
        <v>1391</v>
      </c>
      <c r="C804" s="55">
        <v>56259</v>
      </c>
      <c r="D804" s="55">
        <v>-13304.45</v>
      </c>
      <c r="E804" t="s">
        <v>931</v>
      </c>
    </row>
    <row r="805" spans="1:5" x14ac:dyDescent="0.25">
      <c r="A805">
        <v>385559</v>
      </c>
      <c r="B805" t="s">
        <v>619</v>
      </c>
      <c r="C805" s="55">
        <v>55991.95</v>
      </c>
      <c r="D805" s="55">
        <v>-491935.58</v>
      </c>
      <c r="E805" t="s">
        <v>931</v>
      </c>
    </row>
    <row r="806" spans="1:5" x14ac:dyDescent="0.25">
      <c r="A806">
        <v>307512</v>
      </c>
      <c r="B806" t="s">
        <v>1392</v>
      </c>
      <c r="C806" s="55">
        <v>55143.83</v>
      </c>
      <c r="D806" s="55">
        <v>-1299586.3600000001</v>
      </c>
      <c r="E806" t="s">
        <v>931</v>
      </c>
    </row>
    <row r="807" spans="1:5" x14ac:dyDescent="0.25">
      <c r="A807">
        <v>9348</v>
      </c>
      <c r="B807" t="s">
        <v>647</v>
      </c>
      <c r="C807" s="55">
        <v>54350.5</v>
      </c>
      <c r="D807" s="55">
        <v>-2212019.96</v>
      </c>
      <c r="E807" t="s">
        <v>931</v>
      </c>
    </row>
    <row r="808" spans="1:5" x14ac:dyDescent="0.25">
      <c r="A808">
        <v>77933</v>
      </c>
      <c r="B808" t="s">
        <v>591</v>
      </c>
      <c r="C808" s="55">
        <v>54203.08</v>
      </c>
      <c r="D808" s="55">
        <v>-1309987.8999999999</v>
      </c>
      <c r="E808" t="s">
        <v>931</v>
      </c>
    </row>
    <row r="809" spans="1:5" x14ac:dyDescent="0.25">
      <c r="A809">
        <v>342584</v>
      </c>
      <c r="B809" t="s">
        <v>639</v>
      </c>
      <c r="C809" s="55">
        <v>54107.64</v>
      </c>
      <c r="D809" s="55">
        <v>-1972760.29</v>
      </c>
      <c r="E809" t="s">
        <v>931</v>
      </c>
    </row>
    <row r="810" spans="1:5" x14ac:dyDescent="0.25">
      <c r="A810">
        <v>334185</v>
      </c>
      <c r="B810" t="s">
        <v>1393</v>
      </c>
      <c r="C810" s="55">
        <v>54036.89</v>
      </c>
      <c r="D810" s="55">
        <v>-284286.59999999998</v>
      </c>
      <c r="E810" t="s">
        <v>931</v>
      </c>
    </row>
    <row r="811" spans="1:5" x14ac:dyDescent="0.25">
      <c r="A811">
        <v>25128</v>
      </c>
      <c r="B811" t="s">
        <v>1394</v>
      </c>
      <c r="C811" s="55">
        <v>53737.47</v>
      </c>
      <c r="D811" t="s">
        <v>845</v>
      </c>
      <c r="E811" t="s">
        <v>930</v>
      </c>
    </row>
    <row r="812" spans="1:5" x14ac:dyDescent="0.25">
      <c r="A812">
        <v>32961</v>
      </c>
      <c r="B812" t="s">
        <v>705</v>
      </c>
      <c r="C812" s="55">
        <v>53589.65</v>
      </c>
      <c r="D812" s="55">
        <v>-1618704.32</v>
      </c>
      <c r="E812" t="s">
        <v>931</v>
      </c>
    </row>
    <row r="813" spans="1:5" x14ac:dyDescent="0.25">
      <c r="A813">
        <v>346692</v>
      </c>
      <c r="B813" t="s">
        <v>1395</v>
      </c>
      <c r="C813" s="55">
        <v>52490.6</v>
      </c>
      <c r="D813" s="55">
        <v>-1302652.1499999999</v>
      </c>
      <c r="E813" t="s">
        <v>931</v>
      </c>
    </row>
    <row r="814" spans="1:5" x14ac:dyDescent="0.25">
      <c r="A814">
        <v>10765</v>
      </c>
      <c r="B814" t="s">
        <v>1396</v>
      </c>
      <c r="C814" s="55">
        <v>52353.9</v>
      </c>
      <c r="D814" s="55">
        <v>-688612.01</v>
      </c>
      <c r="E814" t="s">
        <v>931</v>
      </c>
    </row>
    <row r="815" spans="1:5" x14ac:dyDescent="0.25">
      <c r="A815">
        <v>99747</v>
      </c>
      <c r="B815" t="s">
        <v>1397</v>
      </c>
      <c r="C815" s="55">
        <v>51576.4</v>
      </c>
      <c r="D815" s="55">
        <v>-43345.599999999999</v>
      </c>
      <c r="E815" t="s">
        <v>931</v>
      </c>
    </row>
    <row r="816" spans="1:5" x14ac:dyDescent="0.25">
      <c r="A816">
        <v>321141</v>
      </c>
      <c r="B816" t="s">
        <v>1398</v>
      </c>
      <c r="C816" s="55">
        <v>51556.73</v>
      </c>
      <c r="D816" s="55">
        <v>-879861.39</v>
      </c>
      <c r="E816" t="s">
        <v>931</v>
      </c>
    </row>
    <row r="817" spans="1:13" x14ac:dyDescent="0.25">
      <c r="A817">
        <v>302105</v>
      </c>
      <c r="B817" t="s">
        <v>1399</v>
      </c>
      <c r="C817" s="55">
        <v>51463.59</v>
      </c>
      <c r="D817" t="s">
        <v>845</v>
      </c>
      <c r="E817" t="s">
        <v>930</v>
      </c>
    </row>
    <row r="818" spans="1:13" x14ac:dyDescent="0.25">
      <c r="A818">
        <v>11423</v>
      </c>
      <c r="B818" t="s">
        <v>653</v>
      </c>
      <c r="C818" s="55">
        <v>51209.8</v>
      </c>
      <c r="D818" s="55">
        <v>-952509.2</v>
      </c>
      <c r="E818" t="s">
        <v>931</v>
      </c>
    </row>
    <row r="819" spans="1:13" x14ac:dyDescent="0.25">
      <c r="A819">
        <v>3080</v>
      </c>
      <c r="B819" t="s">
        <v>1400</v>
      </c>
      <c r="C819" s="55">
        <v>50396.93</v>
      </c>
      <c r="D819" s="55">
        <v>-182275.17</v>
      </c>
      <c r="E819" t="s">
        <v>931</v>
      </c>
    </row>
    <row r="820" spans="1:13" x14ac:dyDescent="0.25">
      <c r="A820">
        <v>329680</v>
      </c>
      <c r="B820" t="s">
        <v>661</v>
      </c>
      <c r="C820" s="55">
        <v>50367.22</v>
      </c>
      <c r="D820" s="55">
        <v>-1587991.6</v>
      </c>
      <c r="E820" t="s">
        <v>931</v>
      </c>
    </row>
    <row r="821" spans="1:13" x14ac:dyDescent="0.25">
      <c r="A821">
        <v>551</v>
      </c>
      <c r="B821" t="s">
        <v>734</v>
      </c>
      <c r="C821" s="55">
        <v>50364.14</v>
      </c>
      <c r="D821" s="55">
        <v>-800010.16</v>
      </c>
      <c r="E821" t="s">
        <v>931</v>
      </c>
      <c r="M821" t="s">
        <v>94</v>
      </c>
    </row>
    <row r="822" spans="1:13" x14ac:dyDescent="0.25">
      <c r="A822">
        <v>328609</v>
      </c>
      <c r="B822" t="s">
        <v>1401</v>
      </c>
      <c r="C822" s="55">
        <v>48819.28</v>
      </c>
      <c r="D822" s="55">
        <v>-494379.7</v>
      </c>
      <c r="E822" t="s">
        <v>931</v>
      </c>
    </row>
    <row r="823" spans="1:13" x14ac:dyDescent="0.25">
      <c r="A823">
        <v>25058</v>
      </c>
      <c r="B823" t="s">
        <v>1402</v>
      </c>
      <c r="C823" s="55">
        <v>48430.68</v>
      </c>
      <c r="D823" t="s">
        <v>845</v>
      </c>
      <c r="E823" t="s">
        <v>930</v>
      </c>
    </row>
    <row r="824" spans="1:13" x14ac:dyDescent="0.25">
      <c r="A824">
        <v>20594</v>
      </c>
      <c r="B824" t="s">
        <v>1403</v>
      </c>
      <c r="C824" s="55">
        <v>47709.72</v>
      </c>
      <c r="D824" s="55">
        <v>-3395988.47</v>
      </c>
      <c r="E824" t="s">
        <v>931</v>
      </c>
    </row>
    <row r="825" spans="1:13" x14ac:dyDescent="0.25">
      <c r="A825">
        <v>23024</v>
      </c>
      <c r="B825" t="s">
        <v>1404</v>
      </c>
      <c r="C825" s="55">
        <v>47270.92</v>
      </c>
      <c r="D825" s="55">
        <v>-59397.77</v>
      </c>
      <c r="E825" t="s">
        <v>931</v>
      </c>
    </row>
    <row r="826" spans="1:13" x14ac:dyDescent="0.25">
      <c r="A826">
        <v>308592</v>
      </c>
      <c r="B826" t="s">
        <v>726</v>
      </c>
      <c r="C826" s="55">
        <v>47190.43</v>
      </c>
      <c r="D826" s="55">
        <v>-121072.51</v>
      </c>
      <c r="E826" t="s">
        <v>931</v>
      </c>
    </row>
    <row r="827" spans="1:13" x14ac:dyDescent="0.25">
      <c r="A827">
        <v>384958</v>
      </c>
      <c r="B827" t="s">
        <v>627</v>
      </c>
      <c r="C827" s="55">
        <v>46920.06</v>
      </c>
      <c r="D827" s="55">
        <v>-595022.52</v>
      </c>
      <c r="E827" t="s">
        <v>931</v>
      </c>
    </row>
    <row r="828" spans="1:13" x14ac:dyDescent="0.25">
      <c r="A828">
        <v>12701</v>
      </c>
      <c r="B828" t="s">
        <v>1405</v>
      </c>
      <c r="C828" s="55">
        <v>46890.67</v>
      </c>
      <c r="D828" t="s">
        <v>845</v>
      </c>
      <c r="E828" t="s">
        <v>930</v>
      </c>
    </row>
    <row r="829" spans="1:13" x14ac:dyDescent="0.25">
      <c r="A829">
        <v>28209</v>
      </c>
      <c r="B829" t="s">
        <v>719</v>
      </c>
      <c r="C829" s="55">
        <v>46825.2</v>
      </c>
      <c r="D829" s="55">
        <v>-1586582.5</v>
      </c>
      <c r="E829" t="s">
        <v>931</v>
      </c>
    </row>
    <row r="830" spans="1:13" x14ac:dyDescent="0.25">
      <c r="A830">
        <v>64881</v>
      </c>
      <c r="B830" t="s">
        <v>516</v>
      </c>
      <c r="C830" s="55">
        <v>46699.7</v>
      </c>
      <c r="D830" s="55">
        <v>-638283.16</v>
      </c>
      <c r="E830" t="s">
        <v>931</v>
      </c>
    </row>
    <row r="831" spans="1:13" x14ac:dyDescent="0.25">
      <c r="A831">
        <v>487</v>
      </c>
      <c r="B831" t="s">
        <v>580</v>
      </c>
      <c r="C831" s="55">
        <v>46239.09</v>
      </c>
      <c r="D831" s="55">
        <v>-1325532.9099999999</v>
      </c>
      <c r="E831" t="s">
        <v>931</v>
      </c>
    </row>
    <row r="832" spans="1:13" x14ac:dyDescent="0.25">
      <c r="A832">
        <v>342907</v>
      </c>
      <c r="B832" t="s">
        <v>1406</v>
      </c>
      <c r="C832" s="55">
        <v>45417.39</v>
      </c>
      <c r="D832" s="55">
        <v>-60858.04</v>
      </c>
      <c r="E832" t="s">
        <v>931</v>
      </c>
    </row>
    <row r="833" spans="1:14" x14ac:dyDescent="0.25">
      <c r="A833">
        <v>19125</v>
      </c>
      <c r="B833" t="s">
        <v>1407</v>
      </c>
      <c r="C833" s="55">
        <v>44983.8</v>
      </c>
      <c r="D833" s="55">
        <v>-156934.53</v>
      </c>
      <c r="E833" t="s">
        <v>931</v>
      </c>
    </row>
    <row r="834" spans="1:14" x14ac:dyDescent="0.25">
      <c r="A834">
        <v>397547</v>
      </c>
      <c r="B834" t="s">
        <v>622</v>
      </c>
      <c r="C834" s="55">
        <v>44793.87</v>
      </c>
      <c r="D834" s="55">
        <v>-326747.53000000003</v>
      </c>
      <c r="E834" t="s">
        <v>931</v>
      </c>
    </row>
    <row r="835" spans="1:14" x14ac:dyDescent="0.25">
      <c r="A835">
        <v>312272</v>
      </c>
      <c r="B835" t="s">
        <v>1408</v>
      </c>
      <c r="C835" s="55">
        <v>44593.49</v>
      </c>
      <c r="D835" s="55">
        <v>-3897850.39</v>
      </c>
      <c r="E835" t="s">
        <v>931</v>
      </c>
    </row>
    <row r="836" spans="1:14" x14ac:dyDescent="0.25">
      <c r="A836">
        <v>35576</v>
      </c>
      <c r="B836" t="s">
        <v>666</v>
      </c>
      <c r="C836" s="55">
        <v>44436.67</v>
      </c>
      <c r="D836" s="55">
        <v>-2132561.9500000002</v>
      </c>
      <c r="E836" t="s">
        <v>931</v>
      </c>
    </row>
    <row r="837" spans="1:14" x14ac:dyDescent="0.25">
      <c r="A837">
        <v>18140</v>
      </c>
      <c r="B837" t="s">
        <v>1409</v>
      </c>
      <c r="C837" s="55">
        <v>44410.09</v>
      </c>
      <c r="D837" s="55">
        <v>-793545.86</v>
      </c>
      <c r="E837" t="s">
        <v>931</v>
      </c>
    </row>
    <row r="838" spans="1:14" x14ac:dyDescent="0.25">
      <c r="A838">
        <v>302059</v>
      </c>
      <c r="B838" t="s">
        <v>1410</v>
      </c>
      <c r="C838" s="55">
        <v>44307.69</v>
      </c>
      <c r="D838" t="s">
        <v>845</v>
      </c>
      <c r="E838" t="s">
        <v>930</v>
      </c>
      <c r="M838" t="s">
        <v>932</v>
      </c>
      <c r="N838" t="s">
        <v>928</v>
      </c>
    </row>
    <row r="839" spans="1:14" x14ac:dyDescent="0.25">
      <c r="A839">
        <v>93120</v>
      </c>
      <c r="B839" t="s">
        <v>1411</v>
      </c>
      <c r="C839" s="55">
        <v>43912.78</v>
      </c>
      <c r="D839" s="55">
        <v>-1196573.8700000001</v>
      </c>
      <c r="E839" t="s">
        <v>931</v>
      </c>
    </row>
    <row r="840" spans="1:14" x14ac:dyDescent="0.25">
      <c r="A840">
        <v>77289</v>
      </c>
      <c r="B840" t="s">
        <v>610</v>
      </c>
      <c r="C840" s="55">
        <v>43900.67</v>
      </c>
      <c r="D840" s="55">
        <v>-6705161.7400000002</v>
      </c>
      <c r="E840" t="s">
        <v>931</v>
      </c>
      <c r="M840" t="s">
        <v>94</v>
      </c>
      <c r="N840" t="s">
        <v>928</v>
      </c>
    </row>
    <row r="841" spans="1:14" x14ac:dyDescent="0.25">
      <c r="A841">
        <v>34140</v>
      </c>
      <c r="B841" t="s">
        <v>1412</v>
      </c>
      <c r="C841" s="55">
        <v>43024.98</v>
      </c>
      <c r="D841" s="55">
        <v>-17735.400000000001</v>
      </c>
      <c r="E841" t="s">
        <v>931</v>
      </c>
    </row>
    <row r="842" spans="1:14" x14ac:dyDescent="0.25">
      <c r="A842">
        <v>310102</v>
      </c>
      <c r="B842" t="s">
        <v>1413</v>
      </c>
      <c r="C842" s="55">
        <v>42969.47</v>
      </c>
      <c r="D842" s="55">
        <v>-1680616.36</v>
      </c>
      <c r="E842" t="s">
        <v>931</v>
      </c>
    </row>
    <row r="843" spans="1:14" x14ac:dyDescent="0.25">
      <c r="A843">
        <v>9580</v>
      </c>
      <c r="B843" t="s">
        <v>542</v>
      </c>
      <c r="C843" s="55">
        <v>42599.72</v>
      </c>
      <c r="D843" s="55">
        <v>-1880209.09</v>
      </c>
      <c r="E843" t="s">
        <v>931</v>
      </c>
    </row>
    <row r="844" spans="1:14" x14ac:dyDescent="0.25">
      <c r="A844">
        <v>25082</v>
      </c>
      <c r="B844" t="s">
        <v>146</v>
      </c>
      <c r="C844" s="55">
        <v>41858.11</v>
      </c>
      <c r="D844" t="s">
        <v>845</v>
      </c>
      <c r="E844" t="s">
        <v>930</v>
      </c>
    </row>
    <row r="845" spans="1:14" x14ac:dyDescent="0.25">
      <c r="A845">
        <v>63701</v>
      </c>
      <c r="B845" t="s">
        <v>1414</v>
      </c>
      <c r="C845" s="55">
        <v>41830.35</v>
      </c>
      <c r="D845" s="55">
        <v>-469102.77</v>
      </c>
      <c r="E845" t="s">
        <v>931</v>
      </c>
    </row>
    <row r="846" spans="1:14" x14ac:dyDescent="0.25">
      <c r="A846">
        <v>21595</v>
      </c>
      <c r="B846" t="s">
        <v>1415</v>
      </c>
      <c r="C846" s="55">
        <v>40716.57</v>
      </c>
      <c r="D846" s="55">
        <v>-232502.59</v>
      </c>
      <c r="E846" t="s">
        <v>931</v>
      </c>
    </row>
    <row r="847" spans="1:14" x14ac:dyDescent="0.25">
      <c r="A847">
        <v>11601</v>
      </c>
      <c r="B847" t="s">
        <v>541</v>
      </c>
      <c r="C847" s="55">
        <v>40313.1</v>
      </c>
      <c r="D847" s="55">
        <v>-675575.34</v>
      </c>
      <c r="E847" t="s">
        <v>931</v>
      </c>
    </row>
    <row r="848" spans="1:14" x14ac:dyDescent="0.25">
      <c r="A848">
        <v>312082</v>
      </c>
      <c r="B848" t="s">
        <v>615</v>
      </c>
      <c r="C848" s="55">
        <v>40095.58</v>
      </c>
      <c r="D848" s="55">
        <v>-1145816.6200000001</v>
      </c>
      <c r="E848" t="s">
        <v>931</v>
      </c>
    </row>
    <row r="849" spans="1:5" x14ac:dyDescent="0.25">
      <c r="A849">
        <v>306646</v>
      </c>
      <c r="B849" t="s">
        <v>1416</v>
      </c>
      <c r="C849" s="55">
        <v>39444.239999999998</v>
      </c>
      <c r="D849" s="55">
        <v>-553203.04</v>
      </c>
      <c r="E849" t="s">
        <v>931</v>
      </c>
    </row>
    <row r="850" spans="1:5" x14ac:dyDescent="0.25">
      <c r="A850">
        <v>320606</v>
      </c>
      <c r="B850" t="s">
        <v>1417</v>
      </c>
      <c r="C850" s="55">
        <v>39365.58</v>
      </c>
      <c r="D850" s="55">
        <v>89771</v>
      </c>
      <c r="E850" t="s">
        <v>948</v>
      </c>
    </row>
    <row r="851" spans="1:5" x14ac:dyDescent="0.25">
      <c r="A851">
        <v>23217</v>
      </c>
      <c r="B851" t="s">
        <v>1418</v>
      </c>
      <c r="C851" s="55">
        <v>38586.449999999997</v>
      </c>
      <c r="D851" s="55">
        <v>-123486.28</v>
      </c>
      <c r="E851" t="s">
        <v>931</v>
      </c>
    </row>
    <row r="852" spans="1:5" x14ac:dyDescent="0.25">
      <c r="A852">
        <v>33209</v>
      </c>
      <c r="B852" t="s">
        <v>1419</v>
      </c>
      <c r="C852" s="55">
        <v>38447.019999999997</v>
      </c>
      <c r="D852" s="55">
        <v>-312941.59000000003</v>
      </c>
      <c r="E852" t="s">
        <v>931</v>
      </c>
    </row>
    <row r="853" spans="1:5" x14ac:dyDescent="0.25">
      <c r="A853">
        <v>62166</v>
      </c>
      <c r="B853" t="s">
        <v>664</v>
      </c>
      <c r="C853" s="55">
        <v>37922.800000000003</v>
      </c>
      <c r="D853" s="55">
        <v>-100274.44</v>
      </c>
      <c r="E853" t="s">
        <v>931</v>
      </c>
    </row>
    <row r="854" spans="1:5" x14ac:dyDescent="0.25">
      <c r="A854">
        <v>308619</v>
      </c>
      <c r="B854" t="s">
        <v>1420</v>
      </c>
      <c r="C854" s="55">
        <v>37857.35</v>
      </c>
      <c r="D854" s="55">
        <v>-1199.3800000000001</v>
      </c>
      <c r="E854" t="s">
        <v>931</v>
      </c>
    </row>
    <row r="855" spans="1:5" x14ac:dyDescent="0.25">
      <c r="A855">
        <v>19313</v>
      </c>
      <c r="B855" t="s">
        <v>1421</v>
      </c>
      <c r="C855" s="55">
        <v>37298.06</v>
      </c>
      <c r="D855" t="s">
        <v>845</v>
      </c>
      <c r="E855" t="s">
        <v>930</v>
      </c>
    </row>
    <row r="856" spans="1:5" x14ac:dyDescent="0.25">
      <c r="A856">
        <v>64675</v>
      </c>
      <c r="B856" t="s">
        <v>1422</v>
      </c>
      <c r="C856" s="55">
        <v>37178.5</v>
      </c>
      <c r="D856" s="55">
        <v>-87297.99</v>
      </c>
      <c r="E856" t="s">
        <v>931</v>
      </c>
    </row>
    <row r="857" spans="1:5" x14ac:dyDescent="0.25">
      <c r="A857">
        <v>89383</v>
      </c>
      <c r="B857" t="s">
        <v>656</v>
      </c>
      <c r="C857" s="55">
        <v>37112.699999999997</v>
      </c>
      <c r="D857" s="55">
        <v>-221915.24</v>
      </c>
      <c r="E857" t="s">
        <v>931</v>
      </c>
    </row>
    <row r="858" spans="1:5" x14ac:dyDescent="0.25">
      <c r="A858">
        <v>23833</v>
      </c>
      <c r="B858" t="s">
        <v>1217</v>
      </c>
      <c r="C858" s="55">
        <v>36917.050000000003</v>
      </c>
      <c r="D858" t="s">
        <v>845</v>
      </c>
      <c r="E858" t="s">
        <v>930</v>
      </c>
    </row>
    <row r="859" spans="1:5" x14ac:dyDescent="0.25">
      <c r="A859">
        <v>13662</v>
      </c>
      <c r="B859" t="s">
        <v>1423</v>
      </c>
      <c r="C859" s="55">
        <v>36417.279999999999</v>
      </c>
      <c r="D859" s="55">
        <v>598410.89</v>
      </c>
      <c r="E859" t="s">
        <v>948</v>
      </c>
    </row>
    <row r="860" spans="1:5" x14ac:dyDescent="0.25">
      <c r="A860">
        <v>306431</v>
      </c>
      <c r="B860" t="s">
        <v>688</v>
      </c>
      <c r="C860" s="55">
        <v>36224.01</v>
      </c>
      <c r="D860" s="55">
        <v>-134846.18</v>
      </c>
      <c r="E860" t="s">
        <v>931</v>
      </c>
    </row>
    <row r="861" spans="1:5" x14ac:dyDescent="0.25">
      <c r="A861">
        <v>49569</v>
      </c>
      <c r="B861" t="s">
        <v>1424</v>
      </c>
      <c r="C861" s="55">
        <v>36165.279999999999</v>
      </c>
      <c r="D861" s="55">
        <v>-10379.950000000001</v>
      </c>
      <c r="E861" t="s">
        <v>931</v>
      </c>
    </row>
    <row r="862" spans="1:5" x14ac:dyDescent="0.25">
      <c r="A862">
        <v>313692</v>
      </c>
      <c r="B862" t="s">
        <v>1425</v>
      </c>
      <c r="C862" s="55">
        <v>36065.85</v>
      </c>
      <c r="D862" s="55">
        <v>-254498.04</v>
      </c>
      <c r="E862" t="s">
        <v>931</v>
      </c>
    </row>
    <row r="863" spans="1:5" x14ac:dyDescent="0.25">
      <c r="A863">
        <v>12365</v>
      </c>
      <c r="B863" t="s">
        <v>1426</v>
      </c>
      <c r="C863" s="55">
        <v>35582.43</v>
      </c>
      <c r="D863" s="55">
        <v>-624143.68999999994</v>
      </c>
      <c r="E863" t="s">
        <v>931</v>
      </c>
    </row>
    <row r="864" spans="1:5" x14ac:dyDescent="0.25">
      <c r="A864">
        <v>10948</v>
      </c>
      <c r="B864" t="s">
        <v>579</v>
      </c>
      <c r="C864" s="55">
        <v>35536.239999999998</v>
      </c>
      <c r="D864" s="55">
        <v>-2004427.47</v>
      </c>
      <c r="E864" t="s">
        <v>931</v>
      </c>
    </row>
    <row r="865" spans="1:5" x14ac:dyDescent="0.25">
      <c r="A865">
        <v>395434</v>
      </c>
      <c r="B865" t="s">
        <v>1427</v>
      </c>
      <c r="C865" s="55">
        <v>35304.19</v>
      </c>
      <c r="D865" t="s">
        <v>845</v>
      </c>
      <c r="E865" t="s">
        <v>930</v>
      </c>
    </row>
    <row r="866" spans="1:5" x14ac:dyDescent="0.25">
      <c r="A866">
        <v>23695</v>
      </c>
      <c r="B866" t="s">
        <v>1428</v>
      </c>
      <c r="C866" s="55">
        <v>34758.800000000003</v>
      </c>
      <c r="D866" t="s">
        <v>845</v>
      </c>
      <c r="E866" t="s">
        <v>930</v>
      </c>
    </row>
    <row r="867" spans="1:5" x14ac:dyDescent="0.25">
      <c r="A867">
        <v>327049</v>
      </c>
      <c r="B867" t="s">
        <v>716</v>
      </c>
      <c r="C867" s="55">
        <v>34686.589999999997</v>
      </c>
      <c r="D867" s="55">
        <v>766346.59</v>
      </c>
      <c r="E867" t="s">
        <v>948</v>
      </c>
    </row>
    <row r="868" spans="1:5" x14ac:dyDescent="0.25">
      <c r="A868">
        <v>15331</v>
      </c>
      <c r="B868" t="s">
        <v>612</v>
      </c>
      <c r="C868" s="55">
        <v>34573.879999999997</v>
      </c>
      <c r="D868" s="55">
        <v>-485616.61</v>
      </c>
      <c r="E868" t="s">
        <v>931</v>
      </c>
    </row>
    <row r="869" spans="1:5" x14ac:dyDescent="0.25">
      <c r="A869">
        <v>11158</v>
      </c>
      <c r="B869" t="s">
        <v>1429</v>
      </c>
      <c r="C869" s="55">
        <v>34405.15</v>
      </c>
      <c r="D869" s="55">
        <v>-168503.89</v>
      </c>
      <c r="E869" t="s">
        <v>931</v>
      </c>
    </row>
    <row r="870" spans="1:5" x14ac:dyDescent="0.25">
      <c r="A870">
        <v>28407</v>
      </c>
      <c r="B870" t="s">
        <v>721</v>
      </c>
      <c r="C870" s="55">
        <v>34156.71</v>
      </c>
      <c r="D870" s="55">
        <v>-114831.94</v>
      </c>
      <c r="E870" t="s">
        <v>931</v>
      </c>
    </row>
    <row r="871" spans="1:5" x14ac:dyDescent="0.25">
      <c r="A871">
        <v>24646</v>
      </c>
      <c r="B871" t="s">
        <v>1430</v>
      </c>
      <c r="C871" s="55">
        <v>34098.449999999997</v>
      </c>
      <c r="D871" t="s">
        <v>845</v>
      </c>
      <c r="E871" t="s">
        <v>930</v>
      </c>
    </row>
    <row r="872" spans="1:5" x14ac:dyDescent="0.25">
      <c r="A872">
        <v>15191</v>
      </c>
      <c r="B872" t="s">
        <v>1431</v>
      </c>
      <c r="C872" s="55">
        <v>33674.589999999997</v>
      </c>
      <c r="D872" t="s">
        <v>845</v>
      </c>
      <c r="E872" t="s">
        <v>930</v>
      </c>
    </row>
    <row r="873" spans="1:5" x14ac:dyDescent="0.25">
      <c r="A873">
        <v>28332</v>
      </c>
      <c r="B873" t="s">
        <v>1432</v>
      </c>
      <c r="C873" s="55">
        <v>33631.440000000002</v>
      </c>
      <c r="D873" s="55">
        <v>-15034.17</v>
      </c>
      <c r="E873" t="s">
        <v>931</v>
      </c>
    </row>
    <row r="874" spans="1:5" x14ac:dyDescent="0.25">
      <c r="A874">
        <v>14204</v>
      </c>
      <c r="B874" t="s">
        <v>1204</v>
      </c>
      <c r="C874" s="55">
        <v>33501.620000000003</v>
      </c>
      <c r="D874" s="55">
        <v>-808410.14</v>
      </c>
      <c r="E874" t="s">
        <v>931</v>
      </c>
    </row>
    <row r="875" spans="1:5" x14ac:dyDescent="0.25">
      <c r="A875">
        <v>24923</v>
      </c>
      <c r="B875" t="s">
        <v>1433</v>
      </c>
      <c r="C875" s="55">
        <v>33166.93</v>
      </c>
      <c r="D875" t="s">
        <v>845</v>
      </c>
      <c r="E875" t="s">
        <v>930</v>
      </c>
    </row>
    <row r="876" spans="1:5" x14ac:dyDescent="0.25">
      <c r="A876">
        <v>23737</v>
      </c>
      <c r="B876" t="s">
        <v>1434</v>
      </c>
      <c r="C876" s="55">
        <v>32514.71</v>
      </c>
      <c r="D876" t="s">
        <v>845</v>
      </c>
      <c r="E876" t="s">
        <v>930</v>
      </c>
    </row>
    <row r="877" spans="1:5" x14ac:dyDescent="0.25">
      <c r="A877">
        <v>8356</v>
      </c>
      <c r="B877" t="s">
        <v>1435</v>
      </c>
      <c r="C877" s="55">
        <v>32419.01</v>
      </c>
      <c r="D877" t="s">
        <v>845</v>
      </c>
      <c r="E877" t="s">
        <v>930</v>
      </c>
    </row>
    <row r="878" spans="1:5" x14ac:dyDescent="0.25">
      <c r="A878">
        <v>4437</v>
      </c>
      <c r="B878" t="s">
        <v>1436</v>
      </c>
      <c r="C878" s="55">
        <v>32103.69</v>
      </c>
      <c r="D878" s="55">
        <v>-78434.83</v>
      </c>
      <c r="E878" t="s">
        <v>931</v>
      </c>
    </row>
    <row r="879" spans="1:5" x14ac:dyDescent="0.25">
      <c r="A879">
        <v>799</v>
      </c>
      <c r="B879" t="s">
        <v>670</v>
      </c>
      <c r="C879" s="55">
        <v>32086.98</v>
      </c>
      <c r="D879" s="55">
        <v>-163526.48000000001</v>
      </c>
      <c r="E879" t="s">
        <v>931</v>
      </c>
    </row>
    <row r="880" spans="1:5" x14ac:dyDescent="0.25">
      <c r="A880">
        <v>308584</v>
      </c>
      <c r="B880" t="s">
        <v>1437</v>
      </c>
      <c r="C880" s="55">
        <v>31730.49</v>
      </c>
      <c r="D880" s="55">
        <v>-959878.46</v>
      </c>
      <c r="E880" t="s">
        <v>931</v>
      </c>
    </row>
    <row r="881" spans="1:5" x14ac:dyDescent="0.25">
      <c r="A881">
        <v>396481</v>
      </c>
      <c r="B881" t="s">
        <v>1438</v>
      </c>
      <c r="C881" s="55">
        <v>31598.66</v>
      </c>
      <c r="D881" s="55">
        <v>-548073</v>
      </c>
      <c r="E881" t="s">
        <v>931</v>
      </c>
    </row>
    <row r="882" spans="1:5" x14ac:dyDescent="0.25">
      <c r="A882">
        <v>399014</v>
      </c>
      <c r="B882" t="s">
        <v>1439</v>
      </c>
      <c r="C882" s="55">
        <v>31476.32</v>
      </c>
      <c r="D882" s="55">
        <v>-1457304.1</v>
      </c>
      <c r="E882" t="s">
        <v>931</v>
      </c>
    </row>
    <row r="883" spans="1:5" x14ac:dyDescent="0.25">
      <c r="A883">
        <v>14370</v>
      </c>
      <c r="B883" t="s">
        <v>1440</v>
      </c>
      <c r="C883" s="55">
        <v>30875.32</v>
      </c>
      <c r="D883" s="55">
        <v>-247583.74</v>
      </c>
      <c r="E883" t="s">
        <v>931</v>
      </c>
    </row>
    <row r="884" spans="1:5" x14ac:dyDescent="0.25">
      <c r="A884">
        <v>390278</v>
      </c>
      <c r="B884" t="s">
        <v>644</v>
      </c>
      <c r="C884" s="55">
        <v>30599.27</v>
      </c>
      <c r="D884" s="55">
        <v>-178913.71</v>
      </c>
      <c r="E884" t="s">
        <v>931</v>
      </c>
    </row>
    <row r="885" spans="1:5" x14ac:dyDescent="0.25">
      <c r="A885">
        <v>304196</v>
      </c>
      <c r="B885" t="s">
        <v>265</v>
      </c>
      <c r="C885" s="55">
        <v>30545.9</v>
      </c>
      <c r="D885" s="55">
        <v>-1013218.79</v>
      </c>
      <c r="E885" t="s">
        <v>931</v>
      </c>
    </row>
    <row r="886" spans="1:5" x14ac:dyDescent="0.25">
      <c r="A886">
        <v>24326</v>
      </c>
      <c r="B886" t="s">
        <v>1441</v>
      </c>
      <c r="C886" s="55">
        <v>30309.98</v>
      </c>
      <c r="D886" t="s">
        <v>845</v>
      </c>
      <c r="E886" t="s">
        <v>930</v>
      </c>
    </row>
    <row r="887" spans="1:5" x14ac:dyDescent="0.25">
      <c r="A887">
        <v>13611</v>
      </c>
      <c r="B887" t="s">
        <v>729</v>
      </c>
      <c r="C887" s="55">
        <v>29877.94</v>
      </c>
      <c r="D887" s="55">
        <v>-153939.69</v>
      </c>
      <c r="E887" t="s">
        <v>931</v>
      </c>
    </row>
    <row r="888" spans="1:5" x14ac:dyDescent="0.25">
      <c r="A888">
        <v>1398</v>
      </c>
      <c r="B888" t="s">
        <v>563</v>
      </c>
      <c r="C888" s="55">
        <v>29474.68</v>
      </c>
      <c r="D888" s="55">
        <v>-722855.42</v>
      </c>
      <c r="E888" t="s">
        <v>931</v>
      </c>
    </row>
    <row r="889" spans="1:5" x14ac:dyDescent="0.25">
      <c r="A889">
        <v>11150</v>
      </c>
      <c r="B889" t="s">
        <v>1442</v>
      </c>
      <c r="C889" s="55">
        <v>29211.84</v>
      </c>
      <c r="D889" t="s">
        <v>845</v>
      </c>
      <c r="E889" t="s">
        <v>930</v>
      </c>
    </row>
    <row r="890" spans="1:5" x14ac:dyDescent="0.25">
      <c r="A890">
        <v>673</v>
      </c>
      <c r="B890" t="s">
        <v>713</v>
      </c>
      <c r="C890" s="55">
        <v>29106</v>
      </c>
      <c r="D890" s="55">
        <v>-198219.6</v>
      </c>
      <c r="E890" t="s">
        <v>931</v>
      </c>
    </row>
    <row r="891" spans="1:5" x14ac:dyDescent="0.25">
      <c r="A891">
        <v>41541</v>
      </c>
      <c r="B891" t="s">
        <v>1443</v>
      </c>
      <c r="C891" s="55">
        <v>28793.35</v>
      </c>
      <c r="D891" s="55">
        <v>-683663.23</v>
      </c>
      <c r="E891" t="s">
        <v>931</v>
      </c>
    </row>
    <row r="892" spans="1:5" x14ac:dyDescent="0.25">
      <c r="A892">
        <v>347476</v>
      </c>
      <c r="B892" t="s">
        <v>1444</v>
      </c>
      <c r="C892" s="55">
        <v>28536.39</v>
      </c>
      <c r="D892" s="55">
        <v>550498.31000000006</v>
      </c>
      <c r="E892" t="s">
        <v>948</v>
      </c>
    </row>
    <row r="893" spans="1:5" x14ac:dyDescent="0.25">
      <c r="A893">
        <v>86421</v>
      </c>
      <c r="B893" t="s">
        <v>690</v>
      </c>
      <c r="C893" s="55">
        <v>27849.919999999998</v>
      </c>
      <c r="D893" s="55">
        <v>-226459.2</v>
      </c>
      <c r="E893" t="s">
        <v>931</v>
      </c>
    </row>
    <row r="894" spans="1:5" x14ac:dyDescent="0.25">
      <c r="A894">
        <v>227439</v>
      </c>
      <c r="B894" t="s">
        <v>606</v>
      </c>
      <c r="C894" s="55">
        <v>27778.95</v>
      </c>
      <c r="D894" s="55">
        <v>-488213.6</v>
      </c>
      <c r="E894" t="s">
        <v>931</v>
      </c>
    </row>
    <row r="895" spans="1:5" x14ac:dyDescent="0.25">
      <c r="A895">
        <v>50948</v>
      </c>
      <c r="B895" t="s">
        <v>1445</v>
      </c>
      <c r="C895" s="55">
        <v>27531.78</v>
      </c>
      <c r="D895" s="55">
        <v>-585743.30000000005</v>
      </c>
      <c r="E895" t="s">
        <v>931</v>
      </c>
    </row>
    <row r="896" spans="1:5" x14ac:dyDescent="0.25">
      <c r="A896">
        <v>12541</v>
      </c>
      <c r="B896" t="s">
        <v>1446</v>
      </c>
      <c r="C896" s="55">
        <v>27467.54</v>
      </c>
      <c r="D896" t="s">
        <v>845</v>
      </c>
      <c r="E896" t="s">
        <v>930</v>
      </c>
    </row>
    <row r="897" spans="1:5" x14ac:dyDescent="0.25">
      <c r="A897">
        <v>5515</v>
      </c>
      <c r="B897" t="s">
        <v>1447</v>
      </c>
      <c r="C897" s="55">
        <v>27414.98</v>
      </c>
      <c r="D897" s="55">
        <v>-31779.77</v>
      </c>
      <c r="E897" t="s">
        <v>931</v>
      </c>
    </row>
    <row r="898" spans="1:5" x14ac:dyDescent="0.25">
      <c r="A898">
        <v>313908</v>
      </c>
      <c r="B898" t="s">
        <v>630</v>
      </c>
      <c r="C898" s="55">
        <v>27151.72</v>
      </c>
      <c r="D898" s="55">
        <v>-1945209.1</v>
      </c>
      <c r="E898" t="s">
        <v>931</v>
      </c>
    </row>
    <row r="899" spans="1:5" x14ac:dyDescent="0.25">
      <c r="A899">
        <v>332452</v>
      </c>
      <c r="B899" t="s">
        <v>1448</v>
      </c>
      <c r="C899" s="55">
        <v>26931.89</v>
      </c>
      <c r="D899" s="55">
        <v>-336856.48</v>
      </c>
      <c r="E899" t="s">
        <v>931</v>
      </c>
    </row>
    <row r="900" spans="1:5" x14ac:dyDescent="0.25">
      <c r="A900">
        <v>329516</v>
      </c>
      <c r="B900" t="s">
        <v>702</v>
      </c>
      <c r="C900" s="55">
        <v>26451.73</v>
      </c>
      <c r="D900" s="55">
        <v>-547583.88</v>
      </c>
      <c r="E900" t="s">
        <v>931</v>
      </c>
    </row>
    <row r="901" spans="1:5" x14ac:dyDescent="0.25">
      <c r="A901">
        <v>319665</v>
      </c>
      <c r="B901" t="s">
        <v>1449</v>
      </c>
      <c r="C901" s="55">
        <v>26334.5</v>
      </c>
      <c r="D901" s="55">
        <v>-352394.01</v>
      </c>
      <c r="E901" t="s">
        <v>931</v>
      </c>
    </row>
    <row r="902" spans="1:5" x14ac:dyDescent="0.25">
      <c r="A902">
        <v>24079</v>
      </c>
      <c r="B902" t="s">
        <v>1450</v>
      </c>
      <c r="C902" s="55">
        <v>26156.240000000002</v>
      </c>
      <c r="D902" t="s">
        <v>845</v>
      </c>
      <c r="E902" t="s">
        <v>930</v>
      </c>
    </row>
    <row r="903" spans="1:5" x14ac:dyDescent="0.25">
      <c r="A903">
        <v>9888</v>
      </c>
      <c r="B903" t="s">
        <v>650</v>
      </c>
      <c r="C903" s="55">
        <v>26092.84</v>
      </c>
      <c r="D903" s="55">
        <v>-95442.39</v>
      </c>
      <c r="E903" t="s">
        <v>931</v>
      </c>
    </row>
    <row r="904" spans="1:5" x14ac:dyDescent="0.25">
      <c r="A904">
        <v>315440</v>
      </c>
      <c r="B904" t="s">
        <v>1451</v>
      </c>
      <c r="C904" s="55">
        <v>25919.41</v>
      </c>
      <c r="D904" s="55">
        <v>-66561.5</v>
      </c>
      <c r="E904" t="s">
        <v>931</v>
      </c>
    </row>
    <row r="905" spans="1:5" x14ac:dyDescent="0.25">
      <c r="A905">
        <v>346585</v>
      </c>
      <c r="B905" t="s">
        <v>1452</v>
      </c>
      <c r="C905" s="55">
        <v>25882.61</v>
      </c>
      <c r="D905" t="s">
        <v>845</v>
      </c>
      <c r="E905" t="s">
        <v>930</v>
      </c>
    </row>
    <row r="906" spans="1:5" x14ac:dyDescent="0.25">
      <c r="A906">
        <v>392183</v>
      </c>
      <c r="B906" t="s">
        <v>448</v>
      </c>
      <c r="C906" s="55">
        <v>25384.6</v>
      </c>
      <c r="D906" s="55">
        <v>-458407.25</v>
      </c>
      <c r="E906" t="s">
        <v>931</v>
      </c>
    </row>
    <row r="907" spans="1:5" x14ac:dyDescent="0.25">
      <c r="A907">
        <v>342493</v>
      </c>
      <c r="B907" t="s">
        <v>614</v>
      </c>
      <c r="C907" s="55">
        <v>25299.74</v>
      </c>
      <c r="D907" s="55">
        <v>-818426.67</v>
      </c>
      <c r="E907" t="s">
        <v>931</v>
      </c>
    </row>
    <row r="908" spans="1:5" x14ac:dyDescent="0.25">
      <c r="A908">
        <v>16638</v>
      </c>
      <c r="B908" t="s">
        <v>1453</v>
      </c>
      <c r="C908" s="55">
        <v>24803.69</v>
      </c>
      <c r="D908" s="55">
        <v>-916705.73</v>
      </c>
      <c r="E908" t="s">
        <v>931</v>
      </c>
    </row>
    <row r="909" spans="1:5" x14ac:dyDescent="0.25">
      <c r="A909">
        <v>10525</v>
      </c>
      <c r="B909" t="s">
        <v>1454</v>
      </c>
      <c r="C909" s="55">
        <v>24751.68</v>
      </c>
      <c r="D909" t="s">
        <v>845</v>
      </c>
      <c r="E909" t="s">
        <v>930</v>
      </c>
    </row>
    <row r="910" spans="1:5" x14ac:dyDescent="0.25">
      <c r="A910">
        <v>60681</v>
      </c>
      <c r="B910" t="s">
        <v>546</v>
      </c>
      <c r="C910" s="55">
        <v>24246.080000000002</v>
      </c>
      <c r="D910" s="55">
        <v>-482081.23</v>
      </c>
      <c r="E910" t="s">
        <v>931</v>
      </c>
    </row>
    <row r="911" spans="1:5" x14ac:dyDescent="0.25">
      <c r="A911">
        <v>19364</v>
      </c>
      <c r="B911" t="s">
        <v>1455</v>
      </c>
      <c r="C911" s="55">
        <v>24200.21</v>
      </c>
      <c r="D911" s="55">
        <v>-154147.38</v>
      </c>
      <c r="E911" t="s">
        <v>931</v>
      </c>
    </row>
    <row r="912" spans="1:5" x14ac:dyDescent="0.25">
      <c r="A912">
        <v>77297</v>
      </c>
      <c r="B912" t="s">
        <v>1456</v>
      </c>
      <c r="C912" s="55">
        <v>24046.63</v>
      </c>
      <c r="D912" t="s">
        <v>845</v>
      </c>
      <c r="E912" t="s">
        <v>930</v>
      </c>
    </row>
    <row r="913" spans="1:14" x14ac:dyDescent="0.25">
      <c r="A913">
        <v>381616</v>
      </c>
      <c r="B913" t="s">
        <v>1457</v>
      </c>
      <c r="C913" s="55">
        <v>23654.84</v>
      </c>
      <c r="D913" t="s">
        <v>845</v>
      </c>
      <c r="E913" t="s">
        <v>930</v>
      </c>
    </row>
    <row r="914" spans="1:14" x14ac:dyDescent="0.25">
      <c r="A914">
        <v>92593</v>
      </c>
      <c r="B914" t="s">
        <v>1458</v>
      </c>
      <c r="C914" s="55">
        <v>23450.15</v>
      </c>
      <c r="D914" t="s">
        <v>845</v>
      </c>
      <c r="E914" t="s">
        <v>930</v>
      </c>
      <c r="M914" t="s">
        <v>119</v>
      </c>
      <c r="N914" t="s">
        <v>928</v>
      </c>
    </row>
    <row r="915" spans="1:14" x14ac:dyDescent="0.25">
      <c r="A915">
        <v>325563</v>
      </c>
      <c r="B915" t="s">
        <v>1459</v>
      </c>
      <c r="C915" s="55">
        <v>23346.51</v>
      </c>
      <c r="D915" s="55">
        <v>-118136.61</v>
      </c>
      <c r="E915" t="s">
        <v>931</v>
      </c>
    </row>
    <row r="916" spans="1:14" x14ac:dyDescent="0.25">
      <c r="A916">
        <v>381970</v>
      </c>
      <c r="B916" t="s">
        <v>578</v>
      </c>
      <c r="C916" s="55">
        <v>23326.14</v>
      </c>
      <c r="D916" t="s">
        <v>845</v>
      </c>
      <c r="E916" t="s">
        <v>930</v>
      </c>
      <c r="M916" t="s">
        <v>162</v>
      </c>
      <c r="N916" t="s">
        <v>928</v>
      </c>
    </row>
    <row r="917" spans="1:14" x14ac:dyDescent="0.25">
      <c r="A917">
        <v>310821</v>
      </c>
      <c r="B917" t="s">
        <v>1460</v>
      </c>
      <c r="C917" s="55">
        <v>23086.32</v>
      </c>
      <c r="D917" t="s">
        <v>845</v>
      </c>
      <c r="E917" t="s">
        <v>930</v>
      </c>
    </row>
    <row r="918" spans="1:14" x14ac:dyDescent="0.25">
      <c r="A918">
        <v>11657</v>
      </c>
      <c r="B918" t="s">
        <v>681</v>
      </c>
      <c r="C918" s="55">
        <v>23072.33</v>
      </c>
      <c r="D918" s="55">
        <v>-378636.33</v>
      </c>
      <c r="E918" t="s">
        <v>931</v>
      </c>
    </row>
    <row r="919" spans="1:14" x14ac:dyDescent="0.25">
      <c r="A919">
        <v>21914</v>
      </c>
      <c r="B919" t="s">
        <v>689</v>
      </c>
      <c r="C919" s="55">
        <v>22569.31</v>
      </c>
      <c r="D919" s="55">
        <v>-216923.65</v>
      </c>
      <c r="E919" t="s">
        <v>931</v>
      </c>
    </row>
    <row r="920" spans="1:14" x14ac:dyDescent="0.25">
      <c r="A920">
        <v>1402</v>
      </c>
      <c r="B920" t="s">
        <v>657</v>
      </c>
      <c r="C920" s="55">
        <v>22535.03</v>
      </c>
      <c r="D920" s="55">
        <v>-461691.51</v>
      </c>
      <c r="E920" t="s">
        <v>931</v>
      </c>
    </row>
    <row r="921" spans="1:14" x14ac:dyDescent="0.25">
      <c r="A921">
        <v>398479</v>
      </c>
      <c r="B921" t="s">
        <v>1461</v>
      </c>
      <c r="C921" s="55">
        <v>22289.45</v>
      </c>
      <c r="D921" s="55">
        <v>-3517241.37</v>
      </c>
      <c r="E921" t="s">
        <v>931</v>
      </c>
    </row>
    <row r="922" spans="1:14" x14ac:dyDescent="0.25">
      <c r="A922">
        <v>386789</v>
      </c>
      <c r="B922" t="s">
        <v>1462</v>
      </c>
      <c r="C922" s="55">
        <v>22123.71</v>
      </c>
      <c r="D922" t="s">
        <v>845</v>
      </c>
      <c r="E922" t="s">
        <v>930</v>
      </c>
    </row>
    <row r="923" spans="1:14" x14ac:dyDescent="0.25">
      <c r="A923">
        <v>44206</v>
      </c>
      <c r="B923" t="s">
        <v>677</v>
      </c>
      <c r="C923" s="55">
        <v>22070.19</v>
      </c>
      <c r="D923" s="55">
        <v>-399254.65</v>
      </c>
      <c r="E923" t="s">
        <v>931</v>
      </c>
    </row>
    <row r="924" spans="1:14" x14ac:dyDescent="0.25">
      <c r="A924">
        <v>345926</v>
      </c>
      <c r="B924" t="s">
        <v>685</v>
      </c>
      <c r="C924" s="55">
        <v>22055.27</v>
      </c>
      <c r="D924" s="55">
        <v>-288780.71999999997</v>
      </c>
      <c r="E924" t="s">
        <v>931</v>
      </c>
    </row>
    <row r="925" spans="1:14" x14ac:dyDescent="0.25">
      <c r="A925">
        <v>14680</v>
      </c>
      <c r="B925" t="s">
        <v>357</v>
      </c>
      <c r="C925" s="55">
        <v>21575.75</v>
      </c>
      <c r="D925" s="55">
        <v>-797697.18</v>
      </c>
      <c r="E925" t="s">
        <v>931</v>
      </c>
    </row>
    <row r="926" spans="1:14" x14ac:dyDescent="0.25">
      <c r="A926">
        <v>25874</v>
      </c>
      <c r="B926" t="s">
        <v>647</v>
      </c>
      <c r="C926" s="55">
        <v>21366.79</v>
      </c>
      <c r="D926" s="55">
        <v>-542206.37</v>
      </c>
      <c r="E926" t="s">
        <v>931</v>
      </c>
    </row>
    <row r="927" spans="1:14" x14ac:dyDescent="0.25">
      <c r="A927">
        <v>63255</v>
      </c>
      <c r="B927" t="s">
        <v>671</v>
      </c>
      <c r="C927" s="55">
        <v>20952.2</v>
      </c>
      <c r="D927" s="55">
        <v>-4322971.04</v>
      </c>
      <c r="E927" t="s">
        <v>931</v>
      </c>
    </row>
    <row r="928" spans="1:14" x14ac:dyDescent="0.25">
      <c r="A928">
        <v>80853</v>
      </c>
      <c r="B928" t="s">
        <v>559</v>
      </c>
      <c r="C928" s="55">
        <v>20937.03</v>
      </c>
      <c r="D928" s="55">
        <v>-721430.57</v>
      </c>
      <c r="E928" t="s">
        <v>931</v>
      </c>
    </row>
    <row r="929" spans="1:5" x14ac:dyDescent="0.25">
      <c r="A929">
        <v>62059</v>
      </c>
      <c r="B929" t="s">
        <v>1463</v>
      </c>
      <c r="C929" s="55">
        <v>20818.97</v>
      </c>
      <c r="D929" s="55">
        <v>-773738.52</v>
      </c>
      <c r="E929" t="s">
        <v>931</v>
      </c>
    </row>
    <row r="930" spans="1:5" x14ac:dyDescent="0.25">
      <c r="A930">
        <v>326827</v>
      </c>
      <c r="B930" t="s">
        <v>1464</v>
      </c>
      <c r="C930" s="55">
        <v>20535.330000000002</v>
      </c>
      <c r="D930" t="s">
        <v>845</v>
      </c>
      <c r="E930" t="s">
        <v>930</v>
      </c>
    </row>
    <row r="931" spans="1:5" x14ac:dyDescent="0.25">
      <c r="A931">
        <v>21507</v>
      </c>
      <c r="B931" t="s">
        <v>1465</v>
      </c>
      <c r="C931" s="55">
        <v>20360.78</v>
      </c>
      <c r="D931" s="55">
        <v>-47562.1</v>
      </c>
      <c r="E931" t="s">
        <v>931</v>
      </c>
    </row>
    <row r="932" spans="1:5" x14ac:dyDescent="0.25">
      <c r="A932">
        <v>5411</v>
      </c>
      <c r="B932" t="s">
        <v>1466</v>
      </c>
      <c r="C932" s="55">
        <v>20281.43</v>
      </c>
      <c r="D932" s="55">
        <v>-4475547.28</v>
      </c>
      <c r="E932" t="s">
        <v>931</v>
      </c>
    </row>
    <row r="933" spans="1:5" x14ac:dyDescent="0.25">
      <c r="A933">
        <v>32391</v>
      </c>
      <c r="B933" t="s">
        <v>1467</v>
      </c>
      <c r="C933" s="55">
        <v>20280.740000000002</v>
      </c>
      <c r="D933" s="55">
        <v>-391016.74</v>
      </c>
      <c r="E933" t="s">
        <v>931</v>
      </c>
    </row>
    <row r="934" spans="1:5" x14ac:dyDescent="0.25">
      <c r="A934">
        <v>36731</v>
      </c>
      <c r="B934" t="s">
        <v>1468</v>
      </c>
      <c r="C934" s="55">
        <v>20224.03</v>
      </c>
      <c r="D934" t="s">
        <v>845</v>
      </c>
      <c r="E934" t="s">
        <v>930</v>
      </c>
    </row>
    <row r="935" spans="1:5" x14ac:dyDescent="0.25">
      <c r="A935">
        <v>25093</v>
      </c>
      <c r="B935" t="s">
        <v>1469</v>
      </c>
      <c r="C935" s="55">
        <v>20218.27</v>
      </c>
      <c r="D935" t="s">
        <v>845</v>
      </c>
      <c r="E935" t="s">
        <v>930</v>
      </c>
    </row>
    <row r="936" spans="1:5" x14ac:dyDescent="0.25">
      <c r="A936">
        <v>59493</v>
      </c>
      <c r="B936" t="s">
        <v>560</v>
      </c>
      <c r="C936" s="55">
        <v>20015.21</v>
      </c>
      <c r="D936" s="55">
        <v>-248153.62</v>
      </c>
      <c r="E936" t="s">
        <v>931</v>
      </c>
    </row>
    <row r="937" spans="1:5" x14ac:dyDescent="0.25">
      <c r="A937">
        <v>24990</v>
      </c>
      <c r="B937" t="s">
        <v>1470</v>
      </c>
      <c r="C937" s="55">
        <v>19862.73</v>
      </c>
      <c r="D937" t="s">
        <v>845</v>
      </c>
      <c r="E937" t="s">
        <v>930</v>
      </c>
    </row>
    <row r="938" spans="1:5" x14ac:dyDescent="0.25">
      <c r="A938">
        <v>333336</v>
      </c>
      <c r="B938" t="s">
        <v>434</v>
      </c>
      <c r="C938" s="55">
        <v>19821.11</v>
      </c>
      <c r="D938" s="55">
        <v>-937264.1</v>
      </c>
      <c r="E938" t="s">
        <v>931</v>
      </c>
    </row>
    <row r="939" spans="1:5" x14ac:dyDescent="0.25">
      <c r="A939">
        <v>385781</v>
      </c>
      <c r="B939" t="s">
        <v>1471</v>
      </c>
      <c r="C939" s="55">
        <v>19428.400000000001</v>
      </c>
      <c r="D939" s="55">
        <v>-69112.47</v>
      </c>
      <c r="E939" t="s">
        <v>931</v>
      </c>
    </row>
    <row r="940" spans="1:5" x14ac:dyDescent="0.25">
      <c r="A940">
        <v>344341</v>
      </c>
      <c r="B940" t="s">
        <v>1472</v>
      </c>
      <c r="C940" s="55">
        <v>19339.98</v>
      </c>
      <c r="D940" s="55">
        <v>-202243.39</v>
      </c>
      <c r="E940" t="s">
        <v>931</v>
      </c>
    </row>
    <row r="941" spans="1:5" x14ac:dyDescent="0.25">
      <c r="A941">
        <v>13488</v>
      </c>
      <c r="B941" t="s">
        <v>1473</v>
      </c>
      <c r="C941" s="55">
        <v>19227.41</v>
      </c>
      <c r="D941" s="55">
        <v>-111098.27</v>
      </c>
      <c r="E941" t="s">
        <v>931</v>
      </c>
    </row>
    <row r="942" spans="1:5" x14ac:dyDescent="0.25">
      <c r="A942">
        <v>304007</v>
      </c>
      <c r="B942" t="s">
        <v>1474</v>
      </c>
      <c r="C942" s="55">
        <v>19113.09</v>
      </c>
      <c r="D942" t="s">
        <v>845</v>
      </c>
      <c r="E942" t="s">
        <v>930</v>
      </c>
    </row>
    <row r="943" spans="1:5" x14ac:dyDescent="0.25">
      <c r="A943">
        <v>66</v>
      </c>
      <c r="B943" t="s">
        <v>1475</v>
      </c>
      <c r="C943" s="55">
        <v>19074.11</v>
      </c>
      <c r="D943" s="55">
        <v>-634159.55000000005</v>
      </c>
      <c r="E943" t="s">
        <v>931</v>
      </c>
    </row>
    <row r="944" spans="1:5" x14ac:dyDescent="0.25">
      <c r="A944">
        <v>30923</v>
      </c>
      <c r="B944" t="s">
        <v>1265</v>
      </c>
      <c r="C944" s="55">
        <v>18921.05</v>
      </c>
      <c r="D944" s="55">
        <v>-36429.370000000003</v>
      </c>
      <c r="E944" t="s">
        <v>931</v>
      </c>
    </row>
    <row r="945" spans="1:14" x14ac:dyDescent="0.25">
      <c r="A945">
        <v>20845</v>
      </c>
      <c r="B945" t="s">
        <v>597</v>
      </c>
      <c r="C945" s="55">
        <v>18833.95</v>
      </c>
      <c r="D945" s="55">
        <v>-687311.3</v>
      </c>
      <c r="E945" t="s">
        <v>931</v>
      </c>
    </row>
    <row r="946" spans="1:14" x14ac:dyDescent="0.25">
      <c r="A946">
        <v>391193</v>
      </c>
      <c r="B946" t="s">
        <v>730</v>
      </c>
      <c r="C946" s="55">
        <v>18400.150000000001</v>
      </c>
      <c r="D946" s="55">
        <v>-84686.09</v>
      </c>
      <c r="E946" t="s">
        <v>931</v>
      </c>
    </row>
    <row r="947" spans="1:14" x14ac:dyDescent="0.25">
      <c r="A947">
        <v>394049</v>
      </c>
      <c r="B947" t="s">
        <v>1476</v>
      </c>
      <c r="C947" s="55">
        <v>18266.47</v>
      </c>
      <c r="D947" s="55">
        <v>-37937.14</v>
      </c>
      <c r="E947" t="s">
        <v>931</v>
      </c>
    </row>
    <row r="948" spans="1:14" x14ac:dyDescent="0.25">
      <c r="A948">
        <v>22071</v>
      </c>
      <c r="B948" t="s">
        <v>1396</v>
      </c>
      <c r="C948" s="55">
        <v>18263.47</v>
      </c>
      <c r="D948" s="55">
        <v>-1743893.4</v>
      </c>
      <c r="E948" t="s">
        <v>931</v>
      </c>
    </row>
    <row r="949" spans="1:14" x14ac:dyDescent="0.25">
      <c r="A949">
        <v>8232</v>
      </c>
      <c r="B949" t="s">
        <v>605</v>
      </c>
      <c r="C949" s="55">
        <v>18111.52</v>
      </c>
      <c r="D949" s="55">
        <v>-1237612.17</v>
      </c>
      <c r="E949" t="s">
        <v>931</v>
      </c>
    </row>
    <row r="950" spans="1:14" x14ac:dyDescent="0.25">
      <c r="A950">
        <v>20654</v>
      </c>
      <c r="B950" t="s">
        <v>1477</v>
      </c>
      <c r="C950" s="55">
        <v>18082.419999999998</v>
      </c>
      <c r="D950" s="55">
        <v>-3692.32</v>
      </c>
      <c r="E950" t="s">
        <v>931</v>
      </c>
    </row>
    <row r="951" spans="1:14" x14ac:dyDescent="0.25">
      <c r="A951">
        <v>304476</v>
      </c>
      <c r="B951" t="s">
        <v>1478</v>
      </c>
      <c r="C951" s="55">
        <v>17788.150000000001</v>
      </c>
      <c r="D951" s="55">
        <v>-92482.68</v>
      </c>
      <c r="E951" t="s">
        <v>931</v>
      </c>
    </row>
    <row r="952" spans="1:14" x14ac:dyDescent="0.25">
      <c r="A952">
        <v>21796</v>
      </c>
      <c r="B952" t="s">
        <v>1479</v>
      </c>
      <c r="C952" s="55">
        <v>17516.39</v>
      </c>
      <c r="D952" s="55">
        <v>-306791.43</v>
      </c>
      <c r="E952" t="s">
        <v>931</v>
      </c>
    </row>
    <row r="953" spans="1:14" x14ac:dyDescent="0.25">
      <c r="A953">
        <v>12246</v>
      </c>
      <c r="B953" t="s">
        <v>585</v>
      </c>
      <c r="C953" s="55">
        <v>17394.849999999999</v>
      </c>
      <c r="D953" s="55">
        <v>-957797.94</v>
      </c>
      <c r="E953" t="s">
        <v>931</v>
      </c>
    </row>
    <row r="954" spans="1:14" x14ac:dyDescent="0.25">
      <c r="A954">
        <v>20312</v>
      </c>
      <c r="B954" t="s">
        <v>1480</v>
      </c>
      <c r="C954" s="55">
        <v>17315.45</v>
      </c>
      <c r="D954" s="55">
        <v>-142675.72</v>
      </c>
      <c r="E954" t="s">
        <v>931</v>
      </c>
    </row>
    <row r="955" spans="1:14" x14ac:dyDescent="0.25">
      <c r="A955">
        <v>464</v>
      </c>
      <c r="B955" t="s">
        <v>1481</v>
      </c>
      <c r="C955" s="55">
        <v>17271.79</v>
      </c>
      <c r="D955" s="55">
        <v>-103234.24000000001</v>
      </c>
      <c r="E955" t="s">
        <v>931</v>
      </c>
    </row>
    <row r="956" spans="1:14" x14ac:dyDescent="0.25">
      <c r="A956">
        <v>42846</v>
      </c>
      <c r="B956" t="s">
        <v>1482</v>
      </c>
      <c r="C956" s="55">
        <v>17268</v>
      </c>
      <c r="D956" s="55">
        <v>-214548.2</v>
      </c>
      <c r="E956" t="s">
        <v>931</v>
      </c>
    </row>
    <row r="957" spans="1:14" x14ac:dyDescent="0.25">
      <c r="A957">
        <v>696</v>
      </c>
      <c r="B957" t="s">
        <v>342</v>
      </c>
      <c r="C957" s="55">
        <v>17199.900000000001</v>
      </c>
      <c r="D957" s="55">
        <v>-706422.93</v>
      </c>
      <c r="E957" t="s">
        <v>931</v>
      </c>
      <c r="M957" t="s">
        <v>61</v>
      </c>
      <c r="N957" t="s">
        <v>928</v>
      </c>
    </row>
    <row r="958" spans="1:14" x14ac:dyDescent="0.25">
      <c r="A958">
        <v>21125</v>
      </c>
      <c r="B958" t="s">
        <v>1483</v>
      </c>
      <c r="C958" s="55">
        <v>17043.490000000002</v>
      </c>
      <c r="D958" t="s">
        <v>845</v>
      </c>
      <c r="E958" t="s">
        <v>930</v>
      </c>
    </row>
    <row r="959" spans="1:14" x14ac:dyDescent="0.25">
      <c r="A959">
        <v>20780</v>
      </c>
      <c r="B959" t="s">
        <v>533</v>
      </c>
      <c r="C959" s="55">
        <v>16962.25</v>
      </c>
      <c r="D959" s="55">
        <v>-268893.51</v>
      </c>
      <c r="E959" t="s">
        <v>931</v>
      </c>
    </row>
    <row r="960" spans="1:14" x14ac:dyDescent="0.25">
      <c r="A960">
        <v>20458</v>
      </c>
      <c r="B960" t="s">
        <v>1484</v>
      </c>
      <c r="C960" s="55">
        <v>16825.27</v>
      </c>
      <c r="D960" s="55">
        <v>-336966.56</v>
      </c>
      <c r="E960" t="s">
        <v>931</v>
      </c>
    </row>
    <row r="961" spans="1:5" x14ac:dyDescent="0.25">
      <c r="A961">
        <v>20075</v>
      </c>
      <c r="B961" t="s">
        <v>1485</v>
      </c>
      <c r="C961" s="55">
        <v>16809.689999999999</v>
      </c>
      <c r="D961" s="55">
        <v>-470967.2</v>
      </c>
      <c r="E961" t="s">
        <v>931</v>
      </c>
    </row>
    <row r="962" spans="1:5" x14ac:dyDescent="0.25">
      <c r="A962">
        <v>388348</v>
      </c>
      <c r="B962" t="s">
        <v>1486</v>
      </c>
      <c r="C962" s="55">
        <v>16610.849999999999</v>
      </c>
      <c r="D962" s="55">
        <v>631773.32999999996</v>
      </c>
      <c r="E962" t="s">
        <v>948</v>
      </c>
    </row>
    <row r="963" spans="1:5" x14ac:dyDescent="0.25">
      <c r="A963">
        <v>17053</v>
      </c>
      <c r="B963" t="s">
        <v>660</v>
      </c>
      <c r="C963" s="55">
        <v>16420.990000000002</v>
      </c>
      <c r="D963" s="55">
        <v>-775200.99</v>
      </c>
      <c r="E963" t="s">
        <v>931</v>
      </c>
    </row>
    <row r="964" spans="1:5" x14ac:dyDescent="0.25">
      <c r="A964">
        <v>4404</v>
      </c>
      <c r="B964" t="s">
        <v>587</v>
      </c>
      <c r="C964" s="55">
        <v>16270.37</v>
      </c>
      <c r="D964" s="55">
        <v>-327635.27</v>
      </c>
      <c r="E964" t="s">
        <v>931</v>
      </c>
    </row>
    <row r="965" spans="1:5" x14ac:dyDescent="0.25">
      <c r="A965">
        <v>327908</v>
      </c>
      <c r="B965" t="s">
        <v>1487</v>
      </c>
      <c r="C965" s="55">
        <v>16129.12</v>
      </c>
      <c r="D965" s="55">
        <v>-320922.92</v>
      </c>
      <c r="E965" t="s">
        <v>931</v>
      </c>
    </row>
    <row r="966" spans="1:5" x14ac:dyDescent="0.25">
      <c r="A966">
        <v>316406</v>
      </c>
      <c r="B966" t="s">
        <v>1488</v>
      </c>
      <c r="C966" s="55">
        <v>16102.39</v>
      </c>
      <c r="D966" s="55">
        <v>-617522.35</v>
      </c>
      <c r="E966" t="s">
        <v>931</v>
      </c>
    </row>
    <row r="967" spans="1:5" x14ac:dyDescent="0.25">
      <c r="A967">
        <v>207472</v>
      </c>
      <c r="B967" t="s">
        <v>1489</v>
      </c>
      <c r="C967" s="55">
        <v>15970.9</v>
      </c>
      <c r="D967" s="55">
        <v>-831931.54</v>
      </c>
      <c r="E967" t="s">
        <v>931</v>
      </c>
    </row>
    <row r="968" spans="1:5" x14ac:dyDescent="0.25">
      <c r="A968">
        <v>17988</v>
      </c>
      <c r="B968" t="s">
        <v>1490</v>
      </c>
      <c r="C968" s="55">
        <v>15721.27</v>
      </c>
      <c r="D968" s="55">
        <v>-80880.3</v>
      </c>
      <c r="E968" t="s">
        <v>931</v>
      </c>
    </row>
    <row r="969" spans="1:5" x14ac:dyDescent="0.25">
      <c r="A969">
        <v>303398</v>
      </c>
      <c r="B969" t="s">
        <v>1491</v>
      </c>
      <c r="C969" s="55">
        <v>15422.78</v>
      </c>
      <c r="D969" s="55">
        <v>-372449.47</v>
      </c>
      <c r="E969" t="s">
        <v>931</v>
      </c>
    </row>
    <row r="970" spans="1:5" x14ac:dyDescent="0.25">
      <c r="A970">
        <v>3708</v>
      </c>
      <c r="B970" t="s">
        <v>1492</v>
      </c>
      <c r="C970" s="55">
        <v>15306.68</v>
      </c>
      <c r="D970" s="55">
        <v>-196900.1</v>
      </c>
      <c r="E970" t="s">
        <v>931</v>
      </c>
    </row>
    <row r="971" spans="1:5" x14ac:dyDescent="0.25">
      <c r="A971">
        <v>2013</v>
      </c>
      <c r="B971" t="s">
        <v>722</v>
      </c>
      <c r="C971" s="55">
        <v>14992.39</v>
      </c>
      <c r="D971" s="55">
        <v>-497246.18</v>
      </c>
      <c r="E971" t="s">
        <v>931</v>
      </c>
    </row>
    <row r="972" spans="1:5" x14ac:dyDescent="0.25">
      <c r="A972">
        <v>23755</v>
      </c>
      <c r="B972" t="s">
        <v>1493</v>
      </c>
      <c r="C972" s="55">
        <v>14655.92</v>
      </c>
      <c r="D972" t="s">
        <v>845</v>
      </c>
      <c r="E972" t="s">
        <v>930</v>
      </c>
    </row>
    <row r="973" spans="1:5" x14ac:dyDescent="0.25">
      <c r="A973">
        <v>7342</v>
      </c>
      <c r="B973" t="s">
        <v>1494</v>
      </c>
      <c r="C973" s="55">
        <v>14543.88</v>
      </c>
      <c r="D973" s="55">
        <v>-270085.21999999997</v>
      </c>
      <c r="E973" t="s">
        <v>931</v>
      </c>
    </row>
    <row r="974" spans="1:5" x14ac:dyDescent="0.25">
      <c r="A974">
        <v>20184</v>
      </c>
      <c r="B974" t="s">
        <v>1495</v>
      </c>
      <c r="C974" s="55">
        <v>14431.32</v>
      </c>
      <c r="D974" s="55">
        <v>-183723.9</v>
      </c>
      <c r="E974" t="s">
        <v>931</v>
      </c>
    </row>
    <row r="975" spans="1:5" x14ac:dyDescent="0.25">
      <c r="A975">
        <v>320929</v>
      </c>
      <c r="B975" t="s">
        <v>1496</v>
      </c>
      <c r="C975" s="55">
        <v>14381.61</v>
      </c>
      <c r="D975" t="s">
        <v>845</v>
      </c>
      <c r="E975" t="s">
        <v>930</v>
      </c>
    </row>
    <row r="976" spans="1:5" x14ac:dyDescent="0.25">
      <c r="A976">
        <v>25461</v>
      </c>
      <c r="B976" t="s">
        <v>1207</v>
      </c>
      <c r="C976" s="55">
        <v>14120.39</v>
      </c>
      <c r="D976" t="s">
        <v>845</v>
      </c>
      <c r="E976" t="s">
        <v>930</v>
      </c>
    </row>
    <row r="977" spans="1:5" x14ac:dyDescent="0.25">
      <c r="A977">
        <v>380402</v>
      </c>
      <c r="B977" t="s">
        <v>637</v>
      </c>
      <c r="C977" s="55">
        <v>14024.27</v>
      </c>
      <c r="D977" s="55">
        <v>-283385.40000000002</v>
      </c>
      <c r="E977" t="s">
        <v>931</v>
      </c>
    </row>
    <row r="978" spans="1:5" x14ac:dyDescent="0.25">
      <c r="A978">
        <v>15805</v>
      </c>
      <c r="B978" t="s">
        <v>1497</v>
      </c>
      <c r="C978" s="55">
        <v>13777.73</v>
      </c>
      <c r="D978">
        <v>-707.56</v>
      </c>
      <c r="E978" t="s">
        <v>931</v>
      </c>
    </row>
    <row r="979" spans="1:5" x14ac:dyDescent="0.25">
      <c r="A979">
        <v>16193</v>
      </c>
      <c r="B979" t="s">
        <v>1498</v>
      </c>
      <c r="C979" s="55">
        <v>13665.67</v>
      </c>
      <c r="D979" t="s">
        <v>845</v>
      </c>
      <c r="E979" t="s">
        <v>930</v>
      </c>
    </row>
    <row r="980" spans="1:5" x14ac:dyDescent="0.25">
      <c r="A980">
        <v>158</v>
      </c>
      <c r="B980" t="s">
        <v>1499</v>
      </c>
      <c r="C980" s="55">
        <v>13616.65</v>
      </c>
      <c r="D980" s="55">
        <v>-450993.34</v>
      </c>
      <c r="E980" t="s">
        <v>931</v>
      </c>
    </row>
    <row r="981" spans="1:5" x14ac:dyDescent="0.25">
      <c r="A981">
        <v>380188</v>
      </c>
      <c r="B981" t="s">
        <v>1500</v>
      </c>
      <c r="C981" s="55">
        <v>13593.06</v>
      </c>
      <c r="D981" t="s">
        <v>845</v>
      </c>
      <c r="E981" t="s">
        <v>930</v>
      </c>
    </row>
    <row r="982" spans="1:5" x14ac:dyDescent="0.25">
      <c r="A982">
        <v>66282</v>
      </c>
      <c r="B982" t="s">
        <v>199</v>
      </c>
      <c r="C982" s="55">
        <v>13188</v>
      </c>
      <c r="D982" s="55">
        <v>-1493940.03</v>
      </c>
      <c r="E982" t="s">
        <v>931</v>
      </c>
    </row>
    <row r="983" spans="1:5" x14ac:dyDescent="0.25">
      <c r="A983">
        <v>21090</v>
      </c>
      <c r="B983" t="s">
        <v>727</v>
      </c>
      <c r="C983" s="55">
        <v>13028.86</v>
      </c>
      <c r="D983" s="55">
        <v>-523451.72</v>
      </c>
      <c r="E983" t="s">
        <v>931</v>
      </c>
    </row>
    <row r="984" spans="1:5" x14ac:dyDescent="0.25">
      <c r="A984">
        <v>93443</v>
      </c>
      <c r="B984" t="s">
        <v>1501</v>
      </c>
      <c r="C984" s="55">
        <v>12936.58</v>
      </c>
      <c r="D984" s="55">
        <v>-189794.71</v>
      </c>
      <c r="E984" t="s">
        <v>931</v>
      </c>
    </row>
    <row r="985" spans="1:5" x14ac:dyDescent="0.25">
      <c r="A985">
        <v>79582</v>
      </c>
      <c r="B985" t="s">
        <v>513</v>
      </c>
      <c r="C985" s="55">
        <v>12917.81</v>
      </c>
      <c r="D985" s="55">
        <v>-18183.169999999998</v>
      </c>
      <c r="E985" t="s">
        <v>931</v>
      </c>
    </row>
    <row r="986" spans="1:5" x14ac:dyDescent="0.25">
      <c r="A986">
        <v>389619</v>
      </c>
      <c r="B986" t="s">
        <v>1502</v>
      </c>
      <c r="C986" s="55">
        <v>12811.84</v>
      </c>
      <c r="D986" s="55">
        <v>-245055.63</v>
      </c>
      <c r="E986" t="s">
        <v>931</v>
      </c>
    </row>
    <row r="987" spans="1:5" x14ac:dyDescent="0.25">
      <c r="A987">
        <v>12147</v>
      </c>
      <c r="B987" t="s">
        <v>1503</v>
      </c>
      <c r="C987" s="55">
        <v>12811.82</v>
      </c>
      <c r="D987" s="55">
        <v>-246150.83</v>
      </c>
      <c r="E987" t="s">
        <v>931</v>
      </c>
    </row>
    <row r="988" spans="1:5" x14ac:dyDescent="0.25">
      <c r="A988">
        <v>14343</v>
      </c>
      <c r="B988" t="s">
        <v>1504</v>
      </c>
      <c r="C988" s="55">
        <v>12756.87</v>
      </c>
      <c r="D988" s="55">
        <v>-58175.29</v>
      </c>
      <c r="E988" t="s">
        <v>931</v>
      </c>
    </row>
    <row r="989" spans="1:5" x14ac:dyDescent="0.25">
      <c r="A989">
        <v>391870</v>
      </c>
      <c r="B989" t="s">
        <v>1505</v>
      </c>
      <c r="C989" s="55">
        <v>12612.95</v>
      </c>
      <c r="D989" s="55">
        <v>-330402.84000000003</v>
      </c>
      <c r="E989" t="s">
        <v>931</v>
      </c>
    </row>
    <row r="990" spans="1:5" x14ac:dyDescent="0.25">
      <c r="A990">
        <v>374215</v>
      </c>
      <c r="B990" t="s">
        <v>1506</v>
      </c>
      <c r="C990" s="55">
        <v>12522.09</v>
      </c>
      <c r="D990" s="55">
        <v>-1011947.31</v>
      </c>
      <c r="E990" t="s">
        <v>931</v>
      </c>
    </row>
    <row r="991" spans="1:5" x14ac:dyDescent="0.25">
      <c r="A991">
        <v>17058</v>
      </c>
      <c r="B991" t="s">
        <v>1507</v>
      </c>
      <c r="C991" s="55">
        <v>12304.77</v>
      </c>
      <c r="D991" s="55">
        <v>-1884107.31</v>
      </c>
      <c r="E991" t="s">
        <v>931</v>
      </c>
    </row>
    <row r="992" spans="1:5" x14ac:dyDescent="0.25">
      <c r="A992">
        <v>391607</v>
      </c>
      <c r="B992" t="s">
        <v>1508</v>
      </c>
      <c r="C992" s="55">
        <v>12304.17</v>
      </c>
      <c r="D992" s="55">
        <v>-53931.09</v>
      </c>
      <c r="E992" t="s">
        <v>931</v>
      </c>
    </row>
    <row r="993" spans="1:14" x14ac:dyDescent="0.25">
      <c r="A993">
        <v>319640</v>
      </c>
      <c r="B993" t="s">
        <v>1509</v>
      </c>
      <c r="C993" s="55">
        <v>11975.95</v>
      </c>
      <c r="D993" s="55">
        <v>-208598.1</v>
      </c>
      <c r="E993" t="s">
        <v>931</v>
      </c>
    </row>
    <row r="994" spans="1:14" x14ac:dyDescent="0.25">
      <c r="A994">
        <v>339069</v>
      </c>
      <c r="B994" t="s">
        <v>723</v>
      </c>
      <c r="C994" s="55">
        <v>11949.15</v>
      </c>
      <c r="D994" s="55">
        <v>-399242.76</v>
      </c>
      <c r="E994" t="s">
        <v>931</v>
      </c>
    </row>
    <row r="995" spans="1:14" x14ac:dyDescent="0.25">
      <c r="A995">
        <v>23704</v>
      </c>
      <c r="B995" t="s">
        <v>1510</v>
      </c>
      <c r="C995" s="55">
        <v>11917.21</v>
      </c>
      <c r="D995" t="s">
        <v>845</v>
      </c>
      <c r="E995" t="s">
        <v>930</v>
      </c>
    </row>
    <row r="996" spans="1:14" x14ac:dyDescent="0.25">
      <c r="A996">
        <v>2146</v>
      </c>
      <c r="B996" t="s">
        <v>1511</v>
      </c>
      <c r="C996" s="55">
        <v>11788.23</v>
      </c>
      <c r="D996" s="55">
        <v>-160145.1</v>
      </c>
      <c r="E996" t="s">
        <v>931</v>
      </c>
    </row>
    <row r="997" spans="1:14" x14ac:dyDescent="0.25">
      <c r="A997">
        <v>21778</v>
      </c>
      <c r="B997" t="s">
        <v>500</v>
      </c>
      <c r="C997" s="55">
        <v>11676.13</v>
      </c>
      <c r="D997" s="55">
        <v>-357204.99</v>
      </c>
      <c r="E997" t="s">
        <v>931</v>
      </c>
    </row>
    <row r="998" spans="1:14" x14ac:dyDescent="0.25">
      <c r="A998">
        <v>52282</v>
      </c>
      <c r="B998" t="s">
        <v>1512</v>
      </c>
      <c r="C998" s="55">
        <v>11504.14</v>
      </c>
      <c r="D998" t="s">
        <v>845</v>
      </c>
      <c r="E998" t="s">
        <v>930</v>
      </c>
    </row>
    <row r="999" spans="1:14" x14ac:dyDescent="0.25">
      <c r="A999">
        <v>301309</v>
      </c>
      <c r="B999" t="s">
        <v>1513</v>
      </c>
      <c r="C999" s="55">
        <v>11300.45</v>
      </c>
      <c r="D999" s="55">
        <v>-488646.92</v>
      </c>
      <c r="E999" t="s">
        <v>931</v>
      </c>
      <c r="M999" t="s">
        <v>61</v>
      </c>
      <c r="N999" t="s">
        <v>928</v>
      </c>
    </row>
    <row r="1000" spans="1:14" x14ac:dyDescent="0.25">
      <c r="A1000">
        <v>345181</v>
      </c>
      <c r="B1000" t="s">
        <v>1514</v>
      </c>
      <c r="C1000" s="55">
        <v>11068.27</v>
      </c>
      <c r="D1000" s="55">
        <v>-199854.34</v>
      </c>
      <c r="E1000" t="s">
        <v>931</v>
      </c>
    </row>
    <row r="1001" spans="1:14" x14ac:dyDescent="0.25">
      <c r="A1001">
        <v>325605</v>
      </c>
      <c r="B1001" t="s">
        <v>1515</v>
      </c>
      <c r="C1001" s="55">
        <v>11009.97</v>
      </c>
      <c r="D1001" s="55">
        <v>-186057.38</v>
      </c>
      <c r="E1001" t="s">
        <v>931</v>
      </c>
    </row>
    <row r="1002" spans="1:14" x14ac:dyDescent="0.25">
      <c r="A1002">
        <v>453</v>
      </c>
      <c r="B1002" t="s">
        <v>498</v>
      </c>
      <c r="C1002" s="55">
        <v>10939.47</v>
      </c>
      <c r="D1002" s="55">
        <v>-83453.55</v>
      </c>
      <c r="E1002" t="s">
        <v>931</v>
      </c>
      <c r="M1002" t="s">
        <v>94</v>
      </c>
    </row>
    <row r="1003" spans="1:14" x14ac:dyDescent="0.25">
      <c r="A1003">
        <v>391615</v>
      </c>
      <c r="B1003" t="s">
        <v>1516</v>
      </c>
      <c r="C1003" s="55">
        <v>10858.39</v>
      </c>
      <c r="D1003" s="55">
        <v>-289528.8</v>
      </c>
      <c r="E1003" t="s">
        <v>931</v>
      </c>
    </row>
    <row r="1004" spans="1:14" x14ac:dyDescent="0.25">
      <c r="A1004">
        <v>62513</v>
      </c>
      <c r="B1004" t="s">
        <v>1517</v>
      </c>
      <c r="C1004" s="55">
        <v>10854.5</v>
      </c>
      <c r="D1004" s="55">
        <v>145213.85999999999</v>
      </c>
      <c r="E1004" t="s">
        <v>948</v>
      </c>
    </row>
    <row r="1005" spans="1:14" x14ac:dyDescent="0.25">
      <c r="A1005">
        <v>92023</v>
      </c>
      <c r="B1005" t="s">
        <v>1518</v>
      </c>
      <c r="C1005" s="55">
        <v>10851.08</v>
      </c>
      <c r="D1005" s="55">
        <v>-142708.97</v>
      </c>
      <c r="E1005" t="s">
        <v>931</v>
      </c>
    </row>
    <row r="1006" spans="1:14" x14ac:dyDescent="0.25">
      <c r="A1006">
        <v>331207</v>
      </c>
      <c r="B1006" t="s">
        <v>1519</v>
      </c>
      <c r="C1006" s="55">
        <v>10747.7</v>
      </c>
      <c r="D1006" s="55">
        <v>-293139.76</v>
      </c>
      <c r="E1006" t="s">
        <v>931</v>
      </c>
    </row>
    <row r="1007" spans="1:14" x14ac:dyDescent="0.25">
      <c r="A1007">
        <v>79673</v>
      </c>
      <c r="B1007" t="s">
        <v>1520</v>
      </c>
      <c r="C1007" s="55">
        <v>10593.69</v>
      </c>
      <c r="D1007" s="55">
        <v>-357807.78</v>
      </c>
      <c r="E1007" t="s">
        <v>931</v>
      </c>
    </row>
    <row r="1008" spans="1:14" x14ac:dyDescent="0.25">
      <c r="A1008">
        <v>12998</v>
      </c>
      <c r="B1008" t="s">
        <v>1521</v>
      </c>
      <c r="C1008" s="55">
        <v>10571.69</v>
      </c>
      <c r="D1008" s="55">
        <v>-447158.39</v>
      </c>
      <c r="E1008" t="s">
        <v>931</v>
      </c>
    </row>
    <row r="1009" spans="1:5" x14ac:dyDescent="0.25">
      <c r="A1009">
        <v>392019</v>
      </c>
      <c r="B1009" t="s">
        <v>1522</v>
      </c>
      <c r="C1009" s="55">
        <v>10412.530000000001</v>
      </c>
      <c r="D1009" s="55">
        <v>-202428.9</v>
      </c>
      <c r="E1009" t="s">
        <v>931</v>
      </c>
    </row>
    <row r="1010" spans="1:5" x14ac:dyDescent="0.25">
      <c r="A1010">
        <v>20763</v>
      </c>
      <c r="B1010" t="s">
        <v>1523</v>
      </c>
      <c r="C1010" s="55">
        <v>10390.81</v>
      </c>
      <c r="D1010" s="55">
        <v>-494854.35</v>
      </c>
      <c r="E1010" t="s">
        <v>931</v>
      </c>
    </row>
    <row r="1011" spans="1:5" x14ac:dyDescent="0.25">
      <c r="A1011">
        <v>73528</v>
      </c>
      <c r="B1011" t="s">
        <v>583</v>
      </c>
      <c r="C1011" s="55">
        <v>10235.07</v>
      </c>
      <c r="D1011" s="55">
        <v>-1172611.69</v>
      </c>
      <c r="E1011" t="s">
        <v>931</v>
      </c>
    </row>
    <row r="1012" spans="1:5" x14ac:dyDescent="0.25">
      <c r="A1012">
        <v>16808</v>
      </c>
      <c r="B1012" t="s">
        <v>1524</v>
      </c>
      <c r="C1012" s="55">
        <v>10202.959999999999</v>
      </c>
      <c r="D1012" s="55">
        <v>-91406.21</v>
      </c>
      <c r="E1012" t="s">
        <v>931</v>
      </c>
    </row>
    <row r="1013" spans="1:5" x14ac:dyDescent="0.25">
      <c r="A1013">
        <v>28399</v>
      </c>
      <c r="B1013" t="s">
        <v>703</v>
      </c>
      <c r="C1013" s="55">
        <v>10119.709999999999</v>
      </c>
      <c r="D1013" s="55">
        <v>-45701.7</v>
      </c>
      <c r="E1013" t="s">
        <v>931</v>
      </c>
    </row>
    <row r="1014" spans="1:5" x14ac:dyDescent="0.25">
      <c r="A1014">
        <v>11453</v>
      </c>
      <c r="B1014" t="s">
        <v>1525</v>
      </c>
      <c r="C1014" s="55">
        <v>9872.69</v>
      </c>
      <c r="D1014" s="55">
        <v>-263619.32</v>
      </c>
      <c r="E1014" t="s">
        <v>931</v>
      </c>
    </row>
    <row r="1015" spans="1:5" x14ac:dyDescent="0.25">
      <c r="A1015">
        <v>23768</v>
      </c>
      <c r="B1015" t="s">
        <v>1526</v>
      </c>
      <c r="C1015" s="55">
        <v>9774.7900000000009</v>
      </c>
      <c r="D1015" t="s">
        <v>845</v>
      </c>
      <c r="E1015" t="s">
        <v>930</v>
      </c>
    </row>
    <row r="1016" spans="1:5" x14ac:dyDescent="0.25">
      <c r="A1016">
        <v>160</v>
      </c>
      <c r="B1016" t="s">
        <v>1527</v>
      </c>
      <c r="C1016" s="55">
        <v>9669.41</v>
      </c>
      <c r="D1016" s="55">
        <v>-100230.41</v>
      </c>
      <c r="E1016" t="s">
        <v>931</v>
      </c>
    </row>
    <row r="1017" spans="1:5" x14ac:dyDescent="0.25">
      <c r="A1017">
        <v>13324</v>
      </c>
      <c r="B1017" t="s">
        <v>1528</v>
      </c>
      <c r="C1017" s="55">
        <v>9600.83</v>
      </c>
      <c r="D1017" s="55">
        <v>-74789.73</v>
      </c>
      <c r="E1017" t="s">
        <v>931</v>
      </c>
    </row>
    <row r="1018" spans="1:5" x14ac:dyDescent="0.25">
      <c r="A1018">
        <v>311886</v>
      </c>
      <c r="B1018" t="s">
        <v>1133</v>
      </c>
      <c r="C1018" s="55">
        <v>9452.83</v>
      </c>
      <c r="D1018" t="s">
        <v>845</v>
      </c>
      <c r="E1018" t="s">
        <v>930</v>
      </c>
    </row>
    <row r="1019" spans="1:5" x14ac:dyDescent="0.25">
      <c r="A1019">
        <v>716</v>
      </c>
      <c r="B1019" t="s">
        <v>352</v>
      </c>
      <c r="C1019" s="55">
        <v>9422.08</v>
      </c>
      <c r="D1019" s="55">
        <v>-801565.33</v>
      </c>
      <c r="E1019" t="s">
        <v>931</v>
      </c>
    </row>
    <row r="1020" spans="1:5" x14ac:dyDescent="0.25">
      <c r="A1020">
        <v>391011</v>
      </c>
      <c r="B1020" t="s">
        <v>582</v>
      </c>
      <c r="C1020" s="55">
        <v>9039.8799999999992</v>
      </c>
      <c r="D1020" s="55">
        <v>-880539.8</v>
      </c>
      <c r="E1020" t="s">
        <v>931</v>
      </c>
    </row>
    <row r="1021" spans="1:5" x14ac:dyDescent="0.25">
      <c r="A1021">
        <v>24982</v>
      </c>
      <c r="B1021" t="s">
        <v>1529</v>
      </c>
      <c r="C1021" s="55">
        <v>8853.02</v>
      </c>
      <c r="D1021" t="s">
        <v>845</v>
      </c>
      <c r="E1021" t="s">
        <v>930</v>
      </c>
    </row>
    <row r="1022" spans="1:5" x14ac:dyDescent="0.25">
      <c r="A1022">
        <v>21109</v>
      </c>
      <c r="B1022" t="s">
        <v>692</v>
      </c>
      <c r="C1022" s="55">
        <v>8768.65</v>
      </c>
      <c r="D1022" s="55">
        <v>-261372.89</v>
      </c>
      <c r="E1022" t="s">
        <v>931</v>
      </c>
    </row>
    <row r="1023" spans="1:5" x14ac:dyDescent="0.25">
      <c r="A1023">
        <v>382218</v>
      </c>
      <c r="B1023" t="s">
        <v>1530</v>
      </c>
      <c r="C1023" s="55">
        <v>8671.59</v>
      </c>
      <c r="D1023" s="55">
        <v>-134484.70000000001</v>
      </c>
      <c r="E1023" t="s">
        <v>931</v>
      </c>
    </row>
    <row r="1024" spans="1:5" x14ac:dyDescent="0.25">
      <c r="A1024">
        <v>348185</v>
      </c>
      <c r="B1024" t="s">
        <v>1531</v>
      </c>
      <c r="C1024" s="55">
        <v>8503.83</v>
      </c>
      <c r="D1024" s="55">
        <v>-125236.13</v>
      </c>
      <c r="E1024" t="s">
        <v>931</v>
      </c>
    </row>
    <row r="1025" spans="1:5" x14ac:dyDescent="0.25">
      <c r="A1025">
        <v>4124</v>
      </c>
      <c r="B1025" t="s">
        <v>1532</v>
      </c>
      <c r="C1025" s="55">
        <v>8493.1200000000008</v>
      </c>
      <c r="D1025" s="55">
        <v>-184653.33</v>
      </c>
      <c r="E1025" t="s">
        <v>931</v>
      </c>
    </row>
    <row r="1026" spans="1:5" x14ac:dyDescent="0.25">
      <c r="A1026">
        <v>27300</v>
      </c>
      <c r="B1026" t="s">
        <v>1533</v>
      </c>
      <c r="C1026" s="55">
        <v>8459.24</v>
      </c>
      <c r="D1026" s="55">
        <v>-236266.37</v>
      </c>
      <c r="E1026" t="s">
        <v>931</v>
      </c>
    </row>
    <row r="1027" spans="1:5" x14ac:dyDescent="0.25">
      <c r="A1027">
        <v>24594</v>
      </c>
      <c r="B1027" t="s">
        <v>1534</v>
      </c>
      <c r="C1027" s="55">
        <v>8358.2800000000007</v>
      </c>
      <c r="D1027" t="s">
        <v>845</v>
      </c>
      <c r="E1027" t="s">
        <v>930</v>
      </c>
    </row>
    <row r="1028" spans="1:5" x14ac:dyDescent="0.25">
      <c r="A1028">
        <v>6769</v>
      </c>
      <c r="B1028" t="s">
        <v>1535</v>
      </c>
      <c r="C1028" s="55">
        <v>8228.7999999999993</v>
      </c>
      <c r="D1028" s="55">
        <v>-49808.58</v>
      </c>
      <c r="E1028" t="s">
        <v>931</v>
      </c>
    </row>
    <row r="1029" spans="1:5" x14ac:dyDescent="0.25">
      <c r="A1029">
        <v>21443</v>
      </c>
      <c r="B1029" t="s">
        <v>1536</v>
      </c>
      <c r="C1029" s="55">
        <v>8038.07</v>
      </c>
      <c r="D1029" t="s">
        <v>845</v>
      </c>
      <c r="E1029" t="s">
        <v>930</v>
      </c>
    </row>
    <row r="1030" spans="1:5" x14ac:dyDescent="0.25">
      <c r="A1030">
        <v>24094</v>
      </c>
      <c r="B1030" t="s">
        <v>1537</v>
      </c>
      <c r="C1030" s="55">
        <v>7989.09</v>
      </c>
      <c r="D1030" t="s">
        <v>845</v>
      </c>
      <c r="E1030" t="s">
        <v>930</v>
      </c>
    </row>
    <row r="1031" spans="1:5" x14ac:dyDescent="0.25">
      <c r="A1031">
        <v>682</v>
      </c>
      <c r="B1031" t="s">
        <v>694</v>
      </c>
      <c r="C1031" s="55">
        <v>7976.35</v>
      </c>
      <c r="D1031" s="55">
        <v>-246934.65</v>
      </c>
      <c r="E1031" t="s">
        <v>931</v>
      </c>
    </row>
    <row r="1032" spans="1:5" x14ac:dyDescent="0.25">
      <c r="A1032">
        <v>139246</v>
      </c>
      <c r="B1032" t="s">
        <v>1538</v>
      </c>
      <c r="C1032" s="55">
        <v>7926.07</v>
      </c>
      <c r="D1032" s="55">
        <v>-53329.17</v>
      </c>
      <c r="E1032" t="s">
        <v>931</v>
      </c>
    </row>
    <row r="1033" spans="1:5" x14ac:dyDescent="0.25">
      <c r="A1033">
        <v>6427</v>
      </c>
      <c r="B1033" t="s">
        <v>1539</v>
      </c>
      <c r="C1033" s="55">
        <v>7800</v>
      </c>
      <c r="D1033" s="55">
        <v>-9215.19</v>
      </c>
      <c r="E1033" t="s">
        <v>931</v>
      </c>
    </row>
    <row r="1034" spans="1:5" x14ac:dyDescent="0.25">
      <c r="A1034">
        <v>36137</v>
      </c>
      <c r="B1034" t="s">
        <v>574</v>
      </c>
      <c r="C1034" s="55">
        <v>7709.62</v>
      </c>
      <c r="D1034" s="55">
        <v>-181030.82</v>
      </c>
      <c r="E1034" t="s">
        <v>931</v>
      </c>
    </row>
    <row r="1035" spans="1:5" x14ac:dyDescent="0.25">
      <c r="A1035">
        <v>62133</v>
      </c>
      <c r="B1035" t="s">
        <v>1540</v>
      </c>
      <c r="C1035" s="55">
        <v>7691.37</v>
      </c>
      <c r="D1035" t="s">
        <v>845</v>
      </c>
      <c r="E1035" t="s">
        <v>930</v>
      </c>
    </row>
    <row r="1036" spans="1:5" x14ac:dyDescent="0.25">
      <c r="A1036">
        <v>20983</v>
      </c>
      <c r="B1036" t="s">
        <v>1541</v>
      </c>
      <c r="C1036" s="55">
        <v>7621.04</v>
      </c>
      <c r="D1036" s="55">
        <v>-264630.09000000003</v>
      </c>
      <c r="E1036" t="s">
        <v>931</v>
      </c>
    </row>
    <row r="1037" spans="1:5" x14ac:dyDescent="0.25">
      <c r="A1037">
        <v>326058</v>
      </c>
      <c r="B1037" t="s">
        <v>1542</v>
      </c>
      <c r="C1037" s="55">
        <v>7551.09</v>
      </c>
      <c r="D1037" s="55">
        <v>-255898.59</v>
      </c>
      <c r="E1037" t="s">
        <v>931</v>
      </c>
    </row>
    <row r="1038" spans="1:5" x14ac:dyDescent="0.25">
      <c r="A1038">
        <v>327213</v>
      </c>
      <c r="B1038" t="s">
        <v>1543</v>
      </c>
      <c r="C1038" s="55">
        <v>7448.21</v>
      </c>
      <c r="D1038" s="55">
        <v>-143872.88</v>
      </c>
      <c r="E1038" t="s">
        <v>931</v>
      </c>
    </row>
    <row r="1039" spans="1:5" x14ac:dyDescent="0.25">
      <c r="A1039">
        <v>19398</v>
      </c>
      <c r="B1039" t="s">
        <v>631</v>
      </c>
      <c r="C1039" s="55">
        <v>7430.35</v>
      </c>
      <c r="D1039" s="55">
        <v>-56765.02</v>
      </c>
      <c r="E1039" t="s">
        <v>931</v>
      </c>
    </row>
    <row r="1040" spans="1:5" x14ac:dyDescent="0.25">
      <c r="A1040">
        <v>11782</v>
      </c>
      <c r="B1040" t="s">
        <v>1544</v>
      </c>
      <c r="C1040" s="55">
        <v>7411.82</v>
      </c>
      <c r="D1040" s="55">
        <v>-1234389.05</v>
      </c>
      <c r="E1040" t="s">
        <v>931</v>
      </c>
    </row>
    <row r="1041" spans="1:5" x14ac:dyDescent="0.25">
      <c r="A1041">
        <v>327478</v>
      </c>
      <c r="B1041" t="s">
        <v>709</v>
      </c>
      <c r="C1041" s="55">
        <v>7362.36</v>
      </c>
      <c r="D1041" s="55">
        <v>-51379.63</v>
      </c>
      <c r="E1041" t="s">
        <v>931</v>
      </c>
    </row>
    <row r="1042" spans="1:5" x14ac:dyDescent="0.25">
      <c r="A1042">
        <v>26211</v>
      </c>
      <c r="B1042" t="s">
        <v>700</v>
      </c>
      <c r="C1042" s="55">
        <v>7340.51</v>
      </c>
      <c r="D1042" s="55">
        <v>-123487.65</v>
      </c>
      <c r="E1042" t="s">
        <v>931</v>
      </c>
    </row>
    <row r="1043" spans="1:5" x14ac:dyDescent="0.25">
      <c r="A1043">
        <v>22580</v>
      </c>
      <c r="B1043" t="s">
        <v>1545</v>
      </c>
      <c r="C1043" s="55">
        <v>7335.3</v>
      </c>
      <c r="D1043" s="55">
        <v>-365299.04</v>
      </c>
      <c r="E1043" t="s">
        <v>931</v>
      </c>
    </row>
    <row r="1044" spans="1:5" x14ac:dyDescent="0.25">
      <c r="A1044">
        <v>20898</v>
      </c>
      <c r="B1044" t="s">
        <v>1546</v>
      </c>
      <c r="C1044" s="55">
        <v>7178.52</v>
      </c>
      <c r="D1044" s="55">
        <v>-221162.75</v>
      </c>
      <c r="E1044" t="s">
        <v>931</v>
      </c>
    </row>
    <row r="1045" spans="1:5" x14ac:dyDescent="0.25">
      <c r="A1045">
        <v>22702</v>
      </c>
      <c r="B1045" t="s">
        <v>1547</v>
      </c>
      <c r="C1045" s="55">
        <v>7089.01</v>
      </c>
      <c r="D1045" s="55">
        <v>-16156.36</v>
      </c>
      <c r="E1045" t="s">
        <v>931</v>
      </c>
    </row>
    <row r="1046" spans="1:5" x14ac:dyDescent="0.25">
      <c r="A1046">
        <v>52308</v>
      </c>
      <c r="B1046" t="s">
        <v>1548</v>
      </c>
      <c r="C1046" s="55">
        <v>7033.82</v>
      </c>
      <c r="D1046" s="55">
        <v>13382.08</v>
      </c>
      <c r="E1046" t="s">
        <v>948</v>
      </c>
    </row>
    <row r="1047" spans="1:5" x14ac:dyDescent="0.25">
      <c r="A1047">
        <v>380014</v>
      </c>
      <c r="B1047" t="s">
        <v>1549</v>
      </c>
      <c r="C1047" s="55">
        <v>6943.3</v>
      </c>
      <c r="D1047" s="55">
        <v>-280966.74</v>
      </c>
      <c r="E1047" t="s">
        <v>931</v>
      </c>
    </row>
    <row r="1048" spans="1:5" x14ac:dyDescent="0.25">
      <c r="A1048">
        <v>76208</v>
      </c>
      <c r="B1048" t="s">
        <v>1550</v>
      </c>
      <c r="C1048" s="55">
        <v>6684.1</v>
      </c>
      <c r="D1048" t="s">
        <v>845</v>
      </c>
      <c r="E1048" t="s">
        <v>930</v>
      </c>
    </row>
    <row r="1049" spans="1:5" x14ac:dyDescent="0.25">
      <c r="A1049">
        <v>394510</v>
      </c>
      <c r="B1049" t="s">
        <v>518</v>
      </c>
      <c r="C1049" s="55">
        <v>6648.39</v>
      </c>
      <c r="D1049" s="55">
        <v>-285889.84000000003</v>
      </c>
      <c r="E1049" t="s">
        <v>931</v>
      </c>
    </row>
    <row r="1050" spans="1:5" x14ac:dyDescent="0.25">
      <c r="A1050">
        <v>327098</v>
      </c>
      <c r="B1050" t="s">
        <v>1551</v>
      </c>
      <c r="C1050" s="55">
        <v>6618.96</v>
      </c>
      <c r="D1050" t="s">
        <v>845</v>
      </c>
      <c r="E1050" t="s">
        <v>930</v>
      </c>
    </row>
    <row r="1051" spans="1:5" x14ac:dyDescent="0.25">
      <c r="A1051">
        <v>308732</v>
      </c>
      <c r="B1051" t="s">
        <v>1552</v>
      </c>
      <c r="C1051" s="55">
        <v>6560.56</v>
      </c>
      <c r="D1051" s="55">
        <v>-2674.27</v>
      </c>
      <c r="E1051" t="s">
        <v>931</v>
      </c>
    </row>
    <row r="1052" spans="1:5" x14ac:dyDescent="0.25">
      <c r="A1052">
        <v>318675</v>
      </c>
      <c r="B1052" t="s">
        <v>1553</v>
      </c>
      <c r="C1052" s="55">
        <v>6345.55</v>
      </c>
      <c r="D1052" s="55">
        <v>-1042741.2</v>
      </c>
      <c r="E1052" t="s">
        <v>931</v>
      </c>
    </row>
    <row r="1053" spans="1:5" x14ac:dyDescent="0.25">
      <c r="A1053">
        <v>310938</v>
      </c>
      <c r="B1053" t="s">
        <v>1554</v>
      </c>
      <c r="C1053" s="55">
        <v>6296.53</v>
      </c>
      <c r="D1053" s="55">
        <v>1782056.53</v>
      </c>
      <c r="E1053" t="s">
        <v>948</v>
      </c>
    </row>
    <row r="1054" spans="1:5" x14ac:dyDescent="0.25">
      <c r="A1054">
        <v>389395</v>
      </c>
      <c r="B1054" t="s">
        <v>1555</v>
      </c>
      <c r="C1054" s="55">
        <v>6170.26</v>
      </c>
      <c r="D1054" s="55">
        <v>-17417.439999999999</v>
      </c>
      <c r="E1054" t="s">
        <v>931</v>
      </c>
    </row>
    <row r="1055" spans="1:5" x14ac:dyDescent="0.25">
      <c r="A1055">
        <v>15529</v>
      </c>
      <c r="B1055" t="s">
        <v>1556</v>
      </c>
      <c r="C1055" s="55">
        <v>5995.04</v>
      </c>
      <c r="D1055" s="55">
        <v>921039.26</v>
      </c>
      <c r="E1055" t="s">
        <v>948</v>
      </c>
    </row>
    <row r="1056" spans="1:5" x14ac:dyDescent="0.25">
      <c r="A1056">
        <v>78295</v>
      </c>
      <c r="B1056" t="s">
        <v>1557</v>
      </c>
      <c r="C1056" s="55">
        <v>5745.32</v>
      </c>
      <c r="D1056" s="55">
        <v>-47998.53</v>
      </c>
      <c r="E1056" t="s">
        <v>931</v>
      </c>
    </row>
    <row r="1057" spans="1:5" x14ac:dyDescent="0.25">
      <c r="A1057">
        <v>25684</v>
      </c>
      <c r="B1057" t="s">
        <v>1558</v>
      </c>
      <c r="C1057" s="55">
        <v>5691.72</v>
      </c>
      <c r="D1057" s="55">
        <v>-306078.96000000002</v>
      </c>
      <c r="E1057" t="s">
        <v>931</v>
      </c>
    </row>
    <row r="1058" spans="1:5" x14ac:dyDescent="0.25">
      <c r="A1058">
        <v>21990</v>
      </c>
      <c r="B1058" t="s">
        <v>1559</v>
      </c>
      <c r="C1058" s="55">
        <v>5683.88</v>
      </c>
      <c r="D1058" s="55">
        <v>-30193.03</v>
      </c>
      <c r="E1058" t="s">
        <v>931</v>
      </c>
    </row>
    <row r="1059" spans="1:5" x14ac:dyDescent="0.25">
      <c r="A1059">
        <v>2675</v>
      </c>
      <c r="B1059" t="s">
        <v>1560</v>
      </c>
      <c r="C1059" s="55">
        <v>5631.39</v>
      </c>
      <c r="D1059" s="55">
        <v>-28490.9</v>
      </c>
      <c r="E1059" t="s">
        <v>931</v>
      </c>
    </row>
    <row r="1060" spans="1:5" x14ac:dyDescent="0.25">
      <c r="A1060">
        <v>44594</v>
      </c>
      <c r="B1060" t="s">
        <v>1561</v>
      </c>
      <c r="C1060" s="55">
        <v>5567.07</v>
      </c>
      <c r="D1060" s="55">
        <v>-285487.09999999998</v>
      </c>
      <c r="E1060" t="s">
        <v>931</v>
      </c>
    </row>
    <row r="1061" spans="1:5" x14ac:dyDescent="0.25">
      <c r="A1061">
        <v>64311</v>
      </c>
      <c r="B1061" t="s">
        <v>674</v>
      </c>
      <c r="C1061" s="55">
        <v>5399.57</v>
      </c>
      <c r="D1061" s="55">
        <v>-161524.18</v>
      </c>
      <c r="E1061" t="s">
        <v>931</v>
      </c>
    </row>
    <row r="1062" spans="1:5" x14ac:dyDescent="0.25">
      <c r="A1062">
        <v>25021</v>
      </c>
      <c r="B1062" t="s">
        <v>1562</v>
      </c>
      <c r="C1062" s="55">
        <v>5152.3</v>
      </c>
      <c r="D1062" t="s">
        <v>845</v>
      </c>
      <c r="E1062" t="s">
        <v>930</v>
      </c>
    </row>
    <row r="1063" spans="1:5" x14ac:dyDescent="0.25">
      <c r="A1063">
        <v>25088</v>
      </c>
      <c r="B1063" t="s">
        <v>1563</v>
      </c>
      <c r="C1063" s="55">
        <v>5032.12</v>
      </c>
      <c r="D1063" t="s">
        <v>845</v>
      </c>
      <c r="E1063" t="s">
        <v>930</v>
      </c>
    </row>
    <row r="1064" spans="1:5" x14ac:dyDescent="0.25">
      <c r="A1064">
        <v>25692</v>
      </c>
      <c r="B1064" t="s">
        <v>1564</v>
      </c>
      <c r="C1064" s="55">
        <v>4908.3</v>
      </c>
      <c r="D1064" s="55">
        <v>-174267.3</v>
      </c>
      <c r="E1064" t="s">
        <v>931</v>
      </c>
    </row>
    <row r="1065" spans="1:5" x14ac:dyDescent="0.25">
      <c r="A1065">
        <v>10478</v>
      </c>
      <c r="B1065" t="s">
        <v>1565</v>
      </c>
      <c r="C1065" s="55">
        <v>4824.45</v>
      </c>
      <c r="D1065" s="55">
        <v>-152939.47</v>
      </c>
      <c r="E1065" t="s">
        <v>931</v>
      </c>
    </row>
    <row r="1066" spans="1:5" x14ac:dyDescent="0.25">
      <c r="A1066">
        <v>393918</v>
      </c>
      <c r="B1066" t="s">
        <v>368</v>
      </c>
      <c r="C1066" s="55">
        <v>4823.76</v>
      </c>
      <c r="D1066" t="s">
        <v>845</v>
      </c>
      <c r="E1066" t="s">
        <v>930</v>
      </c>
    </row>
    <row r="1067" spans="1:5" x14ac:dyDescent="0.25">
      <c r="A1067">
        <v>20876</v>
      </c>
      <c r="B1067" t="s">
        <v>1566</v>
      </c>
      <c r="C1067" s="55">
        <v>4804.29</v>
      </c>
      <c r="D1067" t="s">
        <v>845</v>
      </c>
      <c r="E1067" t="s">
        <v>930</v>
      </c>
    </row>
    <row r="1068" spans="1:5" x14ac:dyDescent="0.25">
      <c r="A1068">
        <v>19983</v>
      </c>
      <c r="B1068" t="s">
        <v>1567</v>
      </c>
      <c r="C1068" s="55">
        <v>4709.26</v>
      </c>
      <c r="D1068" s="55">
        <v>-216768.16</v>
      </c>
      <c r="E1068" t="s">
        <v>931</v>
      </c>
    </row>
    <row r="1069" spans="1:5" x14ac:dyDescent="0.25">
      <c r="A1069">
        <v>13270</v>
      </c>
      <c r="B1069" t="s">
        <v>1568</v>
      </c>
      <c r="C1069" s="55">
        <v>4579.4399999999996</v>
      </c>
      <c r="D1069" s="55">
        <v>-26880.68</v>
      </c>
      <c r="E1069" t="s">
        <v>931</v>
      </c>
    </row>
    <row r="1070" spans="1:5" x14ac:dyDescent="0.25">
      <c r="A1070">
        <v>94409</v>
      </c>
      <c r="B1070" t="s">
        <v>1569</v>
      </c>
      <c r="C1070" s="55">
        <v>4522.4399999999996</v>
      </c>
      <c r="D1070" s="55">
        <v>-140978.19</v>
      </c>
      <c r="E1070" t="s">
        <v>931</v>
      </c>
    </row>
    <row r="1071" spans="1:5" x14ac:dyDescent="0.25">
      <c r="A1071">
        <v>98434</v>
      </c>
      <c r="B1071" t="s">
        <v>1570</v>
      </c>
      <c r="C1071" s="55">
        <v>4229.53</v>
      </c>
      <c r="D1071" s="55">
        <v>-656306.43000000005</v>
      </c>
      <c r="E1071" t="s">
        <v>931</v>
      </c>
    </row>
    <row r="1072" spans="1:5" x14ac:dyDescent="0.25">
      <c r="A1072">
        <v>18088</v>
      </c>
      <c r="B1072" t="s">
        <v>1571</v>
      </c>
      <c r="C1072" s="55">
        <v>4184.6000000000004</v>
      </c>
      <c r="D1072" s="55">
        <v>-167165.35999999999</v>
      </c>
      <c r="E1072" t="s">
        <v>931</v>
      </c>
    </row>
    <row r="1073" spans="1:5" x14ac:dyDescent="0.25">
      <c r="A1073">
        <v>313338</v>
      </c>
      <c r="B1073" t="s">
        <v>1572</v>
      </c>
      <c r="C1073" s="55">
        <v>4143.9799999999996</v>
      </c>
      <c r="D1073" s="55">
        <v>-512077.79</v>
      </c>
      <c r="E1073" t="s">
        <v>931</v>
      </c>
    </row>
    <row r="1074" spans="1:5" x14ac:dyDescent="0.25">
      <c r="A1074">
        <v>393272</v>
      </c>
      <c r="B1074" t="s">
        <v>736</v>
      </c>
      <c r="C1074" s="55">
        <v>4133.87</v>
      </c>
      <c r="D1074" s="55">
        <v>-242250.17</v>
      </c>
      <c r="E1074" t="s">
        <v>931</v>
      </c>
    </row>
    <row r="1075" spans="1:5" x14ac:dyDescent="0.25">
      <c r="A1075">
        <v>343582</v>
      </c>
      <c r="B1075" t="s">
        <v>1573</v>
      </c>
      <c r="C1075" s="55">
        <v>3919.14</v>
      </c>
      <c r="D1075" s="55">
        <v>-558145.12</v>
      </c>
      <c r="E1075" t="s">
        <v>931</v>
      </c>
    </row>
    <row r="1076" spans="1:5" x14ac:dyDescent="0.25">
      <c r="A1076">
        <v>345934</v>
      </c>
      <c r="B1076" t="s">
        <v>1574</v>
      </c>
      <c r="C1076" s="55">
        <v>3837.34</v>
      </c>
      <c r="D1076" s="55">
        <v>-80620.87</v>
      </c>
      <c r="E1076" t="s">
        <v>931</v>
      </c>
    </row>
    <row r="1077" spans="1:5" x14ac:dyDescent="0.25">
      <c r="A1077">
        <v>585</v>
      </c>
      <c r="B1077" t="s">
        <v>1575</v>
      </c>
      <c r="C1077" s="55">
        <v>3799.1</v>
      </c>
      <c r="D1077" s="55">
        <v>-27664.73</v>
      </c>
      <c r="E1077" t="s">
        <v>931</v>
      </c>
    </row>
    <row r="1078" spans="1:5" x14ac:dyDescent="0.25">
      <c r="A1078">
        <v>322826</v>
      </c>
      <c r="B1078" t="s">
        <v>1576</v>
      </c>
      <c r="C1078" s="55">
        <v>3702.36</v>
      </c>
      <c r="D1078" s="55">
        <v>-245723.93</v>
      </c>
      <c r="E1078" t="s">
        <v>931</v>
      </c>
    </row>
    <row r="1079" spans="1:5" x14ac:dyDescent="0.25">
      <c r="A1079">
        <v>228270</v>
      </c>
      <c r="B1079" t="s">
        <v>1577</v>
      </c>
      <c r="C1079" s="55">
        <v>3583.31</v>
      </c>
      <c r="D1079" s="55">
        <v>-662126.41</v>
      </c>
      <c r="E1079" t="s">
        <v>931</v>
      </c>
    </row>
    <row r="1080" spans="1:5" x14ac:dyDescent="0.25">
      <c r="A1080">
        <v>304240</v>
      </c>
      <c r="B1080" t="s">
        <v>1578</v>
      </c>
      <c r="C1080" s="55">
        <v>3492.2</v>
      </c>
      <c r="D1080" s="55">
        <v>-165571.03</v>
      </c>
      <c r="E1080" t="s">
        <v>931</v>
      </c>
    </row>
    <row r="1081" spans="1:5" x14ac:dyDescent="0.25">
      <c r="A1081">
        <v>651</v>
      </c>
      <c r="B1081" t="s">
        <v>1579</v>
      </c>
      <c r="C1081" s="55">
        <v>3455.51</v>
      </c>
      <c r="D1081" s="55">
        <v>-183636.24</v>
      </c>
      <c r="E1081" t="s">
        <v>931</v>
      </c>
    </row>
    <row r="1082" spans="1:5" x14ac:dyDescent="0.25">
      <c r="A1082">
        <v>21992</v>
      </c>
      <c r="B1082" t="s">
        <v>1580</v>
      </c>
      <c r="C1082" s="55">
        <v>3455.42</v>
      </c>
      <c r="D1082" s="55">
        <v>-81077.77</v>
      </c>
      <c r="E1082" t="s">
        <v>931</v>
      </c>
    </row>
    <row r="1083" spans="1:5" x14ac:dyDescent="0.25">
      <c r="A1083">
        <v>24504</v>
      </c>
      <c r="B1083" t="s">
        <v>1581</v>
      </c>
      <c r="C1083" s="55">
        <v>3417.05</v>
      </c>
      <c r="D1083" t="s">
        <v>845</v>
      </c>
      <c r="E1083" t="s">
        <v>930</v>
      </c>
    </row>
    <row r="1084" spans="1:5" x14ac:dyDescent="0.25">
      <c r="A1084">
        <v>98285</v>
      </c>
      <c r="B1084" t="s">
        <v>1582</v>
      </c>
      <c r="C1084" s="55">
        <v>3400.17</v>
      </c>
      <c r="D1084" s="55">
        <v>-1056186.9099999999</v>
      </c>
      <c r="E1084" t="s">
        <v>931</v>
      </c>
    </row>
    <row r="1085" spans="1:5" x14ac:dyDescent="0.25">
      <c r="A1085">
        <v>7707</v>
      </c>
      <c r="B1085" t="s">
        <v>365</v>
      </c>
      <c r="C1085" s="55">
        <v>3348.34</v>
      </c>
      <c r="D1085" s="55">
        <v>-2681838.86</v>
      </c>
      <c r="E1085" t="s">
        <v>931</v>
      </c>
    </row>
    <row r="1086" spans="1:5" x14ac:dyDescent="0.25">
      <c r="A1086">
        <v>22053</v>
      </c>
      <c r="B1086" t="s">
        <v>481</v>
      </c>
      <c r="C1086" s="55">
        <v>3322.53</v>
      </c>
      <c r="D1086" s="55">
        <v>580463.4</v>
      </c>
      <c r="E1086" t="s">
        <v>948</v>
      </c>
    </row>
    <row r="1087" spans="1:5" x14ac:dyDescent="0.25">
      <c r="A1087">
        <v>335455</v>
      </c>
      <c r="B1087" t="s">
        <v>1583</v>
      </c>
      <c r="C1087" s="55">
        <v>3175.54</v>
      </c>
      <c r="D1087" t="s">
        <v>845</v>
      </c>
      <c r="E1087" t="s">
        <v>930</v>
      </c>
    </row>
    <row r="1088" spans="1:5" x14ac:dyDescent="0.25">
      <c r="A1088">
        <v>303718</v>
      </c>
      <c r="B1088" t="s">
        <v>1584</v>
      </c>
      <c r="C1088" s="55">
        <v>3143.33</v>
      </c>
      <c r="D1088" s="55">
        <v>-99542.720000000001</v>
      </c>
      <c r="E1088" t="s">
        <v>931</v>
      </c>
    </row>
    <row r="1089" spans="1:5" x14ac:dyDescent="0.25">
      <c r="A1089">
        <v>15572</v>
      </c>
      <c r="B1089" t="s">
        <v>1585</v>
      </c>
      <c r="C1089" s="55">
        <v>3090</v>
      </c>
      <c r="D1089" s="55">
        <v>-328929.59999999998</v>
      </c>
      <c r="E1089" t="s">
        <v>931</v>
      </c>
    </row>
    <row r="1090" spans="1:5" x14ac:dyDescent="0.25">
      <c r="A1090">
        <v>380568</v>
      </c>
      <c r="B1090" t="s">
        <v>1586</v>
      </c>
      <c r="C1090" s="55">
        <v>2933.55</v>
      </c>
      <c r="D1090" s="55">
        <v>-442388.18</v>
      </c>
      <c r="E1090" t="s">
        <v>931</v>
      </c>
    </row>
    <row r="1091" spans="1:5" x14ac:dyDescent="0.25">
      <c r="A1091">
        <v>336107</v>
      </c>
      <c r="B1091" t="s">
        <v>1587</v>
      </c>
      <c r="C1091" s="55">
        <v>2861.88</v>
      </c>
      <c r="D1091" s="55">
        <v>102151.57</v>
      </c>
      <c r="E1091" t="s">
        <v>948</v>
      </c>
    </row>
    <row r="1092" spans="1:5" x14ac:dyDescent="0.25">
      <c r="A1092">
        <v>87221</v>
      </c>
      <c r="B1092" t="s">
        <v>577</v>
      </c>
      <c r="C1092" s="55">
        <v>2856</v>
      </c>
      <c r="D1092" s="55">
        <v>-386015.04</v>
      </c>
      <c r="E1092" t="s">
        <v>931</v>
      </c>
    </row>
    <row r="1093" spans="1:5" x14ac:dyDescent="0.25">
      <c r="A1093">
        <v>21378</v>
      </c>
      <c r="B1093" t="s">
        <v>1588</v>
      </c>
      <c r="C1093" s="55">
        <v>2786.45</v>
      </c>
      <c r="D1093" t="s">
        <v>845</v>
      </c>
      <c r="E1093" t="s">
        <v>930</v>
      </c>
    </row>
    <row r="1094" spans="1:5" x14ac:dyDescent="0.25">
      <c r="A1094">
        <v>80101</v>
      </c>
      <c r="B1094" t="s">
        <v>1589</v>
      </c>
      <c r="C1094" s="55">
        <v>2688.84</v>
      </c>
      <c r="D1094" s="55">
        <v>-173533.46</v>
      </c>
      <c r="E1094" t="s">
        <v>931</v>
      </c>
    </row>
    <row r="1095" spans="1:5" x14ac:dyDescent="0.25">
      <c r="A1095">
        <v>83972</v>
      </c>
      <c r="B1095" t="s">
        <v>1590</v>
      </c>
      <c r="C1095" s="55">
        <v>2688.73</v>
      </c>
      <c r="D1095" s="55">
        <v>-137883.72</v>
      </c>
      <c r="E1095" t="s">
        <v>931</v>
      </c>
    </row>
    <row r="1096" spans="1:5" x14ac:dyDescent="0.25">
      <c r="A1096">
        <v>387852</v>
      </c>
      <c r="B1096" t="s">
        <v>1591</v>
      </c>
      <c r="C1096" s="55">
        <v>2558.37</v>
      </c>
      <c r="D1096">
        <v>-723.38</v>
      </c>
      <c r="E1096" t="s">
        <v>931</v>
      </c>
    </row>
    <row r="1097" spans="1:5" x14ac:dyDescent="0.25">
      <c r="A1097">
        <v>52605</v>
      </c>
      <c r="B1097" t="s">
        <v>1592</v>
      </c>
      <c r="C1097" s="55">
        <v>2412.81</v>
      </c>
      <c r="D1097" s="55">
        <v>-1009055.94</v>
      </c>
      <c r="E1097" t="s">
        <v>931</v>
      </c>
    </row>
    <row r="1098" spans="1:5" x14ac:dyDescent="0.25">
      <c r="A1098">
        <v>398453</v>
      </c>
      <c r="B1098" t="s">
        <v>1593</v>
      </c>
      <c r="C1098" s="55">
        <v>2385.02</v>
      </c>
      <c r="D1098" s="55">
        <v>-346309.25</v>
      </c>
      <c r="E1098" t="s">
        <v>931</v>
      </c>
    </row>
    <row r="1099" spans="1:5" x14ac:dyDescent="0.25">
      <c r="A1099">
        <v>41707</v>
      </c>
      <c r="B1099" t="s">
        <v>1594</v>
      </c>
      <c r="C1099" s="55">
        <v>2358.1799999999998</v>
      </c>
      <c r="D1099" s="55">
        <v>-69231.39</v>
      </c>
      <c r="E1099" t="s">
        <v>931</v>
      </c>
    </row>
    <row r="1100" spans="1:5" x14ac:dyDescent="0.25">
      <c r="A1100">
        <v>55574</v>
      </c>
      <c r="B1100" t="s">
        <v>1595</v>
      </c>
      <c r="C1100" s="55">
        <v>2269.5500000000002</v>
      </c>
      <c r="D1100" s="55">
        <v>-62011.07</v>
      </c>
      <c r="E1100" t="s">
        <v>931</v>
      </c>
    </row>
    <row r="1101" spans="1:5" x14ac:dyDescent="0.25">
      <c r="A1101">
        <v>80838</v>
      </c>
      <c r="B1101" t="s">
        <v>1596</v>
      </c>
      <c r="C1101" s="55">
        <v>2160.59</v>
      </c>
      <c r="D1101" s="55">
        <v>-13339.12</v>
      </c>
      <c r="E1101" t="s">
        <v>931</v>
      </c>
    </row>
    <row r="1102" spans="1:5" x14ac:dyDescent="0.25">
      <c r="A1102">
        <v>390203</v>
      </c>
      <c r="B1102" t="s">
        <v>1597</v>
      </c>
      <c r="C1102" s="55">
        <v>2088.31</v>
      </c>
      <c r="D1102" s="55">
        <v>49857.279999999999</v>
      </c>
      <c r="E1102" t="s">
        <v>948</v>
      </c>
    </row>
    <row r="1103" spans="1:5" x14ac:dyDescent="0.25">
      <c r="A1103">
        <v>33217</v>
      </c>
      <c r="B1103" t="s">
        <v>1598</v>
      </c>
      <c r="C1103" s="55">
        <v>2044.11</v>
      </c>
      <c r="D1103" s="55">
        <v>-820286.34</v>
      </c>
      <c r="E1103" t="s">
        <v>931</v>
      </c>
    </row>
    <row r="1104" spans="1:5" x14ac:dyDescent="0.25">
      <c r="A1104">
        <v>20969</v>
      </c>
      <c r="B1104" t="s">
        <v>1599</v>
      </c>
      <c r="C1104" s="55">
        <v>1889.16</v>
      </c>
      <c r="D1104" s="55">
        <v>-301185.23</v>
      </c>
      <c r="E1104" t="s">
        <v>931</v>
      </c>
    </row>
    <row r="1105" spans="1:13" x14ac:dyDescent="0.25">
      <c r="A1105">
        <v>69328</v>
      </c>
      <c r="B1105" t="s">
        <v>1600</v>
      </c>
      <c r="C1105" s="55">
        <v>1854.7</v>
      </c>
      <c r="D1105" s="55">
        <v>-90911.75</v>
      </c>
      <c r="E1105" t="s">
        <v>931</v>
      </c>
    </row>
    <row r="1106" spans="1:13" x14ac:dyDescent="0.25">
      <c r="A1106">
        <v>24677</v>
      </c>
      <c r="B1106" t="s">
        <v>1601</v>
      </c>
      <c r="C1106" s="55">
        <v>1713.24</v>
      </c>
      <c r="D1106" t="s">
        <v>845</v>
      </c>
      <c r="E1106" t="s">
        <v>930</v>
      </c>
    </row>
    <row r="1107" spans="1:13" x14ac:dyDescent="0.25">
      <c r="A1107">
        <v>21946</v>
      </c>
      <c r="B1107" t="s">
        <v>1602</v>
      </c>
      <c r="C1107" s="55">
        <v>1658.11</v>
      </c>
      <c r="D1107" s="55">
        <v>-61230.26</v>
      </c>
      <c r="E1107" t="s">
        <v>931</v>
      </c>
    </row>
    <row r="1108" spans="1:13" x14ac:dyDescent="0.25">
      <c r="A1108">
        <v>9059</v>
      </c>
      <c r="B1108" t="s">
        <v>1603</v>
      </c>
      <c r="C1108" s="55">
        <v>1646.34</v>
      </c>
      <c r="D1108" s="55">
        <v>-2208527.06</v>
      </c>
      <c r="E1108" t="s">
        <v>931</v>
      </c>
    </row>
    <row r="1109" spans="1:13" x14ac:dyDescent="0.25">
      <c r="A1109">
        <v>15872</v>
      </c>
      <c r="B1109" t="s">
        <v>736</v>
      </c>
      <c r="C1109" s="55">
        <v>1644.99</v>
      </c>
      <c r="D1109" s="55">
        <v>-284701.63</v>
      </c>
      <c r="E1109" t="s">
        <v>931</v>
      </c>
    </row>
    <row r="1110" spans="1:13" x14ac:dyDescent="0.25">
      <c r="A1110">
        <v>316927</v>
      </c>
      <c r="B1110" t="s">
        <v>1604</v>
      </c>
      <c r="C1110" s="55">
        <v>1592.84</v>
      </c>
      <c r="D1110" t="s">
        <v>845</v>
      </c>
      <c r="E1110" t="s">
        <v>930</v>
      </c>
    </row>
    <row r="1111" spans="1:13" x14ac:dyDescent="0.25">
      <c r="A1111">
        <v>308728</v>
      </c>
      <c r="B1111" t="s">
        <v>1605</v>
      </c>
      <c r="C1111" s="55">
        <v>1509.73</v>
      </c>
      <c r="D1111" t="s">
        <v>845</v>
      </c>
      <c r="E1111" t="s">
        <v>930</v>
      </c>
    </row>
    <row r="1112" spans="1:13" x14ac:dyDescent="0.25">
      <c r="A1112">
        <v>73239</v>
      </c>
      <c r="B1112" t="s">
        <v>1606</v>
      </c>
      <c r="C1112" s="55">
        <v>1500.2</v>
      </c>
      <c r="D1112" t="s">
        <v>845</v>
      </c>
      <c r="E1112" t="s">
        <v>930</v>
      </c>
    </row>
    <row r="1113" spans="1:13" x14ac:dyDescent="0.25">
      <c r="A1113">
        <v>98137</v>
      </c>
      <c r="B1113" t="s">
        <v>714</v>
      </c>
      <c r="C1113" s="55">
        <v>1491.54</v>
      </c>
      <c r="D1113" s="55">
        <v>-61906.95</v>
      </c>
      <c r="E1113" t="s">
        <v>931</v>
      </c>
    </row>
    <row r="1114" spans="1:13" x14ac:dyDescent="0.25">
      <c r="A1114">
        <v>823</v>
      </c>
      <c r="B1114" t="s">
        <v>1607</v>
      </c>
      <c r="C1114" s="55">
        <v>1481.22</v>
      </c>
      <c r="D1114" s="55">
        <v>-315349.96000000002</v>
      </c>
      <c r="E1114" t="s">
        <v>931</v>
      </c>
    </row>
    <row r="1115" spans="1:13" x14ac:dyDescent="0.25">
      <c r="A1115">
        <v>321273</v>
      </c>
      <c r="B1115" t="s">
        <v>1608</v>
      </c>
      <c r="C1115" s="55">
        <v>1445.38</v>
      </c>
      <c r="D1115" s="55">
        <v>-104675.89</v>
      </c>
      <c r="E1115" t="s">
        <v>931</v>
      </c>
    </row>
    <row r="1116" spans="1:13" x14ac:dyDescent="0.25">
      <c r="A1116">
        <v>48439</v>
      </c>
      <c r="B1116" t="s">
        <v>1609</v>
      </c>
      <c r="C1116" s="55">
        <v>1434</v>
      </c>
      <c r="D1116" s="55">
        <v>-288287.48</v>
      </c>
      <c r="E1116" t="s">
        <v>931</v>
      </c>
    </row>
    <row r="1117" spans="1:13" x14ac:dyDescent="0.25">
      <c r="A1117">
        <v>97485</v>
      </c>
      <c r="B1117" t="s">
        <v>1610</v>
      </c>
      <c r="C1117" s="55">
        <v>1431.99</v>
      </c>
      <c r="D1117" s="55">
        <v>-24459.51</v>
      </c>
      <c r="E1117" t="s">
        <v>931</v>
      </c>
      <c r="M1117" t="s">
        <v>932</v>
      </c>
    </row>
    <row r="1118" spans="1:13" x14ac:dyDescent="0.25">
      <c r="A1118">
        <v>83451</v>
      </c>
      <c r="B1118" t="s">
        <v>1611</v>
      </c>
      <c r="C1118" s="55">
        <v>1410.75</v>
      </c>
      <c r="D1118" t="s">
        <v>845</v>
      </c>
      <c r="E1118" t="s">
        <v>930</v>
      </c>
    </row>
    <row r="1119" spans="1:13" x14ac:dyDescent="0.25">
      <c r="A1119">
        <v>24339</v>
      </c>
      <c r="B1119" t="s">
        <v>1612</v>
      </c>
      <c r="C1119" s="55">
        <v>1401.33</v>
      </c>
      <c r="D1119" t="s">
        <v>845</v>
      </c>
      <c r="E1119" t="s">
        <v>930</v>
      </c>
    </row>
    <row r="1120" spans="1:13" x14ac:dyDescent="0.25">
      <c r="A1120">
        <v>24816</v>
      </c>
      <c r="B1120" t="s">
        <v>1613</v>
      </c>
      <c r="C1120" s="55">
        <v>1393.77</v>
      </c>
      <c r="D1120" t="s">
        <v>845</v>
      </c>
      <c r="E1120" t="s">
        <v>930</v>
      </c>
    </row>
    <row r="1121" spans="1:14" x14ac:dyDescent="0.25">
      <c r="A1121">
        <v>21131</v>
      </c>
      <c r="B1121" t="s">
        <v>1614</v>
      </c>
      <c r="C1121" s="55">
        <v>1324.05</v>
      </c>
      <c r="D1121" t="s">
        <v>845</v>
      </c>
      <c r="E1121" t="s">
        <v>930</v>
      </c>
    </row>
    <row r="1122" spans="1:14" x14ac:dyDescent="0.25">
      <c r="A1122">
        <v>14679</v>
      </c>
      <c r="B1122" t="s">
        <v>1615</v>
      </c>
      <c r="C1122" s="55">
        <v>1204.18</v>
      </c>
      <c r="D1122" s="55">
        <v>-139877.29</v>
      </c>
      <c r="E1122" t="s">
        <v>931</v>
      </c>
    </row>
    <row r="1123" spans="1:14" x14ac:dyDescent="0.25">
      <c r="A1123">
        <v>23960</v>
      </c>
      <c r="B1123" t="s">
        <v>1616</v>
      </c>
      <c r="C1123" s="55">
        <v>1171.08</v>
      </c>
      <c r="D1123" s="55">
        <v>-94422.52</v>
      </c>
      <c r="E1123" t="s">
        <v>931</v>
      </c>
    </row>
    <row r="1124" spans="1:14" x14ac:dyDescent="0.25">
      <c r="A1124">
        <v>28969</v>
      </c>
      <c r="B1124" t="s">
        <v>1617</v>
      </c>
      <c r="C1124" s="55">
        <v>1106.46</v>
      </c>
      <c r="D1124" s="55">
        <v>-230928.83</v>
      </c>
      <c r="E1124" t="s">
        <v>931</v>
      </c>
    </row>
    <row r="1125" spans="1:14" x14ac:dyDescent="0.25">
      <c r="A1125">
        <v>1629</v>
      </c>
      <c r="B1125" t="s">
        <v>1618</v>
      </c>
      <c r="C1125" s="55">
        <v>1068.29</v>
      </c>
      <c r="D1125" s="55">
        <v>-187646.46</v>
      </c>
      <c r="E1125" t="s">
        <v>931</v>
      </c>
    </row>
    <row r="1126" spans="1:14" x14ac:dyDescent="0.25">
      <c r="A1126">
        <v>15107</v>
      </c>
      <c r="B1126" t="s">
        <v>1619</v>
      </c>
      <c r="C1126" s="55">
        <v>1025.1400000000001</v>
      </c>
      <c r="D1126" s="55">
        <v>-7556.24</v>
      </c>
      <c r="E1126" t="s">
        <v>931</v>
      </c>
    </row>
    <row r="1127" spans="1:14" x14ac:dyDescent="0.25">
      <c r="A1127">
        <v>20822</v>
      </c>
      <c r="B1127" t="s">
        <v>1620</v>
      </c>
      <c r="C1127">
        <v>987.94</v>
      </c>
      <c r="D1127" s="55">
        <v>-24829.18</v>
      </c>
      <c r="E1127" t="s">
        <v>931</v>
      </c>
    </row>
    <row r="1128" spans="1:14" x14ac:dyDescent="0.25">
      <c r="A1128">
        <v>92676</v>
      </c>
      <c r="B1128" t="s">
        <v>1621</v>
      </c>
      <c r="C1128">
        <v>933.06</v>
      </c>
      <c r="D1128" s="55">
        <v>23991.58</v>
      </c>
      <c r="E1128" t="s">
        <v>948</v>
      </c>
    </row>
    <row r="1129" spans="1:14" x14ac:dyDescent="0.25">
      <c r="A1129">
        <v>25048</v>
      </c>
      <c r="B1129" t="s">
        <v>1622</v>
      </c>
      <c r="C1129">
        <v>886.52</v>
      </c>
      <c r="D1129" t="s">
        <v>845</v>
      </c>
      <c r="E1129" t="s">
        <v>930</v>
      </c>
    </row>
    <row r="1130" spans="1:14" x14ac:dyDescent="0.25">
      <c r="A1130">
        <v>320408</v>
      </c>
      <c r="B1130" t="s">
        <v>1623</v>
      </c>
      <c r="C1130">
        <v>859.42</v>
      </c>
      <c r="D1130" s="55">
        <v>-32725.5</v>
      </c>
      <c r="E1130" t="s">
        <v>931</v>
      </c>
    </row>
    <row r="1131" spans="1:14" x14ac:dyDescent="0.25">
      <c r="A1131">
        <v>28639</v>
      </c>
      <c r="B1131" t="s">
        <v>1624</v>
      </c>
      <c r="C1131">
        <v>813.16</v>
      </c>
      <c r="D1131" s="55">
        <v>-110460.22</v>
      </c>
      <c r="E1131" t="s">
        <v>931</v>
      </c>
      <c r="M1131" t="s">
        <v>137</v>
      </c>
      <c r="N1131" t="s">
        <v>928</v>
      </c>
    </row>
    <row r="1132" spans="1:14" x14ac:dyDescent="0.25">
      <c r="A1132">
        <v>332692</v>
      </c>
      <c r="B1132" t="s">
        <v>1625</v>
      </c>
      <c r="C1132">
        <v>811.9</v>
      </c>
      <c r="D1132" s="55">
        <v>-12397</v>
      </c>
      <c r="E1132" t="s">
        <v>931</v>
      </c>
    </row>
    <row r="1133" spans="1:14" x14ac:dyDescent="0.25">
      <c r="A1133">
        <v>13211</v>
      </c>
      <c r="B1133" t="s">
        <v>1142</v>
      </c>
      <c r="C1133">
        <v>804.33</v>
      </c>
      <c r="D1133" s="55">
        <v>-3728933.28</v>
      </c>
      <c r="E1133" t="s">
        <v>931</v>
      </c>
    </row>
    <row r="1134" spans="1:14" x14ac:dyDescent="0.25">
      <c r="A1134">
        <v>374272</v>
      </c>
      <c r="B1134" t="s">
        <v>1626</v>
      </c>
      <c r="C1134">
        <v>803.3</v>
      </c>
      <c r="D1134" s="55">
        <v>-92519.64</v>
      </c>
      <c r="E1134" t="s">
        <v>931</v>
      </c>
    </row>
    <row r="1135" spans="1:14" x14ac:dyDescent="0.25">
      <c r="A1135">
        <v>388736</v>
      </c>
      <c r="B1135" t="s">
        <v>609</v>
      </c>
      <c r="C1135">
        <v>785.48</v>
      </c>
      <c r="D1135" s="55">
        <v>-64731.53</v>
      </c>
      <c r="E1135" t="s">
        <v>931</v>
      </c>
    </row>
    <row r="1136" spans="1:14" x14ac:dyDescent="0.25">
      <c r="A1136">
        <v>24795</v>
      </c>
      <c r="B1136" t="s">
        <v>1627</v>
      </c>
      <c r="C1136">
        <v>784.49</v>
      </c>
      <c r="D1136" t="s">
        <v>845</v>
      </c>
      <c r="E1136" t="s">
        <v>930</v>
      </c>
    </row>
    <row r="1137" spans="1:5" x14ac:dyDescent="0.25">
      <c r="A1137">
        <v>374702</v>
      </c>
      <c r="B1137" t="s">
        <v>1628</v>
      </c>
      <c r="C1137">
        <v>739.06</v>
      </c>
      <c r="D1137" s="55">
        <v>-37046.879999999997</v>
      </c>
      <c r="E1137" t="s">
        <v>931</v>
      </c>
    </row>
    <row r="1138" spans="1:5" x14ac:dyDescent="0.25">
      <c r="A1138">
        <v>13675</v>
      </c>
      <c r="B1138" t="s">
        <v>1629</v>
      </c>
      <c r="C1138">
        <v>717.33</v>
      </c>
      <c r="D1138" s="55">
        <v>-39741.11</v>
      </c>
      <c r="E1138" t="s">
        <v>931</v>
      </c>
    </row>
    <row r="1139" spans="1:5" x14ac:dyDescent="0.25">
      <c r="A1139">
        <v>21665</v>
      </c>
      <c r="B1139" t="s">
        <v>1630</v>
      </c>
      <c r="C1139">
        <v>712.47</v>
      </c>
      <c r="D1139" t="s">
        <v>845</v>
      </c>
      <c r="E1139" t="s">
        <v>930</v>
      </c>
    </row>
    <row r="1140" spans="1:5" x14ac:dyDescent="0.25">
      <c r="A1140">
        <v>324871</v>
      </c>
      <c r="B1140" t="s">
        <v>1631</v>
      </c>
      <c r="C1140">
        <v>673.47</v>
      </c>
      <c r="D1140" s="55">
        <v>-2904.86</v>
      </c>
      <c r="E1140" t="s">
        <v>931</v>
      </c>
    </row>
    <row r="1141" spans="1:5" x14ac:dyDescent="0.25">
      <c r="A1141">
        <v>62828</v>
      </c>
      <c r="B1141" t="s">
        <v>1632</v>
      </c>
      <c r="C1141">
        <v>648.12</v>
      </c>
      <c r="D1141" s="55">
        <v>-95900.03</v>
      </c>
      <c r="E1141" t="s">
        <v>931</v>
      </c>
    </row>
    <row r="1142" spans="1:5" x14ac:dyDescent="0.25">
      <c r="A1142">
        <v>10678</v>
      </c>
      <c r="B1142" t="s">
        <v>717</v>
      </c>
      <c r="C1142">
        <v>604.44000000000005</v>
      </c>
      <c r="D1142" s="55">
        <v>-48533.02</v>
      </c>
      <c r="E1142" t="s">
        <v>931</v>
      </c>
    </row>
    <row r="1143" spans="1:5" x14ac:dyDescent="0.25">
      <c r="A1143">
        <v>19592</v>
      </c>
      <c r="B1143" t="s">
        <v>1633</v>
      </c>
      <c r="C1143">
        <v>599.70000000000005</v>
      </c>
      <c r="D1143" s="55">
        <v>-439172.57</v>
      </c>
      <c r="E1143" t="s">
        <v>931</v>
      </c>
    </row>
    <row r="1144" spans="1:5" x14ac:dyDescent="0.25">
      <c r="A1144">
        <v>387654</v>
      </c>
      <c r="B1144" t="s">
        <v>1634</v>
      </c>
      <c r="C1144">
        <v>573.69000000000005</v>
      </c>
      <c r="D1144" s="55">
        <v>-296741</v>
      </c>
      <c r="E1144" t="s">
        <v>931</v>
      </c>
    </row>
    <row r="1145" spans="1:5" x14ac:dyDescent="0.25">
      <c r="A1145">
        <v>20835</v>
      </c>
      <c r="B1145" t="s">
        <v>1635</v>
      </c>
      <c r="C1145">
        <v>554.08000000000004</v>
      </c>
      <c r="D1145" s="55">
        <v>240470.89</v>
      </c>
      <c r="E1145" t="s">
        <v>948</v>
      </c>
    </row>
    <row r="1146" spans="1:5" x14ac:dyDescent="0.25">
      <c r="A1146">
        <v>20968</v>
      </c>
      <c r="B1146" t="s">
        <v>1636</v>
      </c>
      <c r="C1146">
        <v>545.33000000000004</v>
      </c>
      <c r="D1146" t="s">
        <v>845</v>
      </c>
      <c r="E1146" t="s">
        <v>930</v>
      </c>
    </row>
    <row r="1147" spans="1:5" x14ac:dyDescent="0.25">
      <c r="A1147">
        <v>133</v>
      </c>
      <c r="B1147" t="s">
        <v>1637</v>
      </c>
      <c r="C1147">
        <v>541.88</v>
      </c>
      <c r="D1147" s="55">
        <v>-276528.36</v>
      </c>
      <c r="E1147" t="s">
        <v>931</v>
      </c>
    </row>
    <row r="1148" spans="1:5" x14ac:dyDescent="0.25">
      <c r="A1148">
        <v>774</v>
      </c>
      <c r="B1148" t="s">
        <v>1638</v>
      </c>
      <c r="C1148">
        <v>495.77</v>
      </c>
      <c r="D1148" s="55">
        <v>-6796.45</v>
      </c>
      <c r="E1148" t="s">
        <v>931</v>
      </c>
    </row>
    <row r="1149" spans="1:5" x14ac:dyDescent="0.25">
      <c r="A1149">
        <v>316323</v>
      </c>
      <c r="B1149" t="s">
        <v>1639</v>
      </c>
      <c r="C1149">
        <v>493.7</v>
      </c>
      <c r="D1149" s="55">
        <v>-523991.06</v>
      </c>
      <c r="E1149" t="s">
        <v>931</v>
      </c>
    </row>
    <row r="1150" spans="1:5" x14ac:dyDescent="0.25">
      <c r="A1150">
        <v>24764</v>
      </c>
      <c r="B1150" t="s">
        <v>1640</v>
      </c>
      <c r="C1150">
        <v>487.76</v>
      </c>
      <c r="D1150" t="s">
        <v>845</v>
      </c>
      <c r="E1150" t="s">
        <v>930</v>
      </c>
    </row>
    <row r="1151" spans="1:5" x14ac:dyDescent="0.25">
      <c r="A1151">
        <v>21149</v>
      </c>
      <c r="B1151" t="s">
        <v>1641</v>
      </c>
      <c r="C1151">
        <v>482.71</v>
      </c>
      <c r="D1151" t="s">
        <v>845</v>
      </c>
      <c r="E1151" t="s">
        <v>930</v>
      </c>
    </row>
    <row r="1152" spans="1:5" x14ac:dyDescent="0.25">
      <c r="A1152">
        <v>5019</v>
      </c>
      <c r="B1152" t="s">
        <v>1642</v>
      </c>
      <c r="C1152">
        <v>478.89</v>
      </c>
      <c r="D1152" s="55">
        <v>-227819.08</v>
      </c>
      <c r="E1152" t="s">
        <v>931</v>
      </c>
    </row>
    <row r="1153" spans="1:5" x14ac:dyDescent="0.25">
      <c r="A1153">
        <v>25437</v>
      </c>
      <c r="B1153" t="s">
        <v>1643</v>
      </c>
      <c r="C1153">
        <v>475.48</v>
      </c>
      <c r="D1153" s="55">
        <v>-308946.3</v>
      </c>
      <c r="E1153" t="s">
        <v>931</v>
      </c>
    </row>
    <row r="1154" spans="1:5" x14ac:dyDescent="0.25">
      <c r="A1154">
        <v>18087</v>
      </c>
      <c r="B1154" t="s">
        <v>724</v>
      </c>
      <c r="C1154">
        <v>448.02</v>
      </c>
      <c r="D1154" s="55">
        <v>-656582.21</v>
      </c>
      <c r="E1154" t="s">
        <v>931</v>
      </c>
    </row>
    <row r="1155" spans="1:5" x14ac:dyDescent="0.25">
      <c r="A1155">
        <v>531</v>
      </c>
      <c r="B1155" t="s">
        <v>1644</v>
      </c>
      <c r="C1155">
        <v>432.79</v>
      </c>
      <c r="D1155" s="55">
        <v>-30405.96</v>
      </c>
      <c r="E1155" t="s">
        <v>931</v>
      </c>
    </row>
    <row r="1156" spans="1:5" x14ac:dyDescent="0.25">
      <c r="A1156">
        <v>14799</v>
      </c>
      <c r="B1156" t="s">
        <v>1645</v>
      </c>
      <c r="C1156">
        <v>429.88</v>
      </c>
      <c r="D1156" s="55">
        <v>-421069.9</v>
      </c>
      <c r="E1156" t="s">
        <v>931</v>
      </c>
    </row>
    <row r="1157" spans="1:5" x14ac:dyDescent="0.25">
      <c r="A1157">
        <v>1714</v>
      </c>
      <c r="B1157" t="s">
        <v>1646</v>
      </c>
      <c r="C1157">
        <v>425.98</v>
      </c>
      <c r="D1157" s="55">
        <v>-99104.26</v>
      </c>
      <c r="E1157" t="s">
        <v>931</v>
      </c>
    </row>
    <row r="1158" spans="1:5" x14ac:dyDescent="0.25">
      <c r="A1158">
        <v>15917</v>
      </c>
      <c r="B1158" t="s">
        <v>1647</v>
      </c>
      <c r="C1158">
        <v>404.59</v>
      </c>
      <c r="D1158" s="55">
        <v>21677.54</v>
      </c>
      <c r="E1158" t="s">
        <v>948</v>
      </c>
    </row>
    <row r="1159" spans="1:5" x14ac:dyDescent="0.25">
      <c r="A1159">
        <v>320937</v>
      </c>
      <c r="B1159" t="s">
        <v>1648</v>
      </c>
      <c r="C1159">
        <v>400.88</v>
      </c>
      <c r="D1159" t="s">
        <v>845</v>
      </c>
      <c r="E1159" t="s">
        <v>930</v>
      </c>
    </row>
    <row r="1160" spans="1:5" x14ac:dyDescent="0.25">
      <c r="A1160">
        <v>320176</v>
      </c>
      <c r="B1160" t="s">
        <v>1649</v>
      </c>
      <c r="C1160">
        <v>398.62</v>
      </c>
      <c r="D1160" s="55">
        <v>-24575.94</v>
      </c>
      <c r="E1160" t="s">
        <v>931</v>
      </c>
    </row>
    <row r="1161" spans="1:5" x14ac:dyDescent="0.25">
      <c r="A1161">
        <v>20140</v>
      </c>
      <c r="B1161" t="s">
        <v>1650</v>
      </c>
      <c r="C1161">
        <v>393.57</v>
      </c>
      <c r="D1161" s="55">
        <v>-13266.46</v>
      </c>
      <c r="E1161" t="s">
        <v>931</v>
      </c>
    </row>
    <row r="1162" spans="1:5" x14ac:dyDescent="0.25">
      <c r="A1162">
        <v>11939</v>
      </c>
      <c r="B1162" t="s">
        <v>1651</v>
      </c>
      <c r="C1162">
        <v>381.59</v>
      </c>
      <c r="D1162">
        <v>-889.56</v>
      </c>
      <c r="E1162" t="s">
        <v>931</v>
      </c>
    </row>
    <row r="1163" spans="1:5" x14ac:dyDescent="0.25">
      <c r="A1163">
        <v>25183</v>
      </c>
      <c r="B1163" t="s">
        <v>1652</v>
      </c>
      <c r="C1163">
        <v>364.57</v>
      </c>
      <c r="D1163" t="s">
        <v>845</v>
      </c>
      <c r="E1163" t="s">
        <v>930</v>
      </c>
    </row>
    <row r="1164" spans="1:5" x14ac:dyDescent="0.25">
      <c r="A1164">
        <v>57083</v>
      </c>
      <c r="B1164" t="s">
        <v>1653</v>
      </c>
      <c r="C1164">
        <v>355.95</v>
      </c>
      <c r="D1164" s="55">
        <v>-652524.09</v>
      </c>
      <c r="E1164" t="s">
        <v>931</v>
      </c>
    </row>
    <row r="1165" spans="1:5" x14ac:dyDescent="0.25">
      <c r="A1165">
        <v>78337</v>
      </c>
      <c r="B1165" t="s">
        <v>1654</v>
      </c>
      <c r="C1165">
        <v>334.87</v>
      </c>
      <c r="D1165" t="s">
        <v>845</v>
      </c>
      <c r="E1165" t="s">
        <v>930</v>
      </c>
    </row>
    <row r="1166" spans="1:5" x14ac:dyDescent="0.25">
      <c r="A1166">
        <v>20267</v>
      </c>
      <c r="B1166" t="s">
        <v>1655</v>
      </c>
      <c r="C1166">
        <v>326.83999999999997</v>
      </c>
      <c r="D1166" t="s">
        <v>845</v>
      </c>
      <c r="E1166" t="s">
        <v>930</v>
      </c>
    </row>
    <row r="1167" spans="1:5" x14ac:dyDescent="0.25">
      <c r="A1167">
        <v>308662</v>
      </c>
      <c r="B1167" t="s">
        <v>1656</v>
      </c>
      <c r="C1167">
        <v>324.05</v>
      </c>
      <c r="D1167" s="55">
        <v>-81799.990000000005</v>
      </c>
      <c r="E1167" t="s">
        <v>931</v>
      </c>
    </row>
    <row r="1168" spans="1:5" x14ac:dyDescent="0.25">
      <c r="A1168">
        <v>390393</v>
      </c>
      <c r="B1168" t="s">
        <v>1657</v>
      </c>
      <c r="C1168">
        <v>318.37</v>
      </c>
      <c r="D1168" s="55">
        <v>-289821.12</v>
      </c>
      <c r="E1168" t="s">
        <v>931</v>
      </c>
    </row>
    <row r="1169" spans="1:14" x14ac:dyDescent="0.25">
      <c r="A1169">
        <v>392142</v>
      </c>
      <c r="B1169" t="s">
        <v>1658</v>
      </c>
      <c r="C1169">
        <v>316.27</v>
      </c>
      <c r="D1169" s="55">
        <v>-83704.03</v>
      </c>
      <c r="E1169" t="s">
        <v>931</v>
      </c>
    </row>
    <row r="1170" spans="1:14" x14ac:dyDescent="0.25">
      <c r="A1170">
        <v>21746</v>
      </c>
      <c r="B1170" t="s">
        <v>1659</v>
      </c>
      <c r="C1170">
        <v>299.24</v>
      </c>
      <c r="D1170" t="s">
        <v>845</v>
      </c>
      <c r="E1170" t="s">
        <v>930</v>
      </c>
    </row>
    <row r="1171" spans="1:14" x14ac:dyDescent="0.25">
      <c r="A1171">
        <v>388587</v>
      </c>
      <c r="B1171" t="s">
        <v>1660</v>
      </c>
      <c r="C1171">
        <v>286.97000000000003</v>
      </c>
      <c r="D1171" t="s">
        <v>845</v>
      </c>
      <c r="E1171" t="s">
        <v>930</v>
      </c>
    </row>
    <row r="1172" spans="1:14" x14ac:dyDescent="0.25">
      <c r="A1172">
        <v>21241</v>
      </c>
      <c r="B1172" t="s">
        <v>1661</v>
      </c>
      <c r="C1172">
        <v>273.56</v>
      </c>
      <c r="D1172" t="s">
        <v>845</v>
      </c>
      <c r="E1172" t="s">
        <v>930</v>
      </c>
    </row>
    <row r="1173" spans="1:14" x14ac:dyDescent="0.25">
      <c r="A1173">
        <v>228163</v>
      </c>
      <c r="B1173" t="s">
        <v>725</v>
      </c>
      <c r="C1173">
        <v>250.24</v>
      </c>
      <c r="D1173" s="55">
        <v>-3294209.93</v>
      </c>
      <c r="E1173" t="s">
        <v>931</v>
      </c>
      <c r="M1173" t="s">
        <v>162</v>
      </c>
      <c r="N1173" t="s">
        <v>928</v>
      </c>
    </row>
    <row r="1174" spans="1:14" x14ac:dyDescent="0.25">
      <c r="A1174">
        <v>321836</v>
      </c>
      <c r="B1174" t="s">
        <v>1662</v>
      </c>
      <c r="C1174">
        <v>243.08</v>
      </c>
      <c r="D1174" s="55">
        <v>-484745.4</v>
      </c>
      <c r="E1174" t="s">
        <v>931</v>
      </c>
    </row>
    <row r="1175" spans="1:14" x14ac:dyDescent="0.25">
      <c r="A1175">
        <v>86348</v>
      </c>
      <c r="B1175" t="s">
        <v>1663</v>
      </c>
      <c r="C1175">
        <v>236.4</v>
      </c>
      <c r="D1175">
        <v>-811.01</v>
      </c>
      <c r="E1175" t="s">
        <v>931</v>
      </c>
    </row>
    <row r="1176" spans="1:14" x14ac:dyDescent="0.25">
      <c r="A1176">
        <v>34298</v>
      </c>
      <c r="B1176" t="s">
        <v>1664</v>
      </c>
      <c r="C1176">
        <v>215.74</v>
      </c>
      <c r="D1176" s="55">
        <v>-214084.33</v>
      </c>
      <c r="E1176" t="s">
        <v>931</v>
      </c>
    </row>
    <row r="1177" spans="1:14" x14ac:dyDescent="0.25">
      <c r="A1177">
        <v>7316</v>
      </c>
      <c r="B1177" t="s">
        <v>1665</v>
      </c>
      <c r="C1177">
        <v>191.21</v>
      </c>
      <c r="D1177" s="55">
        <v>-252401.43</v>
      </c>
      <c r="E1177" t="s">
        <v>931</v>
      </c>
    </row>
    <row r="1178" spans="1:14" x14ac:dyDescent="0.25">
      <c r="A1178">
        <v>2717</v>
      </c>
      <c r="B1178" t="s">
        <v>699</v>
      </c>
      <c r="C1178">
        <v>180.59</v>
      </c>
      <c r="D1178" s="55">
        <v>-102151.7</v>
      </c>
      <c r="E1178" t="s">
        <v>931</v>
      </c>
    </row>
    <row r="1179" spans="1:14" x14ac:dyDescent="0.25">
      <c r="A1179">
        <v>15226</v>
      </c>
      <c r="B1179" t="s">
        <v>1666</v>
      </c>
      <c r="C1179">
        <v>169.44</v>
      </c>
      <c r="D1179" s="55">
        <v>-151618.41</v>
      </c>
      <c r="E1179" t="s">
        <v>931</v>
      </c>
    </row>
    <row r="1180" spans="1:14" x14ac:dyDescent="0.25">
      <c r="A1180">
        <v>32243</v>
      </c>
      <c r="B1180" t="s">
        <v>1667</v>
      </c>
      <c r="C1180">
        <v>157.54</v>
      </c>
      <c r="D1180" s="55">
        <v>-6979.76</v>
      </c>
      <c r="E1180" t="s">
        <v>931</v>
      </c>
    </row>
    <row r="1181" spans="1:14" x14ac:dyDescent="0.25">
      <c r="A1181">
        <v>74179</v>
      </c>
      <c r="B1181" t="s">
        <v>1668</v>
      </c>
      <c r="C1181">
        <v>142.5</v>
      </c>
      <c r="D1181" t="s">
        <v>845</v>
      </c>
      <c r="E1181" t="s">
        <v>930</v>
      </c>
    </row>
    <row r="1182" spans="1:14" x14ac:dyDescent="0.25">
      <c r="A1182">
        <v>18502</v>
      </c>
      <c r="B1182" t="s">
        <v>1669</v>
      </c>
      <c r="C1182">
        <v>123.83</v>
      </c>
      <c r="D1182" t="s">
        <v>845</v>
      </c>
      <c r="E1182" t="s">
        <v>930</v>
      </c>
    </row>
    <row r="1183" spans="1:14" x14ac:dyDescent="0.25">
      <c r="A1183">
        <v>21401</v>
      </c>
      <c r="B1183" t="s">
        <v>1670</v>
      </c>
      <c r="C1183">
        <v>115.87</v>
      </c>
      <c r="D1183" s="55">
        <v>-5779</v>
      </c>
      <c r="E1183" t="s">
        <v>931</v>
      </c>
    </row>
    <row r="1184" spans="1:14" x14ac:dyDescent="0.25">
      <c r="A1184">
        <v>41590</v>
      </c>
      <c r="B1184" t="s">
        <v>1671</v>
      </c>
      <c r="C1184">
        <v>107.88</v>
      </c>
      <c r="D1184" s="55">
        <v>-4122.16</v>
      </c>
      <c r="E1184" t="s">
        <v>931</v>
      </c>
    </row>
    <row r="1185" spans="1:5" x14ac:dyDescent="0.25">
      <c r="A1185">
        <v>21783</v>
      </c>
      <c r="B1185" t="s">
        <v>695</v>
      </c>
      <c r="C1185">
        <v>87.6</v>
      </c>
      <c r="D1185" s="55">
        <v>-288368.53999999998</v>
      </c>
      <c r="E1185" t="s">
        <v>931</v>
      </c>
    </row>
    <row r="1186" spans="1:5" x14ac:dyDescent="0.25">
      <c r="A1186">
        <v>21177</v>
      </c>
      <c r="B1186" t="s">
        <v>1672</v>
      </c>
      <c r="C1186">
        <v>58.23</v>
      </c>
      <c r="D1186" s="55">
        <v>386437.83</v>
      </c>
      <c r="E1186" t="s">
        <v>948</v>
      </c>
    </row>
    <row r="1187" spans="1:5" x14ac:dyDescent="0.25">
      <c r="A1187">
        <v>49429</v>
      </c>
      <c r="B1187" t="s">
        <v>1673</v>
      </c>
      <c r="C1187">
        <v>56.17</v>
      </c>
      <c r="D1187" s="55">
        <v>53635.16</v>
      </c>
      <c r="E1187" t="s">
        <v>948</v>
      </c>
    </row>
    <row r="1188" spans="1:5" x14ac:dyDescent="0.25">
      <c r="A1188">
        <v>20346</v>
      </c>
      <c r="B1188" t="s">
        <v>1674</v>
      </c>
      <c r="C1188">
        <v>42.07</v>
      </c>
      <c r="D1188" s="55">
        <v>-222563.99</v>
      </c>
      <c r="E1188" t="s">
        <v>931</v>
      </c>
    </row>
    <row r="1189" spans="1:5" x14ac:dyDescent="0.25">
      <c r="A1189">
        <v>337899</v>
      </c>
      <c r="B1189" t="s">
        <v>1675</v>
      </c>
      <c r="C1189">
        <v>40.729999999999997</v>
      </c>
      <c r="D1189" t="s">
        <v>845</v>
      </c>
      <c r="E1189" t="s">
        <v>930</v>
      </c>
    </row>
    <row r="1190" spans="1:5" x14ac:dyDescent="0.25">
      <c r="A1190">
        <v>395996</v>
      </c>
      <c r="B1190" t="s">
        <v>1676</v>
      </c>
      <c r="C1190">
        <v>38.5</v>
      </c>
      <c r="D1190" s="55">
        <v>-6176.47</v>
      </c>
      <c r="E1190" t="s">
        <v>931</v>
      </c>
    </row>
    <row r="1191" spans="1:5" x14ac:dyDescent="0.25">
      <c r="A1191">
        <v>24274</v>
      </c>
      <c r="B1191" t="s">
        <v>1677</v>
      </c>
      <c r="C1191">
        <v>32.18</v>
      </c>
      <c r="D1191" t="s">
        <v>845</v>
      </c>
      <c r="E1191" t="s">
        <v>930</v>
      </c>
    </row>
    <row r="1192" spans="1:5" x14ac:dyDescent="0.25">
      <c r="A1192">
        <v>9936</v>
      </c>
      <c r="B1192" t="s">
        <v>1678</v>
      </c>
      <c r="C1192">
        <v>26.66</v>
      </c>
      <c r="D1192" s="55">
        <v>-475034.96</v>
      </c>
      <c r="E1192" t="s">
        <v>931</v>
      </c>
    </row>
    <row r="1193" spans="1:5" x14ac:dyDescent="0.25">
      <c r="A1193">
        <v>21655</v>
      </c>
      <c r="B1193" t="s">
        <v>1679</v>
      </c>
      <c r="C1193">
        <v>20.83</v>
      </c>
      <c r="D1193" t="s">
        <v>845</v>
      </c>
      <c r="E1193" t="s">
        <v>930</v>
      </c>
    </row>
  </sheetData>
  <autoFilter ref="A1:N1" xr:uid="{2B2E4F68-5ABA-4D2C-94E4-DC2908A85128}"/>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021E4-DD4A-4C7F-BFFA-305AD087DC1E}">
  <dimension ref="A1:F483"/>
  <sheetViews>
    <sheetView workbookViewId="0">
      <selection activeCell="B33" sqref="B33"/>
    </sheetView>
  </sheetViews>
  <sheetFormatPr defaultColWidth="8.5703125" defaultRowHeight="16.350000000000001" customHeight="1" x14ac:dyDescent="0.25"/>
  <cols>
    <col min="1" max="1" width="15.5703125" bestFit="1" customWidth="1"/>
    <col min="2" max="2" width="47.42578125" customWidth="1"/>
    <col min="3" max="3" width="59.5703125" bestFit="1" customWidth="1"/>
    <col min="4" max="4" width="69.42578125" bestFit="1" customWidth="1"/>
    <col min="5" max="5" width="27.5703125" bestFit="1" customWidth="1"/>
    <col min="6" max="6" width="32.42578125" bestFit="1" customWidth="1"/>
  </cols>
  <sheetData>
    <row r="1" spans="1:6" ht="16.350000000000001" customHeight="1" x14ac:dyDescent="0.25">
      <c r="A1" s="34" t="s">
        <v>1680</v>
      </c>
      <c r="B1" s="34" t="s">
        <v>3</v>
      </c>
      <c r="C1" s="34" t="s">
        <v>1681</v>
      </c>
      <c r="D1" s="34" t="s">
        <v>1682</v>
      </c>
      <c r="E1" s="34" t="s">
        <v>1683</v>
      </c>
      <c r="F1" s="34" t="s">
        <v>1684</v>
      </c>
    </row>
    <row r="2" spans="1:6" ht="16.350000000000001" customHeight="1" x14ac:dyDescent="0.25">
      <c r="A2" s="35">
        <v>75390</v>
      </c>
      <c r="B2" s="35" t="s">
        <v>221</v>
      </c>
      <c r="C2" s="35" t="s">
        <v>1685</v>
      </c>
      <c r="D2" s="35" t="s">
        <v>1686</v>
      </c>
      <c r="E2" s="35" t="s">
        <v>1687</v>
      </c>
      <c r="F2" s="35" t="s">
        <v>737</v>
      </c>
    </row>
    <row r="3" spans="1:6" ht="16.350000000000001" customHeight="1" x14ac:dyDescent="0.25">
      <c r="A3" s="35">
        <v>64014</v>
      </c>
      <c r="B3" s="35" t="s">
        <v>300</v>
      </c>
      <c r="C3" s="35" t="s">
        <v>1688</v>
      </c>
      <c r="D3" s="35" t="s">
        <v>1689</v>
      </c>
      <c r="E3" s="35" t="s">
        <v>1687</v>
      </c>
      <c r="F3" s="35" t="s">
        <v>1690</v>
      </c>
    </row>
    <row r="4" spans="1:6" ht="16.350000000000001" customHeight="1" x14ac:dyDescent="0.25">
      <c r="A4" s="35">
        <v>77289</v>
      </c>
      <c r="B4" s="35" t="s">
        <v>610</v>
      </c>
      <c r="C4" s="35" t="s">
        <v>1691</v>
      </c>
      <c r="D4" s="35" t="s">
        <v>1692</v>
      </c>
      <c r="E4" s="35" t="s">
        <v>1687</v>
      </c>
      <c r="F4" s="35" t="s">
        <v>1693</v>
      </c>
    </row>
    <row r="5" spans="1:6" ht="16.350000000000001" customHeight="1" x14ac:dyDescent="0.25">
      <c r="A5" s="35">
        <v>66712</v>
      </c>
      <c r="B5" s="35" t="s">
        <v>1694</v>
      </c>
      <c r="C5" s="35" t="s">
        <v>1695</v>
      </c>
      <c r="D5" s="35" t="s">
        <v>1696</v>
      </c>
      <c r="E5" s="35" t="s">
        <v>1687</v>
      </c>
      <c r="F5" s="35" t="s">
        <v>737</v>
      </c>
    </row>
    <row r="6" spans="1:6" ht="16.350000000000001" customHeight="1" x14ac:dyDescent="0.25">
      <c r="A6" s="35">
        <v>1632</v>
      </c>
      <c r="B6" s="35" t="s">
        <v>1014</v>
      </c>
      <c r="C6" s="35" t="s">
        <v>1697</v>
      </c>
      <c r="D6" s="35" t="s">
        <v>1698</v>
      </c>
      <c r="E6" s="35" t="s">
        <v>1687</v>
      </c>
      <c r="F6" s="35" t="s">
        <v>737</v>
      </c>
    </row>
    <row r="7" spans="1:6" ht="16.350000000000001" customHeight="1" x14ac:dyDescent="0.25">
      <c r="A7" s="35">
        <v>64162</v>
      </c>
      <c r="B7" s="35" t="s">
        <v>1020</v>
      </c>
      <c r="C7" s="35" t="s">
        <v>1699</v>
      </c>
      <c r="D7" s="35" t="s">
        <v>1700</v>
      </c>
      <c r="E7" s="35" t="s">
        <v>1687</v>
      </c>
      <c r="F7" s="35" t="s">
        <v>1701</v>
      </c>
    </row>
    <row r="8" spans="1:6" ht="16.350000000000001" customHeight="1" x14ac:dyDescent="0.25">
      <c r="A8" s="35">
        <v>21943</v>
      </c>
      <c r="B8" s="35" t="s">
        <v>163</v>
      </c>
      <c r="C8" s="35" t="s">
        <v>1702</v>
      </c>
      <c r="D8" s="35" t="s">
        <v>1703</v>
      </c>
      <c r="E8" s="35" t="s">
        <v>1687</v>
      </c>
      <c r="F8" s="35" t="s">
        <v>737</v>
      </c>
    </row>
    <row r="9" spans="1:6" ht="16.350000000000001" customHeight="1" x14ac:dyDescent="0.25">
      <c r="A9" s="35">
        <v>97071</v>
      </c>
      <c r="B9" s="35" t="s">
        <v>368</v>
      </c>
      <c r="C9" s="35" t="s">
        <v>1704</v>
      </c>
      <c r="D9" s="35" t="s">
        <v>1704</v>
      </c>
      <c r="E9" s="35" t="s">
        <v>1687</v>
      </c>
      <c r="F9" s="35" t="s">
        <v>737</v>
      </c>
    </row>
    <row r="10" spans="1:6" ht="16.350000000000001" customHeight="1" x14ac:dyDescent="0.25">
      <c r="A10" s="35">
        <v>71159</v>
      </c>
      <c r="B10" s="35" t="s">
        <v>1705</v>
      </c>
      <c r="C10" s="35" t="s">
        <v>1706</v>
      </c>
      <c r="D10" s="35" t="s">
        <v>1707</v>
      </c>
      <c r="E10" s="35" t="s">
        <v>1687</v>
      </c>
      <c r="F10" s="35" t="s">
        <v>737</v>
      </c>
    </row>
    <row r="11" spans="1:6" ht="16.350000000000001" customHeight="1" x14ac:dyDescent="0.25">
      <c r="A11" s="35">
        <v>307985</v>
      </c>
      <c r="B11" s="35" t="s">
        <v>1708</v>
      </c>
      <c r="C11" s="35" t="s">
        <v>1709</v>
      </c>
      <c r="D11" s="35" t="s">
        <v>1710</v>
      </c>
      <c r="E11" s="35" t="s">
        <v>1687</v>
      </c>
      <c r="F11" s="35" t="s">
        <v>737</v>
      </c>
    </row>
    <row r="12" spans="1:6" ht="16.350000000000001" customHeight="1" x14ac:dyDescent="0.25">
      <c r="A12" s="35">
        <v>333344</v>
      </c>
      <c r="B12" s="35" t="s">
        <v>973</v>
      </c>
      <c r="C12" s="35" t="s">
        <v>737</v>
      </c>
      <c r="D12" s="35" t="s">
        <v>737</v>
      </c>
      <c r="E12" s="35" t="s">
        <v>737</v>
      </c>
      <c r="F12" s="35" t="s">
        <v>737</v>
      </c>
    </row>
    <row r="13" spans="1:6" ht="16.350000000000001" customHeight="1" x14ac:dyDescent="0.25">
      <c r="A13" s="35">
        <v>397984</v>
      </c>
      <c r="B13" s="35" t="s">
        <v>237</v>
      </c>
      <c r="C13" s="35" t="s">
        <v>1711</v>
      </c>
      <c r="D13" s="35" t="s">
        <v>1712</v>
      </c>
      <c r="E13" s="35" t="s">
        <v>1687</v>
      </c>
      <c r="F13" s="35" t="s">
        <v>737</v>
      </c>
    </row>
    <row r="14" spans="1:6" ht="16.350000000000001" customHeight="1" x14ac:dyDescent="0.25">
      <c r="A14" s="35">
        <v>395053</v>
      </c>
      <c r="B14" s="35" t="s">
        <v>524</v>
      </c>
      <c r="C14" s="35" t="s">
        <v>1713</v>
      </c>
      <c r="D14" s="35" t="s">
        <v>1714</v>
      </c>
      <c r="E14" s="35" t="s">
        <v>1687</v>
      </c>
      <c r="F14" s="35" t="s">
        <v>737</v>
      </c>
    </row>
    <row r="15" spans="1:6" ht="16.350000000000001" customHeight="1" x14ac:dyDescent="0.25">
      <c r="A15" s="35">
        <v>1024</v>
      </c>
      <c r="B15" s="35" t="s">
        <v>1210</v>
      </c>
      <c r="C15" s="35" t="s">
        <v>1715</v>
      </c>
      <c r="D15" s="35" t="s">
        <v>1716</v>
      </c>
      <c r="E15" s="35" t="s">
        <v>1687</v>
      </c>
      <c r="F15" s="35" t="s">
        <v>737</v>
      </c>
    </row>
    <row r="16" spans="1:6" ht="16.350000000000001" customHeight="1" x14ac:dyDescent="0.25">
      <c r="A16" s="35">
        <v>210872</v>
      </c>
      <c r="B16" s="35" t="s">
        <v>1717</v>
      </c>
      <c r="C16" s="35" t="s">
        <v>1718</v>
      </c>
      <c r="D16" s="35" t="s">
        <v>1719</v>
      </c>
      <c r="E16" s="35" t="s">
        <v>1687</v>
      </c>
      <c r="F16" s="35" t="s">
        <v>737</v>
      </c>
    </row>
    <row r="17" spans="1:6" ht="16.350000000000001" customHeight="1" x14ac:dyDescent="0.25">
      <c r="A17" s="35">
        <v>76059</v>
      </c>
      <c r="B17" s="35" t="s">
        <v>1720</v>
      </c>
      <c r="C17" s="35" t="s">
        <v>1721</v>
      </c>
      <c r="D17" s="35" t="s">
        <v>1722</v>
      </c>
      <c r="E17" s="35" t="s">
        <v>1687</v>
      </c>
      <c r="F17" s="35" t="s">
        <v>1723</v>
      </c>
    </row>
    <row r="18" spans="1:6" ht="16.350000000000001" customHeight="1" x14ac:dyDescent="0.25">
      <c r="A18" s="35">
        <v>15461</v>
      </c>
      <c r="B18" s="35" t="s">
        <v>1724</v>
      </c>
      <c r="C18" s="35" t="s">
        <v>1725</v>
      </c>
      <c r="D18" s="35" t="s">
        <v>1726</v>
      </c>
      <c r="E18" s="35" t="s">
        <v>1687</v>
      </c>
      <c r="F18" s="35" t="s">
        <v>1727</v>
      </c>
    </row>
    <row r="19" spans="1:6" ht="16.350000000000001" customHeight="1" x14ac:dyDescent="0.25">
      <c r="A19" s="35">
        <v>16709</v>
      </c>
      <c r="B19" s="35" t="s">
        <v>1728</v>
      </c>
      <c r="C19" s="35" t="s">
        <v>1729</v>
      </c>
      <c r="D19" s="35" t="s">
        <v>1726</v>
      </c>
      <c r="E19" s="35" t="s">
        <v>1687</v>
      </c>
      <c r="F19" s="35" t="s">
        <v>1727</v>
      </c>
    </row>
    <row r="20" spans="1:6" ht="16.350000000000001" customHeight="1" x14ac:dyDescent="0.25">
      <c r="A20" s="35">
        <v>397315</v>
      </c>
      <c r="B20" s="35" t="s">
        <v>420</v>
      </c>
      <c r="C20" s="35" t="s">
        <v>1729</v>
      </c>
      <c r="D20" s="35" t="s">
        <v>1726</v>
      </c>
      <c r="E20" s="35" t="s">
        <v>1687</v>
      </c>
      <c r="F20" s="35" t="s">
        <v>1727</v>
      </c>
    </row>
    <row r="21" spans="1:6" ht="16.350000000000001" customHeight="1" x14ac:dyDescent="0.25">
      <c r="A21" s="35">
        <v>379610</v>
      </c>
      <c r="B21" s="35" t="s">
        <v>1730</v>
      </c>
      <c r="C21" s="35" t="s">
        <v>1729</v>
      </c>
      <c r="D21" s="35" t="s">
        <v>1726</v>
      </c>
      <c r="E21" s="35" t="s">
        <v>1687</v>
      </c>
      <c r="F21" s="35" t="s">
        <v>1727</v>
      </c>
    </row>
    <row r="22" spans="1:6" ht="16.350000000000001" customHeight="1" x14ac:dyDescent="0.25">
      <c r="A22" s="35">
        <v>338376</v>
      </c>
      <c r="B22" s="35" t="s">
        <v>1731</v>
      </c>
      <c r="C22" s="35" t="s">
        <v>1729</v>
      </c>
      <c r="D22" s="35" t="s">
        <v>1726</v>
      </c>
      <c r="E22" s="35" t="s">
        <v>1687</v>
      </c>
      <c r="F22" s="35" t="s">
        <v>1727</v>
      </c>
    </row>
    <row r="23" spans="1:6" ht="16.350000000000001" customHeight="1" x14ac:dyDescent="0.25">
      <c r="A23" s="35">
        <v>87197</v>
      </c>
      <c r="B23" s="35" t="s">
        <v>950</v>
      </c>
      <c r="C23" s="35" t="s">
        <v>1732</v>
      </c>
      <c r="D23" s="35" t="s">
        <v>1733</v>
      </c>
      <c r="E23" s="35" t="s">
        <v>1687</v>
      </c>
      <c r="F23" s="35" t="s">
        <v>394</v>
      </c>
    </row>
    <row r="24" spans="1:6" ht="16.350000000000001" customHeight="1" x14ac:dyDescent="0.25">
      <c r="A24" s="35">
        <v>76216</v>
      </c>
      <c r="B24" s="35" t="s">
        <v>1734</v>
      </c>
      <c r="C24" s="35" t="s">
        <v>1735</v>
      </c>
      <c r="D24" s="35" t="s">
        <v>1736</v>
      </c>
      <c r="E24" s="35" t="s">
        <v>1687</v>
      </c>
      <c r="F24" s="35" t="s">
        <v>737</v>
      </c>
    </row>
    <row r="25" spans="1:6" ht="16.350000000000001" customHeight="1" x14ac:dyDescent="0.25">
      <c r="A25" s="35">
        <v>216218</v>
      </c>
      <c r="B25" s="35" t="s">
        <v>1737</v>
      </c>
      <c r="C25" s="35" t="s">
        <v>1738</v>
      </c>
      <c r="D25" s="35" t="s">
        <v>1739</v>
      </c>
      <c r="E25" s="35" t="s">
        <v>1687</v>
      </c>
      <c r="F25" s="35" t="s">
        <v>737</v>
      </c>
    </row>
    <row r="26" spans="1:6" ht="16.350000000000001" customHeight="1" x14ac:dyDescent="0.25">
      <c r="A26" s="35">
        <v>38893</v>
      </c>
      <c r="B26" s="35" t="s">
        <v>122</v>
      </c>
      <c r="C26" s="35" t="s">
        <v>1740</v>
      </c>
      <c r="D26" s="35" t="s">
        <v>1741</v>
      </c>
      <c r="E26" s="35" t="s">
        <v>1687</v>
      </c>
      <c r="F26" s="35" t="s">
        <v>737</v>
      </c>
    </row>
    <row r="27" spans="1:6" ht="16.350000000000001" customHeight="1" x14ac:dyDescent="0.25">
      <c r="A27" s="35">
        <v>15606</v>
      </c>
      <c r="B27" s="35" t="s">
        <v>366</v>
      </c>
      <c r="C27" s="35" t="s">
        <v>1742</v>
      </c>
      <c r="D27" s="35" t="s">
        <v>1743</v>
      </c>
      <c r="E27" s="35" t="s">
        <v>1687</v>
      </c>
      <c r="F27" s="35" t="s">
        <v>737</v>
      </c>
    </row>
    <row r="28" spans="1:6" ht="16.350000000000001" customHeight="1" x14ac:dyDescent="0.25">
      <c r="A28" s="35">
        <v>16200</v>
      </c>
      <c r="B28" s="35" t="s">
        <v>599</v>
      </c>
      <c r="C28" s="35" t="s">
        <v>1744</v>
      </c>
      <c r="D28" s="35" t="s">
        <v>1745</v>
      </c>
      <c r="E28" s="35" t="s">
        <v>1687</v>
      </c>
      <c r="F28" s="35" t="s">
        <v>737</v>
      </c>
    </row>
    <row r="29" spans="1:6" ht="16.350000000000001" customHeight="1" x14ac:dyDescent="0.25">
      <c r="A29" s="35">
        <v>21951</v>
      </c>
      <c r="B29" s="35" t="s">
        <v>1746</v>
      </c>
      <c r="C29" s="35" t="s">
        <v>1747</v>
      </c>
      <c r="D29" s="35" t="s">
        <v>1748</v>
      </c>
      <c r="E29" s="35" t="s">
        <v>1687</v>
      </c>
      <c r="F29" s="35" t="s">
        <v>737</v>
      </c>
    </row>
    <row r="30" spans="1:6" ht="16.350000000000001" customHeight="1" x14ac:dyDescent="0.25">
      <c r="A30" s="35">
        <v>24282</v>
      </c>
      <c r="B30" s="35" t="s">
        <v>1749</v>
      </c>
      <c r="C30" s="35" t="s">
        <v>1750</v>
      </c>
      <c r="D30" s="35" t="s">
        <v>1751</v>
      </c>
      <c r="E30" s="35" t="s">
        <v>1687</v>
      </c>
      <c r="F30" s="35" t="s">
        <v>737</v>
      </c>
    </row>
    <row r="31" spans="1:6" ht="16.350000000000001" customHeight="1" x14ac:dyDescent="0.25">
      <c r="A31" s="35">
        <v>52670</v>
      </c>
      <c r="B31" s="35" t="s">
        <v>438</v>
      </c>
      <c r="C31" s="35" t="s">
        <v>1752</v>
      </c>
      <c r="D31" s="35" t="s">
        <v>1753</v>
      </c>
      <c r="E31" s="35" t="s">
        <v>1687</v>
      </c>
      <c r="F31" s="35" t="s">
        <v>737</v>
      </c>
    </row>
    <row r="32" spans="1:6" ht="16.350000000000001" customHeight="1" x14ac:dyDescent="0.25">
      <c r="A32" s="35">
        <v>13835</v>
      </c>
      <c r="B32" s="35" t="s">
        <v>199</v>
      </c>
      <c r="C32" s="35" t="s">
        <v>1754</v>
      </c>
      <c r="D32" s="35" t="s">
        <v>1755</v>
      </c>
      <c r="E32" s="35" t="s">
        <v>1687</v>
      </c>
      <c r="F32" s="35" t="s">
        <v>737</v>
      </c>
    </row>
    <row r="33" spans="1:6" ht="16.350000000000001" customHeight="1" x14ac:dyDescent="0.25">
      <c r="A33" s="35">
        <v>19406</v>
      </c>
      <c r="B33" s="35" t="s">
        <v>1756</v>
      </c>
      <c r="C33" s="35" t="s">
        <v>1757</v>
      </c>
      <c r="D33" s="35" t="s">
        <v>1758</v>
      </c>
      <c r="E33" s="35" t="s">
        <v>1687</v>
      </c>
      <c r="F33" s="35" t="s">
        <v>737</v>
      </c>
    </row>
    <row r="34" spans="1:6" ht="16.350000000000001" customHeight="1" x14ac:dyDescent="0.25">
      <c r="A34" s="35">
        <v>23157</v>
      </c>
      <c r="B34" s="35" t="s">
        <v>1759</v>
      </c>
      <c r="C34" s="35" t="s">
        <v>1760</v>
      </c>
      <c r="D34" s="35" t="s">
        <v>1761</v>
      </c>
      <c r="E34" s="35" t="s">
        <v>1687</v>
      </c>
      <c r="F34" s="35" t="s">
        <v>737</v>
      </c>
    </row>
    <row r="35" spans="1:6" ht="16.350000000000001" customHeight="1" x14ac:dyDescent="0.25">
      <c r="A35" s="35">
        <v>23597</v>
      </c>
      <c r="B35" s="35" t="s">
        <v>465</v>
      </c>
      <c r="C35" s="35" t="s">
        <v>1762</v>
      </c>
      <c r="D35" s="35" t="s">
        <v>1763</v>
      </c>
      <c r="E35" s="35" t="s">
        <v>1687</v>
      </c>
      <c r="F35" s="35" t="s">
        <v>737</v>
      </c>
    </row>
    <row r="36" spans="1:6" ht="16.350000000000001" customHeight="1" x14ac:dyDescent="0.25">
      <c r="A36" s="35">
        <v>38083</v>
      </c>
      <c r="B36" s="35" t="s">
        <v>1764</v>
      </c>
      <c r="C36" s="35" t="s">
        <v>1765</v>
      </c>
      <c r="D36" s="35" t="s">
        <v>1766</v>
      </c>
      <c r="E36" s="35" t="s">
        <v>1687</v>
      </c>
      <c r="F36" s="35" t="s">
        <v>737</v>
      </c>
    </row>
    <row r="37" spans="1:6" ht="16.350000000000001" customHeight="1" x14ac:dyDescent="0.25">
      <c r="A37" s="35">
        <v>231225</v>
      </c>
      <c r="B37" s="35" t="s">
        <v>1749</v>
      </c>
      <c r="C37" s="35" t="s">
        <v>1750</v>
      </c>
      <c r="D37" s="35" t="s">
        <v>1751</v>
      </c>
      <c r="E37" s="35" t="s">
        <v>1687</v>
      </c>
      <c r="F37" s="35" t="s">
        <v>737</v>
      </c>
    </row>
    <row r="38" spans="1:6" ht="16.350000000000001" customHeight="1" x14ac:dyDescent="0.25">
      <c r="A38" s="35">
        <v>307988</v>
      </c>
      <c r="B38" s="35" t="s">
        <v>183</v>
      </c>
      <c r="C38" s="35" t="s">
        <v>1767</v>
      </c>
      <c r="D38" s="35" t="s">
        <v>1768</v>
      </c>
      <c r="E38" s="35" t="s">
        <v>1687</v>
      </c>
      <c r="F38" s="35" t="s">
        <v>737</v>
      </c>
    </row>
    <row r="39" spans="1:6" ht="16.350000000000001" customHeight="1" x14ac:dyDescent="0.25">
      <c r="A39" s="35">
        <v>205302</v>
      </c>
      <c r="B39" s="35" t="s">
        <v>943</v>
      </c>
      <c r="C39" s="35" t="s">
        <v>1762</v>
      </c>
      <c r="D39" s="35" t="s">
        <v>1763</v>
      </c>
      <c r="E39" s="35" t="s">
        <v>1687</v>
      </c>
      <c r="F39" s="35" t="s">
        <v>737</v>
      </c>
    </row>
    <row r="40" spans="1:6" ht="16.350000000000001" customHeight="1" x14ac:dyDescent="0.25">
      <c r="A40" s="35">
        <v>72470</v>
      </c>
      <c r="B40" s="35" t="s">
        <v>944</v>
      </c>
      <c r="C40" s="35" t="s">
        <v>1769</v>
      </c>
      <c r="D40" s="35" t="s">
        <v>1770</v>
      </c>
      <c r="E40" s="35" t="s">
        <v>1687</v>
      </c>
      <c r="F40" s="35" t="s">
        <v>737</v>
      </c>
    </row>
    <row r="41" spans="1:6" ht="16.350000000000001" customHeight="1" x14ac:dyDescent="0.25">
      <c r="A41" s="35">
        <v>8991</v>
      </c>
      <c r="B41" s="35" t="s">
        <v>1771</v>
      </c>
      <c r="C41" s="35" t="s">
        <v>1772</v>
      </c>
      <c r="D41" s="35" t="s">
        <v>1773</v>
      </c>
      <c r="E41" s="35" t="s">
        <v>1687</v>
      </c>
      <c r="F41" s="35" t="s">
        <v>737</v>
      </c>
    </row>
    <row r="42" spans="1:6" ht="16.350000000000001" customHeight="1" x14ac:dyDescent="0.25">
      <c r="A42" s="35">
        <v>68783</v>
      </c>
      <c r="B42" s="35" t="s">
        <v>1774</v>
      </c>
      <c r="C42" s="35" t="s">
        <v>1775</v>
      </c>
      <c r="D42" s="35" t="s">
        <v>1776</v>
      </c>
      <c r="E42" s="35" t="s">
        <v>1687</v>
      </c>
      <c r="F42" s="35" t="s">
        <v>737</v>
      </c>
    </row>
    <row r="43" spans="1:6" ht="16.350000000000001" customHeight="1" x14ac:dyDescent="0.25">
      <c r="A43" s="35">
        <v>696</v>
      </c>
      <c r="B43" s="35" t="s">
        <v>342</v>
      </c>
      <c r="C43" s="35" t="s">
        <v>1777</v>
      </c>
      <c r="D43" s="35" t="s">
        <v>1778</v>
      </c>
      <c r="E43" s="35" t="s">
        <v>1687</v>
      </c>
      <c r="F43" s="35" t="s">
        <v>737</v>
      </c>
    </row>
    <row r="44" spans="1:6" ht="16.350000000000001" customHeight="1" x14ac:dyDescent="0.25">
      <c r="A44" s="35">
        <v>1198</v>
      </c>
      <c r="B44" s="35" t="s">
        <v>1779</v>
      </c>
      <c r="C44" s="35" t="s">
        <v>1780</v>
      </c>
      <c r="D44" s="35" t="s">
        <v>1781</v>
      </c>
      <c r="E44" s="35" t="s">
        <v>1687</v>
      </c>
      <c r="F44" s="35" t="s">
        <v>737</v>
      </c>
    </row>
    <row r="45" spans="1:6" ht="16.350000000000001" customHeight="1" x14ac:dyDescent="0.25">
      <c r="A45" s="35">
        <v>8593</v>
      </c>
      <c r="B45" s="35" t="s">
        <v>96</v>
      </c>
      <c r="C45" s="35" t="s">
        <v>1782</v>
      </c>
      <c r="D45" s="35" t="s">
        <v>1783</v>
      </c>
      <c r="E45" s="35" t="s">
        <v>1687</v>
      </c>
      <c r="F45" s="35" t="s">
        <v>737</v>
      </c>
    </row>
    <row r="46" spans="1:6" ht="16.350000000000001" customHeight="1" x14ac:dyDescent="0.25">
      <c r="A46" s="35">
        <v>13498</v>
      </c>
      <c r="B46" s="35" t="s">
        <v>1784</v>
      </c>
      <c r="C46" s="35" t="s">
        <v>1785</v>
      </c>
      <c r="D46" s="35" t="s">
        <v>1786</v>
      </c>
      <c r="E46" s="35" t="s">
        <v>1687</v>
      </c>
      <c r="F46" s="35" t="s">
        <v>737</v>
      </c>
    </row>
    <row r="47" spans="1:6" ht="16.350000000000001" customHeight="1" x14ac:dyDescent="0.25">
      <c r="A47" s="35">
        <v>20125</v>
      </c>
      <c r="B47" s="35" t="s">
        <v>101</v>
      </c>
      <c r="C47" s="35" t="s">
        <v>1787</v>
      </c>
      <c r="D47" s="35" t="s">
        <v>1788</v>
      </c>
      <c r="E47" s="35" t="s">
        <v>1687</v>
      </c>
      <c r="F47" s="35" t="s">
        <v>737</v>
      </c>
    </row>
    <row r="48" spans="1:6" ht="16.350000000000001" customHeight="1" x14ac:dyDescent="0.25">
      <c r="A48" s="35">
        <v>21853</v>
      </c>
      <c r="B48" s="35" t="s">
        <v>301</v>
      </c>
      <c r="C48" s="35" t="s">
        <v>1789</v>
      </c>
      <c r="D48" s="35" t="s">
        <v>1790</v>
      </c>
      <c r="E48" s="35" t="s">
        <v>1687</v>
      </c>
      <c r="F48" s="35" t="s">
        <v>737</v>
      </c>
    </row>
    <row r="49" spans="1:6" ht="16.350000000000001" customHeight="1" x14ac:dyDescent="0.25">
      <c r="A49" s="35">
        <v>22446</v>
      </c>
      <c r="B49" s="35" t="s">
        <v>1791</v>
      </c>
      <c r="C49" s="35" t="s">
        <v>1792</v>
      </c>
      <c r="D49" s="35" t="s">
        <v>1793</v>
      </c>
      <c r="E49" s="35" t="s">
        <v>1687</v>
      </c>
      <c r="F49" s="35" t="s">
        <v>737</v>
      </c>
    </row>
    <row r="50" spans="1:6" ht="16.350000000000001" customHeight="1" x14ac:dyDescent="0.25">
      <c r="A50" s="35">
        <v>23864</v>
      </c>
      <c r="B50" s="35" t="s">
        <v>458</v>
      </c>
      <c r="C50" s="35" t="s">
        <v>1794</v>
      </c>
      <c r="D50" s="35" t="s">
        <v>1795</v>
      </c>
      <c r="E50" s="35" t="s">
        <v>1687</v>
      </c>
      <c r="F50" s="35" t="s">
        <v>737</v>
      </c>
    </row>
    <row r="51" spans="1:6" ht="16.350000000000001" customHeight="1" x14ac:dyDescent="0.25">
      <c r="A51" s="35">
        <v>23962</v>
      </c>
      <c r="B51" s="35" t="s">
        <v>1796</v>
      </c>
      <c r="C51" s="35" t="s">
        <v>1797</v>
      </c>
      <c r="D51" s="35" t="s">
        <v>1798</v>
      </c>
      <c r="E51" s="35" t="s">
        <v>1687</v>
      </c>
      <c r="F51" s="35" t="s">
        <v>737</v>
      </c>
    </row>
    <row r="52" spans="1:6" ht="16.350000000000001" customHeight="1" x14ac:dyDescent="0.25">
      <c r="A52" s="35">
        <v>23972</v>
      </c>
      <c r="B52" s="35" t="s">
        <v>1799</v>
      </c>
      <c r="C52" s="35" t="s">
        <v>1800</v>
      </c>
      <c r="D52" s="35" t="s">
        <v>1801</v>
      </c>
      <c r="E52" s="35" t="s">
        <v>1687</v>
      </c>
      <c r="F52" s="35" t="s">
        <v>737</v>
      </c>
    </row>
    <row r="53" spans="1:6" ht="16.350000000000001" customHeight="1" x14ac:dyDescent="0.25">
      <c r="A53" s="35">
        <v>24232</v>
      </c>
      <c r="B53" s="35" t="s">
        <v>72</v>
      </c>
      <c r="C53" s="35" t="s">
        <v>1802</v>
      </c>
      <c r="D53" s="35" t="s">
        <v>1803</v>
      </c>
      <c r="E53" s="35" t="s">
        <v>1687</v>
      </c>
      <c r="F53" s="35" t="s">
        <v>737</v>
      </c>
    </row>
    <row r="54" spans="1:6" ht="16.350000000000001" customHeight="1" x14ac:dyDescent="0.25">
      <c r="A54" s="35">
        <v>24578</v>
      </c>
      <c r="B54" s="35" t="s">
        <v>1804</v>
      </c>
      <c r="C54" s="35" t="s">
        <v>1805</v>
      </c>
      <c r="D54" s="35" t="s">
        <v>1806</v>
      </c>
      <c r="E54" s="35" t="s">
        <v>1687</v>
      </c>
      <c r="F54" s="35" t="s">
        <v>737</v>
      </c>
    </row>
    <row r="55" spans="1:6" ht="16.350000000000001" customHeight="1" x14ac:dyDescent="0.25">
      <c r="A55" s="35">
        <v>30064</v>
      </c>
      <c r="B55" s="35" t="s">
        <v>937</v>
      </c>
      <c r="C55" s="35" t="s">
        <v>1807</v>
      </c>
      <c r="D55" s="35" t="s">
        <v>1808</v>
      </c>
      <c r="E55" s="35" t="s">
        <v>1687</v>
      </c>
      <c r="F55" s="35" t="s">
        <v>737</v>
      </c>
    </row>
    <row r="56" spans="1:6" ht="16.350000000000001" customHeight="1" x14ac:dyDescent="0.25">
      <c r="A56" s="35">
        <v>46821</v>
      </c>
      <c r="B56" s="35" t="s">
        <v>968</v>
      </c>
      <c r="C56" s="35" t="s">
        <v>1809</v>
      </c>
      <c r="D56" s="35" t="s">
        <v>1810</v>
      </c>
      <c r="E56" s="35" t="s">
        <v>1687</v>
      </c>
      <c r="F56" s="35" t="s">
        <v>737</v>
      </c>
    </row>
    <row r="57" spans="1:6" ht="16.350000000000001" customHeight="1" x14ac:dyDescent="0.25">
      <c r="A57" s="35">
        <v>52035</v>
      </c>
      <c r="B57" s="35" t="s">
        <v>473</v>
      </c>
      <c r="C57" s="35" t="s">
        <v>1811</v>
      </c>
      <c r="D57" s="35" t="s">
        <v>1812</v>
      </c>
      <c r="E57" s="35" t="s">
        <v>1687</v>
      </c>
      <c r="F57" s="35" t="s">
        <v>737</v>
      </c>
    </row>
    <row r="58" spans="1:6" ht="16.350000000000001" customHeight="1" x14ac:dyDescent="0.25">
      <c r="A58" s="35">
        <v>53306</v>
      </c>
      <c r="B58" s="35" t="s">
        <v>456</v>
      </c>
      <c r="C58" s="35" t="s">
        <v>1813</v>
      </c>
      <c r="D58" s="35" t="s">
        <v>1814</v>
      </c>
      <c r="E58" s="35" t="s">
        <v>1687</v>
      </c>
      <c r="F58" s="35" t="s">
        <v>737</v>
      </c>
    </row>
    <row r="59" spans="1:6" ht="16.350000000000001" customHeight="1" x14ac:dyDescent="0.25">
      <c r="A59" s="35">
        <v>54908</v>
      </c>
      <c r="B59" s="35" t="s">
        <v>1815</v>
      </c>
      <c r="C59" s="35" t="s">
        <v>1816</v>
      </c>
      <c r="D59" s="35" t="s">
        <v>1817</v>
      </c>
      <c r="E59" s="35" t="s">
        <v>1687</v>
      </c>
      <c r="F59" s="35" t="s">
        <v>737</v>
      </c>
    </row>
    <row r="60" spans="1:6" ht="16.350000000000001" customHeight="1" x14ac:dyDescent="0.25">
      <c r="A60" s="35">
        <v>60863</v>
      </c>
      <c r="B60" s="35" t="s">
        <v>1779</v>
      </c>
      <c r="C60" s="35" t="s">
        <v>1818</v>
      </c>
      <c r="D60" s="35" t="s">
        <v>1819</v>
      </c>
      <c r="E60" s="35" t="s">
        <v>1687</v>
      </c>
      <c r="F60" s="35" t="s">
        <v>737</v>
      </c>
    </row>
    <row r="61" spans="1:6" ht="16.350000000000001" customHeight="1" x14ac:dyDescent="0.25">
      <c r="A61" s="35">
        <v>73049</v>
      </c>
      <c r="B61" s="35" t="s">
        <v>1820</v>
      </c>
      <c r="C61" s="35" t="s">
        <v>1821</v>
      </c>
      <c r="D61" s="35" t="s">
        <v>1822</v>
      </c>
      <c r="E61" s="35" t="s">
        <v>1687</v>
      </c>
      <c r="F61" s="35" t="s">
        <v>737</v>
      </c>
    </row>
    <row r="62" spans="1:6" ht="16.350000000000001" customHeight="1" x14ac:dyDescent="0.25">
      <c r="A62" s="35">
        <v>90738</v>
      </c>
      <c r="B62" s="35" t="s">
        <v>93</v>
      </c>
      <c r="C62" s="35" t="s">
        <v>1823</v>
      </c>
      <c r="D62" s="35" t="s">
        <v>1824</v>
      </c>
      <c r="E62" s="35" t="s">
        <v>1687</v>
      </c>
      <c r="F62" s="35" t="s">
        <v>737</v>
      </c>
    </row>
    <row r="63" spans="1:6" ht="16.350000000000001" customHeight="1" x14ac:dyDescent="0.25">
      <c r="A63" s="35">
        <v>99457</v>
      </c>
      <c r="B63" s="35" t="s">
        <v>93</v>
      </c>
      <c r="C63" s="35" t="s">
        <v>1825</v>
      </c>
      <c r="D63" s="35" t="s">
        <v>1826</v>
      </c>
      <c r="E63" s="35" t="s">
        <v>1687</v>
      </c>
      <c r="F63" s="35" t="s">
        <v>737</v>
      </c>
    </row>
    <row r="64" spans="1:6" ht="16.350000000000001" customHeight="1" x14ac:dyDescent="0.25">
      <c r="A64" s="35">
        <v>327197</v>
      </c>
      <c r="B64" s="35" t="s">
        <v>201</v>
      </c>
      <c r="C64" s="35" t="s">
        <v>1827</v>
      </c>
      <c r="D64" s="35" t="s">
        <v>1828</v>
      </c>
      <c r="E64" s="35" t="s">
        <v>1687</v>
      </c>
      <c r="F64" s="35" t="s">
        <v>737</v>
      </c>
    </row>
    <row r="65" spans="1:6" ht="16.350000000000001" customHeight="1" x14ac:dyDescent="0.25">
      <c r="A65" s="35">
        <v>339457</v>
      </c>
      <c r="B65" s="35" t="s">
        <v>624</v>
      </c>
      <c r="C65" s="35" t="s">
        <v>1805</v>
      </c>
      <c r="D65" s="35" t="s">
        <v>1806</v>
      </c>
      <c r="E65" s="35" t="s">
        <v>1687</v>
      </c>
      <c r="F65" s="35" t="s">
        <v>737</v>
      </c>
    </row>
    <row r="66" spans="1:6" ht="16.350000000000001" customHeight="1" x14ac:dyDescent="0.25">
      <c r="A66" s="35">
        <v>741</v>
      </c>
      <c r="B66" s="35" t="s">
        <v>1829</v>
      </c>
      <c r="C66" s="35" t="s">
        <v>1830</v>
      </c>
      <c r="D66" s="35" t="s">
        <v>1831</v>
      </c>
      <c r="E66" s="35" t="s">
        <v>1687</v>
      </c>
      <c r="F66" s="35" t="s">
        <v>737</v>
      </c>
    </row>
    <row r="67" spans="1:6" ht="16.350000000000001" customHeight="1" x14ac:dyDescent="0.25">
      <c r="A67" s="35">
        <v>1850</v>
      </c>
      <c r="B67" s="35" t="s">
        <v>1832</v>
      </c>
      <c r="C67" s="35" t="s">
        <v>1833</v>
      </c>
      <c r="D67" s="35" t="s">
        <v>1834</v>
      </c>
      <c r="E67" s="35" t="s">
        <v>1687</v>
      </c>
      <c r="F67" s="35" t="s">
        <v>737</v>
      </c>
    </row>
    <row r="68" spans="1:6" ht="16.350000000000001" customHeight="1" x14ac:dyDescent="0.25">
      <c r="A68" s="35">
        <v>17222</v>
      </c>
      <c r="B68" s="35" t="s">
        <v>1835</v>
      </c>
      <c r="C68" s="35" t="s">
        <v>1836</v>
      </c>
      <c r="D68" s="35" t="s">
        <v>1837</v>
      </c>
      <c r="E68" s="35" t="s">
        <v>1687</v>
      </c>
      <c r="F68" s="35" t="s">
        <v>737</v>
      </c>
    </row>
    <row r="69" spans="1:6" ht="16.350000000000001" customHeight="1" x14ac:dyDescent="0.25">
      <c r="A69" s="35">
        <v>20073</v>
      </c>
      <c r="B69" s="35" t="s">
        <v>936</v>
      </c>
      <c r="C69" s="35" t="s">
        <v>1838</v>
      </c>
      <c r="D69" s="35" t="s">
        <v>1839</v>
      </c>
      <c r="E69" s="35" t="s">
        <v>1687</v>
      </c>
      <c r="F69" s="35" t="s">
        <v>737</v>
      </c>
    </row>
    <row r="70" spans="1:6" ht="16.350000000000001" customHeight="1" x14ac:dyDescent="0.25">
      <c r="A70" s="35">
        <v>21462</v>
      </c>
      <c r="B70" s="35" t="s">
        <v>976</v>
      </c>
      <c r="C70" s="35" t="s">
        <v>1840</v>
      </c>
      <c r="D70" s="35" t="s">
        <v>1841</v>
      </c>
      <c r="E70" s="35" t="s">
        <v>1687</v>
      </c>
      <c r="F70" s="35" t="s">
        <v>737</v>
      </c>
    </row>
    <row r="71" spans="1:6" ht="16.350000000000001" customHeight="1" x14ac:dyDescent="0.25">
      <c r="A71" s="35">
        <v>21679</v>
      </c>
      <c r="B71" s="35" t="s">
        <v>1842</v>
      </c>
      <c r="C71" s="35" t="s">
        <v>1843</v>
      </c>
      <c r="D71" s="35" t="s">
        <v>1844</v>
      </c>
      <c r="E71" s="35" t="s">
        <v>1687</v>
      </c>
      <c r="F71" s="35" t="s">
        <v>737</v>
      </c>
    </row>
    <row r="72" spans="1:6" ht="16.350000000000001" customHeight="1" x14ac:dyDescent="0.25">
      <c r="A72" s="35">
        <v>26138</v>
      </c>
      <c r="B72" s="35" t="s">
        <v>390</v>
      </c>
      <c r="C72" s="35" t="s">
        <v>1845</v>
      </c>
      <c r="D72" s="35" t="s">
        <v>1846</v>
      </c>
      <c r="E72" s="35" t="s">
        <v>1687</v>
      </c>
      <c r="F72" s="35" t="s">
        <v>737</v>
      </c>
    </row>
    <row r="73" spans="1:6" ht="16.350000000000001" customHeight="1" x14ac:dyDescent="0.25">
      <c r="A73" s="35">
        <v>40055</v>
      </c>
      <c r="B73" s="35" t="s">
        <v>1847</v>
      </c>
      <c r="C73" s="35" t="s">
        <v>1848</v>
      </c>
      <c r="D73" s="35" t="s">
        <v>1849</v>
      </c>
      <c r="E73" s="35" t="s">
        <v>1687</v>
      </c>
      <c r="F73" s="35" t="s">
        <v>737</v>
      </c>
    </row>
    <row r="74" spans="1:6" ht="16.350000000000001" customHeight="1" x14ac:dyDescent="0.25">
      <c r="A74" s="35">
        <v>47613</v>
      </c>
      <c r="B74" s="35" t="s">
        <v>1099</v>
      </c>
      <c r="C74" s="35" t="s">
        <v>1850</v>
      </c>
      <c r="D74" s="35" t="s">
        <v>1851</v>
      </c>
      <c r="E74" s="35" t="s">
        <v>1687</v>
      </c>
      <c r="F74" s="35" t="s">
        <v>737</v>
      </c>
    </row>
    <row r="75" spans="1:6" ht="16.350000000000001" customHeight="1" x14ac:dyDescent="0.25">
      <c r="A75" s="35">
        <v>54569</v>
      </c>
      <c r="B75" s="35" t="s">
        <v>131</v>
      </c>
      <c r="C75" s="35" t="s">
        <v>1852</v>
      </c>
      <c r="D75" s="35" t="s">
        <v>1853</v>
      </c>
      <c r="E75" s="35" t="s">
        <v>1687</v>
      </c>
      <c r="F75" s="35" t="s">
        <v>737</v>
      </c>
    </row>
    <row r="76" spans="1:6" ht="16.350000000000001" customHeight="1" x14ac:dyDescent="0.25">
      <c r="A76" s="35">
        <v>56184</v>
      </c>
      <c r="B76" s="35" t="s">
        <v>1111</v>
      </c>
      <c r="C76" s="35" t="s">
        <v>1854</v>
      </c>
      <c r="D76" s="35" t="s">
        <v>1855</v>
      </c>
      <c r="E76" s="35" t="s">
        <v>1687</v>
      </c>
      <c r="F76" s="35" t="s">
        <v>737</v>
      </c>
    </row>
    <row r="77" spans="1:6" ht="16.350000000000001" customHeight="1" x14ac:dyDescent="0.25">
      <c r="A77" s="35">
        <v>310482</v>
      </c>
      <c r="B77" s="35" t="s">
        <v>938</v>
      </c>
      <c r="C77" s="35" t="s">
        <v>1856</v>
      </c>
      <c r="D77" s="35" t="s">
        <v>1857</v>
      </c>
      <c r="E77" s="35" t="s">
        <v>1687</v>
      </c>
      <c r="F77" s="35" t="s">
        <v>737</v>
      </c>
    </row>
    <row r="78" spans="1:6" ht="16.350000000000001" customHeight="1" x14ac:dyDescent="0.25">
      <c r="A78" s="35">
        <v>308478</v>
      </c>
      <c r="B78" s="35" t="s">
        <v>1858</v>
      </c>
      <c r="C78" s="35" t="s">
        <v>1859</v>
      </c>
      <c r="D78" s="35" t="s">
        <v>1860</v>
      </c>
      <c r="E78" s="35" t="s">
        <v>1687</v>
      </c>
      <c r="F78" s="35" t="s">
        <v>737</v>
      </c>
    </row>
    <row r="79" spans="1:6" ht="16.350000000000001" customHeight="1" x14ac:dyDescent="0.25">
      <c r="A79" s="35">
        <v>301309</v>
      </c>
      <c r="B79" s="35" t="s">
        <v>1513</v>
      </c>
      <c r="C79" s="35" t="s">
        <v>1861</v>
      </c>
      <c r="D79" s="35" t="s">
        <v>1862</v>
      </c>
      <c r="E79" s="35" t="s">
        <v>1687</v>
      </c>
      <c r="F79" s="35" t="s">
        <v>737</v>
      </c>
    </row>
    <row r="80" spans="1:6" ht="16.350000000000001" customHeight="1" x14ac:dyDescent="0.25">
      <c r="A80" s="35">
        <v>4463</v>
      </c>
      <c r="B80" s="35" t="s">
        <v>1863</v>
      </c>
      <c r="C80" s="35" t="s">
        <v>1864</v>
      </c>
      <c r="D80" s="35" t="s">
        <v>1865</v>
      </c>
      <c r="E80" s="35" t="s">
        <v>1687</v>
      </c>
      <c r="F80" s="35" t="s">
        <v>737</v>
      </c>
    </row>
    <row r="81" spans="1:6" ht="16.350000000000001" customHeight="1" x14ac:dyDescent="0.25">
      <c r="A81" s="35">
        <v>64337</v>
      </c>
      <c r="B81" s="35" t="s">
        <v>1779</v>
      </c>
      <c r="C81" s="35" t="s">
        <v>1866</v>
      </c>
      <c r="D81" s="35" t="s">
        <v>1867</v>
      </c>
      <c r="E81" s="35" t="s">
        <v>1687</v>
      </c>
      <c r="F81" s="35" t="s">
        <v>737</v>
      </c>
    </row>
    <row r="82" spans="1:6" ht="16.350000000000001" customHeight="1" x14ac:dyDescent="0.25">
      <c r="A82" s="35">
        <v>72884</v>
      </c>
      <c r="B82" s="35" t="s">
        <v>1298</v>
      </c>
      <c r="C82" s="35" t="s">
        <v>1868</v>
      </c>
      <c r="D82" s="35" t="s">
        <v>1869</v>
      </c>
      <c r="E82" s="35" t="s">
        <v>1687</v>
      </c>
      <c r="F82" s="35" t="s">
        <v>737</v>
      </c>
    </row>
    <row r="83" spans="1:6" ht="16.350000000000001" customHeight="1" x14ac:dyDescent="0.25">
      <c r="A83" s="35">
        <v>501957</v>
      </c>
      <c r="B83" s="35" t="s">
        <v>1870</v>
      </c>
      <c r="C83" s="35" t="s">
        <v>1871</v>
      </c>
      <c r="D83" s="35" t="s">
        <v>1872</v>
      </c>
      <c r="E83" s="35" t="s">
        <v>1687</v>
      </c>
      <c r="F83" s="35" t="s">
        <v>737</v>
      </c>
    </row>
    <row r="84" spans="1:6" ht="16.350000000000001" customHeight="1" x14ac:dyDescent="0.25">
      <c r="A84" s="35">
        <v>11621</v>
      </c>
      <c r="B84" s="35" t="s">
        <v>981</v>
      </c>
      <c r="C84" s="35" t="s">
        <v>1873</v>
      </c>
      <c r="D84" s="35" t="s">
        <v>1874</v>
      </c>
      <c r="E84" s="35" t="s">
        <v>1687</v>
      </c>
      <c r="F84" s="35" t="s">
        <v>737</v>
      </c>
    </row>
    <row r="85" spans="1:6" ht="16.350000000000001" customHeight="1" x14ac:dyDescent="0.25">
      <c r="A85" s="35">
        <v>28076</v>
      </c>
      <c r="B85" s="35" t="s">
        <v>946</v>
      </c>
      <c r="C85" s="35" t="s">
        <v>1875</v>
      </c>
      <c r="D85" s="35" t="s">
        <v>1876</v>
      </c>
      <c r="E85" s="35" t="s">
        <v>1687</v>
      </c>
      <c r="F85" s="35" t="s">
        <v>737</v>
      </c>
    </row>
    <row r="86" spans="1:6" ht="16.350000000000001" customHeight="1" x14ac:dyDescent="0.25">
      <c r="A86" s="35">
        <v>531178</v>
      </c>
      <c r="B86" s="35" t="s">
        <v>1877</v>
      </c>
      <c r="C86" s="35" t="s">
        <v>1878</v>
      </c>
      <c r="D86" s="35" t="s">
        <v>1879</v>
      </c>
      <c r="E86" s="35" t="s">
        <v>1687</v>
      </c>
      <c r="F86" s="35" t="s">
        <v>737</v>
      </c>
    </row>
    <row r="87" spans="1:6" ht="16.350000000000001" customHeight="1" x14ac:dyDescent="0.25">
      <c r="A87" s="35">
        <v>25133</v>
      </c>
      <c r="B87" s="35" t="s">
        <v>987</v>
      </c>
      <c r="C87" s="35" t="s">
        <v>1880</v>
      </c>
      <c r="D87" s="35" t="s">
        <v>1881</v>
      </c>
      <c r="E87" s="35" t="s">
        <v>1687</v>
      </c>
      <c r="F87" s="35" t="s">
        <v>737</v>
      </c>
    </row>
    <row r="88" spans="1:6" ht="16.350000000000001" customHeight="1" x14ac:dyDescent="0.25">
      <c r="A88" s="35">
        <v>86041</v>
      </c>
      <c r="B88" s="35" t="s">
        <v>955</v>
      </c>
      <c r="C88" s="35" t="s">
        <v>1882</v>
      </c>
      <c r="D88" s="35" t="s">
        <v>1883</v>
      </c>
      <c r="E88" s="35" t="s">
        <v>1687</v>
      </c>
      <c r="F88" s="35" t="s">
        <v>737</v>
      </c>
    </row>
    <row r="89" spans="1:6" ht="16.350000000000001" customHeight="1" x14ac:dyDescent="0.25">
      <c r="A89" s="35">
        <v>84525</v>
      </c>
      <c r="B89" s="35" t="s">
        <v>1884</v>
      </c>
      <c r="C89" s="35" t="s">
        <v>1885</v>
      </c>
      <c r="D89" s="35" t="s">
        <v>1886</v>
      </c>
      <c r="E89" s="35" t="s">
        <v>1687</v>
      </c>
      <c r="F89" s="35" t="s">
        <v>737</v>
      </c>
    </row>
    <row r="90" spans="1:6" ht="16.350000000000001" customHeight="1" x14ac:dyDescent="0.25">
      <c r="A90" s="35">
        <v>317974</v>
      </c>
      <c r="B90" s="35" t="s">
        <v>1887</v>
      </c>
      <c r="C90" s="35" t="s">
        <v>1888</v>
      </c>
      <c r="D90" s="35" t="s">
        <v>1889</v>
      </c>
      <c r="E90" s="35" t="s">
        <v>1687</v>
      </c>
      <c r="F90" s="35" t="s">
        <v>737</v>
      </c>
    </row>
    <row r="91" spans="1:6" ht="16.350000000000001" customHeight="1" x14ac:dyDescent="0.25">
      <c r="A91" s="35">
        <v>55780</v>
      </c>
      <c r="B91" s="35" t="s">
        <v>227</v>
      </c>
      <c r="C91" s="35" t="s">
        <v>1890</v>
      </c>
      <c r="D91" s="35" t="s">
        <v>1891</v>
      </c>
      <c r="E91" s="35" t="s">
        <v>1687</v>
      </c>
      <c r="F91" s="35" t="s">
        <v>737</v>
      </c>
    </row>
    <row r="92" spans="1:6" ht="16.350000000000001" customHeight="1" x14ac:dyDescent="0.25">
      <c r="A92" s="35">
        <v>326025</v>
      </c>
      <c r="B92" s="35" t="s">
        <v>1892</v>
      </c>
      <c r="C92" s="35" t="s">
        <v>1893</v>
      </c>
      <c r="D92" s="35" t="s">
        <v>1894</v>
      </c>
      <c r="E92" s="35" t="s">
        <v>1687</v>
      </c>
      <c r="F92" s="35" t="s">
        <v>737</v>
      </c>
    </row>
    <row r="93" spans="1:6" ht="16.350000000000001" customHeight="1" x14ac:dyDescent="0.25">
      <c r="A93" s="35">
        <v>322537</v>
      </c>
      <c r="B93" s="35" t="s">
        <v>945</v>
      </c>
      <c r="C93" s="35" t="s">
        <v>1895</v>
      </c>
      <c r="D93" s="35" t="s">
        <v>1896</v>
      </c>
      <c r="E93" s="35" t="s">
        <v>1687</v>
      </c>
      <c r="F93" s="35" t="s">
        <v>737</v>
      </c>
    </row>
    <row r="94" spans="1:6" ht="16.350000000000001" customHeight="1" x14ac:dyDescent="0.25">
      <c r="A94" s="35">
        <v>310813</v>
      </c>
      <c r="B94" s="35" t="s">
        <v>1897</v>
      </c>
      <c r="C94" s="35" t="s">
        <v>1898</v>
      </c>
      <c r="D94" s="35" t="s">
        <v>1899</v>
      </c>
      <c r="E94" s="35" t="s">
        <v>1687</v>
      </c>
      <c r="F94" s="35" t="s">
        <v>737</v>
      </c>
    </row>
    <row r="95" spans="1:6" ht="16.350000000000001" customHeight="1" x14ac:dyDescent="0.25">
      <c r="A95" s="35">
        <v>500987</v>
      </c>
      <c r="B95" s="35" t="s">
        <v>1900</v>
      </c>
      <c r="C95" s="35" t="s">
        <v>1901</v>
      </c>
      <c r="D95" s="35" t="s">
        <v>1902</v>
      </c>
      <c r="E95" s="35" t="s">
        <v>1687</v>
      </c>
      <c r="F95" s="35" t="s">
        <v>737</v>
      </c>
    </row>
    <row r="96" spans="1:6" ht="16.350000000000001" customHeight="1" x14ac:dyDescent="0.25">
      <c r="A96" s="35">
        <v>326629</v>
      </c>
      <c r="B96" s="35" t="s">
        <v>1903</v>
      </c>
      <c r="C96" s="35" t="s">
        <v>1904</v>
      </c>
      <c r="D96" s="35" t="s">
        <v>1905</v>
      </c>
      <c r="E96" s="35" t="s">
        <v>1687</v>
      </c>
      <c r="F96" s="35" t="s">
        <v>1906</v>
      </c>
    </row>
    <row r="97" spans="1:6" ht="16.350000000000001" customHeight="1" x14ac:dyDescent="0.25">
      <c r="A97" s="35">
        <v>21576</v>
      </c>
      <c r="B97" s="35" t="s">
        <v>1907</v>
      </c>
      <c r="C97" s="35" t="s">
        <v>1908</v>
      </c>
      <c r="D97" s="35" t="s">
        <v>1909</v>
      </c>
      <c r="E97" s="35" t="s">
        <v>1687</v>
      </c>
      <c r="F97" s="35" t="s">
        <v>737</v>
      </c>
    </row>
    <row r="98" spans="1:6" ht="16.350000000000001" customHeight="1" x14ac:dyDescent="0.25">
      <c r="A98" s="35">
        <v>219402</v>
      </c>
      <c r="B98" s="35" t="s">
        <v>1910</v>
      </c>
      <c r="C98" s="35" t="s">
        <v>1911</v>
      </c>
      <c r="D98" s="35" t="s">
        <v>1912</v>
      </c>
      <c r="E98" s="35" t="s">
        <v>1687</v>
      </c>
      <c r="F98" s="35" t="s">
        <v>737</v>
      </c>
    </row>
    <row r="99" spans="1:6" ht="16.350000000000001" customHeight="1" x14ac:dyDescent="0.25">
      <c r="A99" s="35">
        <v>9506</v>
      </c>
      <c r="B99" s="35" t="s">
        <v>445</v>
      </c>
      <c r="C99" s="35" t="s">
        <v>1913</v>
      </c>
      <c r="D99" s="35" t="s">
        <v>1914</v>
      </c>
      <c r="E99" s="35" t="s">
        <v>1687</v>
      </c>
      <c r="F99" s="35" t="s">
        <v>737</v>
      </c>
    </row>
    <row r="100" spans="1:6" ht="16.350000000000001" customHeight="1" x14ac:dyDescent="0.25">
      <c r="A100" s="35">
        <v>62646</v>
      </c>
      <c r="B100" s="35" t="s">
        <v>1279</v>
      </c>
      <c r="C100" s="35" t="s">
        <v>1915</v>
      </c>
      <c r="D100" s="35" t="s">
        <v>1916</v>
      </c>
      <c r="E100" s="35" t="s">
        <v>1687</v>
      </c>
      <c r="F100" s="35" t="s">
        <v>737</v>
      </c>
    </row>
    <row r="101" spans="1:6" ht="16.350000000000001" customHeight="1" x14ac:dyDescent="0.25">
      <c r="A101" s="35">
        <v>364</v>
      </c>
      <c r="B101" s="35" t="s">
        <v>167</v>
      </c>
      <c r="C101" s="35" t="s">
        <v>1917</v>
      </c>
      <c r="D101" s="35" t="s">
        <v>1918</v>
      </c>
      <c r="E101" s="35" t="s">
        <v>1687</v>
      </c>
      <c r="F101" s="35" t="s">
        <v>737</v>
      </c>
    </row>
    <row r="102" spans="1:6" ht="16.350000000000001" customHeight="1" x14ac:dyDescent="0.25">
      <c r="A102" s="35">
        <v>391250</v>
      </c>
      <c r="B102" s="35" t="s">
        <v>1919</v>
      </c>
      <c r="C102" s="35" t="s">
        <v>1920</v>
      </c>
      <c r="D102" s="35" t="s">
        <v>1921</v>
      </c>
      <c r="E102" s="35" t="s">
        <v>1687</v>
      </c>
      <c r="F102" s="35" t="s">
        <v>737</v>
      </c>
    </row>
    <row r="103" spans="1:6" ht="16.350000000000001" customHeight="1" x14ac:dyDescent="0.25">
      <c r="A103" s="35">
        <v>97873</v>
      </c>
      <c r="B103" s="35" t="s">
        <v>1922</v>
      </c>
      <c r="C103" s="35" t="s">
        <v>1923</v>
      </c>
      <c r="D103" s="35" t="s">
        <v>1924</v>
      </c>
      <c r="E103" s="35" t="s">
        <v>1687</v>
      </c>
      <c r="F103" s="35" t="s">
        <v>737</v>
      </c>
    </row>
    <row r="104" spans="1:6" ht="16.350000000000001" customHeight="1" x14ac:dyDescent="0.25">
      <c r="A104" s="35">
        <v>54791</v>
      </c>
      <c r="B104" s="35" t="s">
        <v>1925</v>
      </c>
      <c r="C104" s="35" t="s">
        <v>1926</v>
      </c>
      <c r="D104" s="35" t="s">
        <v>1927</v>
      </c>
      <c r="E104" s="35" t="s">
        <v>1687</v>
      </c>
      <c r="F104" s="35" t="s">
        <v>737</v>
      </c>
    </row>
    <row r="105" spans="1:6" ht="16.350000000000001" customHeight="1" x14ac:dyDescent="0.25">
      <c r="A105" s="35">
        <v>20388</v>
      </c>
      <c r="B105" s="35" t="s">
        <v>929</v>
      </c>
      <c r="C105" s="35" t="s">
        <v>1928</v>
      </c>
      <c r="D105" s="35" t="s">
        <v>1929</v>
      </c>
      <c r="E105" s="35" t="s">
        <v>1687</v>
      </c>
      <c r="F105" s="35" t="s">
        <v>737</v>
      </c>
    </row>
    <row r="106" spans="1:6" ht="16.350000000000001" customHeight="1" x14ac:dyDescent="0.25">
      <c r="A106" s="35">
        <v>36152</v>
      </c>
      <c r="B106" s="35" t="s">
        <v>1930</v>
      </c>
      <c r="C106" s="35" t="s">
        <v>1931</v>
      </c>
      <c r="D106" s="35" t="s">
        <v>1932</v>
      </c>
      <c r="E106" s="35" t="s">
        <v>1687</v>
      </c>
      <c r="F106" s="35" t="s">
        <v>737</v>
      </c>
    </row>
    <row r="107" spans="1:6" ht="16.350000000000001" customHeight="1" x14ac:dyDescent="0.25">
      <c r="A107" s="35">
        <v>96651</v>
      </c>
      <c r="B107" s="35" t="s">
        <v>1933</v>
      </c>
      <c r="C107" s="35" t="s">
        <v>1934</v>
      </c>
      <c r="D107" s="35" t="s">
        <v>1935</v>
      </c>
      <c r="E107" s="35" t="s">
        <v>1687</v>
      </c>
      <c r="F107" s="35" t="s">
        <v>737</v>
      </c>
    </row>
    <row r="108" spans="1:6" ht="16.350000000000001" customHeight="1" x14ac:dyDescent="0.25">
      <c r="A108" s="35">
        <v>8767</v>
      </c>
      <c r="B108" s="35" t="s">
        <v>1279</v>
      </c>
      <c r="C108" s="35" t="s">
        <v>1936</v>
      </c>
      <c r="D108" s="35" t="s">
        <v>1916</v>
      </c>
      <c r="E108" s="35" t="s">
        <v>1687</v>
      </c>
      <c r="F108" s="35" t="s">
        <v>737</v>
      </c>
    </row>
    <row r="109" spans="1:6" ht="16.350000000000001" customHeight="1" x14ac:dyDescent="0.25">
      <c r="A109" s="35">
        <v>36145</v>
      </c>
      <c r="B109" s="35" t="s">
        <v>1063</v>
      </c>
      <c r="C109" s="35" t="s">
        <v>1937</v>
      </c>
      <c r="D109" s="35" t="s">
        <v>1938</v>
      </c>
      <c r="E109" s="35" t="s">
        <v>1687</v>
      </c>
      <c r="F109" s="35" t="s">
        <v>737</v>
      </c>
    </row>
    <row r="110" spans="1:6" ht="16.350000000000001" customHeight="1" x14ac:dyDescent="0.25">
      <c r="A110" s="35">
        <v>398024</v>
      </c>
      <c r="B110" s="35" t="s">
        <v>116</v>
      </c>
      <c r="C110" s="35" t="s">
        <v>1939</v>
      </c>
      <c r="D110" s="35" t="s">
        <v>1940</v>
      </c>
      <c r="E110" s="35" t="s">
        <v>1687</v>
      </c>
      <c r="F110" s="35" t="s">
        <v>737</v>
      </c>
    </row>
    <row r="111" spans="1:6" ht="16.350000000000001" customHeight="1" x14ac:dyDescent="0.25">
      <c r="A111" s="35">
        <v>99630</v>
      </c>
      <c r="B111" s="35" t="s">
        <v>1941</v>
      </c>
      <c r="C111" s="35" t="s">
        <v>1942</v>
      </c>
      <c r="D111" s="35" t="s">
        <v>1943</v>
      </c>
      <c r="E111" s="35" t="s">
        <v>1687</v>
      </c>
      <c r="F111" s="35" t="s">
        <v>737</v>
      </c>
    </row>
    <row r="112" spans="1:6" ht="16.350000000000001" customHeight="1" x14ac:dyDescent="0.25">
      <c r="A112" s="35">
        <v>99267</v>
      </c>
      <c r="B112" s="35" t="s">
        <v>1944</v>
      </c>
      <c r="C112" s="35" t="s">
        <v>1945</v>
      </c>
      <c r="D112" s="35" t="s">
        <v>1946</v>
      </c>
      <c r="E112" s="35" t="s">
        <v>1687</v>
      </c>
      <c r="F112" s="35" t="s">
        <v>737</v>
      </c>
    </row>
    <row r="113" spans="1:6" ht="16.350000000000001" customHeight="1" x14ac:dyDescent="0.25">
      <c r="A113" s="35">
        <v>21844</v>
      </c>
      <c r="B113" s="35" t="s">
        <v>447</v>
      </c>
      <c r="C113" s="35" t="s">
        <v>1947</v>
      </c>
      <c r="D113" s="35" t="s">
        <v>1948</v>
      </c>
      <c r="E113" s="35" t="s">
        <v>1687</v>
      </c>
      <c r="F113" s="35" t="s">
        <v>737</v>
      </c>
    </row>
    <row r="114" spans="1:6" ht="16.350000000000001" customHeight="1" x14ac:dyDescent="0.25">
      <c r="A114" s="35">
        <v>20252</v>
      </c>
      <c r="B114" s="35" t="s">
        <v>1949</v>
      </c>
      <c r="C114" s="35" t="s">
        <v>1950</v>
      </c>
      <c r="D114" s="35" t="s">
        <v>1951</v>
      </c>
      <c r="E114" s="35" t="s">
        <v>1687</v>
      </c>
      <c r="F114" s="35" t="s">
        <v>737</v>
      </c>
    </row>
    <row r="115" spans="1:6" ht="16.350000000000001" customHeight="1" x14ac:dyDescent="0.25">
      <c r="A115" s="35">
        <v>21240</v>
      </c>
      <c r="B115" s="35" t="s">
        <v>1952</v>
      </c>
      <c r="C115" s="35" t="s">
        <v>1953</v>
      </c>
      <c r="D115" s="35" t="s">
        <v>1954</v>
      </c>
      <c r="E115" s="35" t="s">
        <v>1687</v>
      </c>
      <c r="F115" s="35" t="s">
        <v>737</v>
      </c>
    </row>
    <row r="116" spans="1:6" ht="16.350000000000001" customHeight="1" x14ac:dyDescent="0.25">
      <c r="A116" s="35">
        <v>228163</v>
      </c>
      <c r="B116" s="35" t="s">
        <v>725</v>
      </c>
      <c r="C116" s="35" t="s">
        <v>1955</v>
      </c>
      <c r="D116" s="35" t="s">
        <v>1956</v>
      </c>
      <c r="E116" s="35" t="s">
        <v>1687</v>
      </c>
      <c r="F116" s="35" t="s">
        <v>737</v>
      </c>
    </row>
    <row r="117" spans="1:6" ht="16.350000000000001" customHeight="1" x14ac:dyDescent="0.25">
      <c r="A117" s="35">
        <v>24758</v>
      </c>
      <c r="B117" s="35" t="s">
        <v>1957</v>
      </c>
      <c r="C117" s="35" t="s">
        <v>1958</v>
      </c>
      <c r="D117" s="35" t="s">
        <v>1959</v>
      </c>
      <c r="E117" s="35" t="s">
        <v>1687</v>
      </c>
      <c r="F117" s="35" t="s">
        <v>737</v>
      </c>
    </row>
    <row r="118" spans="1:6" ht="16.350000000000001" customHeight="1" x14ac:dyDescent="0.25">
      <c r="A118" s="35">
        <v>25025</v>
      </c>
      <c r="B118" s="35" t="s">
        <v>956</v>
      </c>
      <c r="C118" s="35" t="s">
        <v>1960</v>
      </c>
      <c r="D118" s="35" t="s">
        <v>1961</v>
      </c>
      <c r="E118" s="35" t="s">
        <v>1687</v>
      </c>
      <c r="F118" s="35" t="s">
        <v>737</v>
      </c>
    </row>
    <row r="119" spans="1:6" ht="16.350000000000001" customHeight="1" x14ac:dyDescent="0.25">
      <c r="A119" s="35">
        <v>29272</v>
      </c>
      <c r="B119" s="35" t="s">
        <v>192</v>
      </c>
      <c r="C119" s="35" t="s">
        <v>1962</v>
      </c>
      <c r="D119" s="35" t="s">
        <v>1963</v>
      </c>
      <c r="E119" s="35" t="s">
        <v>1687</v>
      </c>
      <c r="F119" s="35" t="s">
        <v>737</v>
      </c>
    </row>
    <row r="120" spans="1:6" ht="16.350000000000001" customHeight="1" x14ac:dyDescent="0.25">
      <c r="A120" s="35">
        <v>29538</v>
      </c>
      <c r="B120" s="35" t="s">
        <v>1964</v>
      </c>
      <c r="C120" s="35" t="s">
        <v>1965</v>
      </c>
      <c r="D120" s="35" t="s">
        <v>1966</v>
      </c>
      <c r="E120" s="35" t="s">
        <v>1687</v>
      </c>
      <c r="F120" s="35" t="s">
        <v>737</v>
      </c>
    </row>
    <row r="121" spans="1:6" ht="16.350000000000001" customHeight="1" x14ac:dyDescent="0.25">
      <c r="A121" s="35">
        <v>303693</v>
      </c>
      <c r="B121" s="35" t="s">
        <v>1967</v>
      </c>
      <c r="C121" s="35" t="s">
        <v>1968</v>
      </c>
      <c r="D121" s="35" t="s">
        <v>1969</v>
      </c>
      <c r="E121" s="35" t="s">
        <v>1687</v>
      </c>
      <c r="F121" s="35" t="s">
        <v>737</v>
      </c>
    </row>
    <row r="122" spans="1:6" ht="16.350000000000001" customHeight="1" x14ac:dyDescent="0.25">
      <c r="A122" s="35">
        <v>304882</v>
      </c>
      <c r="B122" s="35" t="s">
        <v>954</v>
      </c>
      <c r="C122" s="35" t="s">
        <v>1970</v>
      </c>
      <c r="D122" s="35" t="s">
        <v>1971</v>
      </c>
      <c r="E122" s="35" t="s">
        <v>1687</v>
      </c>
      <c r="F122" s="35" t="s">
        <v>737</v>
      </c>
    </row>
    <row r="123" spans="1:6" ht="16.350000000000001" customHeight="1" x14ac:dyDescent="0.25">
      <c r="A123" s="35">
        <v>323790</v>
      </c>
      <c r="B123" s="35" t="s">
        <v>1972</v>
      </c>
      <c r="C123" s="35" t="s">
        <v>1973</v>
      </c>
      <c r="D123" s="35" t="s">
        <v>1974</v>
      </c>
      <c r="E123" s="35" t="s">
        <v>1687</v>
      </c>
      <c r="F123" s="35" t="s">
        <v>737</v>
      </c>
    </row>
    <row r="124" spans="1:6" ht="16.350000000000001" customHeight="1" x14ac:dyDescent="0.25">
      <c r="A124" s="35">
        <v>325670</v>
      </c>
      <c r="B124" s="35" t="s">
        <v>399</v>
      </c>
      <c r="C124" s="35" t="s">
        <v>1975</v>
      </c>
      <c r="D124" s="35" t="s">
        <v>1976</v>
      </c>
      <c r="E124" s="35" t="s">
        <v>1687</v>
      </c>
      <c r="F124" s="35" t="s">
        <v>737</v>
      </c>
    </row>
    <row r="125" spans="1:6" ht="16.350000000000001" customHeight="1" x14ac:dyDescent="0.25">
      <c r="A125" s="35">
        <v>341255</v>
      </c>
      <c r="B125" s="35" t="s">
        <v>1977</v>
      </c>
      <c r="C125" s="35" t="s">
        <v>1978</v>
      </c>
      <c r="D125" s="35" t="s">
        <v>1979</v>
      </c>
      <c r="E125" s="35" t="s">
        <v>1687</v>
      </c>
      <c r="F125" s="35" t="s">
        <v>737</v>
      </c>
    </row>
    <row r="126" spans="1:6" ht="16.350000000000001" customHeight="1" x14ac:dyDescent="0.25">
      <c r="A126" s="35">
        <v>346361</v>
      </c>
      <c r="B126" s="35" t="s">
        <v>1980</v>
      </c>
      <c r="C126" s="35" t="s">
        <v>1981</v>
      </c>
      <c r="D126" s="35" t="s">
        <v>1982</v>
      </c>
      <c r="E126" s="35" t="s">
        <v>1687</v>
      </c>
      <c r="F126" s="35" t="s">
        <v>737</v>
      </c>
    </row>
    <row r="127" spans="1:6" ht="16.350000000000001" customHeight="1" x14ac:dyDescent="0.25">
      <c r="A127" s="35">
        <v>3540</v>
      </c>
      <c r="B127" s="35" t="s">
        <v>1172</v>
      </c>
      <c r="C127" s="35" t="s">
        <v>1983</v>
      </c>
      <c r="D127" s="35" t="s">
        <v>1984</v>
      </c>
      <c r="E127" s="35" t="s">
        <v>1687</v>
      </c>
      <c r="F127" s="35" t="s">
        <v>737</v>
      </c>
    </row>
    <row r="128" spans="1:6" ht="16.350000000000001" customHeight="1" x14ac:dyDescent="0.25">
      <c r="A128" s="35">
        <v>381970</v>
      </c>
      <c r="B128" s="35" t="s">
        <v>578</v>
      </c>
      <c r="C128" s="35" t="s">
        <v>1985</v>
      </c>
      <c r="D128" s="35" t="s">
        <v>1986</v>
      </c>
      <c r="E128" s="35" t="s">
        <v>1687</v>
      </c>
      <c r="F128" s="35" t="s">
        <v>737</v>
      </c>
    </row>
    <row r="129" spans="1:6" ht="16.350000000000001" customHeight="1" x14ac:dyDescent="0.25">
      <c r="A129" s="35">
        <v>43836</v>
      </c>
      <c r="B129" s="35" t="s">
        <v>1987</v>
      </c>
      <c r="C129" s="35" t="s">
        <v>1988</v>
      </c>
      <c r="D129" s="35" t="s">
        <v>1989</v>
      </c>
      <c r="E129" s="35" t="s">
        <v>1687</v>
      </c>
      <c r="F129" s="35" t="s">
        <v>737</v>
      </c>
    </row>
    <row r="130" spans="1:6" ht="16.350000000000001" customHeight="1" x14ac:dyDescent="0.25">
      <c r="A130" s="35">
        <v>55814</v>
      </c>
      <c r="B130" s="35" t="s">
        <v>449</v>
      </c>
      <c r="C130" s="35" t="s">
        <v>1990</v>
      </c>
      <c r="D130" s="35" t="s">
        <v>1991</v>
      </c>
      <c r="E130" s="35" t="s">
        <v>1687</v>
      </c>
      <c r="F130" s="35" t="s">
        <v>737</v>
      </c>
    </row>
    <row r="131" spans="1:6" ht="16.350000000000001" customHeight="1" x14ac:dyDescent="0.25">
      <c r="A131" s="35">
        <v>80242</v>
      </c>
      <c r="B131" s="35" t="s">
        <v>1305</v>
      </c>
      <c r="C131" s="35" t="s">
        <v>1992</v>
      </c>
      <c r="D131" s="35" t="s">
        <v>1993</v>
      </c>
      <c r="E131" s="35" t="s">
        <v>1687</v>
      </c>
      <c r="F131" s="35" t="s">
        <v>737</v>
      </c>
    </row>
    <row r="132" spans="1:6" ht="16.350000000000001" customHeight="1" x14ac:dyDescent="0.25">
      <c r="A132" s="35">
        <v>93591</v>
      </c>
      <c r="B132" s="35" t="s">
        <v>378</v>
      </c>
      <c r="C132" s="35" t="s">
        <v>1994</v>
      </c>
      <c r="D132" s="35" t="s">
        <v>1995</v>
      </c>
      <c r="E132" s="35" t="s">
        <v>1687</v>
      </c>
      <c r="F132" s="35" t="s">
        <v>737</v>
      </c>
    </row>
    <row r="133" spans="1:6" ht="16.350000000000001" customHeight="1" x14ac:dyDescent="0.25">
      <c r="A133" s="35">
        <v>96909</v>
      </c>
      <c r="B133" s="35" t="s">
        <v>966</v>
      </c>
      <c r="C133" s="35" t="s">
        <v>1996</v>
      </c>
      <c r="D133" s="35" t="s">
        <v>1997</v>
      </c>
      <c r="E133" s="35" t="s">
        <v>1687</v>
      </c>
      <c r="F133" s="35" t="s">
        <v>737</v>
      </c>
    </row>
    <row r="134" spans="1:6" ht="16.350000000000001" customHeight="1" x14ac:dyDescent="0.25">
      <c r="A134" s="35">
        <v>21869</v>
      </c>
      <c r="B134" s="35" t="s">
        <v>116</v>
      </c>
      <c r="C134" s="35" t="s">
        <v>1939</v>
      </c>
      <c r="D134" s="35" t="s">
        <v>1940</v>
      </c>
      <c r="E134" s="35" t="s">
        <v>1687</v>
      </c>
      <c r="F134" s="35" t="s">
        <v>737</v>
      </c>
    </row>
    <row r="135" spans="1:6" ht="16.350000000000001" customHeight="1" x14ac:dyDescent="0.25">
      <c r="A135" s="35">
        <v>11949</v>
      </c>
      <c r="B135" s="35" t="s">
        <v>1157</v>
      </c>
      <c r="C135" s="35" t="s">
        <v>1998</v>
      </c>
      <c r="D135" s="35" t="s">
        <v>1999</v>
      </c>
      <c r="E135" s="35" t="s">
        <v>1687</v>
      </c>
      <c r="F135" s="35" t="s">
        <v>737</v>
      </c>
    </row>
    <row r="136" spans="1:6" ht="16.350000000000001" customHeight="1" x14ac:dyDescent="0.25">
      <c r="A136" s="35">
        <v>210676</v>
      </c>
      <c r="B136" s="35" t="s">
        <v>2000</v>
      </c>
      <c r="C136" s="35" t="s">
        <v>2001</v>
      </c>
      <c r="D136" s="35" t="s">
        <v>2002</v>
      </c>
      <c r="E136" s="35" t="s">
        <v>1687</v>
      </c>
      <c r="F136" s="35" t="s">
        <v>737</v>
      </c>
    </row>
    <row r="137" spans="1:6" ht="16.350000000000001" customHeight="1" x14ac:dyDescent="0.25">
      <c r="A137" s="35">
        <v>21329</v>
      </c>
      <c r="B137" s="35" t="s">
        <v>2003</v>
      </c>
      <c r="C137" s="35" t="s">
        <v>2004</v>
      </c>
      <c r="D137" s="35" t="s">
        <v>2005</v>
      </c>
      <c r="E137" s="35" t="s">
        <v>1687</v>
      </c>
      <c r="F137" s="35" t="s">
        <v>737</v>
      </c>
    </row>
    <row r="138" spans="1:6" ht="16.350000000000001" customHeight="1" x14ac:dyDescent="0.25">
      <c r="A138" s="35">
        <v>22777</v>
      </c>
      <c r="B138" s="35" t="s">
        <v>2006</v>
      </c>
      <c r="C138" s="35" t="s">
        <v>2007</v>
      </c>
      <c r="D138" s="35" t="s">
        <v>2008</v>
      </c>
      <c r="E138" s="35" t="s">
        <v>1687</v>
      </c>
      <c r="F138" s="35" t="s">
        <v>737</v>
      </c>
    </row>
    <row r="139" spans="1:6" ht="16.350000000000001" customHeight="1" x14ac:dyDescent="0.25">
      <c r="A139" s="35">
        <v>24059</v>
      </c>
      <c r="B139" s="35" t="s">
        <v>2009</v>
      </c>
      <c r="C139" s="35" t="s">
        <v>2010</v>
      </c>
      <c r="D139" s="35" t="s">
        <v>2011</v>
      </c>
      <c r="E139" s="35" t="s">
        <v>1687</v>
      </c>
      <c r="F139" s="35" t="s">
        <v>737</v>
      </c>
    </row>
    <row r="140" spans="1:6" ht="16.350000000000001" customHeight="1" x14ac:dyDescent="0.25">
      <c r="A140" s="35">
        <v>24958</v>
      </c>
      <c r="B140" s="35" t="s">
        <v>2012</v>
      </c>
      <c r="C140" s="35" t="s">
        <v>2013</v>
      </c>
      <c r="D140" s="35" t="s">
        <v>2014</v>
      </c>
      <c r="E140" s="35" t="s">
        <v>1687</v>
      </c>
      <c r="F140" s="35" t="s">
        <v>737</v>
      </c>
    </row>
    <row r="141" spans="1:6" ht="16.350000000000001" customHeight="1" x14ac:dyDescent="0.25">
      <c r="A141" s="35">
        <v>321877</v>
      </c>
      <c r="B141" s="35" t="s">
        <v>2015</v>
      </c>
      <c r="C141" s="35" t="s">
        <v>2016</v>
      </c>
      <c r="D141" s="35" t="s">
        <v>2017</v>
      </c>
      <c r="E141" s="35" t="s">
        <v>1687</v>
      </c>
      <c r="F141" s="35" t="s">
        <v>737</v>
      </c>
    </row>
    <row r="142" spans="1:6" ht="16.350000000000001" customHeight="1" x14ac:dyDescent="0.25">
      <c r="A142" s="35">
        <v>40022</v>
      </c>
      <c r="B142" s="35" t="s">
        <v>2018</v>
      </c>
      <c r="C142" s="35" t="s">
        <v>2019</v>
      </c>
      <c r="D142" s="35" t="s">
        <v>2020</v>
      </c>
      <c r="E142" s="35" t="s">
        <v>1687</v>
      </c>
      <c r="F142" s="35" t="s">
        <v>737</v>
      </c>
    </row>
    <row r="143" spans="1:6" ht="16.350000000000001" customHeight="1" x14ac:dyDescent="0.25">
      <c r="A143" s="35">
        <v>500190</v>
      </c>
      <c r="B143" s="35" t="s">
        <v>2021</v>
      </c>
      <c r="C143" s="35" t="s">
        <v>2022</v>
      </c>
      <c r="D143" s="35" t="s">
        <v>2023</v>
      </c>
      <c r="E143" s="35" t="s">
        <v>1687</v>
      </c>
      <c r="F143" s="35" t="s">
        <v>737</v>
      </c>
    </row>
    <row r="144" spans="1:6" ht="16.350000000000001" customHeight="1" x14ac:dyDescent="0.25">
      <c r="A144" s="35">
        <v>58842</v>
      </c>
      <c r="B144" s="35" t="s">
        <v>2009</v>
      </c>
      <c r="C144" s="35" t="s">
        <v>2010</v>
      </c>
      <c r="D144" s="35" t="s">
        <v>2011</v>
      </c>
      <c r="E144" s="35" t="s">
        <v>1687</v>
      </c>
      <c r="F144" s="35" t="s">
        <v>737</v>
      </c>
    </row>
    <row r="145" spans="1:6" ht="16.350000000000001" customHeight="1" x14ac:dyDescent="0.25">
      <c r="A145" s="35">
        <v>7112</v>
      </c>
      <c r="B145" s="35" t="s">
        <v>933</v>
      </c>
      <c r="C145" s="35" t="s">
        <v>2024</v>
      </c>
      <c r="D145" s="35" t="s">
        <v>2025</v>
      </c>
      <c r="E145" s="35" t="s">
        <v>1687</v>
      </c>
      <c r="F145" s="35" t="s">
        <v>737</v>
      </c>
    </row>
    <row r="146" spans="1:6" ht="16.350000000000001" customHeight="1" x14ac:dyDescent="0.25">
      <c r="A146" s="35">
        <v>76034</v>
      </c>
      <c r="B146" s="35" t="s">
        <v>2009</v>
      </c>
      <c r="C146" s="35" t="s">
        <v>2026</v>
      </c>
      <c r="D146" s="35" t="s">
        <v>2027</v>
      </c>
      <c r="E146" s="35" t="s">
        <v>1687</v>
      </c>
      <c r="F146" s="35" t="s">
        <v>737</v>
      </c>
    </row>
    <row r="147" spans="1:6" ht="16.350000000000001" customHeight="1" x14ac:dyDescent="0.25">
      <c r="A147" s="35">
        <v>82370</v>
      </c>
      <c r="B147" s="35" t="s">
        <v>319</v>
      </c>
      <c r="C147" s="35" t="s">
        <v>2028</v>
      </c>
      <c r="D147" s="35" t="s">
        <v>2029</v>
      </c>
      <c r="E147" s="35" t="s">
        <v>1687</v>
      </c>
      <c r="F147" s="35" t="s">
        <v>737</v>
      </c>
    </row>
    <row r="148" spans="1:6" ht="16.350000000000001" customHeight="1" x14ac:dyDescent="0.25">
      <c r="A148" s="35">
        <v>61713</v>
      </c>
      <c r="B148" s="35" t="s">
        <v>2030</v>
      </c>
      <c r="C148" s="35" t="s">
        <v>2031</v>
      </c>
      <c r="D148" s="35" t="s">
        <v>2031</v>
      </c>
      <c r="E148" s="35" t="s">
        <v>1687</v>
      </c>
      <c r="F148" s="35" t="s">
        <v>737</v>
      </c>
    </row>
    <row r="149" spans="1:6" ht="16.350000000000001" customHeight="1" x14ac:dyDescent="0.25">
      <c r="A149" s="35">
        <v>304023</v>
      </c>
      <c r="B149" s="35" t="s">
        <v>2032</v>
      </c>
      <c r="C149" s="35" t="s">
        <v>2033</v>
      </c>
      <c r="D149" s="35" t="s">
        <v>2034</v>
      </c>
      <c r="E149" s="35" t="s">
        <v>1687</v>
      </c>
      <c r="F149" s="35" t="s">
        <v>737</v>
      </c>
    </row>
    <row r="150" spans="1:6" ht="16.350000000000001" customHeight="1" x14ac:dyDescent="0.25">
      <c r="A150" s="35">
        <v>17921</v>
      </c>
      <c r="B150" s="35" t="s">
        <v>135</v>
      </c>
      <c r="C150" s="35" t="s">
        <v>2035</v>
      </c>
      <c r="D150" s="35" t="s">
        <v>2036</v>
      </c>
      <c r="E150" s="35" t="s">
        <v>1687</v>
      </c>
      <c r="F150" s="35" t="s">
        <v>737</v>
      </c>
    </row>
    <row r="151" spans="1:6" ht="16.350000000000001" customHeight="1" x14ac:dyDescent="0.25">
      <c r="A151" s="35">
        <v>8862</v>
      </c>
      <c r="B151" s="35" t="s">
        <v>2037</v>
      </c>
      <c r="C151" s="35" t="s">
        <v>2038</v>
      </c>
      <c r="D151" s="35" t="s">
        <v>2039</v>
      </c>
      <c r="E151" s="35" t="s">
        <v>1687</v>
      </c>
      <c r="F151" s="35" t="s">
        <v>737</v>
      </c>
    </row>
    <row r="152" spans="1:6" ht="16.350000000000001" customHeight="1" x14ac:dyDescent="0.25">
      <c r="A152" s="35">
        <v>22646</v>
      </c>
      <c r="B152" s="35" t="s">
        <v>2040</v>
      </c>
      <c r="C152" s="35" t="s">
        <v>2041</v>
      </c>
      <c r="D152" s="35" t="s">
        <v>2042</v>
      </c>
      <c r="E152" s="35" t="s">
        <v>1687</v>
      </c>
      <c r="F152" s="35" t="s">
        <v>737</v>
      </c>
    </row>
    <row r="153" spans="1:6" ht="16.350000000000001" customHeight="1" x14ac:dyDescent="0.25">
      <c r="A153" s="35">
        <v>24447</v>
      </c>
      <c r="B153" s="35" t="s">
        <v>2043</v>
      </c>
      <c r="C153" s="35" t="s">
        <v>2044</v>
      </c>
      <c r="D153" s="35" t="s">
        <v>2045</v>
      </c>
      <c r="E153" s="35" t="s">
        <v>1687</v>
      </c>
      <c r="F153" s="35" t="s">
        <v>737</v>
      </c>
    </row>
    <row r="154" spans="1:6" ht="16.350000000000001" customHeight="1" x14ac:dyDescent="0.25">
      <c r="A154" s="35">
        <v>304060</v>
      </c>
      <c r="B154" s="35" t="s">
        <v>2046</v>
      </c>
      <c r="C154" s="35" t="s">
        <v>2047</v>
      </c>
      <c r="D154" s="35" t="s">
        <v>2048</v>
      </c>
      <c r="E154" s="35" t="s">
        <v>2049</v>
      </c>
      <c r="F154" s="35" t="s">
        <v>737</v>
      </c>
    </row>
    <row r="155" spans="1:6" ht="16.350000000000001" customHeight="1" x14ac:dyDescent="0.25">
      <c r="A155" s="35">
        <v>324673</v>
      </c>
      <c r="B155" s="35" t="s">
        <v>2050</v>
      </c>
      <c r="C155" s="35" t="s">
        <v>2051</v>
      </c>
      <c r="D155" s="35" t="s">
        <v>2052</v>
      </c>
      <c r="E155" s="35" t="s">
        <v>2049</v>
      </c>
      <c r="F155" s="35" t="s">
        <v>737</v>
      </c>
    </row>
    <row r="156" spans="1:6" ht="16.350000000000001" customHeight="1" x14ac:dyDescent="0.25">
      <c r="A156" s="35">
        <v>331215</v>
      </c>
      <c r="B156" s="35" t="s">
        <v>2053</v>
      </c>
      <c r="C156" s="35" t="s">
        <v>2053</v>
      </c>
      <c r="D156" s="35" t="s">
        <v>2054</v>
      </c>
      <c r="E156" s="35" t="s">
        <v>2049</v>
      </c>
      <c r="F156" s="35" t="s">
        <v>737</v>
      </c>
    </row>
    <row r="157" spans="1:6" ht="16.350000000000001" customHeight="1" x14ac:dyDescent="0.25">
      <c r="A157" s="35">
        <v>34306</v>
      </c>
      <c r="B157" s="35" t="s">
        <v>2055</v>
      </c>
      <c r="C157" s="35" t="s">
        <v>1978</v>
      </c>
      <c r="D157" s="35" t="s">
        <v>1979</v>
      </c>
      <c r="E157" s="35" t="s">
        <v>2049</v>
      </c>
      <c r="F157" s="35" t="s">
        <v>737</v>
      </c>
    </row>
    <row r="158" spans="1:6" ht="16.350000000000001" customHeight="1" x14ac:dyDescent="0.25">
      <c r="A158" s="35">
        <v>3773</v>
      </c>
      <c r="B158" s="35" t="s">
        <v>475</v>
      </c>
      <c r="C158" s="35" t="s">
        <v>2056</v>
      </c>
      <c r="D158" s="35" t="s">
        <v>2057</v>
      </c>
      <c r="E158" s="35" t="s">
        <v>2049</v>
      </c>
      <c r="F158" s="35" t="s">
        <v>737</v>
      </c>
    </row>
    <row r="159" spans="1:6" ht="16.350000000000001" customHeight="1" x14ac:dyDescent="0.25">
      <c r="A159" s="35">
        <v>381129</v>
      </c>
      <c r="B159" s="35" t="s">
        <v>2058</v>
      </c>
      <c r="C159" s="35" t="s">
        <v>2059</v>
      </c>
      <c r="D159" s="35" t="s">
        <v>2060</v>
      </c>
      <c r="E159" s="35" t="s">
        <v>2049</v>
      </c>
      <c r="F159" s="35" t="s">
        <v>737</v>
      </c>
    </row>
    <row r="160" spans="1:6" ht="16.350000000000001" customHeight="1" x14ac:dyDescent="0.25">
      <c r="A160" s="35">
        <v>382119</v>
      </c>
      <c r="B160" s="35" t="s">
        <v>1158</v>
      </c>
      <c r="C160" s="35" t="s">
        <v>2061</v>
      </c>
      <c r="D160" s="35" t="s">
        <v>2062</v>
      </c>
      <c r="E160" s="35" t="s">
        <v>2049</v>
      </c>
      <c r="F160" s="35" t="s">
        <v>737</v>
      </c>
    </row>
    <row r="161" spans="1:6" ht="16.350000000000001" customHeight="1" x14ac:dyDescent="0.25">
      <c r="A161" s="35">
        <v>79681</v>
      </c>
      <c r="B161" s="35" t="s">
        <v>529</v>
      </c>
      <c r="C161" s="35" t="s">
        <v>2063</v>
      </c>
      <c r="D161" s="35" t="s">
        <v>2064</v>
      </c>
      <c r="E161" s="35" t="s">
        <v>2049</v>
      </c>
      <c r="F161" s="35" t="s">
        <v>737</v>
      </c>
    </row>
    <row r="162" spans="1:6" ht="16.350000000000001" customHeight="1" x14ac:dyDescent="0.25">
      <c r="A162" s="35">
        <v>80622</v>
      </c>
      <c r="B162" s="35" t="s">
        <v>150</v>
      </c>
      <c r="C162" s="35" t="s">
        <v>2065</v>
      </c>
      <c r="D162" s="35" t="s">
        <v>2066</v>
      </c>
      <c r="E162" s="35" t="s">
        <v>2049</v>
      </c>
      <c r="F162" s="35" t="s">
        <v>737</v>
      </c>
    </row>
    <row r="163" spans="1:6" ht="16.350000000000001" customHeight="1" x14ac:dyDescent="0.25">
      <c r="A163" s="35">
        <v>309971</v>
      </c>
      <c r="B163" s="35" t="s">
        <v>2067</v>
      </c>
      <c r="C163" s="35" t="s">
        <v>2068</v>
      </c>
      <c r="D163" s="35" t="s">
        <v>2069</v>
      </c>
      <c r="E163" s="35" t="s">
        <v>2070</v>
      </c>
      <c r="F163" s="35" t="s">
        <v>2071</v>
      </c>
    </row>
    <row r="164" spans="1:6" ht="16.350000000000001" customHeight="1" x14ac:dyDescent="0.25">
      <c r="A164" s="35">
        <v>67322</v>
      </c>
      <c r="B164" s="35" t="s">
        <v>2072</v>
      </c>
      <c r="C164" s="35" t="s">
        <v>2073</v>
      </c>
      <c r="D164" s="35" t="s">
        <v>2074</v>
      </c>
      <c r="E164" s="35" t="s">
        <v>2075</v>
      </c>
      <c r="F164" s="35" t="s">
        <v>2076</v>
      </c>
    </row>
    <row r="165" spans="1:6" ht="16.350000000000001" customHeight="1" x14ac:dyDescent="0.25">
      <c r="A165" s="35">
        <v>395863</v>
      </c>
      <c r="B165" s="35" t="s">
        <v>2077</v>
      </c>
      <c r="C165" s="35" t="s">
        <v>2078</v>
      </c>
      <c r="D165" s="35" t="s">
        <v>2079</v>
      </c>
      <c r="E165" s="35" t="s">
        <v>2049</v>
      </c>
      <c r="F165" s="35" t="s">
        <v>737</v>
      </c>
    </row>
    <row r="166" spans="1:6" ht="16.350000000000001" customHeight="1" x14ac:dyDescent="0.25">
      <c r="A166" s="35">
        <v>339960</v>
      </c>
      <c r="B166" s="35" t="s">
        <v>2080</v>
      </c>
      <c r="C166" s="35" t="s">
        <v>2081</v>
      </c>
      <c r="D166" s="35" t="s">
        <v>2082</v>
      </c>
      <c r="E166" s="35" t="s">
        <v>2083</v>
      </c>
      <c r="F166" s="35" t="s">
        <v>737</v>
      </c>
    </row>
    <row r="167" spans="1:6" ht="16.350000000000001" customHeight="1" x14ac:dyDescent="0.25">
      <c r="A167" s="35">
        <v>328583</v>
      </c>
      <c r="B167" s="35" t="s">
        <v>2084</v>
      </c>
      <c r="C167" s="35" t="s">
        <v>2085</v>
      </c>
      <c r="D167" s="35" t="s">
        <v>2086</v>
      </c>
      <c r="E167" s="35" t="s">
        <v>2087</v>
      </c>
      <c r="F167" s="35" t="s">
        <v>2087</v>
      </c>
    </row>
    <row r="168" spans="1:6" ht="16.350000000000001" customHeight="1" x14ac:dyDescent="0.25">
      <c r="A168" s="35">
        <v>21733</v>
      </c>
      <c r="B168" s="35" t="s">
        <v>2088</v>
      </c>
      <c r="C168" s="35" t="s">
        <v>2089</v>
      </c>
      <c r="D168" s="35" t="s">
        <v>2090</v>
      </c>
      <c r="E168" s="35" t="s">
        <v>2049</v>
      </c>
      <c r="F168" s="35" t="s">
        <v>737</v>
      </c>
    </row>
    <row r="169" spans="1:6" ht="16.350000000000001" customHeight="1" x14ac:dyDescent="0.25">
      <c r="A169" s="35">
        <v>22955</v>
      </c>
      <c r="B169" s="35" t="s">
        <v>2091</v>
      </c>
      <c r="C169" s="35" t="s">
        <v>2092</v>
      </c>
      <c r="D169" s="35" t="s">
        <v>2093</v>
      </c>
      <c r="E169" s="35" t="s">
        <v>2049</v>
      </c>
      <c r="F169" s="35" t="s">
        <v>737</v>
      </c>
    </row>
    <row r="170" spans="1:6" ht="16.350000000000001" customHeight="1" x14ac:dyDescent="0.25">
      <c r="A170" s="35">
        <v>23146</v>
      </c>
      <c r="B170" s="35" t="s">
        <v>2094</v>
      </c>
      <c r="C170" s="35" t="s">
        <v>2095</v>
      </c>
      <c r="D170" s="35" t="s">
        <v>2096</v>
      </c>
      <c r="E170" s="35" t="s">
        <v>2049</v>
      </c>
      <c r="F170" s="35" t="s">
        <v>737</v>
      </c>
    </row>
    <row r="171" spans="1:6" ht="16.350000000000001" customHeight="1" x14ac:dyDescent="0.25">
      <c r="A171" s="35">
        <v>301119</v>
      </c>
      <c r="B171" s="35" t="s">
        <v>2097</v>
      </c>
      <c r="C171" s="35" t="s">
        <v>2098</v>
      </c>
      <c r="D171" s="35" t="s">
        <v>2099</v>
      </c>
      <c r="E171" s="35" t="s">
        <v>2049</v>
      </c>
      <c r="F171" s="35" t="s">
        <v>737</v>
      </c>
    </row>
    <row r="172" spans="1:6" ht="16.350000000000001" customHeight="1" x14ac:dyDescent="0.25">
      <c r="A172" s="35">
        <v>310698</v>
      </c>
      <c r="B172" s="35" t="s">
        <v>2100</v>
      </c>
      <c r="C172" s="35" t="s">
        <v>2101</v>
      </c>
      <c r="D172" s="35" t="s">
        <v>2102</v>
      </c>
      <c r="E172" s="35" t="s">
        <v>2049</v>
      </c>
      <c r="F172" s="35" t="s">
        <v>737</v>
      </c>
    </row>
    <row r="173" spans="1:6" ht="16.350000000000001" customHeight="1" x14ac:dyDescent="0.25">
      <c r="A173" s="35">
        <v>312231</v>
      </c>
      <c r="B173" s="35" t="s">
        <v>2103</v>
      </c>
      <c r="C173" s="35" t="s">
        <v>2104</v>
      </c>
      <c r="D173" s="35" t="s">
        <v>2105</v>
      </c>
      <c r="E173" s="35" t="s">
        <v>2049</v>
      </c>
      <c r="F173" s="35" t="s">
        <v>737</v>
      </c>
    </row>
    <row r="174" spans="1:6" ht="16.350000000000001" customHeight="1" x14ac:dyDescent="0.25">
      <c r="A174" s="35">
        <v>318949</v>
      </c>
      <c r="B174" s="35" t="s">
        <v>2106</v>
      </c>
      <c r="C174" s="35" t="s">
        <v>2107</v>
      </c>
      <c r="D174" s="35" t="s">
        <v>2108</v>
      </c>
      <c r="E174" s="35" t="s">
        <v>2049</v>
      </c>
      <c r="F174" s="35" t="s">
        <v>737</v>
      </c>
    </row>
    <row r="175" spans="1:6" ht="16.350000000000001" customHeight="1" x14ac:dyDescent="0.25">
      <c r="A175" s="35">
        <v>325746</v>
      </c>
      <c r="B175" s="35" t="s">
        <v>2109</v>
      </c>
      <c r="C175" s="35" t="s">
        <v>2110</v>
      </c>
      <c r="D175" s="35" t="s">
        <v>2111</v>
      </c>
      <c r="E175" s="35" t="s">
        <v>2049</v>
      </c>
      <c r="F175" s="35" t="s">
        <v>737</v>
      </c>
    </row>
    <row r="176" spans="1:6" ht="16.350000000000001" customHeight="1" x14ac:dyDescent="0.25">
      <c r="A176" s="35">
        <v>396655</v>
      </c>
      <c r="B176" s="35" t="s">
        <v>2112</v>
      </c>
      <c r="C176" s="35" t="s">
        <v>2113</v>
      </c>
      <c r="D176" s="35" t="s">
        <v>2114</v>
      </c>
      <c r="E176" s="35" t="s">
        <v>2049</v>
      </c>
      <c r="F176" s="35" t="s">
        <v>737</v>
      </c>
    </row>
    <row r="177" spans="1:6" ht="16.350000000000001" customHeight="1" x14ac:dyDescent="0.25">
      <c r="A177" s="35">
        <v>4010</v>
      </c>
      <c r="B177" s="35" t="s">
        <v>2115</v>
      </c>
      <c r="C177" s="35" t="s">
        <v>2116</v>
      </c>
      <c r="D177" s="35" t="s">
        <v>2117</v>
      </c>
      <c r="E177" s="35" t="s">
        <v>2049</v>
      </c>
      <c r="F177" s="35" t="s">
        <v>737</v>
      </c>
    </row>
    <row r="178" spans="1:6" ht="16.350000000000001" customHeight="1" x14ac:dyDescent="0.25">
      <c r="A178" s="35">
        <v>68403</v>
      </c>
      <c r="B178" s="35" t="s">
        <v>2118</v>
      </c>
      <c r="C178" s="35" t="s">
        <v>2119</v>
      </c>
      <c r="D178" s="35" t="s">
        <v>2120</v>
      </c>
      <c r="E178" s="35" t="s">
        <v>2049</v>
      </c>
      <c r="F178" s="35" t="s">
        <v>737</v>
      </c>
    </row>
    <row r="179" spans="1:6" ht="16.350000000000001" customHeight="1" x14ac:dyDescent="0.25">
      <c r="A179" s="35">
        <v>77305</v>
      </c>
      <c r="B179" s="35" t="s">
        <v>2121</v>
      </c>
      <c r="C179" s="35" t="s">
        <v>2122</v>
      </c>
      <c r="D179" s="35" t="s">
        <v>2123</v>
      </c>
      <c r="E179" s="35" t="s">
        <v>2049</v>
      </c>
      <c r="F179" s="35" t="s">
        <v>737</v>
      </c>
    </row>
    <row r="180" spans="1:6" ht="16.350000000000001" customHeight="1" x14ac:dyDescent="0.25">
      <c r="A180" s="35">
        <v>80200</v>
      </c>
      <c r="B180" s="35" t="s">
        <v>2124</v>
      </c>
      <c r="C180" s="35" t="s">
        <v>2125</v>
      </c>
      <c r="D180" s="35" t="s">
        <v>2126</v>
      </c>
      <c r="E180" s="35" t="s">
        <v>2049</v>
      </c>
      <c r="F180" s="35" t="s">
        <v>737</v>
      </c>
    </row>
    <row r="181" spans="1:6" ht="16.350000000000001" customHeight="1" x14ac:dyDescent="0.25">
      <c r="A181" s="35">
        <v>8029</v>
      </c>
      <c r="B181" s="35" t="s">
        <v>2127</v>
      </c>
      <c r="C181" s="35" t="s">
        <v>2128</v>
      </c>
      <c r="D181" s="35" t="s">
        <v>2129</v>
      </c>
      <c r="E181" s="35" t="s">
        <v>2049</v>
      </c>
      <c r="F181" s="35" t="s">
        <v>737</v>
      </c>
    </row>
    <row r="182" spans="1:6" ht="16.350000000000001" customHeight="1" x14ac:dyDescent="0.25">
      <c r="A182" s="35">
        <v>81927</v>
      </c>
      <c r="B182" s="35" t="s">
        <v>2130</v>
      </c>
      <c r="C182" s="35" t="s">
        <v>2131</v>
      </c>
      <c r="D182" s="35" t="s">
        <v>2132</v>
      </c>
      <c r="E182" s="35" t="s">
        <v>2049</v>
      </c>
      <c r="F182" s="35" t="s">
        <v>737</v>
      </c>
    </row>
    <row r="183" spans="1:6" ht="16.350000000000001" customHeight="1" x14ac:dyDescent="0.25">
      <c r="A183" s="35">
        <v>94664</v>
      </c>
      <c r="B183" s="35" t="s">
        <v>2133</v>
      </c>
      <c r="C183" s="35" t="s">
        <v>2119</v>
      </c>
      <c r="D183" s="35" t="s">
        <v>2120</v>
      </c>
      <c r="E183" s="35" t="s">
        <v>2049</v>
      </c>
      <c r="F183" s="35" t="s">
        <v>737</v>
      </c>
    </row>
    <row r="184" spans="1:6" ht="16.350000000000001" customHeight="1" x14ac:dyDescent="0.25">
      <c r="A184" s="35">
        <v>99093</v>
      </c>
      <c r="B184" s="35" t="s">
        <v>2134</v>
      </c>
      <c r="C184" s="35" t="s">
        <v>1821</v>
      </c>
      <c r="D184" s="35" t="s">
        <v>1822</v>
      </c>
      <c r="E184" s="35" t="s">
        <v>2049</v>
      </c>
      <c r="F184" s="35" t="s">
        <v>737</v>
      </c>
    </row>
    <row r="185" spans="1:6" ht="16.350000000000001" customHeight="1" x14ac:dyDescent="0.25">
      <c r="A185" s="35">
        <v>82768</v>
      </c>
      <c r="B185" s="35" t="s">
        <v>2135</v>
      </c>
      <c r="C185" s="35" t="s">
        <v>2136</v>
      </c>
      <c r="D185" s="35" t="s">
        <v>2137</v>
      </c>
      <c r="E185" s="35" t="s">
        <v>2049</v>
      </c>
      <c r="F185" s="35" t="s">
        <v>737</v>
      </c>
    </row>
    <row r="186" spans="1:6" ht="16.350000000000001" customHeight="1" x14ac:dyDescent="0.25">
      <c r="A186" s="35">
        <v>229831</v>
      </c>
      <c r="B186" s="35" t="s">
        <v>2138</v>
      </c>
      <c r="C186" s="35" t="s">
        <v>2139</v>
      </c>
      <c r="D186" s="35" t="s">
        <v>2140</v>
      </c>
      <c r="E186" s="35" t="s">
        <v>1687</v>
      </c>
      <c r="F186" s="35" t="s">
        <v>737</v>
      </c>
    </row>
    <row r="187" spans="1:6" ht="16.350000000000001" customHeight="1" x14ac:dyDescent="0.25">
      <c r="A187" s="35">
        <v>302059</v>
      </c>
      <c r="B187" s="35" t="s">
        <v>2141</v>
      </c>
      <c r="C187" s="35" t="s">
        <v>2142</v>
      </c>
      <c r="D187" s="35" t="s">
        <v>2143</v>
      </c>
      <c r="E187" s="35" t="s">
        <v>1687</v>
      </c>
      <c r="F187" s="35" t="s">
        <v>737</v>
      </c>
    </row>
    <row r="188" spans="1:6" ht="16.350000000000001" customHeight="1" x14ac:dyDescent="0.25">
      <c r="A188" s="35">
        <v>98350</v>
      </c>
      <c r="B188" s="35" t="s">
        <v>2144</v>
      </c>
      <c r="C188" s="35" t="s">
        <v>2145</v>
      </c>
      <c r="D188" s="35" t="s">
        <v>2146</v>
      </c>
      <c r="E188" s="35" t="s">
        <v>1687</v>
      </c>
      <c r="F188" s="35" t="s">
        <v>737</v>
      </c>
    </row>
    <row r="189" spans="1:6" ht="16.350000000000001" customHeight="1" x14ac:dyDescent="0.25">
      <c r="A189" s="35">
        <v>1838</v>
      </c>
      <c r="B189" s="35" t="s">
        <v>2147</v>
      </c>
      <c r="C189" s="35" t="s">
        <v>2148</v>
      </c>
      <c r="D189" s="35" t="s">
        <v>2149</v>
      </c>
      <c r="E189" s="35" t="s">
        <v>1687</v>
      </c>
      <c r="F189" s="35" t="s">
        <v>737</v>
      </c>
    </row>
    <row r="190" spans="1:6" ht="16.350000000000001" customHeight="1" x14ac:dyDescent="0.25">
      <c r="A190" s="35">
        <v>20230</v>
      </c>
      <c r="B190" s="35" t="s">
        <v>2150</v>
      </c>
      <c r="C190" s="35" t="s">
        <v>2151</v>
      </c>
      <c r="D190" s="35" t="s">
        <v>2152</v>
      </c>
      <c r="E190" s="35" t="s">
        <v>1687</v>
      </c>
      <c r="F190" s="35" t="s">
        <v>737</v>
      </c>
    </row>
    <row r="191" spans="1:6" ht="16.350000000000001" customHeight="1" x14ac:dyDescent="0.25">
      <c r="A191" s="35">
        <v>28639</v>
      </c>
      <c r="B191" s="35" t="s">
        <v>1624</v>
      </c>
      <c r="C191" s="35" t="s">
        <v>2153</v>
      </c>
      <c r="D191" s="35" t="s">
        <v>2154</v>
      </c>
      <c r="E191" s="35" t="s">
        <v>1687</v>
      </c>
      <c r="F191" s="35" t="s">
        <v>737</v>
      </c>
    </row>
    <row r="192" spans="1:6" ht="16.350000000000001" customHeight="1" x14ac:dyDescent="0.25">
      <c r="A192" s="35">
        <v>28811</v>
      </c>
      <c r="B192" s="35" t="s">
        <v>2155</v>
      </c>
      <c r="C192" s="35" t="s">
        <v>2156</v>
      </c>
      <c r="D192" s="35" t="s">
        <v>2157</v>
      </c>
      <c r="E192" s="35" t="s">
        <v>1687</v>
      </c>
      <c r="F192" s="35" t="s">
        <v>737</v>
      </c>
    </row>
    <row r="193" spans="1:6" ht="16.350000000000001" customHeight="1" x14ac:dyDescent="0.25">
      <c r="A193" s="35">
        <v>313353</v>
      </c>
      <c r="B193" s="35" t="s">
        <v>2158</v>
      </c>
      <c r="C193" s="35" t="s">
        <v>2159</v>
      </c>
      <c r="D193" s="35" t="s">
        <v>2160</v>
      </c>
      <c r="E193" s="35" t="s">
        <v>1687</v>
      </c>
      <c r="F193" s="35" t="s">
        <v>737</v>
      </c>
    </row>
    <row r="194" spans="1:6" ht="16.350000000000001" customHeight="1" x14ac:dyDescent="0.25">
      <c r="A194" s="35">
        <v>320283</v>
      </c>
      <c r="B194" s="35" t="s">
        <v>2161</v>
      </c>
      <c r="C194" s="35" t="s">
        <v>2162</v>
      </c>
      <c r="D194" s="35" t="s">
        <v>2163</v>
      </c>
      <c r="E194" s="35" t="s">
        <v>1687</v>
      </c>
      <c r="F194" s="35" t="s">
        <v>737</v>
      </c>
    </row>
    <row r="195" spans="1:6" ht="16.350000000000001" customHeight="1" x14ac:dyDescent="0.25">
      <c r="A195" s="35">
        <v>4069</v>
      </c>
      <c r="B195" s="35" t="s">
        <v>2164</v>
      </c>
      <c r="C195" s="35" t="s">
        <v>2165</v>
      </c>
      <c r="D195" s="35" t="s">
        <v>2166</v>
      </c>
      <c r="E195" s="35" t="s">
        <v>1687</v>
      </c>
      <c r="F195" s="35" t="s">
        <v>737</v>
      </c>
    </row>
    <row r="196" spans="1:6" ht="16.350000000000001" customHeight="1" x14ac:dyDescent="0.25">
      <c r="A196" s="35">
        <v>44172</v>
      </c>
      <c r="B196" s="35" t="s">
        <v>2167</v>
      </c>
      <c r="C196" s="35" t="s">
        <v>2168</v>
      </c>
      <c r="D196" s="35" t="s">
        <v>2169</v>
      </c>
      <c r="E196" s="35" t="s">
        <v>2170</v>
      </c>
      <c r="F196" s="35" t="s">
        <v>737</v>
      </c>
    </row>
    <row r="197" spans="1:6" ht="16.350000000000001" customHeight="1" x14ac:dyDescent="0.25">
      <c r="A197" s="35">
        <v>48660</v>
      </c>
      <c r="B197" s="35" t="s">
        <v>2171</v>
      </c>
      <c r="C197" s="35" t="s">
        <v>2172</v>
      </c>
      <c r="D197" s="35" t="s">
        <v>2173</v>
      </c>
      <c r="E197" s="35" t="s">
        <v>2174</v>
      </c>
      <c r="F197" s="35" t="s">
        <v>737</v>
      </c>
    </row>
    <row r="198" spans="1:6" ht="16.350000000000001" customHeight="1" x14ac:dyDescent="0.25">
      <c r="A198" s="35">
        <v>501107</v>
      </c>
      <c r="B198" s="35" t="s">
        <v>2175</v>
      </c>
      <c r="C198" s="35" t="s">
        <v>2176</v>
      </c>
      <c r="D198" s="35" t="s">
        <v>2177</v>
      </c>
      <c r="E198" s="35" t="s">
        <v>1687</v>
      </c>
      <c r="F198" s="35" t="s">
        <v>737</v>
      </c>
    </row>
    <row r="199" spans="1:6" ht="16.350000000000001" customHeight="1" x14ac:dyDescent="0.25">
      <c r="A199" s="35">
        <v>594</v>
      </c>
      <c r="B199" s="35" t="s">
        <v>2178</v>
      </c>
      <c r="C199" s="35" t="s">
        <v>2179</v>
      </c>
      <c r="D199" s="35" t="s">
        <v>2180</v>
      </c>
      <c r="E199" s="35" t="s">
        <v>1687</v>
      </c>
      <c r="F199" s="35" t="s">
        <v>737</v>
      </c>
    </row>
    <row r="200" spans="1:6" ht="16.350000000000001" customHeight="1" x14ac:dyDescent="0.25">
      <c r="A200" s="35">
        <v>78535</v>
      </c>
      <c r="B200" s="35" t="s">
        <v>2181</v>
      </c>
      <c r="C200" s="35" t="s">
        <v>2182</v>
      </c>
      <c r="D200" s="35" t="s">
        <v>2183</v>
      </c>
      <c r="E200" s="35" t="s">
        <v>1687</v>
      </c>
      <c r="F200" s="35" t="s">
        <v>737</v>
      </c>
    </row>
    <row r="201" spans="1:6" ht="16.350000000000001" customHeight="1" x14ac:dyDescent="0.25">
      <c r="A201" s="35">
        <v>97568</v>
      </c>
      <c r="B201" s="35" t="s">
        <v>2184</v>
      </c>
      <c r="C201" s="35" t="s">
        <v>2185</v>
      </c>
      <c r="D201" s="35" t="s">
        <v>2186</v>
      </c>
      <c r="E201" s="35" t="s">
        <v>1687</v>
      </c>
      <c r="F201" s="35" t="s">
        <v>737</v>
      </c>
    </row>
    <row r="202" spans="1:6" ht="16.350000000000001" customHeight="1" x14ac:dyDescent="0.25">
      <c r="A202" s="35">
        <v>1256</v>
      </c>
      <c r="B202" s="35" t="s">
        <v>2187</v>
      </c>
      <c r="C202" s="35" t="s">
        <v>2188</v>
      </c>
      <c r="D202" s="35" t="s">
        <v>2189</v>
      </c>
      <c r="E202" s="35" t="s">
        <v>1687</v>
      </c>
      <c r="F202" s="35" t="s">
        <v>737</v>
      </c>
    </row>
    <row r="203" spans="1:6" ht="16.350000000000001" customHeight="1" x14ac:dyDescent="0.25">
      <c r="A203" s="35">
        <v>18501</v>
      </c>
      <c r="B203" s="35" t="s">
        <v>2190</v>
      </c>
      <c r="C203" s="35" t="s">
        <v>2191</v>
      </c>
      <c r="D203" s="35" t="s">
        <v>2192</v>
      </c>
      <c r="E203" s="35" t="s">
        <v>1687</v>
      </c>
      <c r="F203" s="35" t="s">
        <v>737</v>
      </c>
    </row>
    <row r="204" spans="1:6" ht="16.350000000000001" customHeight="1" x14ac:dyDescent="0.25">
      <c r="A204" s="35">
        <v>20096</v>
      </c>
      <c r="B204" s="35" t="s">
        <v>2193</v>
      </c>
      <c r="C204" s="35" t="s">
        <v>2194</v>
      </c>
      <c r="D204" s="35" t="s">
        <v>2195</v>
      </c>
      <c r="E204" s="35" t="s">
        <v>1687</v>
      </c>
      <c r="F204" s="35" t="s">
        <v>737</v>
      </c>
    </row>
    <row r="205" spans="1:6" ht="16.350000000000001" customHeight="1" x14ac:dyDescent="0.25">
      <c r="A205" s="35">
        <v>20646</v>
      </c>
      <c r="B205" s="35" t="s">
        <v>2196</v>
      </c>
      <c r="C205" s="35" t="s">
        <v>2197</v>
      </c>
      <c r="D205" s="35" t="s">
        <v>2198</v>
      </c>
      <c r="E205" s="35" t="s">
        <v>1687</v>
      </c>
      <c r="F205" s="35" t="s">
        <v>737</v>
      </c>
    </row>
    <row r="206" spans="1:6" ht="16.350000000000001" customHeight="1" x14ac:dyDescent="0.25">
      <c r="A206" s="35">
        <v>215065</v>
      </c>
      <c r="B206" s="35" t="s">
        <v>2199</v>
      </c>
      <c r="C206" s="35" t="s">
        <v>2200</v>
      </c>
      <c r="D206" s="35" t="s">
        <v>2201</v>
      </c>
      <c r="E206" s="35" t="s">
        <v>1687</v>
      </c>
      <c r="F206" s="35" t="s">
        <v>2202</v>
      </c>
    </row>
    <row r="207" spans="1:6" ht="16.350000000000001" customHeight="1" x14ac:dyDescent="0.25">
      <c r="A207" s="35">
        <v>21599</v>
      </c>
      <c r="B207" s="35" t="s">
        <v>2203</v>
      </c>
      <c r="C207" s="35" t="s">
        <v>2204</v>
      </c>
      <c r="D207" s="35" t="s">
        <v>2205</v>
      </c>
      <c r="E207" s="35" t="s">
        <v>1687</v>
      </c>
      <c r="F207" s="35" t="s">
        <v>737</v>
      </c>
    </row>
    <row r="208" spans="1:6" ht="16.350000000000001" customHeight="1" x14ac:dyDescent="0.25">
      <c r="A208" s="35">
        <v>22493</v>
      </c>
      <c r="B208" s="35" t="s">
        <v>2206</v>
      </c>
      <c r="C208" s="35" t="s">
        <v>2207</v>
      </c>
      <c r="D208" s="35" t="s">
        <v>2208</v>
      </c>
      <c r="E208" s="35" t="s">
        <v>1687</v>
      </c>
      <c r="F208" s="35" t="s">
        <v>737</v>
      </c>
    </row>
    <row r="209" spans="1:6" ht="16.350000000000001" customHeight="1" x14ac:dyDescent="0.25">
      <c r="A209" s="35">
        <v>22914</v>
      </c>
      <c r="B209" s="35" t="s">
        <v>2209</v>
      </c>
      <c r="C209" s="35" t="s">
        <v>2210</v>
      </c>
      <c r="D209" s="35" t="s">
        <v>2211</v>
      </c>
      <c r="E209" s="35" t="s">
        <v>1687</v>
      </c>
      <c r="F209" s="35" t="s">
        <v>737</v>
      </c>
    </row>
    <row r="210" spans="1:6" ht="16.350000000000001" customHeight="1" x14ac:dyDescent="0.25">
      <c r="A210" s="35">
        <v>24174</v>
      </c>
      <c r="B210" s="35" t="s">
        <v>1050</v>
      </c>
      <c r="C210" s="35" t="s">
        <v>2212</v>
      </c>
      <c r="D210" s="35" t="s">
        <v>2213</v>
      </c>
      <c r="E210" s="35" t="s">
        <v>1687</v>
      </c>
      <c r="F210" s="35" t="s">
        <v>737</v>
      </c>
    </row>
    <row r="211" spans="1:6" ht="16.350000000000001" customHeight="1" x14ac:dyDescent="0.25">
      <c r="A211" s="35">
        <v>303254</v>
      </c>
      <c r="B211" s="35" t="s">
        <v>2214</v>
      </c>
      <c r="C211" s="35" t="s">
        <v>2215</v>
      </c>
      <c r="D211" s="35" t="s">
        <v>2216</v>
      </c>
      <c r="E211" s="35" t="s">
        <v>1687</v>
      </c>
      <c r="F211" s="35" t="s">
        <v>737</v>
      </c>
    </row>
    <row r="212" spans="1:6" ht="16.350000000000001" customHeight="1" x14ac:dyDescent="0.25">
      <c r="A212" s="35">
        <v>307710</v>
      </c>
      <c r="B212" s="35" t="s">
        <v>2217</v>
      </c>
      <c r="C212" s="35" t="s">
        <v>2218</v>
      </c>
      <c r="D212" s="35" t="s">
        <v>2219</v>
      </c>
      <c r="E212" s="35" t="s">
        <v>1687</v>
      </c>
      <c r="F212" s="35" t="s">
        <v>737</v>
      </c>
    </row>
    <row r="213" spans="1:6" ht="16.350000000000001" customHeight="1" x14ac:dyDescent="0.25">
      <c r="A213" s="35">
        <v>68825</v>
      </c>
      <c r="B213" s="35" t="s">
        <v>2220</v>
      </c>
      <c r="C213" s="35" t="s">
        <v>2221</v>
      </c>
      <c r="D213" s="35" t="s">
        <v>2222</v>
      </c>
      <c r="E213" s="35" t="s">
        <v>1687</v>
      </c>
      <c r="F213" s="35" t="s">
        <v>737</v>
      </c>
    </row>
    <row r="214" spans="1:6" ht="16.350000000000001" customHeight="1" x14ac:dyDescent="0.25">
      <c r="A214" s="35">
        <v>96008</v>
      </c>
      <c r="B214" s="35" t="s">
        <v>2223</v>
      </c>
      <c r="C214" s="35" t="s">
        <v>2224</v>
      </c>
      <c r="D214" s="35" t="s">
        <v>2225</v>
      </c>
      <c r="E214" s="35" t="s">
        <v>1687</v>
      </c>
      <c r="F214" s="35" t="s">
        <v>2226</v>
      </c>
    </row>
    <row r="215" spans="1:6" ht="16.350000000000001" customHeight="1" x14ac:dyDescent="0.25">
      <c r="A215" s="35">
        <v>51615</v>
      </c>
      <c r="B215" s="35" t="s">
        <v>2227</v>
      </c>
      <c r="C215" s="35" t="s">
        <v>2228</v>
      </c>
      <c r="D215" s="35" t="s">
        <v>2229</v>
      </c>
      <c r="E215" s="35" t="s">
        <v>2230</v>
      </c>
      <c r="F215" s="35" t="s">
        <v>737</v>
      </c>
    </row>
    <row r="216" spans="1:6" ht="16.350000000000001" customHeight="1" x14ac:dyDescent="0.25">
      <c r="A216" s="35">
        <v>99812</v>
      </c>
      <c r="B216" s="35" t="s">
        <v>2231</v>
      </c>
      <c r="C216" s="35" t="s">
        <v>2232</v>
      </c>
      <c r="D216" s="35" t="s">
        <v>2233</v>
      </c>
      <c r="E216" s="35" t="s">
        <v>2234</v>
      </c>
      <c r="F216" s="35" t="s">
        <v>2087</v>
      </c>
    </row>
    <row r="217" spans="1:6" ht="16.350000000000001" customHeight="1" x14ac:dyDescent="0.25">
      <c r="A217" s="35">
        <v>315846</v>
      </c>
      <c r="B217" s="35" t="s">
        <v>2235</v>
      </c>
      <c r="C217" s="35" t="s">
        <v>2236</v>
      </c>
      <c r="D217" s="35" t="s">
        <v>2237</v>
      </c>
      <c r="E217" s="35" t="s">
        <v>1687</v>
      </c>
      <c r="F217" s="35" t="s">
        <v>737</v>
      </c>
    </row>
    <row r="218" spans="1:6" ht="16.350000000000001" customHeight="1" x14ac:dyDescent="0.25">
      <c r="A218" s="35">
        <v>340182</v>
      </c>
      <c r="B218" s="35" t="s">
        <v>2238</v>
      </c>
      <c r="C218" s="35" t="s">
        <v>2239</v>
      </c>
      <c r="D218" s="35" t="s">
        <v>2240</v>
      </c>
      <c r="E218" s="35" t="s">
        <v>1687</v>
      </c>
      <c r="F218" s="35" t="s">
        <v>737</v>
      </c>
    </row>
    <row r="219" spans="1:6" ht="16.350000000000001" customHeight="1" x14ac:dyDescent="0.25">
      <c r="A219" s="35">
        <v>98798</v>
      </c>
      <c r="B219" s="35" t="s">
        <v>2241</v>
      </c>
      <c r="C219" s="35" t="s">
        <v>2242</v>
      </c>
      <c r="D219" s="35" t="s">
        <v>2243</v>
      </c>
      <c r="E219" s="35" t="s">
        <v>1687</v>
      </c>
      <c r="F219" s="35" t="s">
        <v>737</v>
      </c>
    </row>
    <row r="220" spans="1:6" ht="16.350000000000001" customHeight="1" x14ac:dyDescent="0.25">
      <c r="A220" s="35">
        <v>311233</v>
      </c>
      <c r="B220" s="35" t="s">
        <v>2244</v>
      </c>
      <c r="C220" s="35" t="s">
        <v>2245</v>
      </c>
      <c r="D220" s="35" t="s">
        <v>2246</v>
      </c>
      <c r="E220" s="35" t="s">
        <v>1687</v>
      </c>
      <c r="F220" s="35" t="s">
        <v>737</v>
      </c>
    </row>
    <row r="221" spans="1:6" ht="16.350000000000001" customHeight="1" x14ac:dyDescent="0.25">
      <c r="A221" s="35">
        <v>19778</v>
      </c>
      <c r="B221" s="35" t="s">
        <v>2247</v>
      </c>
      <c r="C221" s="35" t="s">
        <v>2248</v>
      </c>
      <c r="D221" s="35" t="s">
        <v>2249</v>
      </c>
      <c r="E221" s="35" t="s">
        <v>1687</v>
      </c>
      <c r="F221" s="35" t="s">
        <v>2250</v>
      </c>
    </row>
    <row r="222" spans="1:6" ht="16.350000000000001" customHeight="1" x14ac:dyDescent="0.25">
      <c r="A222" s="35">
        <v>9012</v>
      </c>
      <c r="B222" s="35" t="s">
        <v>2251</v>
      </c>
      <c r="C222" s="35" t="s">
        <v>2252</v>
      </c>
      <c r="D222" s="35" t="s">
        <v>2253</v>
      </c>
      <c r="E222" s="35" t="s">
        <v>1687</v>
      </c>
      <c r="F222" s="35" t="s">
        <v>737</v>
      </c>
    </row>
    <row r="223" spans="1:6" ht="16.350000000000001" customHeight="1" x14ac:dyDescent="0.25">
      <c r="A223" s="35">
        <v>112060</v>
      </c>
      <c r="B223" s="35" t="s">
        <v>2254</v>
      </c>
      <c r="C223" s="35" t="s">
        <v>2255</v>
      </c>
      <c r="D223" s="35" t="s">
        <v>2256</v>
      </c>
      <c r="E223" s="35" t="s">
        <v>1687</v>
      </c>
      <c r="F223" s="35" t="s">
        <v>737</v>
      </c>
    </row>
    <row r="224" spans="1:6" ht="16.350000000000001" customHeight="1" x14ac:dyDescent="0.25">
      <c r="A224" s="35">
        <v>22606</v>
      </c>
      <c r="B224" s="35" t="s">
        <v>2257</v>
      </c>
      <c r="C224" s="35" t="s">
        <v>2258</v>
      </c>
      <c r="D224" s="35" t="s">
        <v>1993</v>
      </c>
      <c r="E224" s="35" t="s">
        <v>1687</v>
      </c>
      <c r="F224" s="35" t="s">
        <v>737</v>
      </c>
    </row>
    <row r="225" spans="1:6" ht="16.350000000000001" customHeight="1" x14ac:dyDescent="0.25">
      <c r="A225" s="35">
        <v>22711</v>
      </c>
      <c r="B225" s="35" t="s">
        <v>2259</v>
      </c>
      <c r="C225" s="35" t="s">
        <v>2260</v>
      </c>
      <c r="D225" s="35" t="s">
        <v>2261</v>
      </c>
      <c r="E225" s="35" t="s">
        <v>1687</v>
      </c>
      <c r="F225" s="35" t="s">
        <v>737</v>
      </c>
    </row>
    <row r="226" spans="1:6" ht="16.350000000000001" customHeight="1" x14ac:dyDescent="0.25">
      <c r="A226" s="35">
        <v>238113</v>
      </c>
      <c r="B226" s="35" t="s">
        <v>2262</v>
      </c>
      <c r="C226" s="35" t="s">
        <v>2263</v>
      </c>
      <c r="D226" s="35" t="s">
        <v>2264</v>
      </c>
      <c r="E226" s="35" t="s">
        <v>1687</v>
      </c>
      <c r="F226" s="35" t="s">
        <v>737</v>
      </c>
    </row>
    <row r="227" spans="1:6" ht="16.350000000000001" customHeight="1" x14ac:dyDescent="0.25">
      <c r="A227" s="35">
        <v>24246</v>
      </c>
      <c r="B227" s="35" t="s">
        <v>2265</v>
      </c>
      <c r="C227" s="35" t="s">
        <v>2266</v>
      </c>
      <c r="D227" s="35" t="s">
        <v>2267</v>
      </c>
      <c r="E227" s="35" t="s">
        <v>1687</v>
      </c>
      <c r="F227" s="35" t="s">
        <v>737</v>
      </c>
    </row>
    <row r="228" spans="1:6" ht="16.350000000000001" customHeight="1" x14ac:dyDescent="0.25">
      <c r="A228" s="35">
        <v>311274</v>
      </c>
      <c r="B228" s="35" t="s">
        <v>2268</v>
      </c>
      <c r="C228" s="35" t="s">
        <v>2269</v>
      </c>
      <c r="D228" s="35" t="s">
        <v>2270</v>
      </c>
      <c r="E228" s="35" t="s">
        <v>1687</v>
      </c>
      <c r="F228" s="35" t="s">
        <v>737</v>
      </c>
    </row>
    <row r="229" spans="1:6" ht="16.350000000000001" customHeight="1" x14ac:dyDescent="0.25">
      <c r="A229" s="35">
        <v>311621</v>
      </c>
      <c r="B229" s="35" t="s">
        <v>2271</v>
      </c>
      <c r="C229" s="35" t="s">
        <v>2272</v>
      </c>
      <c r="D229" s="35" t="s">
        <v>2273</v>
      </c>
      <c r="E229" s="35" t="s">
        <v>1687</v>
      </c>
      <c r="F229" s="35" t="s">
        <v>737</v>
      </c>
    </row>
    <row r="230" spans="1:6" ht="16.350000000000001" customHeight="1" x14ac:dyDescent="0.25">
      <c r="A230" s="35">
        <v>314294</v>
      </c>
      <c r="B230" s="35" t="s">
        <v>2274</v>
      </c>
      <c r="C230" s="35" t="s">
        <v>2275</v>
      </c>
      <c r="D230" s="35" t="s">
        <v>2276</v>
      </c>
      <c r="E230" s="35" t="s">
        <v>1687</v>
      </c>
      <c r="F230" s="35" t="s">
        <v>737</v>
      </c>
    </row>
    <row r="231" spans="1:6" ht="16.350000000000001" customHeight="1" x14ac:dyDescent="0.25">
      <c r="A231" s="35">
        <v>373852</v>
      </c>
      <c r="B231" s="35" t="s">
        <v>2277</v>
      </c>
      <c r="C231" s="35" t="s">
        <v>2278</v>
      </c>
      <c r="D231" s="35" t="s">
        <v>2279</v>
      </c>
      <c r="E231" s="35" t="s">
        <v>1687</v>
      </c>
      <c r="F231" s="35" t="s">
        <v>737</v>
      </c>
    </row>
    <row r="232" spans="1:6" ht="16.350000000000001" customHeight="1" x14ac:dyDescent="0.25">
      <c r="A232" s="35">
        <v>381632</v>
      </c>
      <c r="B232" s="35" t="s">
        <v>2280</v>
      </c>
      <c r="C232" s="35" t="s">
        <v>2281</v>
      </c>
      <c r="D232" s="35" t="s">
        <v>2282</v>
      </c>
      <c r="E232" s="35" t="s">
        <v>1687</v>
      </c>
      <c r="F232" s="35" t="s">
        <v>737</v>
      </c>
    </row>
    <row r="233" spans="1:6" ht="16.350000000000001" customHeight="1" x14ac:dyDescent="0.25">
      <c r="A233" s="35">
        <v>393090</v>
      </c>
      <c r="B233" s="35" t="s">
        <v>2283</v>
      </c>
      <c r="C233" s="35" t="s">
        <v>2284</v>
      </c>
      <c r="D233" s="35" t="s">
        <v>2285</v>
      </c>
      <c r="E233" s="35" t="s">
        <v>1687</v>
      </c>
      <c r="F233" s="35" t="s">
        <v>737</v>
      </c>
    </row>
    <row r="234" spans="1:6" ht="16.350000000000001" customHeight="1" x14ac:dyDescent="0.25">
      <c r="A234" s="35">
        <v>67900</v>
      </c>
      <c r="B234" s="35" t="s">
        <v>2286</v>
      </c>
      <c r="C234" s="35" t="s">
        <v>2287</v>
      </c>
      <c r="D234" s="35" t="s">
        <v>2288</v>
      </c>
      <c r="E234" s="35" t="s">
        <v>1687</v>
      </c>
      <c r="F234" s="35" t="s">
        <v>737</v>
      </c>
    </row>
    <row r="235" spans="1:6" ht="16.350000000000001" customHeight="1" x14ac:dyDescent="0.25">
      <c r="A235" s="35">
        <v>70490</v>
      </c>
      <c r="B235" s="35" t="s">
        <v>2289</v>
      </c>
      <c r="C235" s="35" t="s">
        <v>2290</v>
      </c>
      <c r="D235" s="35" t="s">
        <v>2291</v>
      </c>
      <c r="E235" s="35" t="s">
        <v>1687</v>
      </c>
      <c r="F235" s="35" t="s">
        <v>737</v>
      </c>
    </row>
    <row r="236" spans="1:6" ht="16.350000000000001" customHeight="1" x14ac:dyDescent="0.25">
      <c r="A236" s="35">
        <v>87254</v>
      </c>
      <c r="B236" s="35" t="s">
        <v>2292</v>
      </c>
      <c r="C236" s="35" t="s">
        <v>2293</v>
      </c>
      <c r="D236" s="35" t="s">
        <v>2294</v>
      </c>
      <c r="E236" s="35" t="s">
        <v>1687</v>
      </c>
      <c r="F236" s="35" t="s">
        <v>737</v>
      </c>
    </row>
    <row r="237" spans="1:6" ht="16.350000000000001" customHeight="1" x14ac:dyDescent="0.25">
      <c r="A237" s="35">
        <v>9202</v>
      </c>
      <c r="B237" s="35" t="s">
        <v>2295</v>
      </c>
      <c r="C237" s="35" t="s">
        <v>2296</v>
      </c>
      <c r="D237" s="35" t="s">
        <v>2297</v>
      </c>
      <c r="E237" s="35" t="s">
        <v>1687</v>
      </c>
      <c r="F237" s="35" t="s">
        <v>737</v>
      </c>
    </row>
    <row r="238" spans="1:6" ht="16.350000000000001" customHeight="1" x14ac:dyDescent="0.25">
      <c r="A238" s="35">
        <v>398487</v>
      </c>
      <c r="B238" s="35" t="s">
        <v>2298</v>
      </c>
      <c r="C238" s="35" t="s">
        <v>2299</v>
      </c>
      <c r="D238" s="35" t="s">
        <v>2300</v>
      </c>
      <c r="E238" s="35" t="s">
        <v>2049</v>
      </c>
      <c r="F238" s="35" t="s">
        <v>737</v>
      </c>
    </row>
    <row r="239" spans="1:6" ht="16.350000000000001" customHeight="1" x14ac:dyDescent="0.25">
      <c r="A239" s="35">
        <v>500680</v>
      </c>
      <c r="B239" s="35" t="s">
        <v>2301</v>
      </c>
      <c r="C239" s="35" t="s">
        <v>2302</v>
      </c>
      <c r="D239" s="35" t="s">
        <v>2303</v>
      </c>
      <c r="E239" s="35" t="s">
        <v>2049</v>
      </c>
      <c r="F239" s="35" t="s">
        <v>737</v>
      </c>
    </row>
    <row r="240" spans="1:6" ht="16.350000000000001" customHeight="1" x14ac:dyDescent="0.25">
      <c r="A240" s="35">
        <v>52662</v>
      </c>
      <c r="B240" s="35" t="s">
        <v>979</v>
      </c>
      <c r="C240" s="35" t="s">
        <v>2304</v>
      </c>
      <c r="D240" s="35" t="s">
        <v>2305</v>
      </c>
      <c r="E240" s="35" t="s">
        <v>2049</v>
      </c>
      <c r="F240" s="35" t="s">
        <v>737</v>
      </c>
    </row>
    <row r="241" spans="1:6" ht="16.350000000000001" customHeight="1" x14ac:dyDescent="0.25">
      <c r="A241" s="35">
        <v>87841</v>
      </c>
      <c r="B241" s="35" t="s">
        <v>2306</v>
      </c>
      <c r="C241" s="35" t="s">
        <v>2307</v>
      </c>
      <c r="D241" s="35" t="s">
        <v>2308</v>
      </c>
      <c r="E241" s="35" t="s">
        <v>2049</v>
      </c>
      <c r="F241" s="35" t="s">
        <v>737</v>
      </c>
    </row>
    <row r="242" spans="1:6" ht="16.350000000000001" customHeight="1" x14ac:dyDescent="0.25">
      <c r="A242" s="35">
        <v>100370</v>
      </c>
      <c r="B242" s="35" t="s">
        <v>1067</v>
      </c>
      <c r="C242" s="35" t="s">
        <v>2309</v>
      </c>
      <c r="D242" s="35" t="s">
        <v>2310</v>
      </c>
      <c r="E242" s="35" t="s">
        <v>2049</v>
      </c>
      <c r="F242" s="35" t="s">
        <v>737</v>
      </c>
    </row>
    <row r="243" spans="1:6" ht="16.350000000000001" customHeight="1" x14ac:dyDescent="0.25">
      <c r="A243" s="35">
        <v>206417</v>
      </c>
      <c r="B243" s="35" t="s">
        <v>444</v>
      </c>
      <c r="C243" s="35" t="s">
        <v>2311</v>
      </c>
      <c r="D243" s="35" t="s">
        <v>2312</v>
      </c>
      <c r="E243" s="35" t="s">
        <v>2049</v>
      </c>
      <c r="F243" s="35" t="s">
        <v>737</v>
      </c>
    </row>
    <row r="244" spans="1:6" ht="16.350000000000001" customHeight="1" x14ac:dyDescent="0.25">
      <c r="A244" s="35">
        <v>212462</v>
      </c>
      <c r="B244" s="35" t="s">
        <v>959</v>
      </c>
      <c r="C244" s="35" t="s">
        <v>2313</v>
      </c>
      <c r="D244" s="35" t="s">
        <v>2314</v>
      </c>
      <c r="E244" s="35" t="s">
        <v>2049</v>
      </c>
      <c r="F244" s="35" t="s">
        <v>737</v>
      </c>
    </row>
    <row r="245" spans="1:6" ht="16.350000000000001" customHeight="1" x14ac:dyDescent="0.25">
      <c r="A245" s="35">
        <v>322552</v>
      </c>
      <c r="B245" s="35" t="s">
        <v>972</v>
      </c>
      <c r="C245" s="35" t="s">
        <v>2315</v>
      </c>
      <c r="D245" s="35" t="s">
        <v>2316</v>
      </c>
      <c r="E245" s="35" t="s">
        <v>2049</v>
      </c>
      <c r="F245" s="35" t="s">
        <v>737</v>
      </c>
    </row>
    <row r="246" spans="1:6" ht="16.350000000000001" customHeight="1" x14ac:dyDescent="0.25">
      <c r="A246" s="35">
        <v>384255</v>
      </c>
      <c r="B246" s="35" t="s">
        <v>2317</v>
      </c>
      <c r="C246" s="35" t="s">
        <v>2318</v>
      </c>
      <c r="D246" s="35" t="s">
        <v>2319</v>
      </c>
      <c r="E246" s="35" t="s">
        <v>2049</v>
      </c>
      <c r="F246" s="35" t="s">
        <v>737</v>
      </c>
    </row>
    <row r="247" spans="1:6" ht="16.350000000000001" customHeight="1" x14ac:dyDescent="0.25">
      <c r="A247" s="35">
        <v>4077</v>
      </c>
      <c r="B247" s="35" t="s">
        <v>80</v>
      </c>
      <c r="C247" s="35" t="s">
        <v>2320</v>
      </c>
      <c r="D247" s="35" t="s">
        <v>2321</v>
      </c>
      <c r="E247" s="35" t="s">
        <v>2049</v>
      </c>
      <c r="F247" s="35" t="s">
        <v>737</v>
      </c>
    </row>
    <row r="248" spans="1:6" ht="16.350000000000001" customHeight="1" x14ac:dyDescent="0.25">
      <c r="A248" s="35">
        <v>43372</v>
      </c>
      <c r="B248" s="35" t="s">
        <v>977</v>
      </c>
      <c r="C248" s="35" t="s">
        <v>2322</v>
      </c>
      <c r="D248" s="35" t="s">
        <v>2323</v>
      </c>
      <c r="E248" s="35" t="s">
        <v>2049</v>
      </c>
      <c r="F248" s="35" t="s">
        <v>737</v>
      </c>
    </row>
    <row r="249" spans="1:6" ht="16.350000000000001" customHeight="1" x14ac:dyDescent="0.25">
      <c r="A249" s="35">
        <v>44040</v>
      </c>
      <c r="B249" s="35" t="s">
        <v>127</v>
      </c>
      <c r="C249" s="35" t="s">
        <v>2324</v>
      </c>
      <c r="D249" s="35" t="s">
        <v>2325</v>
      </c>
      <c r="E249" s="35" t="s">
        <v>2049</v>
      </c>
      <c r="F249" s="35" t="s">
        <v>737</v>
      </c>
    </row>
    <row r="250" spans="1:6" ht="16.350000000000001" customHeight="1" x14ac:dyDescent="0.25">
      <c r="A250" s="35">
        <v>44883</v>
      </c>
      <c r="B250" s="35" t="s">
        <v>290</v>
      </c>
      <c r="C250" s="35" t="s">
        <v>2326</v>
      </c>
      <c r="D250" s="35" t="s">
        <v>2327</v>
      </c>
      <c r="E250" s="35" t="s">
        <v>2049</v>
      </c>
      <c r="F250" s="35" t="s">
        <v>737</v>
      </c>
    </row>
    <row r="251" spans="1:6" ht="16.350000000000001" customHeight="1" x14ac:dyDescent="0.25">
      <c r="A251" s="35">
        <v>52449</v>
      </c>
      <c r="B251" s="35" t="s">
        <v>2328</v>
      </c>
      <c r="C251" s="35" t="s">
        <v>2329</v>
      </c>
      <c r="D251" s="35" t="s">
        <v>2330</v>
      </c>
      <c r="E251" s="35" t="s">
        <v>2049</v>
      </c>
      <c r="F251" s="35" t="s">
        <v>737</v>
      </c>
    </row>
    <row r="252" spans="1:6" ht="16.350000000000001" customHeight="1" x14ac:dyDescent="0.25">
      <c r="A252" s="35">
        <v>53256</v>
      </c>
      <c r="B252" s="35" t="s">
        <v>260</v>
      </c>
      <c r="C252" s="35" t="s">
        <v>2331</v>
      </c>
      <c r="D252" s="35" t="s">
        <v>2332</v>
      </c>
      <c r="E252" s="35" t="s">
        <v>2049</v>
      </c>
      <c r="F252" s="35" t="s">
        <v>737</v>
      </c>
    </row>
    <row r="253" spans="1:6" ht="16.350000000000001" customHeight="1" x14ac:dyDescent="0.25">
      <c r="A253" s="35">
        <v>5462</v>
      </c>
      <c r="B253" s="35" t="s">
        <v>942</v>
      </c>
      <c r="C253" s="35" t="s">
        <v>2333</v>
      </c>
      <c r="D253" s="35" t="s">
        <v>2334</v>
      </c>
      <c r="E253" s="35" t="s">
        <v>2049</v>
      </c>
      <c r="F253" s="35" t="s">
        <v>737</v>
      </c>
    </row>
    <row r="254" spans="1:6" ht="16.350000000000001" customHeight="1" x14ac:dyDescent="0.25">
      <c r="A254" s="35">
        <v>56150</v>
      </c>
      <c r="B254" s="35" t="s">
        <v>106</v>
      </c>
      <c r="C254" s="35" t="s">
        <v>2335</v>
      </c>
      <c r="D254" s="35" t="s">
        <v>2336</v>
      </c>
      <c r="E254" s="35" t="s">
        <v>2049</v>
      </c>
      <c r="F254" s="35" t="s">
        <v>737</v>
      </c>
    </row>
    <row r="255" spans="1:6" ht="16.350000000000001" customHeight="1" x14ac:dyDescent="0.25">
      <c r="A255" s="35">
        <v>611</v>
      </c>
      <c r="B255" s="35" t="s">
        <v>2337</v>
      </c>
      <c r="C255" s="35" t="s">
        <v>2338</v>
      </c>
      <c r="D255" s="35" t="s">
        <v>2339</v>
      </c>
      <c r="E255" s="35" t="s">
        <v>2049</v>
      </c>
      <c r="F255" s="35" t="s">
        <v>737</v>
      </c>
    </row>
    <row r="256" spans="1:6" ht="16.350000000000001" customHeight="1" x14ac:dyDescent="0.25">
      <c r="A256" s="35">
        <v>73692</v>
      </c>
      <c r="B256" s="35" t="s">
        <v>2340</v>
      </c>
      <c r="C256" s="35" t="s">
        <v>2341</v>
      </c>
      <c r="D256" s="35" t="s">
        <v>2342</v>
      </c>
      <c r="E256" s="35" t="s">
        <v>2049</v>
      </c>
      <c r="F256" s="35" t="s">
        <v>737</v>
      </c>
    </row>
    <row r="257" spans="1:6" ht="16.350000000000001" customHeight="1" x14ac:dyDescent="0.25">
      <c r="A257" s="35">
        <v>780</v>
      </c>
      <c r="B257" s="35" t="s">
        <v>2343</v>
      </c>
      <c r="C257" s="35" t="s">
        <v>2344</v>
      </c>
      <c r="D257" s="35" t="s">
        <v>2345</v>
      </c>
      <c r="E257" s="35" t="s">
        <v>2049</v>
      </c>
      <c r="F257" s="35" t="s">
        <v>737</v>
      </c>
    </row>
    <row r="258" spans="1:6" ht="16.350000000000001" customHeight="1" x14ac:dyDescent="0.25">
      <c r="A258" s="35">
        <v>9647</v>
      </c>
      <c r="B258" s="35" t="s">
        <v>64</v>
      </c>
      <c r="C258" s="35" t="s">
        <v>2346</v>
      </c>
      <c r="D258" s="35" t="s">
        <v>2347</v>
      </c>
      <c r="E258" s="35" t="s">
        <v>2049</v>
      </c>
      <c r="F258" s="35" t="s">
        <v>737</v>
      </c>
    </row>
    <row r="259" spans="1:6" ht="16.350000000000001" customHeight="1" x14ac:dyDescent="0.25">
      <c r="A259" s="35">
        <v>98608</v>
      </c>
      <c r="B259" s="35" t="s">
        <v>1312</v>
      </c>
      <c r="C259" s="35" t="s">
        <v>2348</v>
      </c>
      <c r="D259" s="35" t="s">
        <v>2349</v>
      </c>
      <c r="E259" s="35" t="s">
        <v>2049</v>
      </c>
      <c r="F259" s="35" t="s">
        <v>737</v>
      </c>
    </row>
    <row r="260" spans="1:6" ht="16.350000000000001" customHeight="1" x14ac:dyDescent="0.25">
      <c r="A260" s="35">
        <v>23210</v>
      </c>
      <c r="B260" s="35" t="s">
        <v>2350</v>
      </c>
      <c r="C260" s="35" t="s">
        <v>2351</v>
      </c>
      <c r="D260" s="35" t="s">
        <v>2352</v>
      </c>
      <c r="E260" s="35" t="s">
        <v>2353</v>
      </c>
      <c r="F260" s="35" t="s">
        <v>737</v>
      </c>
    </row>
    <row r="261" spans="1:6" ht="16.350000000000001" customHeight="1" x14ac:dyDescent="0.25">
      <c r="A261" s="35">
        <v>306677</v>
      </c>
      <c r="B261" s="35" t="s">
        <v>2354</v>
      </c>
      <c r="C261" s="35" t="s">
        <v>2355</v>
      </c>
      <c r="D261" s="35" t="s">
        <v>2356</v>
      </c>
      <c r="E261" s="35" t="s">
        <v>2049</v>
      </c>
      <c r="F261" s="35" t="s">
        <v>737</v>
      </c>
    </row>
    <row r="262" spans="1:6" ht="16.350000000000001" customHeight="1" x14ac:dyDescent="0.25">
      <c r="A262" s="35">
        <v>341</v>
      </c>
      <c r="B262" s="35" t="s">
        <v>2357</v>
      </c>
      <c r="C262" s="35" t="s">
        <v>2358</v>
      </c>
      <c r="D262" s="35" t="s">
        <v>2359</v>
      </c>
      <c r="E262" s="35" t="s">
        <v>2049</v>
      </c>
      <c r="F262" s="35" t="s">
        <v>737</v>
      </c>
    </row>
    <row r="263" spans="1:6" ht="16.350000000000001" customHeight="1" x14ac:dyDescent="0.25">
      <c r="A263" s="35">
        <v>377317</v>
      </c>
      <c r="B263" s="35" t="s">
        <v>2360</v>
      </c>
      <c r="C263" s="35" t="s">
        <v>2361</v>
      </c>
      <c r="D263" s="35" t="s">
        <v>2362</v>
      </c>
      <c r="E263" s="35" t="s">
        <v>2049</v>
      </c>
      <c r="F263" s="35" t="s">
        <v>737</v>
      </c>
    </row>
    <row r="264" spans="1:6" ht="16.350000000000001" customHeight="1" x14ac:dyDescent="0.25">
      <c r="A264" s="35">
        <v>22887</v>
      </c>
      <c r="B264" s="35" t="s">
        <v>2040</v>
      </c>
      <c r="C264" s="35" t="s">
        <v>2363</v>
      </c>
      <c r="D264" s="35" t="s">
        <v>2364</v>
      </c>
      <c r="E264" s="35" t="s">
        <v>2049</v>
      </c>
      <c r="F264" s="35" t="s">
        <v>737</v>
      </c>
    </row>
    <row r="265" spans="1:6" ht="16.350000000000001" customHeight="1" x14ac:dyDescent="0.25">
      <c r="A265" s="35">
        <v>21905</v>
      </c>
      <c r="B265" s="35" t="s">
        <v>2365</v>
      </c>
      <c r="C265" s="35" t="s">
        <v>2366</v>
      </c>
      <c r="D265" s="35" t="s">
        <v>2367</v>
      </c>
      <c r="E265" s="35" t="s">
        <v>1687</v>
      </c>
      <c r="F265" s="35" t="s">
        <v>737</v>
      </c>
    </row>
    <row r="266" spans="1:6" ht="16.350000000000001" customHeight="1" x14ac:dyDescent="0.25">
      <c r="A266" s="35">
        <v>21059</v>
      </c>
      <c r="B266" s="35" t="s">
        <v>2368</v>
      </c>
      <c r="C266" s="35" t="s">
        <v>2369</v>
      </c>
      <c r="D266" s="35" t="s">
        <v>2370</v>
      </c>
      <c r="E266" s="35" t="s">
        <v>1687</v>
      </c>
      <c r="F266" s="35" t="s">
        <v>737</v>
      </c>
    </row>
    <row r="267" spans="1:6" ht="16.350000000000001" customHeight="1" x14ac:dyDescent="0.25">
      <c r="A267" s="35">
        <v>22734</v>
      </c>
      <c r="B267" s="35" t="s">
        <v>2371</v>
      </c>
      <c r="C267" s="35" t="s">
        <v>2372</v>
      </c>
      <c r="D267" s="35" t="s">
        <v>2373</v>
      </c>
      <c r="E267" s="35" t="s">
        <v>1687</v>
      </c>
      <c r="F267" s="35" t="s">
        <v>737</v>
      </c>
    </row>
    <row r="268" spans="1:6" ht="16.350000000000001" customHeight="1" x14ac:dyDescent="0.25">
      <c r="A268" s="35">
        <v>23071</v>
      </c>
      <c r="B268" s="35" t="s">
        <v>2374</v>
      </c>
      <c r="C268" s="35" t="s">
        <v>2375</v>
      </c>
      <c r="D268" s="35" t="s">
        <v>2376</v>
      </c>
      <c r="E268" s="35" t="s">
        <v>1687</v>
      </c>
      <c r="F268" s="35" t="s">
        <v>737</v>
      </c>
    </row>
    <row r="269" spans="1:6" ht="16.350000000000001" customHeight="1" x14ac:dyDescent="0.25">
      <c r="A269" s="35">
        <v>23081</v>
      </c>
      <c r="B269" s="35" t="s">
        <v>2377</v>
      </c>
      <c r="C269" s="35" t="s">
        <v>2378</v>
      </c>
      <c r="D269" s="35" t="s">
        <v>2379</v>
      </c>
      <c r="E269" s="35" t="s">
        <v>1687</v>
      </c>
      <c r="F269" s="35" t="s">
        <v>737</v>
      </c>
    </row>
    <row r="270" spans="1:6" ht="16.350000000000001" customHeight="1" x14ac:dyDescent="0.25">
      <c r="A270" s="35" t="s">
        <v>2380</v>
      </c>
      <c r="B270" s="35" t="s">
        <v>1957</v>
      </c>
      <c r="C270" s="35" t="s">
        <v>2381</v>
      </c>
      <c r="D270" s="35" t="s">
        <v>1959</v>
      </c>
      <c r="E270" s="35" t="s">
        <v>1687</v>
      </c>
      <c r="F270" s="35" t="s">
        <v>737</v>
      </c>
    </row>
    <row r="271" spans="1:6" ht="16.350000000000001" customHeight="1" x14ac:dyDescent="0.25">
      <c r="A271" s="35">
        <v>303452</v>
      </c>
      <c r="B271" s="35" t="s">
        <v>2382</v>
      </c>
      <c r="C271" s="35" t="s">
        <v>2383</v>
      </c>
      <c r="D271" s="35" t="s">
        <v>2384</v>
      </c>
      <c r="E271" s="35" t="s">
        <v>1687</v>
      </c>
      <c r="F271" s="35" t="s">
        <v>737</v>
      </c>
    </row>
    <row r="272" spans="1:6" ht="16.350000000000001" customHeight="1" x14ac:dyDescent="0.25">
      <c r="A272" s="35">
        <v>303864</v>
      </c>
      <c r="B272" s="35" t="s">
        <v>2385</v>
      </c>
      <c r="C272" s="35" t="s">
        <v>2386</v>
      </c>
      <c r="D272" s="35" t="s">
        <v>2387</v>
      </c>
      <c r="E272" s="35" t="s">
        <v>1687</v>
      </c>
      <c r="F272" s="35" t="s">
        <v>737</v>
      </c>
    </row>
    <row r="273" spans="1:6" ht="16.350000000000001" customHeight="1" x14ac:dyDescent="0.25">
      <c r="A273" s="35">
        <v>344150</v>
      </c>
      <c r="B273" s="35" t="s">
        <v>2388</v>
      </c>
      <c r="C273" s="35" t="s">
        <v>2389</v>
      </c>
      <c r="D273" s="35" t="s">
        <v>2390</v>
      </c>
      <c r="E273" s="35" t="s">
        <v>1687</v>
      </c>
      <c r="F273" s="35" t="s">
        <v>737</v>
      </c>
    </row>
    <row r="274" spans="1:6" ht="16.350000000000001" customHeight="1" x14ac:dyDescent="0.25">
      <c r="A274" s="35">
        <v>500657</v>
      </c>
      <c r="B274" s="35" t="s">
        <v>2391</v>
      </c>
      <c r="C274" s="35" t="s">
        <v>2392</v>
      </c>
      <c r="D274" s="35" t="s">
        <v>2393</v>
      </c>
      <c r="E274" s="35" t="s">
        <v>1687</v>
      </c>
      <c r="F274" s="35" t="s">
        <v>737</v>
      </c>
    </row>
    <row r="275" spans="1:6" ht="16.350000000000001" customHeight="1" x14ac:dyDescent="0.25">
      <c r="A275" s="35">
        <v>15329</v>
      </c>
      <c r="B275" s="35" t="s">
        <v>2394</v>
      </c>
      <c r="C275" s="35" t="s">
        <v>2395</v>
      </c>
      <c r="D275" s="35" t="s">
        <v>2396</v>
      </c>
      <c r="E275" s="35" t="s">
        <v>2049</v>
      </c>
      <c r="F275" s="35" t="s">
        <v>737</v>
      </c>
    </row>
    <row r="276" spans="1:6" ht="16.350000000000001" customHeight="1" x14ac:dyDescent="0.25">
      <c r="A276" s="35">
        <v>213330</v>
      </c>
      <c r="B276" s="35" t="s">
        <v>2397</v>
      </c>
      <c r="C276" s="35" t="s">
        <v>2398</v>
      </c>
      <c r="D276" s="35" t="s">
        <v>2399</v>
      </c>
      <c r="E276" s="35" t="s">
        <v>2049</v>
      </c>
      <c r="F276" s="35" t="s">
        <v>737</v>
      </c>
    </row>
    <row r="277" spans="1:6" ht="16.350000000000001" customHeight="1" x14ac:dyDescent="0.25">
      <c r="A277" s="35">
        <v>21931</v>
      </c>
      <c r="B277" s="35" t="s">
        <v>2400</v>
      </c>
      <c r="C277" s="35" t="s">
        <v>2401</v>
      </c>
      <c r="D277" s="35" t="s">
        <v>2402</v>
      </c>
      <c r="E277" s="35" t="s">
        <v>2049</v>
      </c>
      <c r="F277" s="35" t="s">
        <v>737</v>
      </c>
    </row>
    <row r="278" spans="1:6" ht="16.350000000000001" customHeight="1" x14ac:dyDescent="0.25">
      <c r="A278" s="35">
        <v>306647</v>
      </c>
      <c r="B278" s="35" t="s">
        <v>2403</v>
      </c>
      <c r="C278" s="35" t="s">
        <v>2404</v>
      </c>
      <c r="D278" s="35" t="s">
        <v>2356</v>
      </c>
      <c r="E278" s="35" t="s">
        <v>2049</v>
      </c>
      <c r="F278" s="35" t="s">
        <v>737</v>
      </c>
    </row>
    <row r="279" spans="1:6" ht="16.350000000000001" customHeight="1" x14ac:dyDescent="0.25">
      <c r="A279" s="35">
        <v>98947</v>
      </c>
      <c r="B279" s="35" t="s">
        <v>2405</v>
      </c>
      <c r="C279" s="35" t="s">
        <v>2406</v>
      </c>
      <c r="D279" s="35" t="s">
        <v>2407</v>
      </c>
      <c r="E279" s="35" t="s">
        <v>2049</v>
      </c>
      <c r="F279" s="35" t="s">
        <v>737</v>
      </c>
    </row>
    <row r="280" spans="1:6" ht="16.350000000000001" customHeight="1" x14ac:dyDescent="0.25">
      <c r="A280" s="35" t="s">
        <v>2408</v>
      </c>
      <c r="B280" s="35" t="s">
        <v>2231</v>
      </c>
      <c r="C280" s="35" t="s">
        <v>2409</v>
      </c>
      <c r="D280" s="35" t="s">
        <v>2233</v>
      </c>
      <c r="E280" s="35" t="s">
        <v>2049</v>
      </c>
      <c r="F280" s="35" t="s">
        <v>737</v>
      </c>
    </row>
    <row r="281" spans="1:6" ht="16.350000000000001" customHeight="1" x14ac:dyDescent="0.25">
      <c r="A281" s="35">
        <v>3939</v>
      </c>
      <c r="B281" s="35" t="s">
        <v>2410</v>
      </c>
      <c r="C281" s="35" t="s">
        <v>2411</v>
      </c>
      <c r="D281" s="35" t="s">
        <v>2412</v>
      </c>
      <c r="E281" s="35" t="s">
        <v>2049</v>
      </c>
      <c r="F281" s="35" t="s">
        <v>737</v>
      </c>
    </row>
    <row r="282" spans="1:6" ht="16.350000000000001" customHeight="1" x14ac:dyDescent="0.25">
      <c r="A282" s="35">
        <v>8557</v>
      </c>
      <c r="B282" s="35" t="s">
        <v>2413</v>
      </c>
      <c r="C282" s="35" t="s">
        <v>2414</v>
      </c>
      <c r="D282" s="35" t="s">
        <v>2415</v>
      </c>
      <c r="E282" s="35" t="s">
        <v>2049</v>
      </c>
      <c r="F282" s="35" t="s">
        <v>737</v>
      </c>
    </row>
    <row r="283" spans="1:6" ht="16.350000000000001" customHeight="1" x14ac:dyDescent="0.25">
      <c r="A283" s="35">
        <v>11784</v>
      </c>
      <c r="B283" s="35" t="s">
        <v>2416</v>
      </c>
      <c r="C283" s="35" t="s">
        <v>2417</v>
      </c>
      <c r="D283" s="35" t="s">
        <v>2418</v>
      </c>
      <c r="E283" s="35" t="s">
        <v>2049</v>
      </c>
      <c r="F283" s="35" t="s">
        <v>737</v>
      </c>
    </row>
    <row r="284" spans="1:6" ht="16.350000000000001" customHeight="1" x14ac:dyDescent="0.25">
      <c r="A284" s="35">
        <v>12366</v>
      </c>
      <c r="B284" s="35" t="s">
        <v>2419</v>
      </c>
      <c r="C284" s="35" t="s">
        <v>2420</v>
      </c>
      <c r="D284" s="35" t="s">
        <v>2421</v>
      </c>
      <c r="E284" s="35" t="s">
        <v>2049</v>
      </c>
      <c r="F284" s="35" t="s">
        <v>737</v>
      </c>
    </row>
    <row r="285" spans="1:6" ht="16.350000000000001" customHeight="1" x14ac:dyDescent="0.25">
      <c r="A285" s="35">
        <v>30858</v>
      </c>
      <c r="B285" s="35" t="s">
        <v>2422</v>
      </c>
      <c r="C285" s="35" t="s">
        <v>2423</v>
      </c>
      <c r="D285" s="35" t="s">
        <v>2424</v>
      </c>
      <c r="E285" s="35" t="s">
        <v>2049</v>
      </c>
      <c r="F285" s="35" t="s">
        <v>737</v>
      </c>
    </row>
    <row r="286" spans="1:6" ht="16.350000000000001" customHeight="1" x14ac:dyDescent="0.25">
      <c r="A286" s="35">
        <v>61242</v>
      </c>
      <c r="B286" s="35" t="s">
        <v>2425</v>
      </c>
      <c r="C286" s="35" t="s">
        <v>2426</v>
      </c>
      <c r="D286" s="35" t="s">
        <v>2427</v>
      </c>
      <c r="E286" s="35" t="s">
        <v>2049</v>
      </c>
      <c r="F286" s="35" t="s">
        <v>737</v>
      </c>
    </row>
    <row r="287" spans="1:6" ht="16.350000000000001" customHeight="1" x14ac:dyDescent="0.25">
      <c r="A287" s="35">
        <v>83063</v>
      </c>
      <c r="B287" s="35" t="s">
        <v>2428</v>
      </c>
      <c r="C287" s="35" t="s">
        <v>2429</v>
      </c>
      <c r="D287" s="35" t="s">
        <v>2430</v>
      </c>
      <c r="E287" s="35" t="s">
        <v>2049</v>
      </c>
      <c r="F287" s="35" t="s">
        <v>737</v>
      </c>
    </row>
    <row r="288" spans="1:6" ht="16.350000000000001" customHeight="1" x14ac:dyDescent="0.25">
      <c r="A288" s="35">
        <v>99960</v>
      </c>
      <c r="B288" s="35" t="s">
        <v>1024</v>
      </c>
      <c r="C288" s="35" t="s">
        <v>2431</v>
      </c>
      <c r="D288" s="35" t="s">
        <v>2432</v>
      </c>
      <c r="E288" s="35" t="s">
        <v>2049</v>
      </c>
      <c r="F288" s="35" t="s">
        <v>737</v>
      </c>
    </row>
    <row r="289" spans="1:6" ht="16.350000000000001" customHeight="1" x14ac:dyDescent="0.25">
      <c r="A289" s="35">
        <v>303664</v>
      </c>
      <c r="B289" s="35" t="s">
        <v>2433</v>
      </c>
      <c r="C289" s="35" t="s">
        <v>2434</v>
      </c>
      <c r="D289" s="35" t="s">
        <v>2435</v>
      </c>
      <c r="E289" s="35" t="s">
        <v>2049</v>
      </c>
      <c r="F289" s="35" t="s">
        <v>737</v>
      </c>
    </row>
    <row r="290" spans="1:6" ht="16.350000000000001" customHeight="1" x14ac:dyDescent="0.25">
      <c r="A290" s="35">
        <v>313460</v>
      </c>
      <c r="B290" s="35" t="s">
        <v>1124</v>
      </c>
      <c r="C290" s="35" t="s">
        <v>2436</v>
      </c>
      <c r="D290" s="35" t="s">
        <v>2437</v>
      </c>
      <c r="E290" s="35" t="s">
        <v>2049</v>
      </c>
      <c r="F290" s="35" t="s">
        <v>737</v>
      </c>
    </row>
    <row r="291" spans="1:6" ht="16.350000000000001" customHeight="1" x14ac:dyDescent="0.25">
      <c r="A291" s="35">
        <v>394213</v>
      </c>
      <c r="B291" s="35" t="s">
        <v>2438</v>
      </c>
      <c r="C291" s="35" t="s">
        <v>2439</v>
      </c>
      <c r="D291" s="35" t="s">
        <v>2440</v>
      </c>
      <c r="E291" s="35" t="s">
        <v>2049</v>
      </c>
      <c r="F291" s="35" t="s">
        <v>737</v>
      </c>
    </row>
    <row r="292" spans="1:6" ht="16.350000000000001" customHeight="1" x14ac:dyDescent="0.25">
      <c r="A292" s="35">
        <v>21239</v>
      </c>
      <c r="B292" s="35" t="s">
        <v>2441</v>
      </c>
      <c r="C292" s="35" t="s">
        <v>2442</v>
      </c>
      <c r="D292" s="35" t="s">
        <v>2443</v>
      </c>
      <c r="E292" s="35" t="s">
        <v>2049</v>
      </c>
      <c r="F292" s="35" t="s">
        <v>737</v>
      </c>
    </row>
    <row r="293" spans="1:6" ht="16.350000000000001" customHeight="1" x14ac:dyDescent="0.25">
      <c r="A293" s="35">
        <v>320192</v>
      </c>
      <c r="B293" s="35" t="s">
        <v>2444</v>
      </c>
      <c r="C293" s="35" t="s">
        <v>2445</v>
      </c>
      <c r="D293" s="35" t="s">
        <v>2446</v>
      </c>
      <c r="E293" s="35" t="s">
        <v>2049</v>
      </c>
      <c r="F293" s="35" t="s">
        <v>737</v>
      </c>
    </row>
    <row r="294" spans="1:6" ht="16.350000000000001" customHeight="1" x14ac:dyDescent="0.25">
      <c r="A294" s="35">
        <v>303985</v>
      </c>
      <c r="B294" s="35" t="s">
        <v>2447</v>
      </c>
      <c r="C294" s="35" t="s">
        <v>2448</v>
      </c>
      <c r="D294" s="35" t="s">
        <v>2449</v>
      </c>
      <c r="E294" s="35" t="s">
        <v>2049</v>
      </c>
      <c r="F294" s="35" t="s">
        <v>737</v>
      </c>
    </row>
    <row r="295" spans="1:6" ht="16.350000000000001" customHeight="1" x14ac:dyDescent="0.25">
      <c r="A295" s="35">
        <v>668</v>
      </c>
      <c r="B295" s="35" t="s">
        <v>2450</v>
      </c>
      <c r="C295" s="35" t="s">
        <v>2451</v>
      </c>
      <c r="D295" s="35" t="s">
        <v>2452</v>
      </c>
      <c r="E295" s="35" t="s">
        <v>2049</v>
      </c>
      <c r="F295" s="35" t="s">
        <v>737</v>
      </c>
    </row>
    <row r="296" spans="1:6" ht="16.350000000000001" customHeight="1" x14ac:dyDescent="0.25">
      <c r="A296" s="35">
        <v>6182</v>
      </c>
      <c r="B296" s="35" t="s">
        <v>2453</v>
      </c>
      <c r="C296" s="35" t="s">
        <v>2454</v>
      </c>
      <c r="D296" s="35" t="s">
        <v>2455</v>
      </c>
      <c r="E296" s="35" t="s">
        <v>2049</v>
      </c>
      <c r="F296" s="35" t="s">
        <v>737</v>
      </c>
    </row>
    <row r="297" spans="1:6" ht="16.350000000000001" customHeight="1" x14ac:dyDescent="0.25">
      <c r="A297" s="35">
        <v>7673</v>
      </c>
      <c r="B297" s="35" t="s">
        <v>2456</v>
      </c>
      <c r="C297" s="35" t="s">
        <v>2457</v>
      </c>
      <c r="D297" s="35" t="s">
        <v>2458</v>
      </c>
      <c r="E297" s="35" t="s">
        <v>2049</v>
      </c>
      <c r="F297" s="35" t="s">
        <v>737</v>
      </c>
    </row>
    <row r="298" spans="1:6" ht="16.350000000000001" customHeight="1" x14ac:dyDescent="0.25">
      <c r="A298" s="35">
        <v>11178</v>
      </c>
      <c r="B298" s="35" t="s">
        <v>2459</v>
      </c>
      <c r="C298" s="35" t="s">
        <v>2460</v>
      </c>
      <c r="D298" s="35" t="s">
        <v>2461</v>
      </c>
      <c r="E298" s="35" t="s">
        <v>2049</v>
      </c>
      <c r="F298" s="35" t="s">
        <v>737</v>
      </c>
    </row>
    <row r="299" spans="1:6" ht="16.350000000000001" customHeight="1" x14ac:dyDescent="0.25">
      <c r="A299" s="35">
        <v>14311</v>
      </c>
      <c r="B299" s="35" t="s">
        <v>1190</v>
      </c>
      <c r="C299" s="35" t="s">
        <v>2462</v>
      </c>
      <c r="D299" s="35" t="s">
        <v>2463</v>
      </c>
      <c r="E299" s="35" t="s">
        <v>2049</v>
      </c>
      <c r="F299" s="35" t="s">
        <v>737</v>
      </c>
    </row>
    <row r="300" spans="1:6" ht="16.350000000000001" customHeight="1" x14ac:dyDescent="0.25">
      <c r="A300" s="35">
        <v>19330</v>
      </c>
      <c r="B300" s="35" t="s">
        <v>2464</v>
      </c>
      <c r="C300" s="35" t="s">
        <v>2465</v>
      </c>
      <c r="D300" s="35" t="s">
        <v>2466</v>
      </c>
      <c r="E300" s="35" t="s">
        <v>2049</v>
      </c>
      <c r="F300" s="35" t="s">
        <v>737</v>
      </c>
    </row>
    <row r="301" spans="1:6" ht="16.350000000000001" customHeight="1" x14ac:dyDescent="0.25">
      <c r="A301" s="35">
        <v>56689</v>
      </c>
      <c r="B301" s="35" t="s">
        <v>2467</v>
      </c>
      <c r="C301" s="35" t="s">
        <v>2468</v>
      </c>
      <c r="D301" s="35" t="s">
        <v>2469</v>
      </c>
      <c r="E301" s="35" t="s">
        <v>2049</v>
      </c>
      <c r="F301" s="35" t="s">
        <v>737</v>
      </c>
    </row>
    <row r="302" spans="1:6" ht="16.350000000000001" customHeight="1" x14ac:dyDescent="0.25">
      <c r="A302" s="35">
        <v>77008</v>
      </c>
      <c r="B302" s="35" t="s">
        <v>2470</v>
      </c>
      <c r="C302" s="35" t="s">
        <v>2471</v>
      </c>
      <c r="D302" s="35" t="s">
        <v>2472</v>
      </c>
      <c r="E302" s="35" t="s">
        <v>2049</v>
      </c>
      <c r="F302" s="35" t="s">
        <v>737</v>
      </c>
    </row>
    <row r="303" spans="1:6" ht="16.350000000000001" customHeight="1" x14ac:dyDescent="0.25">
      <c r="A303" s="35">
        <v>92080</v>
      </c>
      <c r="B303" s="35" t="s">
        <v>2473</v>
      </c>
      <c r="C303" s="35" t="s">
        <v>2474</v>
      </c>
      <c r="D303" s="35" t="s">
        <v>2475</v>
      </c>
      <c r="E303" s="35" t="s">
        <v>2049</v>
      </c>
      <c r="F303" s="35" t="s">
        <v>737</v>
      </c>
    </row>
    <row r="304" spans="1:6" ht="16.350000000000001" customHeight="1" x14ac:dyDescent="0.25">
      <c r="A304" s="35">
        <v>303681</v>
      </c>
      <c r="B304" s="35" t="s">
        <v>2476</v>
      </c>
      <c r="C304" s="35" t="s">
        <v>2477</v>
      </c>
      <c r="D304" s="35" t="s">
        <v>2478</v>
      </c>
      <c r="E304" s="35" t="s">
        <v>2049</v>
      </c>
      <c r="F304" s="35" t="s">
        <v>737</v>
      </c>
    </row>
    <row r="305" spans="1:6" ht="16.350000000000001" customHeight="1" x14ac:dyDescent="0.25">
      <c r="A305" s="35">
        <v>312389</v>
      </c>
      <c r="B305" s="35" t="s">
        <v>2479</v>
      </c>
      <c r="C305" s="35" t="s">
        <v>2480</v>
      </c>
      <c r="D305" s="35" t="s">
        <v>2481</v>
      </c>
      <c r="E305" s="35" t="s">
        <v>2049</v>
      </c>
      <c r="F305" s="35" t="s">
        <v>737</v>
      </c>
    </row>
    <row r="306" spans="1:6" ht="16.350000000000001" customHeight="1" x14ac:dyDescent="0.25">
      <c r="A306" s="35">
        <v>343038</v>
      </c>
      <c r="B306" s="35" t="s">
        <v>2482</v>
      </c>
      <c r="C306" s="35" t="s">
        <v>2483</v>
      </c>
      <c r="D306" s="35" t="s">
        <v>2484</v>
      </c>
      <c r="E306" s="35" t="s">
        <v>2049</v>
      </c>
      <c r="F306" s="35" t="s">
        <v>737</v>
      </c>
    </row>
    <row r="307" spans="1:6" ht="16.350000000000001" customHeight="1" x14ac:dyDescent="0.25">
      <c r="A307" s="35">
        <v>385930</v>
      </c>
      <c r="B307" s="35" t="s">
        <v>2485</v>
      </c>
      <c r="C307" s="35" t="s">
        <v>2486</v>
      </c>
      <c r="D307" s="35" t="s">
        <v>2487</v>
      </c>
      <c r="E307" s="35" t="s">
        <v>2049</v>
      </c>
      <c r="F307" s="35" t="s">
        <v>737</v>
      </c>
    </row>
    <row r="308" spans="1:6" ht="16.350000000000001" customHeight="1" x14ac:dyDescent="0.25">
      <c r="A308" s="35">
        <v>394874</v>
      </c>
      <c r="B308" s="35" t="s">
        <v>2488</v>
      </c>
      <c r="C308" s="35" t="s">
        <v>2489</v>
      </c>
      <c r="D308" s="35" t="s">
        <v>2490</v>
      </c>
      <c r="E308" s="35" t="s">
        <v>2049</v>
      </c>
      <c r="F308" s="35" t="s">
        <v>737</v>
      </c>
    </row>
    <row r="309" spans="1:6" ht="16.350000000000001" customHeight="1" x14ac:dyDescent="0.25">
      <c r="A309" s="35">
        <v>20118</v>
      </c>
      <c r="B309" s="35" t="s">
        <v>1149</v>
      </c>
      <c r="C309" s="35" t="s">
        <v>2491</v>
      </c>
      <c r="D309" s="35" t="s">
        <v>2492</v>
      </c>
      <c r="E309" s="35" t="s">
        <v>2049</v>
      </c>
      <c r="F309" s="35" t="s">
        <v>737</v>
      </c>
    </row>
    <row r="310" spans="1:6" ht="16.350000000000001" customHeight="1" x14ac:dyDescent="0.25">
      <c r="A310" s="35">
        <v>3860</v>
      </c>
      <c r="B310" s="35" t="s">
        <v>2493</v>
      </c>
      <c r="C310" s="35" t="s">
        <v>2494</v>
      </c>
      <c r="D310" s="35" t="s">
        <v>2495</v>
      </c>
      <c r="E310" s="35" t="s">
        <v>2049</v>
      </c>
      <c r="F310" s="35" t="s">
        <v>737</v>
      </c>
    </row>
    <row r="311" spans="1:6" ht="16.350000000000001" customHeight="1" x14ac:dyDescent="0.25">
      <c r="A311" s="35">
        <v>221226</v>
      </c>
      <c r="B311" s="35" t="s">
        <v>2496</v>
      </c>
      <c r="C311" s="35" t="s">
        <v>2497</v>
      </c>
      <c r="D311" s="35" t="s">
        <v>2498</v>
      </c>
      <c r="E311" s="35" t="s">
        <v>2049</v>
      </c>
      <c r="F311" s="35" t="s">
        <v>737</v>
      </c>
    </row>
    <row r="312" spans="1:6" ht="16.350000000000001" customHeight="1" x14ac:dyDescent="0.25">
      <c r="A312" s="35">
        <v>61077</v>
      </c>
      <c r="B312" s="35" t="s">
        <v>461</v>
      </c>
      <c r="C312" s="35" t="s">
        <v>2499</v>
      </c>
      <c r="D312" s="35" t="s">
        <v>2500</v>
      </c>
      <c r="E312" s="35" t="s">
        <v>2049</v>
      </c>
      <c r="F312" s="35" t="s">
        <v>737</v>
      </c>
    </row>
    <row r="313" spans="1:6" ht="16.350000000000001" customHeight="1" x14ac:dyDescent="0.25">
      <c r="A313" s="35">
        <v>308403</v>
      </c>
      <c r="B313" s="35" t="s">
        <v>2501</v>
      </c>
      <c r="C313" s="35" t="s">
        <v>2501</v>
      </c>
      <c r="D313" s="35" t="s">
        <v>2502</v>
      </c>
      <c r="E313" s="35" t="s">
        <v>2049</v>
      </c>
      <c r="F313" s="35" t="s">
        <v>737</v>
      </c>
    </row>
    <row r="314" spans="1:6" ht="16.350000000000001" customHeight="1" x14ac:dyDescent="0.25">
      <c r="A314" s="35">
        <v>28688</v>
      </c>
      <c r="B314" s="35" t="s">
        <v>2503</v>
      </c>
      <c r="C314" s="35" t="s">
        <v>2503</v>
      </c>
      <c r="D314" s="35" t="s">
        <v>2504</v>
      </c>
      <c r="E314" s="35" t="s">
        <v>2049</v>
      </c>
      <c r="F314" s="35" t="s">
        <v>737</v>
      </c>
    </row>
    <row r="315" spans="1:6" ht="16.350000000000001" customHeight="1" x14ac:dyDescent="0.25">
      <c r="A315" s="35">
        <v>392381</v>
      </c>
      <c r="B315" s="35" t="s">
        <v>2505</v>
      </c>
      <c r="C315" s="35" t="s">
        <v>2506</v>
      </c>
      <c r="D315" s="35" t="s">
        <v>2507</v>
      </c>
      <c r="E315" s="35" t="s">
        <v>2049</v>
      </c>
      <c r="F315" s="35" t="s">
        <v>737</v>
      </c>
    </row>
    <row r="316" spans="1:6" ht="16.350000000000001" customHeight="1" x14ac:dyDescent="0.25">
      <c r="A316" s="35">
        <v>304100</v>
      </c>
      <c r="B316" s="35" t="s">
        <v>2508</v>
      </c>
      <c r="C316" s="35" t="s">
        <v>2509</v>
      </c>
      <c r="D316" s="35" t="s">
        <v>2510</v>
      </c>
      <c r="E316" s="35" t="s">
        <v>2049</v>
      </c>
      <c r="F316" s="35" t="s">
        <v>737</v>
      </c>
    </row>
    <row r="317" spans="1:6" ht="16.350000000000001" customHeight="1" x14ac:dyDescent="0.25">
      <c r="A317" s="35">
        <v>20729</v>
      </c>
      <c r="B317" s="35" t="s">
        <v>2511</v>
      </c>
      <c r="C317" s="35" t="s">
        <v>2512</v>
      </c>
      <c r="D317" s="35" t="s">
        <v>2513</v>
      </c>
      <c r="E317" s="35" t="s">
        <v>2049</v>
      </c>
      <c r="F317" s="35" t="s">
        <v>737</v>
      </c>
    </row>
    <row r="318" spans="1:6" ht="16.350000000000001" customHeight="1" x14ac:dyDescent="0.25">
      <c r="A318" s="35">
        <v>81653</v>
      </c>
      <c r="B318" s="35" t="s">
        <v>2514</v>
      </c>
      <c r="C318" s="35" t="s">
        <v>2515</v>
      </c>
      <c r="D318" s="35" t="s">
        <v>2516</v>
      </c>
      <c r="E318" s="35" t="s">
        <v>2049</v>
      </c>
      <c r="F318" s="35" t="s">
        <v>737</v>
      </c>
    </row>
    <row r="319" spans="1:6" ht="16.350000000000001" customHeight="1" x14ac:dyDescent="0.25">
      <c r="A319" s="35">
        <v>323618</v>
      </c>
      <c r="B319" s="35" t="s">
        <v>2517</v>
      </c>
      <c r="C319" s="35" t="s">
        <v>2518</v>
      </c>
      <c r="D319" s="35" t="s">
        <v>2519</v>
      </c>
      <c r="E319" s="35" t="s">
        <v>2049</v>
      </c>
      <c r="F319" s="35" t="s">
        <v>737</v>
      </c>
    </row>
    <row r="320" spans="1:6" ht="16.350000000000001" customHeight="1" x14ac:dyDescent="0.25">
      <c r="A320" s="35">
        <v>11703</v>
      </c>
      <c r="B320" s="35" t="s">
        <v>2520</v>
      </c>
      <c r="C320" s="35" t="s">
        <v>2521</v>
      </c>
      <c r="D320" s="35" t="s">
        <v>2522</v>
      </c>
      <c r="E320" s="35" t="s">
        <v>2049</v>
      </c>
      <c r="F320" s="35" t="s">
        <v>737</v>
      </c>
    </row>
    <row r="321" spans="1:6" ht="16.350000000000001" customHeight="1" x14ac:dyDescent="0.25">
      <c r="A321" s="35">
        <v>68155</v>
      </c>
      <c r="B321" s="35" t="s">
        <v>1038</v>
      </c>
      <c r="C321" s="35" t="s">
        <v>2131</v>
      </c>
      <c r="D321" s="35" t="s">
        <v>2132</v>
      </c>
      <c r="E321" s="35" t="s">
        <v>2049</v>
      </c>
      <c r="F321" s="35" t="s">
        <v>737</v>
      </c>
    </row>
    <row r="322" spans="1:6" ht="16.350000000000001" customHeight="1" x14ac:dyDescent="0.25">
      <c r="A322" s="35">
        <v>76471</v>
      </c>
      <c r="B322" s="35" t="s">
        <v>87</v>
      </c>
      <c r="C322" s="35" t="s">
        <v>2523</v>
      </c>
      <c r="D322" s="35" t="s">
        <v>2524</v>
      </c>
      <c r="E322" s="35" t="s">
        <v>2049</v>
      </c>
      <c r="F322" s="35" t="s">
        <v>737</v>
      </c>
    </row>
    <row r="323" spans="1:6" ht="16.350000000000001" customHeight="1" x14ac:dyDescent="0.25">
      <c r="A323" s="35">
        <v>7930</v>
      </c>
      <c r="B323" s="35" t="s">
        <v>2525</v>
      </c>
      <c r="C323" s="35" t="s">
        <v>2526</v>
      </c>
      <c r="D323" s="35" t="s">
        <v>2527</v>
      </c>
      <c r="E323" s="35" t="s">
        <v>2049</v>
      </c>
      <c r="F323" s="35" t="s">
        <v>737</v>
      </c>
    </row>
    <row r="324" spans="1:6" ht="16.350000000000001" customHeight="1" x14ac:dyDescent="0.25">
      <c r="A324" s="35">
        <v>302620</v>
      </c>
      <c r="B324" s="35" t="s">
        <v>2528</v>
      </c>
      <c r="C324" s="35" t="s">
        <v>2529</v>
      </c>
      <c r="D324" s="35" t="s">
        <v>2530</v>
      </c>
      <c r="E324" s="35" t="s">
        <v>2049</v>
      </c>
      <c r="F324" s="35" t="s">
        <v>737</v>
      </c>
    </row>
    <row r="325" spans="1:6" ht="16.350000000000001" customHeight="1" x14ac:dyDescent="0.25">
      <c r="A325" s="35">
        <v>66738</v>
      </c>
      <c r="B325" s="35" t="s">
        <v>2531</v>
      </c>
      <c r="C325" s="35" t="s">
        <v>2532</v>
      </c>
      <c r="D325" s="35" t="s">
        <v>2533</v>
      </c>
      <c r="E325" s="35" t="s">
        <v>2049</v>
      </c>
      <c r="F325" s="35" t="s">
        <v>737</v>
      </c>
    </row>
    <row r="326" spans="1:6" ht="16.350000000000001" customHeight="1" x14ac:dyDescent="0.25">
      <c r="A326" s="35">
        <v>60699</v>
      </c>
      <c r="B326" s="35" t="s">
        <v>1036</v>
      </c>
      <c r="C326" s="35" t="s">
        <v>2534</v>
      </c>
      <c r="D326" s="35" t="s">
        <v>2535</v>
      </c>
      <c r="E326" s="35" t="s">
        <v>2049</v>
      </c>
      <c r="F326" s="35" t="s">
        <v>737</v>
      </c>
    </row>
    <row r="327" spans="1:6" ht="16.350000000000001" customHeight="1" x14ac:dyDescent="0.25">
      <c r="A327" s="35">
        <v>52779</v>
      </c>
      <c r="B327" s="35" t="s">
        <v>2536</v>
      </c>
      <c r="C327" s="35" t="s">
        <v>2537</v>
      </c>
      <c r="D327" s="35" t="s">
        <v>2538</v>
      </c>
      <c r="E327" s="35" t="s">
        <v>2049</v>
      </c>
      <c r="F327" s="35" t="s">
        <v>737</v>
      </c>
    </row>
    <row r="328" spans="1:6" ht="16.350000000000001" customHeight="1" x14ac:dyDescent="0.25">
      <c r="A328" s="35">
        <v>14535</v>
      </c>
      <c r="B328" s="35" t="s">
        <v>2539</v>
      </c>
      <c r="C328" s="35" t="s">
        <v>2540</v>
      </c>
      <c r="D328" s="35" t="s">
        <v>2541</v>
      </c>
      <c r="E328" s="35" t="s">
        <v>2049</v>
      </c>
      <c r="F328" s="35" t="s">
        <v>737</v>
      </c>
    </row>
    <row r="329" spans="1:6" ht="16.350000000000001" customHeight="1" x14ac:dyDescent="0.25">
      <c r="A329" s="35">
        <v>303535</v>
      </c>
      <c r="B329" s="35" t="s">
        <v>2542</v>
      </c>
      <c r="C329" s="35" t="s">
        <v>2543</v>
      </c>
      <c r="D329" s="35" t="s">
        <v>2544</v>
      </c>
      <c r="E329" s="35" t="s">
        <v>2049</v>
      </c>
      <c r="F329" s="35" t="s">
        <v>737</v>
      </c>
    </row>
    <row r="330" spans="1:6" ht="16.350000000000001" customHeight="1" x14ac:dyDescent="0.25">
      <c r="A330" s="35">
        <v>394189</v>
      </c>
      <c r="B330" s="35" t="s">
        <v>257</v>
      </c>
      <c r="C330" s="35" t="s">
        <v>2545</v>
      </c>
      <c r="D330" s="35" t="s">
        <v>2546</v>
      </c>
      <c r="E330" s="35" t="s">
        <v>2049</v>
      </c>
      <c r="F330" s="35" t="s">
        <v>737</v>
      </c>
    </row>
    <row r="331" spans="1:6" ht="16.350000000000001" customHeight="1" x14ac:dyDescent="0.25">
      <c r="A331" s="35">
        <v>49775</v>
      </c>
      <c r="B331" s="35" t="s">
        <v>1256</v>
      </c>
      <c r="C331" s="35" t="s">
        <v>2547</v>
      </c>
      <c r="D331" s="35" t="s">
        <v>2548</v>
      </c>
      <c r="E331" s="35" t="s">
        <v>2049</v>
      </c>
      <c r="F331" s="35" t="s">
        <v>737</v>
      </c>
    </row>
    <row r="332" spans="1:6" ht="16.350000000000001" customHeight="1" x14ac:dyDescent="0.25">
      <c r="A332" s="35">
        <v>333104</v>
      </c>
      <c r="B332" s="35" t="s">
        <v>1034</v>
      </c>
      <c r="C332" s="35" t="s">
        <v>2549</v>
      </c>
      <c r="D332" s="35" t="s">
        <v>2550</v>
      </c>
      <c r="E332" s="35" t="s">
        <v>2049</v>
      </c>
      <c r="F332" s="35" t="s">
        <v>737</v>
      </c>
    </row>
    <row r="333" spans="1:6" ht="16.350000000000001" customHeight="1" x14ac:dyDescent="0.25">
      <c r="A333" s="35">
        <v>12518</v>
      </c>
      <c r="B333" s="35" t="s">
        <v>959</v>
      </c>
      <c r="C333" s="35" t="s">
        <v>2551</v>
      </c>
      <c r="D333" s="35" t="s">
        <v>2552</v>
      </c>
      <c r="E333" s="35" t="s">
        <v>2049</v>
      </c>
      <c r="F333" s="35" t="s">
        <v>737</v>
      </c>
    </row>
    <row r="334" spans="1:6" ht="16.350000000000001" customHeight="1" x14ac:dyDescent="0.25">
      <c r="A334" s="35">
        <v>325803</v>
      </c>
      <c r="B334" s="35" t="s">
        <v>999</v>
      </c>
      <c r="C334" s="35" t="s">
        <v>2553</v>
      </c>
      <c r="D334" s="35" t="s">
        <v>2554</v>
      </c>
      <c r="E334" s="35" t="s">
        <v>2049</v>
      </c>
      <c r="F334" s="35" t="s">
        <v>737</v>
      </c>
    </row>
    <row r="335" spans="1:6" ht="16.350000000000001" customHeight="1" x14ac:dyDescent="0.25">
      <c r="A335" s="35">
        <v>28027</v>
      </c>
      <c r="B335" s="35" t="s">
        <v>2555</v>
      </c>
      <c r="C335" s="35" t="s">
        <v>2556</v>
      </c>
      <c r="D335" s="35" t="s">
        <v>2557</v>
      </c>
      <c r="E335" s="35" t="s">
        <v>2558</v>
      </c>
      <c r="F335" s="35" t="s">
        <v>737</v>
      </c>
    </row>
    <row r="336" spans="1:6" ht="16.350000000000001" customHeight="1" x14ac:dyDescent="0.25">
      <c r="A336" s="35">
        <v>62117</v>
      </c>
      <c r="B336" s="35" t="s">
        <v>939</v>
      </c>
      <c r="C336" s="35" t="s">
        <v>2559</v>
      </c>
      <c r="D336" s="35" t="s">
        <v>2560</v>
      </c>
      <c r="E336" s="35" t="s">
        <v>2558</v>
      </c>
      <c r="F336" s="35" t="s">
        <v>737</v>
      </c>
    </row>
    <row r="337" spans="1:6" ht="16.350000000000001" customHeight="1" x14ac:dyDescent="0.25">
      <c r="A337" s="35">
        <v>15605</v>
      </c>
      <c r="B337" s="35" t="s">
        <v>947</v>
      </c>
      <c r="C337" s="35" t="s">
        <v>2561</v>
      </c>
      <c r="D337" s="35" t="s">
        <v>2562</v>
      </c>
      <c r="E337" s="35" t="s">
        <v>2558</v>
      </c>
      <c r="F337" s="35" t="s">
        <v>737</v>
      </c>
    </row>
    <row r="338" spans="1:6" ht="16.350000000000001" customHeight="1" x14ac:dyDescent="0.25">
      <c r="A338" s="35">
        <v>325662</v>
      </c>
      <c r="B338" s="35" t="s">
        <v>951</v>
      </c>
      <c r="C338" s="35" t="s">
        <v>2563</v>
      </c>
      <c r="D338" s="35" t="s">
        <v>2564</v>
      </c>
      <c r="E338" s="35" t="s">
        <v>2558</v>
      </c>
      <c r="F338" s="35" t="s">
        <v>737</v>
      </c>
    </row>
    <row r="339" spans="1:6" ht="16.350000000000001" customHeight="1" x14ac:dyDescent="0.25">
      <c r="A339" s="35">
        <v>64170</v>
      </c>
      <c r="B339" s="35" t="s">
        <v>960</v>
      </c>
      <c r="C339" s="35" t="s">
        <v>2565</v>
      </c>
      <c r="D339" s="35" t="s">
        <v>2566</v>
      </c>
      <c r="E339" s="35" t="s">
        <v>2558</v>
      </c>
      <c r="F339" s="35" t="s">
        <v>737</v>
      </c>
    </row>
    <row r="340" spans="1:6" ht="16.350000000000001" customHeight="1" x14ac:dyDescent="0.25">
      <c r="A340" s="35">
        <v>88815</v>
      </c>
      <c r="B340" s="35" t="s">
        <v>964</v>
      </c>
      <c r="C340" s="35" t="s">
        <v>2567</v>
      </c>
      <c r="D340" s="35" t="s">
        <v>2568</v>
      </c>
      <c r="E340" s="35" t="s">
        <v>2558</v>
      </c>
      <c r="F340" s="35" t="s">
        <v>737</v>
      </c>
    </row>
    <row r="341" spans="1:6" ht="16.350000000000001" customHeight="1" x14ac:dyDescent="0.25">
      <c r="A341" s="35">
        <v>514</v>
      </c>
      <c r="B341" s="35" t="s">
        <v>952</v>
      </c>
      <c r="C341" s="35" t="s">
        <v>2569</v>
      </c>
      <c r="D341" s="35" t="s">
        <v>2570</v>
      </c>
      <c r="E341" s="35" t="s">
        <v>2558</v>
      </c>
      <c r="F341" s="35" t="s">
        <v>737</v>
      </c>
    </row>
    <row r="342" spans="1:6" ht="16.350000000000001" customHeight="1" x14ac:dyDescent="0.25">
      <c r="A342" s="35">
        <v>399733</v>
      </c>
      <c r="B342" s="35" t="s">
        <v>957</v>
      </c>
      <c r="C342" s="35" t="s">
        <v>2571</v>
      </c>
      <c r="D342" s="35" t="s">
        <v>2572</v>
      </c>
      <c r="E342" s="35" t="s">
        <v>2558</v>
      </c>
      <c r="F342" s="35" t="s">
        <v>737</v>
      </c>
    </row>
    <row r="343" spans="1:6" ht="16.350000000000001" customHeight="1" x14ac:dyDescent="0.25">
      <c r="A343" s="35">
        <v>322545</v>
      </c>
      <c r="B343" s="35" t="s">
        <v>945</v>
      </c>
      <c r="C343" s="35" t="s">
        <v>2573</v>
      </c>
      <c r="D343" s="35" t="s">
        <v>1896</v>
      </c>
      <c r="E343" s="35" t="s">
        <v>2558</v>
      </c>
      <c r="F343" s="35" t="s">
        <v>737</v>
      </c>
    </row>
    <row r="344" spans="1:6" ht="16.350000000000001" customHeight="1" x14ac:dyDescent="0.25">
      <c r="A344" s="35">
        <v>383349</v>
      </c>
      <c r="B344" s="35" t="s">
        <v>241</v>
      </c>
      <c r="C344" s="35" t="s">
        <v>2574</v>
      </c>
      <c r="D344" s="35" t="s">
        <v>2575</v>
      </c>
      <c r="E344" s="35" t="s">
        <v>2558</v>
      </c>
      <c r="F344" s="35" t="s">
        <v>737</v>
      </c>
    </row>
    <row r="345" spans="1:6" ht="16.350000000000001" customHeight="1" x14ac:dyDescent="0.25">
      <c r="A345" s="35">
        <v>16105</v>
      </c>
      <c r="B345" s="35" t="s">
        <v>965</v>
      </c>
      <c r="C345" s="35" t="s">
        <v>2363</v>
      </c>
      <c r="D345" s="35" t="s">
        <v>2576</v>
      </c>
      <c r="E345" s="35" t="s">
        <v>2558</v>
      </c>
      <c r="F345" s="35" t="s">
        <v>737</v>
      </c>
    </row>
    <row r="346" spans="1:6" ht="16.350000000000001" customHeight="1" x14ac:dyDescent="0.25">
      <c r="A346" s="35">
        <v>34934</v>
      </c>
      <c r="B346" s="35" t="s">
        <v>117</v>
      </c>
      <c r="C346" s="35" t="s">
        <v>2577</v>
      </c>
      <c r="D346" s="35" t="s">
        <v>2578</v>
      </c>
      <c r="E346" s="35" t="s">
        <v>2558</v>
      </c>
      <c r="F346" s="35" t="s">
        <v>737</v>
      </c>
    </row>
    <row r="347" spans="1:6" ht="16.350000000000001" customHeight="1" x14ac:dyDescent="0.25">
      <c r="A347" s="35">
        <v>9175</v>
      </c>
      <c r="B347" s="35" t="s">
        <v>963</v>
      </c>
      <c r="C347" s="35" t="s">
        <v>2579</v>
      </c>
      <c r="D347" s="35" t="s">
        <v>2580</v>
      </c>
      <c r="E347" s="35" t="s">
        <v>2558</v>
      </c>
      <c r="F347" s="35" t="s">
        <v>737</v>
      </c>
    </row>
    <row r="348" spans="1:6" ht="16.350000000000001" customHeight="1" x14ac:dyDescent="0.25">
      <c r="A348" s="35">
        <v>22253</v>
      </c>
      <c r="B348" s="35" t="s">
        <v>990</v>
      </c>
      <c r="C348" s="35" t="s">
        <v>2581</v>
      </c>
      <c r="D348" s="35" t="s">
        <v>2582</v>
      </c>
      <c r="E348" s="35" t="s">
        <v>2558</v>
      </c>
      <c r="F348" s="35" t="s">
        <v>737</v>
      </c>
    </row>
    <row r="349" spans="1:6" ht="16.350000000000001" customHeight="1" x14ac:dyDescent="0.25">
      <c r="A349" s="35">
        <v>388637</v>
      </c>
      <c r="B349" s="35" t="s">
        <v>967</v>
      </c>
      <c r="C349" s="35" t="s">
        <v>2583</v>
      </c>
      <c r="D349" s="35" t="s">
        <v>2584</v>
      </c>
      <c r="E349" s="35" t="s">
        <v>2558</v>
      </c>
      <c r="F349" s="35" t="s">
        <v>737</v>
      </c>
    </row>
    <row r="350" spans="1:6" ht="16.350000000000001" customHeight="1" x14ac:dyDescent="0.25">
      <c r="A350" s="35">
        <v>313387</v>
      </c>
      <c r="B350" s="35" t="s">
        <v>158</v>
      </c>
      <c r="C350" s="35" t="s">
        <v>2585</v>
      </c>
      <c r="D350" s="35" t="s">
        <v>2586</v>
      </c>
      <c r="E350" s="35" t="s">
        <v>2558</v>
      </c>
      <c r="F350" s="35" t="s">
        <v>737</v>
      </c>
    </row>
    <row r="351" spans="1:6" ht="16.350000000000001" customHeight="1" x14ac:dyDescent="0.25">
      <c r="A351" s="35">
        <v>89102</v>
      </c>
      <c r="B351" s="35" t="s">
        <v>959</v>
      </c>
      <c r="C351" s="35" t="s">
        <v>2587</v>
      </c>
      <c r="D351" s="35" t="s">
        <v>2552</v>
      </c>
      <c r="E351" s="35" t="s">
        <v>2558</v>
      </c>
      <c r="F351" s="35" t="s">
        <v>737</v>
      </c>
    </row>
    <row r="352" spans="1:6" ht="16.350000000000001" customHeight="1" x14ac:dyDescent="0.25">
      <c r="A352" s="35">
        <v>24564</v>
      </c>
      <c r="B352" s="35" t="s">
        <v>989</v>
      </c>
      <c r="C352" s="35" t="s">
        <v>2588</v>
      </c>
      <c r="D352" s="35" t="s">
        <v>2589</v>
      </c>
      <c r="E352" s="35" t="s">
        <v>2558</v>
      </c>
      <c r="F352" s="35" t="s">
        <v>737</v>
      </c>
    </row>
    <row r="353" spans="1:6" ht="16.350000000000001" customHeight="1" x14ac:dyDescent="0.25">
      <c r="A353" s="35">
        <v>334078</v>
      </c>
      <c r="B353" s="35" t="s">
        <v>971</v>
      </c>
      <c r="C353" s="35" t="s">
        <v>2590</v>
      </c>
      <c r="D353" s="35" t="s">
        <v>2591</v>
      </c>
      <c r="E353" s="35" t="s">
        <v>2558</v>
      </c>
      <c r="F353" s="35" t="s">
        <v>737</v>
      </c>
    </row>
    <row r="354" spans="1:6" ht="16.350000000000001" customHeight="1" x14ac:dyDescent="0.25">
      <c r="A354" s="35">
        <v>22582</v>
      </c>
      <c r="B354" s="35" t="s">
        <v>978</v>
      </c>
      <c r="C354" s="35" t="s">
        <v>2592</v>
      </c>
      <c r="D354" s="35" t="s">
        <v>2593</v>
      </c>
      <c r="E354" s="35" t="s">
        <v>2558</v>
      </c>
      <c r="F354" s="35" t="s">
        <v>737</v>
      </c>
    </row>
    <row r="355" spans="1:6" ht="16.350000000000001" customHeight="1" x14ac:dyDescent="0.25">
      <c r="A355" s="35">
        <v>23710</v>
      </c>
      <c r="B355" s="35" t="s">
        <v>951</v>
      </c>
      <c r="C355" s="35" t="s">
        <v>2594</v>
      </c>
      <c r="D355" s="35" t="s">
        <v>2595</v>
      </c>
      <c r="E355" s="35" t="s">
        <v>2558</v>
      </c>
      <c r="F355" s="35" t="s">
        <v>737</v>
      </c>
    </row>
    <row r="356" spans="1:6" ht="16.350000000000001" customHeight="1" x14ac:dyDescent="0.25">
      <c r="A356" s="35">
        <v>81018</v>
      </c>
      <c r="B356" s="35" t="s">
        <v>969</v>
      </c>
      <c r="C356" s="35" t="s">
        <v>2596</v>
      </c>
      <c r="D356" s="35" t="s">
        <v>2597</v>
      </c>
      <c r="E356" s="35" t="s">
        <v>2558</v>
      </c>
      <c r="F356" s="35" t="s">
        <v>737</v>
      </c>
    </row>
    <row r="357" spans="1:6" ht="16.350000000000001" customHeight="1" x14ac:dyDescent="0.25">
      <c r="A357" s="35">
        <v>7410</v>
      </c>
      <c r="B357" s="35" t="s">
        <v>135</v>
      </c>
      <c r="C357" s="35" t="s">
        <v>2035</v>
      </c>
      <c r="D357" s="35" t="s">
        <v>2036</v>
      </c>
      <c r="E357" s="35" t="s">
        <v>2558</v>
      </c>
      <c r="F357" s="35" t="s">
        <v>737</v>
      </c>
    </row>
    <row r="358" spans="1:6" ht="16.350000000000001" customHeight="1" x14ac:dyDescent="0.25">
      <c r="A358" s="35">
        <v>71233</v>
      </c>
      <c r="B358" s="35" t="s">
        <v>292</v>
      </c>
      <c r="C358" s="35" t="s">
        <v>2598</v>
      </c>
      <c r="D358" s="35" t="s">
        <v>2599</v>
      </c>
      <c r="E358" s="35" t="s">
        <v>2558</v>
      </c>
      <c r="F358" s="35" t="s">
        <v>737</v>
      </c>
    </row>
    <row r="359" spans="1:6" ht="16.350000000000001" customHeight="1" x14ac:dyDescent="0.25">
      <c r="A359" s="35">
        <v>9381</v>
      </c>
      <c r="B359" s="35" t="s">
        <v>139</v>
      </c>
      <c r="C359" s="35" t="s">
        <v>2600</v>
      </c>
      <c r="D359" s="35" t="s">
        <v>2601</v>
      </c>
      <c r="E359" s="35" t="s">
        <v>2558</v>
      </c>
      <c r="F359" s="35" t="s">
        <v>737</v>
      </c>
    </row>
    <row r="360" spans="1:6" ht="16.350000000000001" customHeight="1" x14ac:dyDescent="0.25">
      <c r="A360" s="35">
        <v>3137</v>
      </c>
      <c r="B360" s="35" t="s">
        <v>302</v>
      </c>
      <c r="C360" s="35" t="s">
        <v>2602</v>
      </c>
      <c r="D360" s="35" t="s">
        <v>2603</v>
      </c>
      <c r="E360" s="35" t="s">
        <v>2558</v>
      </c>
      <c r="F360" s="35" t="s">
        <v>737</v>
      </c>
    </row>
    <row r="361" spans="1:6" ht="16.350000000000001" customHeight="1" x14ac:dyDescent="0.25">
      <c r="A361" s="35">
        <v>382523</v>
      </c>
      <c r="B361" s="35" t="s">
        <v>707</v>
      </c>
      <c r="C361" s="35" t="s">
        <v>2604</v>
      </c>
      <c r="D361" s="35" t="s">
        <v>2605</v>
      </c>
      <c r="E361" s="35" t="s">
        <v>2558</v>
      </c>
      <c r="F361" s="35" t="s">
        <v>737</v>
      </c>
    </row>
    <row r="362" spans="1:6" ht="16.350000000000001" customHeight="1" x14ac:dyDescent="0.25">
      <c r="A362" s="35">
        <v>25027</v>
      </c>
      <c r="B362" s="35" t="s">
        <v>988</v>
      </c>
      <c r="C362" s="35" t="s">
        <v>2606</v>
      </c>
      <c r="D362" s="35" t="s">
        <v>2607</v>
      </c>
      <c r="E362" s="35" t="s">
        <v>2558</v>
      </c>
      <c r="F362" s="35" t="s">
        <v>737</v>
      </c>
    </row>
    <row r="363" spans="1:6" ht="16.350000000000001" customHeight="1" x14ac:dyDescent="0.25">
      <c r="A363" s="35">
        <v>71217</v>
      </c>
      <c r="B363" s="35" t="s">
        <v>146</v>
      </c>
      <c r="C363" s="35" t="s">
        <v>2608</v>
      </c>
      <c r="D363" s="35" t="s">
        <v>2609</v>
      </c>
      <c r="E363" s="35" t="s">
        <v>2558</v>
      </c>
      <c r="F363" s="35" t="s">
        <v>737</v>
      </c>
    </row>
    <row r="364" spans="1:6" ht="16.350000000000001" customHeight="1" x14ac:dyDescent="0.25">
      <c r="A364" s="35">
        <v>392712</v>
      </c>
      <c r="B364" s="35" t="s">
        <v>974</v>
      </c>
      <c r="C364" s="35" t="s">
        <v>2610</v>
      </c>
      <c r="D364" s="35" t="s">
        <v>2611</v>
      </c>
      <c r="E364" s="35" t="s">
        <v>2558</v>
      </c>
      <c r="F364" s="35" t="s">
        <v>737</v>
      </c>
    </row>
    <row r="365" spans="1:6" ht="16.350000000000001" customHeight="1" x14ac:dyDescent="0.25">
      <c r="A365" s="35">
        <v>5766</v>
      </c>
      <c r="B365" s="35" t="s">
        <v>230</v>
      </c>
      <c r="C365" s="35" t="s">
        <v>2612</v>
      </c>
      <c r="D365" s="35" t="s">
        <v>2613</v>
      </c>
      <c r="E365" s="35" t="s">
        <v>2558</v>
      </c>
      <c r="F365" s="35" t="s">
        <v>737</v>
      </c>
    </row>
    <row r="366" spans="1:6" ht="16.350000000000001" customHeight="1" x14ac:dyDescent="0.25">
      <c r="A366" s="35">
        <v>49890</v>
      </c>
      <c r="B366" s="35" t="s">
        <v>345</v>
      </c>
      <c r="C366" s="35" t="s">
        <v>2588</v>
      </c>
      <c r="D366" s="35" t="s">
        <v>2614</v>
      </c>
      <c r="E366" s="35" t="s">
        <v>2558</v>
      </c>
      <c r="F366" s="35" t="s">
        <v>737</v>
      </c>
    </row>
    <row r="367" spans="1:6" ht="16.350000000000001" customHeight="1" x14ac:dyDescent="0.25">
      <c r="A367" s="35">
        <v>9476</v>
      </c>
      <c r="B367" s="35" t="s">
        <v>975</v>
      </c>
      <c r="C367" s="35" t="s">
        <v>2615</v>
      </c>
      <c r="D367" s="35" t="s">
        <v>2616</v>
      </c>
      <c r="E367" s="35" t="s">
        <v>2558</v>
      </c>
      <c r="F367" s="35" t="s">
        <v>737</v>
      </c>
    </row>
    <row r="368" spans="1:6" ht="16.350000000000001" customHeight="1" x14ac:dyDescent="0.25">
      <c r="A368" s="35">
        <v>379719</v>
      </c>
      <c r="B368" s="35" t="s">
        <v>341</v>
      </c>
      <c r="C368" s="35" t="s">
        <v>2617</v>
      </c>
      <c r="D368" s="35" t="s">
        <v>2618</v>
      </c>
      <c r="E368" s="35" t="s">
        <v>2558</v>
      </c>
      <c r="F368" s="35" t="s">
        <v>737</v>
      </c>
    </row>
    <row r="369" spans="1:6" ht="16.350000000000001" customHeight="1" x14ac:dyDescent="0.25">
      <c r="A369" s="35">
        <v>11361</v>
      </c>
      <c r="B369" s="35" t="s">
        <v>1003</v>
      </c>
      <c r="C369" s="35" t="s">
        <v>2619</v>
      </c>
      <c r="D369" s="35" t="s">
        <v>2620</v>
      </c>
      <c r="E369" s="35" t="s">
        <v>2558</v>
      </c>
      <c r="F369" s="35" t="s">
        <v>737</v>
      </c>
    </row>
    <row r="370" spans="1:6" ht="16.350000000000001" customHeight="1" x14ac:dyDescent="0.25">
      <c r="A370" s="35">
        <v>853</v>
      </c>
      <c r="B370" s="35" t="s">
        <v>980</v>
      </c>
      <c r="C370" s="35" t="s">
        <v>2621</v>
      </c>
      <c r="D370" s="35" t="s">
        <v>2622</v>
      </c>
      <c r="E370" s="35" t="s">
        <v>2558</v>
      </c>
      <c r="F370" s="35" t="s">
        <v>737</v>
      </c>
    </row>
    <row r="371" spans="1:6" ht="16.350000000000001" customHeight="1" x14ac:dyDescent="0.25">
      <c r="A371" s="35">
        <v>57539</v>
      </c>
      <c r="B371" s="35" t="s">
        <v>984</v>
      </c>
      <c r="C371" s="35" t="s">
        <v>2623</v>
      </c>
      <c r="D371" s="35" t="s">
        <v>2624</v>
      </c>
      <c r="E371" s="35" t="s">
        <v>2558</v>
      </c>
      <c r="F371" s="35" t="s">
        <v>737</v>
      </c>
    </row>
    <row r="372" spans="1:6" ht="16.350000000000001" customHeight="1" x14ac:dyDescent="0.25">
      <c r="A372" s="35">
        <v>230</v>
      </c>
      <c r="B372" s="35" t="s">
        <v>1215</v>
      </c>
      <c r="C372" s="35" t="s">
        <v>2625</v>
      </c>
      <c r="D372" s="35" t="s">
        <v>2626</v>
      </c>
      <c r="E372" s="35" t="s">
        <v>2558</v>
      </c>
      <c r="F372" s="35" t="s">
        <v>737</v>
      </c>
    </row>
    <row r="373" spans="1:6" ht="16.350000000000001" customHeight="1" x14ac:dyDescent="0.25">
      <c r="A373" s="35">
        <v>1792</v>
      </c>
      <c r="B373" s="35" t="s">
        <v>982</v>
      </c>
      <c r="C373" s="35" t="s">
        <v>2627</v>
      </c>
      <c r="D373" s="35" t="s">
        <v>2607</v>
      </c>
      <c r="E373" s="35" t="s">
        <v>2558</v>
      </c>
      <c r="F373" s="35" t="s">
        <v>737</v>
      </c>
    </row>
    <row r="374" spans="1:6" ht="16.350000000000001" customHeight="1" x14ac:dyDescent="0.25">
      <c r="A374" s="35">
        <v>12699</v>
      </c>
      <c r="B374" s="35" t="s">
        <v>986</v>
      </c>
      <c r="C374" s="35" t="s">
        <v>2628</v>
      </c>
      <c r="D374" s="35" t="s">
        <v>2629</v>
      </c>
      <c r="E374" s="35" t="s">
        <v>2558</v>
      </c>
      <c r="F374" s="35" t="s">
        <v>737</v>
      </c>
    </row>
    <row r="375" spans="1:6" ht="16.350000000000001" customHeight="1" x14ac:dyDescent="0.25">
      <c r="A375" s="35">
        <v>61788</v>
      </c>
      <c r="B375" s="35" t="s">
        <v>1027</v>
      </c>
      <c r="C375" s="35" t="s">
        <v>2630</v>
      </c>
      <c r="D375" s="35" t="s">
        <v>2631</v>
      </c>
      <c r="E375" s="35" t="s">
        <v>2558</v>
      </c>
      <c r="F375" s="35" t="s">
        <v>737</v>
      </c>
    </row>
    <row r="376" spans="1:6" ht="16.350000000000001" customHeight="1" x14ac:dyDescent="0.25">
      <c r="A376" s="35">
        <v>20949</v>
      </c>
      <c r="B376" s="35" t="s">
        <v>693</v>
      </c>
      <c r="C376" s="35" t="s">
        <v>2632</v>
      </c>
      <c r="D376" s="35" t="s">
        <v>2633</v>
      </c>
      <c r="E376" s="35" t="s">
        <v>2558</v>
      </c>
      <c r="F376" s="35" t="s">
        <v>737</v>
      </c>
    </row>
    <row r="377" spans="1:6" ht="16.350000000000001" customHeight="1" x14ac:dyDescent="0.25">
      <c r="A377" s="35">
        <v>90159</v>
      </c>
      <c r="B377" s="35" t="s">
        <v>502</v>
      </c>
      <c r="C377" s="35" t="s">
        <v>2634</v>
      </c>
      <c r="D377" s="35" t="s">
        <v>2635</v>
      </c>
      <c r="E377" s="35" t="s">
        <v>2558</v>
      </c>
      <c r="F377" s="35" t="s">
        <v>737</v>
      </c>
    </row>
    <row r="378" spans="1:6" ht="16.350000000000001" customHeight="1" x14ac:dyDescent="0.25">
      <c r="A378" s="35">
        <v>90258</v>
      </c>
      <c r="B378" s="35" t="s">
        <v>106</v>
      </c>
      <c r="C378" s="35" t="s">
        <v>2636</v>
      </c>
      <c r="D378" s="35" t="s">
        <v>2637</v>
      </c>
      <c r="E378" s="35" t="s">
        <v>2558</v>
      </c>
      <c r="F378" s="35" t="s">
        <v>737</v>
      </c>
    </row>
    <row r="379" spans="1:6" ht="16.350000000000001" customHeight="1" x14ac:dyDescent="0.25">
      <c r="A379" s="35">
        <v>13860</v>
      </c>
      <c r="B379" s="35" t="s">
        <v>297</v>
      </c>
      <c r="C379" s="35" t="s">
        <v>2638</v>
      </c>
      <c r="D379" s="35" t="s">
        <v>2639</v>
      </c>
      <c r="E379" s="35" t="s">
        <v>2558</v>
      </c>
      <c r="F379" s="35" t="s">
        <v>737</v>
      </c>
    </row>
    <row r="380" spans="1:6" ht="16.350000000000001" customHeight="1" x14ac:dyDescent="0.25">
      <c r="A380" s="35">
        <v>311050</v>
      </c>
      <c r="B380" s="35" t="s">
        <v>995</v>
      </c>
      <c r="C380" s="35" t="s">
        <v>2640</v>
      </c>
      <c r="D380" s="35" t="s">
        <v>2641</v>
      </c>
      <c r="E380" s="35" t="s">
        <v>2558</v>
      </c>
      <c r="F380" s="35" t="s">
        <v>737</v>
      </c>
    </row>
    <row r="381" spans="1:6" ht="16.350000000000001" customHeight="1" x14ac:dyDescent="0.25">
      <c r="A381" s="35">
        <v>24489</v>
      </c>
      <c r="B381" s="35" t="s">
        <v>144</v>
      </c>
      <c r="C381" s="35" t="s">
        <v>2642</v>
      </c>
      <c r="D381" s="35" t="s">
        <v>2643</v>
      </c>
      <c r="E381" s="35" t="s">
        <v>2558</v>
      </c>
      <c r="F381" s="35" t="s">
        <v>737</v>
      </c>
    </row>
    <row r="382" spans="1:6" ht="16.350000000000001" customHeight="1" x14ac:dyDescent="0.25">
      <c r="A382" s="35">
        <v>21367</v>
      </c>
      <c r="B382" s="35" t="s">
        <v>195</v>
      </c>
      <c r="C382" s="35" t="s">
        <v>2644</v>
      </c>
      <c r="D382" s="35" t="s">
        <v>1753</v>
      </c>
      <c r="E382" s="35" t="s">
        <v>2558</v>
      </c>
      <c r="F382" s="35" t="s">
        <v>737</v>
      </c>
    </row>
    <row r="383" spans="1:6" ht="16.350000000000001" customHeight="1" x14ac:dyDescent="0.25">
      <c r="A383" s="35">
        <v>16747</v>
      </c>
      <c r="B383" s="35" t="s">
        <v>206</v>
      </c>
      <c r="C383" s="35" t="s">
        <v>2645</v>
      </c>
      <c r="D383" s="35" t="s">
        <v>2646</v>
      </c>
      <c r="E383" s="35" t="s">
        <v>2558</v>
      </c>
      <c r="F383" s="35" t="s">
        <v>737</v>
      </c>
    </row>
    <row r="384" spans="1:6" ht="16.350000000000001" customHeight="1" x14ac:dyDescent="0.25">
      <c r="A384" s="35">
        <v>5967</v>
      </c>
      <c r="B384" s="35" t="s">
        <v>1000</v>
      </c>
      <c r="C384" s="35" t="s">
        <v>2647</v>
      </c>
      <c r="D384" s="35" t="s">
        <v>2648</v>
      </c>
      <c r="E384" s="35" t="s">
        <v>2558</v>
      </c>
      <c r="F384" s="35" t="s">
        <v>737</v>
      </c>
    </row>
    <row r="385" spans="1:6" ht="16.350000000000001" customHeight="1" x14ac:dyDescent="0.25">
      <c r="A385" s="35">
        <v>16748</v>
      </c>
      <c r="B385" s="35" t="s">
        <v>991</v>
      </c>
      <c r="C385" s="35" t="s">
        <v>2649</v>
      </c>
      <c r="D385" s="35" t="s">
        <v>2650</v>
      </c>
      <c r="E385" s="35" t="s">
        <v>2558</v>
      </c>
      <c r="F385" s="35" t="s">
        <v>737</v>
      </c>
    </row>
    <row r="386" spans="1:6" ht="16.350000000000001" customHeight="1" x14ac:dyDescent="0.25">
      <c r="A386" s="35">
        <v>388124</v>
      </c>
      <c r="B386" s="35" t="s">
        <v>985</v>
      </c>
      <c r="C386" s="35" t="s">
        <v>2651</v>
      </c>
      <c r="D386" s="35" t="s">
        <v>2652</v>
      </c>
      <c r="E386" s="35" t="s">
        <v>2558</v>
      </c>
      <c r="F386" s="35" t="s">
        <v>737</v>
      </c>
    </row>
    <row r="387" spans="1:6" ht="16.350000000000001" customHeight="1" x14ac:dyDescent="0.25">
      <c r="A387" s="35">
        <v>379495</v>
      </c>
      <c r="B387" s="35" t="s">
        <v>224</v>
      </c>
      <c r="C387" s="35" t="s">
        <v>2653</v>
      </c>
      <c r="D387" s="35" t="s">
        <v>2654</v>
      </c>
      <c r="E387" s="35" t="s">
        <v>2558</v>
      </c>
      <c r="F387" s="35" t="s">
        <v>737</v>
      </c>
    </row>
    <row r="388" spans="1:6" ht="16.350000000000001" customHeight="1" x14ac:dyDescent="0.25">
      <c r="A388" s="35">
        <v>3566</v>
      </c>
      <c r="B388" s="35" t="s">
        <v>628</v>
      </c>
      <c r="C388" s="35" t="s">
        <v>2655</v>
      </c>
      <c r="D388" s="35" t="s">
        <v>2656</v>
      </c>
      <c r="E388" s="35" t="s">
        <v>2558</v>
      </c>
      <c r="F388" s="35" t="s">
        <v>737</v>
      </c>
    </row>
    <row r="389" spans="1:6" ht="16.350000000000001" customHeight="1" x14ac:dyDescent="0.25">
      <c r="A389" s="35">
        <v>43463</v>
      </c>
      <c r="B389" s="35" t="s">
        <v>281</v>
      </c>
      <c r="C389" s="35" t="s">
        <v>2657</v>
      </c>
      <c r="D389" s="35" t="s">
        <v>2658</v>
      </c>
      <c r="E389" s="35" t="s">
        <v>2558</v>
      </c>
      <c r="F389" s="35" t="s">
        <v>737</v>
      </c>
    </row>
    <row r="390" spans="1:6" ht="16.350000000000001" customHeight="1" x14ac:dyDescent="0.25">
      <c r="A390" s="35">
        <v>20539</v>
      </c>
      <c r="B390" s="35" t="s">
        <v>551</v>
      </c>
      <c r="C390" s="35" t="s">
        <v>2659</v>
      </c>
      <c r="D390" s="35" t="s">
        <v>2660</v>
      </c>
      <c r="E390" s="35" t="s">
        <v>2558</v>
      </c>
      <c r="F390" s="35" t="s">
        <v>737</v>
      </c>
    </row>
    <row r="391" spans="1:6" ht="16.350000000000001" customHeight="1" x14ac:dyDescent="0.25">
      <c r="A391" s="35">
        <v>4305</v>
      </c>
      <c r="B391" s="35" t="s">
        <v>994</v>
      </c>
      <c r="C391" s="35" t="s">
        <v>2661</v>
      </c>
      <c r="D391" s="35" t="s">
        <v>2662</v>
      </c>
      <c r="E391" s="35" t="s">
        <v>2558</v>
      </c>
      <c r="F391" s="35" t="s">
        <v>737</v>
      </c>
    </row>
    <row r="392" spans="1:6" ht="16.350000000000001" customHeight="1" x14ac:dyDescent="0.25">
      <c r="A392" s="35">
        <v>20364</v>
      </c>
      <c r="B392" s="35" t="s">
        <v>1160</v>
      </c>
      <c r="C392" s="35" t="s">
        <v>2663</v>
      </c>
      <c r="D392" s="35" t="s">
        <v>2664</v>
      </c>
      <c r="E392" s="35" t="s">
        <v>2558</v>
      </c>
      <c r="F392" s="35" t="s">
        <v>737</v>
      </c>
    </row>
    <row r="393" spans="1:6" ht="16.350000000000001" customHeight="1" x14ac:dyDescent="0.25">
      <c r="A393" s="35">
        <v>20436</v>
      </c>
      <c r="B393" s="35" t="s">
        <v>367</v>
      </c>
      <c r="C393" s="35" t="s">
        <v>2665</v>
      </c>
      <c r="D393" s="35" t="s">
        <v>2666</v>
      </c>
      <c r="E393" s="35" t="s">
        <v>2558</v>
      </c>
      <c r="F393" s="35" t="s">
        <v>737</v>
      </c>
    </row>
    <row r="394" spans="1:6" ht="16.350000000000001" customHeight="1" x14ac:dyDescent="0.25">
      <c r="A394" s="35">
        <v>81703</v>
      </c>
      <c r="B394" s="35" t="s">
        <v>1010</v>
      </c>
      <c r="C394" s="35" t="s">
        <v>2667</v>
      </c>
      <c r="D394" s="35" t="s">
        <v>2668</v>
      </c>
      <c r="E394" s="35" t="s">
        <v>2558</v>
      </c>
      <c r="F394" s="35" t="s">
        <v>737</v>
      </c>
    </row>
    <row r="395" spans="1:6" ht="16.350000000000001" customHeight="1" x14ac:dyDescent="0.25">
      <c r="A395" s="35">
        <v>11882</v>
      </c>
      <c r="B395" s="35" t="s">
        <v>996</v>
      </c>
      <c r="C395" s="35" t="s">
        <v>2627</v>
      </c>
      <c r="D395" s="35" t="s">
        <v>2607</v>
      </c>
      <c r="E395" s="35" t="s">
        <v>2558</v>
      </c>
      <c r="F395" s="35" t="s">
        <v>737</v>
      </c>
    </row>
    <row r="396" spans="1:6" ht="16.350000000000001" customHeight="1" x14ac:dyDescent="0.25">
      <c r="A396" s="35">
        <v>342295</v>
      </c>
      <c r="B396" s="35" t="s">
        <v>1001</v>
      </c>
      <c r="C396" s="35" t="s">
        <v>2669</v>
      </c>
      <c r="D396" s="35" t="s">
        <v>2670</v>
      </c>
      <c r="E396" s="35" t="s">
        <v>2558</v>
      </c>
      <c r="F396" s="35" t="s">
        <v>737</v>
      </c>
    </row>
    <row r="397" spans="1:6" ht="16.350000000000001" customHeight="1" x14ac:dyDescent="0.25">
      <c r="A397" s="35">
        <v>7875</v>
      </c>
      <c r="B397" s="35" t="s">
        <v>154</v>
      </c>
      <c r="C397" s="35" t="s">
        <v>2671</v>
      </c>
      <c r="D397" s="35" t="s">
        <v>2672</v>
      </c>
      <c r="E397" s="35" t="s">
        <v>2558</v>
      </c>
      <c r="F397" s="35" t="s">
        <v>737</v>
      </c>
    </row>
    <row r="398" spans="1:6" ht="16.350000000000001" customHeight="1" x14ac:dyDescent="0.25">
      <c r="A398" s="35">
        <v>24017</v>
      </c>
      <c r="B398" s="35" t="s">
        <v>983</v>
      </c>
      <c r="C398" s="35" t="s">
        <v>2673</v>
      </c>
      <c r="D398" s="35" t="s">
        <v>2674</v>
      </c>
      <c r="E398" s="35" t="s">
        <v>2558</v>
      </c>
      <c r="F398" s="35" t="s">
        <v>737</v>
      </c>
    </row>
    <row r="399" spans="1:6" ht="16.350000000000001" customHeight="1" x14ac:dyDescent="0.25">
      <c r="A399" s="35">
        <v>12480</v>
      </c>
      <c r="B399" s="35" t="s">
        <v>176</v>
      </c>
      <c r="C399" s="35" t="s">
        <v>2675</v>
      </c>
      <c r="D399" s="35" t="s">
        <v>2676</v>
      </c>
      <c r="E399" s="35" t="s">
        <v>2558</v>
      </c>
      <c r="F399" s="35" t="s">
        <v>737</v>
      </c>
    </row>
    <row r="400" spans="1:6" ht="16.350000000000001" customHeight="1" x14ac:dyDescent="0.25">
      <c r="A400" s="35">
        <v>51987</v>
      </c>
      <c r="B400" s="35" t="s">
        <v>225</v>
      </c>
      <c r="C400" s="35" t="s">
        <v>2677</v>
      </c>
      <c r="D400" s="35" t="s">
        <v>2678</v>
      </c>
      <c r="E400" s="35" t="s">
        <v>2558</v>
      </c>
      <c r="F400" s="35" t="s">
        <v>737</v>
      </c>
    </row>
    <row r="401" spans="1:6" ht="16.350000000000001" customHeight="1" x14ac:dyDescent="0.25">
      <c r="A401" s="35">
        <v>314815</v>
      </c>
      <c r="B401" s="35" t="s">
        <v>384</v>
      </c>
      <c r="C401" s="35" t="s">
        <v>2679</v>
      </c>
      <c r="D401" s="35" t="s">
        <v>2680</v>
      </c>
      <c r="E401" s="35" t="s">
        <v>2558</v>
      </c>
      <c r="F401" s="35" t="s">
        <v>737</v>
      </c>
    </row>
    <row r="402" spans="1:6" ht="16.350000000000001" customHeight="1" x14ac:dyDescent="0.25">
      <c r="A402" s="35">
        <v>348557</v>
      </c>
      <c r="B402" s="35" t="s">
        <v>436</v>
      </c>
      <c r="C402" s="35" t="s">
        <v>2681</v>
      </c>
      <c r="D402" s="35" t="s">
        <v>2682</v>
      </c>
      <c r="E402" s="35" t="s">
        <v>2558</v>
      </c>
      <c r="F402" s="35" t="s">
        <v>737</v>
      </c>
    </row>
    <row r="403" spans="1:6" ht="16.350000000000001" customHeight="1" x14ac:dyDescent="0.25">
      <c r="A403" s="35">
        <v>26831</v>
      </c>
      <c r="B403" s="35" t="s">
        <v>370</v>
      </c>
      <c r="C403" s="35" t="s">
        <v>2683</v>
      </c>
      <c r="D403" s="35" t="s">
        <v>2684</v>
      </c>
      <c r="E403" s="35" t="s">
        <v>2558</v>
      </c>
      <c r="F403" s="35" t="s">
        <v>737</v>
      </c>
    </row>
    <row r="404" spans="1:6" ht="16.350000000000001" customHeight="1" x14ac:dyDescent="0.25">
      <c r="A404" s="35">
        <v>312397</v>
      </c>
      <c r="B404" s="35" t="s">
        <v>317</v>
      </c>
      <c r="C404" s="35" t="s">
        <v>2685</v>
      </c>
      <c r="D404" s="35" t="s">
        <v>2686</v>
      </c>
      <c r="E404" s="35" t="s">
        <v>2558</v>
      </c>
      <c r="F404" s="35" t="s">
        <v>737</v>
      </c>
    </row>
    <row r="405" spans="1:6" ht="16.350000000000001" customHeight="1" x14ac:dyDescent="0.25">
      <c r="A405" s="35">
        <v>381467</v>
      </c>
      <c r="B405" s="35" t="s">
        <v>336</v>
      </c>
      <c r="C405" s="35" t="s">
        <v>2687</v>
      </c>
      <c r="D405" s="35" t="s">
        <v>2688</v>
      </c>
      <c r="E405" s="35" t="s">
        <v>2558</v>
      </c>
      <c r="F405" s="35" t="s">
        <v>737</v>
      </c>
    </row>
    <row r="406" spans="1:6" ht="16.350000000000001" customHeight="1" x14ac:dyDescent="0.25">
      <c r="A406" s="35">
        <v>307017</v>
      </c>
      <c r="B406" s="35" t="s">
        <v>545</v>
      </c>
      <c r="C406" s="35" t="s">
        <v>2689</v>
      </c>
      <c r="D406" s="35" t="s">
        <v>2690</v>
      </c>
      <c r="E406" s="35" t="s">
        <v>2558</v>
      </c>
      <c r="F406" s="35" t="s">
        <v>737</v>
      </c>
    </row>
    <row r="407" spans="1:6" ht="16.350000000000001" customHeight="1" x14ac:dyDescent="0.25">
      <c r="A407" s="35">
        <v>51698</v>
      </c>
      <c r="B407" s="35" t="s">
        <v>174</v>
      </c>
      <c r="C407" s="35" t="s">
        <v>2691</v>
      </c>
      <c r="D407" s="35" t="s">
        <v>2692</v>
      </c>
      <c r="E407" s="35" t="s">
        <v>2558</v>
      </c>
      <c r="F407" s="35" t="s">
        <v>737</v>
      </c>
    </row>
    <row r="408" spans="1:6" ht="16.350000000000001" customHeight="1" x14ac:dyDescent="0.25">
      <c r="A408" s="35">
        <v>13642</v>
      </c>
      <c r="B408" s="35" t="s">
        <v>1003</v>
      </c>
      <c r="C408" s="35" t="s">
        <v>2619</v>
      </c>
      <c r="D408" s="35" t="s">
        <v>2620</v>
      </c>
      <c r="E408" s="35" t="s">
        <v>2558</v>
      </c>
      <c r="F408" s="35" t="s">
        <v>737</v>
      </c>
    </row>
    <row r="409" spans="1:6" ht="16.350000000000001" customHeight="1" x14ac:dyDescent="0.25">
      <c r="A409" s="35">
        <v>380857</v>
      </c>
      <c r="B409" s="35" t="s">
        <v>1019</v>
      </c>
      <c r="C409" s="35" t="s">
        <v>2693</v>
      </c>
      <c r="D409" s="35" t="s">
        <v>2694</v>
      </c>
      <c r="E409" s="35" t="s">
        <v>2558</v>
      </c>
      <c r="F409" s="35" t="s">
        <v>737</v>
      </c>
    </row>
    <row r="410" spans="1:6" ht="16.350000000000001" customHeight="1" x14ac:dyDescent="0.25">
      <c r="A410" s="35">
        <v>20016</v>
      </c>
      <c r="B410" s="35" t="s">
        <v>476</v>
      </c>
      <c r="C410" s="35" t="s">
        <v>2695</v>
      </c>
      <c r="D410" s="35" t="s">
        <v>2696</v>
      </c>
      <c r="E410" s="35" t="s">
        <v>2558</v>
      </c>
      <c r="F410" s="35" t="s">
        <v>737</v>
      </c>
    </row>
    <row r="411" spans="1:6" ht="16.350000000000001" customHeight="1" x14ac:dyDescent="0.25">
      <c r="A411" s="35">
        <v>2949</v>
      </c>
      <c r="B411" s="35" t="s">
        <v>728</v>
      </c>
      <c r="C411" s="35" t="s">
        <v>2697</v>
      </c>
      <c r="D411" s="35" t="s">
        <v>2698</v>
      </c>
      <c r="E411" s="35" t="s">
        <v>2558</v>
      </c>
      <c r="F411" s="35" t="s">
        <v>737</v>
      </c>
    </row>
    <row r="412" spans="1:6" ht="16.350000000000001" customHeight="1" x14ac:dyDescent="0.25">
      <c r="A412" s="35">
        <v>3160</v>
      </c>
      <c r="B412" s="35" t="s">
        <v>508</v>
      </c>
      <c r="C412" s="35" t="s">
        <v>2699</v>
      </c>
      <c r="D412" s="35" t="s">
        <v>2700</v>
      </c>
      <c r="E412" s="35" t="s">
        <v>2558</v>
      </c>
      <c r="F412" s="35" t="s">
        <v>737</v>
      </c>
    </row>
    <row r="413" spans="1:6" ht="16.350000000000001" customHeight="1" x14ac:dyDescent="0.25">
      <c r="A413" s="35">
        <v>34280</v>
      </c>
      <c r="B413" s="35" t="s">
        <v>697</v>
      </c>
      <c r="C413" s="35" t="s">
        <v>2701</v>
      </c>
      <c r="D413" s="35" t="s">
        <v>2702</v>
      </c>
      <c r="E413" s="35" t="s">
        <v>2558</v>
      </c>
      <c r="F413" s="35" t="s">
        <v>737</v>
      </c>
    </row>
    <row r="414" spans="1:6" ht="16.350000000000001" customHeight="1" x14ac:dyDescent="0.25">
      <c r="A414" s="35">
        <v>21157</v>
      </c>
      <c r="B414" s="35" t="s">
        <v>547</v>
      </c>
      <c r="C414" s="35" t="s">
        <v>2703</v>
      </c>
      <c r="D414" s="35" t="s">
        <v>2704</v>
      </c>
      <c r="E414" s="35" t="s">
        <v>2558</v>
      </c>
      <c r="F414" s="35" t="s">
        <v>737</v>
      </c>
    </row>
    <row r="415" spans="1:6" ht="16.350000000000001" customHeight="1" x14ac:dyDescent="0.25">
      <c r="A415" s="35">
        <v>303895</v>
      </c>
      <c r="B415" s="35" t="s">
        <v>301</v>
      </c>
      <c r="C415" s="35" t="s">
        <v>2705</v>
      </c>
      <c r="D415" s="35" t="s">
        <v>2706</v>
      </c>
      <c r="E415" s="35" t="s">
        <v>2558</v>
      </c>
      <c r="F415" s="35" t="s">
        <v>737</v>
      </c>
    </row>
    <row r="416" spans="1:6" ht="16.350000000000001" customHeight="1" x14ac:dyDescent="0.25">
      <c r="A416" s="35">
        <v>24651</v>
      </c>
      <c r="B416" s="35" t="s">
        <v>1046</v>
      </c>
      <c r="C416" s="35" t="s">
        <v>2426</v>
      </c>
      <c r="D416" s="35" t="s">
        <v>2427</v>
      </c>
      <c r="E416" s="35" t="s">
        <v>2558</v>
      </c>
      <c r="F416" s="35" t="s">
        <v>737</v>
      </c>
    </row>
    <row r="417" spans="1:6" ht="16.350000000000001" customHeight="1" x14ac:dyDescent="0.25">
      <c r="A417" s="35">
        <v>4101</v>
      </c>
      <c r="B417" s="35" t="s">
        <v>998</v>
      </c>
      <c r="C417" s="35" t="s">
        <v>2707</v>
      </c>
      <c r="D417" s="35" t="s">
        <v>2708</v>
      </c>
      <c r="E417" s="35" t="s">
        <v>2558</v>
      </c>
      <c r="F417" s="35" t="s">
        <v>737</v>
      </c>
    </row>
    <row r="418" spans="1:6" ht="16.350000000000001" customHeight="1" x14ac:dyDescent="0.25">
      <c r="A418" s="35">
        <v>55798</v>
      </c>
      <c r="B418" s="35" t="s">
        <v>273</v>
      </c>
      <c r="C418" s="35" t="s">
        <v>2709</v>
      </c>
      <c r="D418" s="35" t="s">
        <v>2710</v>
      </c>
      <c r="E418" s="35" t="s">
        <v>2558</v>
      </c>
      <c r="F418" s="35" t="s">
        <v>737</v>
      </c>
    </row>
    <row r="419" spans="1:6" ht="16.350000000000001" customHeight="1" x14ac:dyDescent="0.25">
      <c r="A419" s="35">
        <v>71324</v>
      </c>
      <c r="B419" s="35" t="s">
        <v>1017</v>
      </c>
      <c r="C419" s="35" t="s">
        <v>2711</v>
      </c>
      <c r="D419" s="35" t="s">
        <v>2712</v>
      </c>
      <c r="E419" s="35" t="s">
        <v>2558</v>
      </c>
      <c r="F419" s="35" t="s">
        <v>737</v>
      </c>
    </row>
    <row r="420" spans="1:6" ht="16.350000000000001" customHeight="1" x14ac:dyDescent="0.25">
      <c r="A420" s="35">
        <v>3437</v>
      </c>
      <c r="B420" s="35" t="s">
        <v>1002</v>
      </c>
      <c r="C420" s="35" t="s">
        <v>2713</v>
      </c>
      <c r="D420" s="35" t="s">
        <v>2714</v>
      </c>
      <c r="E420" s="35" t="s">
        <v>2558</v>
      </c>
      <c r="F420" s="35" t="s">
        <v>737</v>
      </c>
    </row>
    <row r="421" spans="1:6" ht="16.350000000000001" customHeight="1" x14ac:dyDescent="0.25">
      <c r="A421" s="35">
        <v>79087</v>
      </c>
      <c r="B421" s="35" t="s">
        <v>310</v>
      </c>
      <c r="C421" s="35" t="s">
        <v>2715</v>
      </c>
      <c r="D421" s="35" t="s">
        <v>2716</v>
      </c>
      <c r="E421" s="35" t="s">
        <v>2558</v>
      </c>
      <c r="F421" s="35" t="s">
        <v>737</v>
      </c>
    </row>
    <row r="422" spans="1:6" ht="16.350000000000001" customHeight="1" x14ac:dyDescent="0.25">
      <c r="A422" s="35">
        <v>24687</v>
      </c>
      <c r="B422" s="35" t="s">
        <v>544</v>
      </c>
      <c r="C422" s="35" t="s">
        <v>2717</v>
      </c>
      <c r="D422" s="35" t="s">
        <v>2718</v>
      </c>
      <c r="E422" s="35" t="s">
        <v>2558</v>
      </c>
      <c r="F422" s="35" t="s">
        <v>737</v>
      </c>
    </row>
    <row r="423" spans="1:6" ht="16.350000000000001" customHeight="1" x14ac:dyDescent="0.25">
      <c r="A423" s="35">
        <v>383612</v>
      </c>
      <c r="B423" s="35" t="s">
        <v>997</v>
      </c>
      <c r="C423" s="35" t="s">
        <v>2719</v>
      </c>
      <c r="D423" s="35" t="s">
        <v>2720</v>
      </c>
      <c r="E423" s="35" t="s">
        <v>2558</v>
      </c>
      <c r="F423" s="35" t="s">
        <v>737</v>
      </c>
    </row>
    <row r="424" spans="1:6" ht="16.350000000000001" customHeight="1" x14ac:dyDescent="0.25">
      <c r="A424" s="35">
        <v>55004</v>
      </c>
      <c r="B424" s="35" t="s">
        <v>251</v>
      </c>
      <c r="C424" s="35" t="s">
        <v>2721</v>
      </c>
      <c r="D424" s="35" t="s">
        <v>2722</v>
      </c>
      <c r="E424" s="35" t="s">
        <v>2558</v>
      </c>
      <c r="F424" s="35" t="s">
        <v>737</v>
      </c>
    </row>
    <row r="425" spans="1:6" ht="16.350000000000001" customHeight="1" x14ac:dyDescent="0.25">
      <c r="A425" s="35">
        <v>11914</v>
      </c>
      <c r="B425" s="35" t="s">
        <v>171</v>
      </c>
      <c r="C425" s="35" t="s">
        <v>2723</v>
      </c>
      <c r="D425" s="35" t="s">
        <v>2724</v>
      </c>
      <c r="E425" s="35" t="s">
        <v>2558</v>
      </c>
      <c r="F425" s="35" t="s">
        <v>737</v>
      </c>
    </row>
    <row r="426" spans="1:6" ht="16.350000000000001" customHeight="1" x14ac:dyDescent="0.25">
      <c r="A426" s="35">
        <v>4423</v>
      </c>
      <c r="B426" s="35" t="s">
        <v>1029</v>
      </c>
      <c r="C426" s="35" t="s">
        <v>2725</v>
      </c>
      <c r="D426" s="35" t="s">
        <v>2726</v>
      </c>
      <c r="E426" s="35" t="s">
        <v>2558</v>
      </c>
      <c r="F426" s="35" t="s">
        <v>737</v>
      </c>
    </row>
    <row r="427" spans="1:6" ht="16.350000000000001" customHeight="1" x14ac:dyDescent="0.25">
      <c r="A427" s="35">
        <v>212257</v>
      </c>
      <c r="B427" s="35" t="s">
        <v>1058</v>
      </c>
      <c r="C427" s="35" t="s">
        <v>2727</v>
      </c>
      <c r="D427" s="35" t="s">
        <v>2728</v>
      </c>
      <c r="E427" s="35" t="s">
        <v>2558</v>
      </c>
      <c r="F427" s="35" t="s">
        <v>737</v>
      </c>
    </row>
    <row r="428" spans="1:6" ht="16.350000000000001" customHeight="1" x14ac:dyDescent="0.25">
      <c r="A428" s="35">
        <v>33464</v>
      </c>
      <c r="B428" s="35" t="s">
        <v>1021</v>
      </c>
      <c r="C428" s="35" t="s">
        <v>2729</v>
      </c>
      <c r="D428" s="35" t="s">
        <v>2730</v>
      </c>
      <c r="E428" s="35" t="s">
        <v>2558</v>
      </c>
      <c r="F428" s="35" t="s">
        <v>737</v>
      </c>
    </row>
    <row r="429" spans="1:6" ht="16.350000000000001" customHeight="1" x14ac:dyDescent="0.25">
      <c r="A429" s="35">
        <v>7325</v>
      </c>
      <c r="B429" s="35" t="s">
        <v>543</v>
      </c>
      <c r="C429" s="35" t="s">
        <v>2731</v>
      </c>
      <c r="D429" s="35" t="s">
        <v>2732</v>
      </c>
      <c r="E429" s="35" t="s">
        <v>2558</v>
      </c>
      <c r="F429" s="35" t="s">
        <v>737</v>
      </c>
    </row>
    <row r="430" spans="1:6" ht="16.350000000000001" customHeight="1" x14ac:dyDescent="0.25">
      <c r="A430" s="35">
        <v>23939</v>
      </c>
      <c r="B430" s="35" t="s">
        <v>1005</v>
      </c>
      <c r="C430" s="35" t="s">
        <v>2733</v>
      </c>
      <c r="D430" s="35" t="s">
        <v>2734</v>
      </c>
      <c r="E430" s="35" t="s">
        <v>2558</v>
      </c>
      <c r="F430" s="35" t="s">
        <v>737</v>
      </c>
    </row>
    <row r="431" spans="1:6" ht="16.350000000000001" customHeight="1" x14ac:dyDescent="0.25">
      <c r="A431" s="35">
        <v>74310</v>
      </c>
      <c r="B431" s="35" t="s">
        <v>652</v>
      </c>
      <c r="C431" s="35" t="s">
        <v>2735</v>
      </c>
      <c r="D431" s="35" t="s">
        <v>2736</v>
      </c>
      <c r="E431" s="35" t="s">
        <v>2558</v>
      </c>
      <c r="F431" s="35" t="s">
        <v>737</v>
      </c>
    </row>
    <row r="432" spans="1:6" ht="16.350000000000001" customHeight="1" x14ac:dyDescent="0.25">
      <c r="A432" s="35">
        <v>384776</v>
      </c>
      <c r="B432" s="35" t="s">
        <v>270</v>
      </c>
      <c r="C432" s="35" t="s">
        <v>2737</v>
      </c>
      <c r="D432" s="35" t="s">
        <v>2738</v>
      </c>
      <c r="E432" s="35" t="s">
        <v>2558</v>
      </c>
      <c r="F432" s="35" t="s">
        <v>737</v>
      </c>
    </row>
    <row r="433" spans="1:6" ht="16.350000000000001" customHeight="1" x14ac:dyDescent="0.25">
      <c r="A433" s="35">
        <v>312546</v>
      </c>
      <c r="B433" s="35" t="s">
        <v>1018</v>
      </c>
      <c r="C433" s="35" t="s">
        <v>2739</v>
      </c>
      <c r="D433" s="35" t="s">
        <v>2740</v>
      </c>
      <c r="E433" s="35" t="s">
        <v>2558</v>
      </c>
      <c r="F433" s="35" t="s">
        <v>737</v>
      </c>
    </row>
    <row r="434" spans="1:6" ht="16.350000000000001" customHeight="1" x14ac:dyDescent="0.25">
      <c r="A434" s="35">
        <v>384123</v>
      </c>
      <c r="B434" s="35" t="s">
        <v>1057</v>
      </c>
      <c r="C434" s="35" t="s">
        <v>2741</v>
      </c>
      <c r="D434" s="35" t="s">
        <v>2742</v>
      </c>
      <c r="E434" s="35" t="s">
        <v>2558</v>
      </c>
      <c r="F434" s="35" t="s">
        <v>737</v>
      </c>
    </row>
    <row r="435" spans="1:6" ht="16.350000000000001" customHeight="1" x14ac:dyDescent="0.25">
      <c r="A435" s="35">
        <v>386029</v>
      </c>
      <c r="B435" s="35" t="s">
        <v>1009</v>
      </c>
      <c r="C435" s="35" t="s">
        <v>2743</v>
      </c>
      <c r="D435" s="35" t="s">
        <v>2744</v>
      </c>
      <c r="E435" s="35" t="s">
        <v>2558</v>
      </c>
      <c r="F435" s="35" t="s">
        <v>737</v>
      </c>
    </row>
    <row r="436" spans="1:6" ht="16.350000000000001" customHeight="1" x14ac:dyDescent="0.25">
      <c r="A436" s="35">
        <v>13773</v>
      </c>
      <c r="B436" s="35" t="s">
        <v>418</v>
      </c>
      <c r="C436" s="35" t="s">
        <v>2745</v>
      </c>
      <c r="D436" s="35" t="s">
        <v>2746</v>
      </c>
      <c r="E436" s="35" t="s">
        <v>2558</v>
      </c>
      <c r="F436" s="35" t="s">
        <v>737</v>
      </c>
    </row>
    <row r="437" spans="1:6" ht="16.350000000000001" customHeight="1" x14ac:dyDescent="0.25">
      <c r="A437" s="35">
        <v>6098</v>
      </c>
      <c r="B437" s="35" t="s">
        <v>2747</v>
      </c>
      <c r="C437" s="35" t="s">
        <v>2748</v>
      </c>
      <c r="D437" s="35" t="s">
        <v>2749</v>
      </c>
      <c r="E437" s="35" t="s">
        <v>2558</v>
      </c>
      <c r="F437" s="35" t="s">
        <v>737</v>
      </c>
    </row>
    <row r="438" spans="1:6" ht="16.350000000000001" customHeight="1" x14ac:dyDescent="0.25">
      <c r="A438" s="35">
        <v>77974</v>
      </c>
      <c r="B438" s="35" t="s">
        <v>493</v>
      </c>
      <c r="C438" s="35" t="s">
        <v>2750</v>
      </c>
      <c r="D438" s="35" t="s">
        <v>2751</v>
      </c>
      <c r="E438" s="35" t="s">
        <v>2558</v>
      </c>
      <c r="F438" s="35" t="s">
        <v>737</v>
      </c>
    </row>
    <row r="439" spans="1:6" ht="16.350000000000001" customHeight="1" x14ac:dyDescent="0.25">
      <c r="A439" s="35">
        <v>391177</v>
      </c>
      <c r="B439" s="35" t="s">
        <v>365</v>
      </c>
      <c r="C439" s="35" t="s">
        <v>2752</v>
      </c>
      <c r="D439" s="35" t="s">
        <v>2753</v>
      </c>
      <c r="E439" s="35" t="s">
        <v>2558</v>
      </c>
      <c r="F439" s="35" t="s">
        <v>737</v>
      </c>
    </row>
    <row r="440" spans="1:6" ht="16.350000000000001" customHeight="1" x14ac:dyDescent="0.25">
      <c r="A440" s="35">
        <v>303974</v>
      </c>
      <c r="B440" s="35" t="s">
        <v>188</v>
      </c>
      <c r="C440" s="35" t="s">
        <v>2754</v>
      </c>
      <c r="D440" s="35" t="s">
        <v>2755</v>
      </c>
      <c r="E440" s="35" t="s">
        <v>2558</v>
      </c>
      <c r="F440" s="35" t="s">
        <v>737</v>
      </c>
    </row>
    <row r="441" spans="1:6" ht="16.350000000000001" customHeight="1" x14ac:dyDescent="0.25">
      <c r="A441" s="35">
        <v>58487</v>
      </c>
      <c r="B441" s="35" t="s">
        <v>318</v>
      </c>
      <c r="C441" s="35" t="s">
        <v>2756</v>
      </c>
      <c r="D441" s="35" t="s">
        <v>2757</v>
      </c>
      <c r="E441" s="35" t="s">
        <v>2558</v>
      </c>
      <c r="F441" s="35" t="s">
        <v>737</v>
      </c>
    </row>
    <row r="442" spans="1:6" ht="16.350000000000001" customHeight="1" x14ac:dyDescent="0.25">
      <c r="A442" s="35">
        <v>5330</v>
      </c>
      <c r="B442" s="35" t="s">
        <v>245</v>
      </c>
      <c r="C442" s="35" t="s">
        <v>2758</v>
      </c>
      <c r="D442" s="35" t="s">
        <v>2759</v>
      </c>
      <c r="E442" s="35" t="s">
        <v>2558</v>
      </c>
      <c r="F442" s="35" t="s">
        <v>737</v>
      </c>
    </row>
    <row r="443" spans="1:6" ht="16.350000000000001" customHeight="1" x14ac:dyDescent="0.25">
      <c r="A443" s="35">
        <v>21356</v>
      </c>
      <c r="B443" s="35" t="s">
        <v>249</v>
      </c>
      <c r="C443" s="35" t="s">
        <v>2760</v>
      </c>
      <c r="D443" s="35" t="s">
        <v>2761</v>
      </c>
      <c r="E443" s="35" t="s">
        <v>2558</v>
      </c>
      <c r="F443" s="35" t="s">
        <v>737</v>
      </c>
    </row>
    <row r="444" spans="1:6" ht="16.350000000000001" customHeight="1" x14ac:dyDescent="0.25">
      <c r="A444" s="35">
        <v>11042</v>
      </c>
      <c r="B444" s="35" t="s">
        <v>180</v>
      </c>
      <c r="C444" s="35" t="s">
        <v>2762</v>
      </c>
      <c r="D444" s="35" t="s">
        <v>2356</v>
      </c>
      <c r="E444" s="35" t="s">
        <v>2558</v>
      </c>
      <c r="F444" s="35" t="s">
        <v>737</v>
      </c>
    </row>
    <row r="445" spans="1:6" ht="16.350000000000001" customHeight="1" x14ac:dyDescent="0.25">
      <c r="A445" s="35">
        <v>24177</v>
      </c>
      <c r="B445" s="35" t="s">
        <v>1012</v>
      </c>
      <c r="C445" s="35" t="s">
        <v>2763</v>
      </c>
      <c r="D445" s="35" t="s">
        <v>2764</v>
      </c>
      <c r="E445" s="35" t="s">
        <v>2558</v>
      </c>
      <c r="F445" s="35" t="s">
        <v>737</v>
      </c>
    </row>
    <row r="446" spans="1:6" ht="16.350000000000001" customHeight="1" x14ac:dyDescent="0.25">
      <c r="A446" s="35">
        <v>12229</v>
      </c>
      <c r="B446" s="35" t="s">
        <v>537</v>
      </c>
      <c r="C446" s="35" t="s">
        <v>2765</v>
      </c>
      <c r="D446" s="35" t="s">
        <v>2766</v>
      </c>
      <c r="E446" s="35" t="s">
        <v>2558</v>
      </c>
      <c r="F446" s="35" t="s">
        <v>737</v>
      </c>
    </row>
    <row r="447" spans="1:6" ht="16.350000000000001" customHeight="1" x14ac:dyDescent="0.25">
      <c r="A447" s="35">
        <v>83394</v>
      </c>
      <c r="B447" s="35" t="s">
        <v>209</v>
      </c>
      <c r="C447" s="35" t="s">
        <v>2767</v>
      </c>
      <c r="D447" s="35" t="s">
        <v>2768</v>
      </c>
      <c r="E447" s="35" t="s">
        <v>2558</v>
      </c>
      <c r="F447" s="35" t="s">
        <v>737</v>
      </c>
    </row>
    <row r="448" spans="1:6" ht="16.350000000000001" customHeight="1" x14ac:dyDescent="0.25">
      <c r="A448" s="35">
        <v>9275</v>
      </c>
      <c r="B448" s="35" t="s">
        <v>497</v>
      </c>
      <c r="C448" s="35" t="s">
        <v>2769</v>
      </c>
      <c r="D448" s="35" t="s">
        <v>2770</v>
      </c>
      <c r="E448" s="35" t="s">
        <v>2558</v>
      </c>
      <c r="F448" s="35" t="s">
        <v>737</v>
      </c>
    </row>
    <row r="449" spans="1:6" ht="16.350000000000001" customHeight="1" x14ac:dyDescent="0.25">
      <c r="A449" s="35">
        <v>327692</v>
      </c>
      <c r="B449" s="35" t="s">
        <v>1015</v>
      </c>
      <c r="C449" s="35" t="s">
        <v>2771</v>
      </c>
      <c r="D449" s="35" t="s">
        <v>2772</v>
      </c>
      <c r="E449" s="35" t="s">
        <v>2558</v>
      </c>
      <c r="F449" s="35" t="s">
        <v>737</v>
      </c>
    </row>
    <row r="450" spans="1:6" ht="16.350000000000001" customHeight="1" x14ac:dyDescent="0.25">
      <c r="A450" s="35">
        <v>325258</v>
      </c>
      <c r="B450" s="35" t="s">
        <v>230</v>
      </c>
      <c r="C450" s="35" t="s">
        <v>2612</v>
      </c>
      <c r="D450" s="35" t="s">
        <v>2613</v>
      </c>
      <c r="E450" s="35" t="s">
        <v>2558</v>
      </c>
      <c r="F450" s="35" t="s">
        <v>737</v>
      </c>
    </row>
    <row r="451" spans="1:6" ht="16.350000000000001" customHeight="1" x14ac:dyDescent="0.25">
      <c r="A451" s="35">
        <v>20456</v>
      </c>
      <c r="B451" s="35" t="s">
        <v>523</v>
      </c>
      <c r="C451" s="35" t="s">
        <v>2773</v>
      </c>
      <c r="D451" s="35" t="s">
        <v>2774</v>
      </c>
      <c r="E451" s="35" t="s">
        <v>2558</v>
      </c>
      <c r="F451" s="35" t="s">
        <v>737</v>
      </c>
    </row>
    <row r="452" spans="1:6" ht="16.350000000000001" customHeight="1" x14ac:dyDescent="0.25">
      <c r="A452" s="35">
        <v>137</v>
      </c>
      <c r="B452" s="35" t="s">
        <v>233</v>
      </c>
      <c r="C452" s="35" t="s">
        <v>2775</v>
      </c>
      <c r="D452" s="35" t="s">
        <v>2776</v>
      </c>
      <c r="E452" s="35" t="s">
        <v>2558</v>
      </c>
      <c r="F452" s="35" t="s">
        <v>737</v>
      </c>
    </row>
    <row r="453" spans="1:6" ht="16.350000000000001" customHeight="1" x14ac:dyDescent="0.25">
      <c r="A453" s="35">
        <v>328724</v>
      </c>
      <c r="B453" s="35" t="s">
        <v>322</v>
      </c>
      <c r="C453" s="35" t="s">
        <v>2777</v>
      </c>
      <c r="D453" s="35" t="s">
        <v>2778</v>
      </c>
      <c r="E453" s="35" t="s">
        <v>2558</v>
      </c>
      <c r="F453" s="35" t="s">
        <v>737</v>
      </c>
    </row>
    <row r="454" spans="1:6" ht="16.350000000000001" customHeight="1" x14ac:dyDescent="0.25">
      <c r="A454" s="35">
        <v>25957</v>
      </c>
      <c r="B454" s="35" t="s">
        <v>517</v>
      </c>
      <c r="C454" s="35" t="s">
        <v>2779</v>
      </c>
      <c r="D454" s="35" t="s">
        <v>2780</v>
      </c>
      <c r="E454" s="35" t="s">
        <v>2558</v>
      </c>
      <c r="F454" s="35" t="s">
        <v>737</v>
      </c>
    </row>
    <row r="455" spans="1:6" ht="16.350000000000001" customHeight="1" x14ac:dyDescent="0.25">
      <c r="A455" s="35">
        <v>8939</v>
      </c>
      <c r="B455" s="35" t="s">
        <v>452</v>
      </c>
      <c r="C455" s="35" t="s">
        <v>2781</v>
      </c>
      <c r="D455" s="35" t="s">
        <v>2782</v>
      </c>
      <c r="E455" s="35" t="s">
        <v>2558</v>
      </c>
      <c r="F455" s="35" t="s">
        <v>737</v>
      </c>
    </row>
    <row r="456" spans="1:6" ht="16.350000000000001" customHeight="1" x14ac:dyDescent="0.25">
      <c r="A456" s="35">
        <v>23830</v>
      </c>
      <c r="B456" s="35" t="s">
        <v>1047</v>
      </c>
      <c r="C456" s="35" t="s">
        <v>2783</v>
      </c>
      <c r="D456" s="35" t="s">
        <v>2784</v>
      </c>
      <c r="E456" s="35" t="s">
        <v>2558</v>
      </c>
      <c r="F456" s="35" t="s">
        <v>737</v>
      </c>
    </row>
    <row r="457" spans="1:6" ht="16.350000000000001" customHeight="1" x14ac:dyDescent="0.25">
      <c r="A457" s="35">
        <v>306225</v>
      </c>
      <c r="B457" s="35" t="s">
        <v>266</v>
      </c>
      <c r="C457" s="35" t="s">
        <v>2785</v>
      </c>
      <c r="D457" s="35" t="s">
        <v>2786</v>
      </c>
      <c r="E457" s="35" t="s">
        <v>2558</v>
      </c>
      <c r="F457" s="35" t="s">
        <v>737</v>
      </c>
    </row>
    <row r="458" spans="1:6" ht="16.350000000000001" customHeight="1" x14ac:dyDescent="0.25">
      <c r="A458" s="35">
        <v>558</v>
      </c>
      <c r="B458" s="35" t="s">
        <v>1216</v>
      </c>
      <c r="C458" s="35" t="s">
        <v>2787</v>
      </c>
      <c r="D458" s="35" t="s">
        <v>2788</v>
      </c>
      <c r="E458" s="35" t="s">
        <v>2558</v>
      </c>
      <c r="F458" s="35" t="s">
        <v>737</v>
      </c>
    </row>
    <row r="459" spans="1:6" ht="16.350000000000001" customHeight="1" x14ac:dyDescent="0.25">
      <c r="A459" s="35">
        <v>23756</v>
      </c>
      <c r="B459" s="35" t="s">
        <v>423</v>
      </c>
      <c r="C459" s="35" t="s">
        <v>2789</v>
      </c>
      <c r="D459" s="35" t="s">
        <v>2790</v>
      </c>
      <c r="E459" s="35" t="s">
        <v>2558</v>
      </c>
      <c r="F459" s="35" t="s">
        <v>737</v>
      </c>
    </row>
    <row r="460" spans="1:6" ht="16.350000000000001" customHeight="1" x14ac:dyDescent="0.25">
      <c r="A460" s="35">
        <v>24313</v>
      </c>
      <c r="B460" s="35" t="s">
        <v>1007</v>
      </c>
      <c r="C460" s="35" t="s">
        <v>2791</v>
      </c>
      <c r="D460" s="35" t="s">
        <v>2792</v>
      </c>
      <c r="E460" s="35" t="s">
        <v>2558</v>
      </c>
      <c r="F460" s="35" t="s">
        <v>737</v>
      </c>
    </row>
    <row r="461" spans="1:6" ht="16.350000000000001" customHeight="1" x14ac:dyDescent="0.25">
      <c r="A461" s="35">
        <v>32953</v>
      </c>
      <c r="B461" s="35" t="s">
        <v>313</v>
      </c>
      <c r="C461" s="35" t="s">
        <v>2793</v>
      </c>
      <c r="D461" s="35" t="s">
        <v>2794</v>
      </c>
      <c r="E461" s="35" t="s">
        <v>2558</v>
      </c>
      <c r="F461" s="35" t="s">
        <v>737</v>
      </c>
    </row>
    <row r="462" spans="1:6" ht="16.350000000000001" customHeight="1" x14ac:dyDescent="0.25">
      <c r="A462" s="35">
        <v>48298</v>
      </c>
      <c r="B462" s="35" t="s">
        <v>287</v>
      </c>
      <c r="C462" s="35" t="s">
        <v>2795</v>
      </c>
      <c r="D462" s="35" t="s">
        <v>2796</v>
      </c>
      <c r="E462" s="35" t="s">
        <v>2558</v>
      </c>
      <c r="F462" s="35" t="s">
        <v>737</v>
      </c>
    </row>
    <row r="463" spans="1:6" ht="16.350000000000001" customHeight="1" x14ac:dyDescent="0.25">
      <c r="A463" s="35">
        <v>22457</v>
      </c>
      <c r="B463" s="35" t="s">
        <v>1022</v>
      </c>
      <c r="C463" s="35" t="s">
        <v>2797</v>
      </c>
      <c r="D463" s="35" t="s">
        <v>2798</v>
      </c>
      <c r="E463" s="35" t="s">
        <v>2558</v>
      </c>
      <c r="F463" s="35" t="s">
        <v>737</v>
      </c>
    </row>
    <row r="464" spans="1:6" ht="16.350000000000001" customHeight="1" x14ac:dyDescent="0.25">
      <c r="A464" s="35">
        <v>319178</v>
      </c>
      <c r="B464" s="35" t="s">
        <v>184</v>
      </c>
      <c r="C464" s="35" t="s">
        <v>2799</v>
      </c>
      <c r="D464" s="35" t="s">
        <v>2800</v>
      </c>
      <c r="E464" s="35" t="s">
        <v>2558</v>
      </c>
      <c r="F464" s="35" t="s">
        <v>737</v>
      </c>
    </row>
    <row r="465" spans="1:6" ht="16.350000000000001" customHeight="1" x14ac:dyDescent="0.25">
      <c r="A465" s="35">
        <v>308421</v>
      </c>
      <c r="B465" s="35" t="s">
        <v>160</v>
      </c>
      <c r="C465" s="35" t="s">
        <v>2801</v>
      </c>
      <c r="D465" s="35" t="s">
        <v>2802</v>
      </c>
      <c r="E465" s="35" t="s">
        <v>2558</v>
      </c>
      <c r="F465" s="35" t="s">
        <v>737</v>
      </c>
    </row>
    <row r="466" spans="1:6" ht="16.350000000000001" customHeight="1" x14ac:dyDescent="0.25">
      <c r="A466" s="35">
        <v>22225</v>
      </c>
      <c r="B466" s="35" t="s">
        <v>534</v>
      </c>
      <c r="C466" s="35" t="s">
        <v>2803</v>
      </c>
      <c r="D466" s="35" t="s">
        <v>2804</v>
      </c>
      <c r="E466" s="35" t="s">
        <v>2558</v>
      </c>
      <c r="F466" s="35" t="s">
        <v>737</v>
      </c>
    </row>
    <row r="467" spans="1:6" ht="16.350000000000001" customHeight="1" x14ac:dyDescent="0.25">
      <c r="A467" s="35">
        <v>67504</v>
      </c>
      <c r="B467" s="35" t="s">
        <v>949</v>
      </c>
      <c r="C467" s="35" t="s">
        <v>2805</v>
      </c>
      <c r="D467" s="35" t="s">
        <v>2806</v>
      </c>
      <c r="E467" s="35" t="s">
        <v>2558</v>
      </c>
      <c r="F467" s="35" t="s">
        <v>737</v>
      </c>
    </row>
    <row r="468" spans="1:6" ht="16.350000000000001" customHeight="1" x14ac:dyDescent="0.25">
      <c r="A468" s="35">
        <v>18382</v>
      </c>
      <c r="B468" s="35" t="s">
        <v>970</v>
      </c>
      <c r="C468" s="35" t="s">
        <v>2807</v>
      </c>
      <c r="D468" s="35" t="s">
        <v>2808</v>
      </c>
      <c r="E468" s="35" t="s">
        <v>2558</v>
      </c>
      <c r="F468" s="35" t="s">
        <v>737</v>
      </c>
    </row>
    <row r="469" spans="1:6" ht="16.350000000000001" customHeight="1" x14ac:dyDescent="0.25">
      <c r="A469" s="35">
        <v>387977</v>
      </c>
      <c r="B469" s="35" t="s">
        <v>377</v>
      </c>
      <c r="C469" s="35" t="s">
        <v>2809</v>
      </c>
      <c r="D469" s="35" t="s">
        <v>2810</v>
      </c>
      <c r="E469" s="35" t="s">
        <v>2558</v>
      </c>
      <c r="F469" s="35" t="s">
        <v>737</v>
      </c>
    </row>
    <row r="470" spans="1:6" ht="16.350000000000001" customHeight="1" x14ac:dyDescent="0.25">
      <c r="A470" s="35">
        <v>21858</v>
      </c>
      <c r="B470" s="35" t="s">
        <v>1006</v>
      </c>
      <c r="C470" s="35" t="s">
        <v>2811</v>
      </c>
      <c r="D470" s="35" t="s">
        <v>2812</v>
      </c>
      <c r="E470" s="35" t="s">
        <v>2558</v>
      </c>
      <c r="F470" s="35" t="s">
        <v>737</v>
      </c>
    </row>
    <row r="471" spans="1:6" ht="16.350000000000001" customHeight="1" x14ac:dyDescent="0.25">
      <c r="A471" s="35">
        <v>85902</v>
      </c>
      <c r="B471" s="35" t="s">
        <v>275</v>
      </c>
      <c r="C471" s="35" t="s">
        <v>2813</v>
      </c>
      <c r="D471" s="35" t="s">
        <v>2814</v>
      </c>
      <c r="E471" s="35" t="s">
        <v>2558</v>
      </c>
      <c r="F471" s="35" t="s">
        <v>737</v>
      </c>
    </row>
    <row r="472" spans="1:6" ht="16.350000000000001" customHeight="1" x14ac:dyDescent="0.25">
      <c r="A472" s="35">
        <v>34801</v>
      </c>
      <c r="B472" s="35" t="s">
        <v>214</v>
      </c>
      <c r="C472" s="35" t="s">
        <v>2815</v>
      </c>
      <c r="D472" s="35" t="s">
        <v>2816</v>
      </c>
      <c r="E472" s="35" t="s">
        <v>2558</v>
      </c>
      <c r="F472" s="35" t="s">
        <v>737</v>
      </c>
    </row>
    <row r="473" spans="1:6" ht="16.350000000000001" customHeight="1" x14ac:dyDescent="0.25">
      <c r="A473" s="35">
        <v>300426</v>
      </c>
      <c r="B473" s="35" t="s">
        <v>1132</v>
      </c>
      <c r="C473" s="35" t="s">
        <v>2817</v>
      </c>
      <c r="D473" s="35" t="s">
        <v>2818</v>
      </c>
      <c r="E473" s="35" t="s">
        <v>2558</v>
      </c>
      <c r="F473" s="35" t="s">
        <v>737</v>
      </c>
    </row>
    <row r="474" spans="1:6" ht="16.350000000000001" customHeight="1" x14ac:dyDescent="0.25">
      <c r="A474" s="35">
        <v>49601</v>
      </c>
      <c r="B474" s="35" t="s">
        <v>385</v>
      </c>
      <c r="C474" s="35" t="s">
        <v>2819</v>
      </c>
      <c r="D474" s="35" t="s">
        <v>2820</v>
      </c>
      <c r="E474" s="35" t="s">
        <v>2558</v>
      </c>
      <c r="F474" s="35" t="s">
        <v>737</v>
      </c>
    </row>
    <row r="475" spans="1:6" ht="16.350000000000001" customHeight="1" x14ac:dyDescent="0.25">
      <c r="A475" s="35">
        <v>305</v>
      </c>
      <c r="B475" s="35" t="s">
        <v>211</v>
      </c>
      <c r="C475" s="35" t="s">
        <v>2821</v>
      </c>
      <c r="D475" s="35" t="s">
        <v>2822</v>
      </c>
      <c r="E475" s="35" t="s">
        <v>2558</v>
      </c>
      <c r="F475" s="35" t="s">
        <v>737</v>
      </c>
    </row>
    <row r="476" spans="1:6" ht="16.350000000000001" customHeight="1" x14ac:dyDescent="0.25">
      <c r="A476" s="35">
        <v>66951</v>
      </c>
      <c r="B476" s="35" t="s">
        <v>564</v>
      </c>
      <c r="C476" s="35" t="s">
        <v>2823</v>
      </c>
      <c r="D476" s="35" t="s">
        <v>2824</v>
      </c>
      <c r="E476" s="35" t="s">
        <v>2558</v>
      </c>
      <c r="F476" s="35" t="s">
        <v>737</v>
      </c>
    </row>
    <row r="477" spans="1:6" ht="16.350000000000001" customHeight="1" x14ac:dyDescent="0.25">
      <c r="A477" s="35">
        <v>4830</v>
      </c>
      <c r="B477" s="35" t="s">
        <v>611</v>
      </c>
      <c r="C477" s="35" t="s">
        <v>2825</v>
      </c>
      <c r="D477" s="35" t="s">
        <v>2826</v>
      </c>
      <c r="E477" s="35" t="s">
        <v>2558</v>
      </c>
      <c r="F477" s="35" t="s">
        <v>737</v>
      </c>
    </row>
    <row r="478" spans="1:6" ht="16.350000000000001" customHeight="1" x14ac:dyDescent="0.25">
      <c r="A478" s="35">
        <v>332155</v>
      </c>
      <c r="B478" s="35" t="s">
        <v>1033</v>
      </c>
      <c r="C478" s="35" t="s">
        <v>2827</v>
      </c>
      <c r="D478" s="35" t="s">
        <v>2828</v>
      </c>
      <c r="E478" s="35" t="s">
        <v>2558</v>
      </c>
      <c r="F478" s="35" t="s">
        <v>737</v>
      </c>
    </row>
    <row r="479" spans="1:6" ht="16.350000000000001" customHeight="1" x14ac:dyDescent="0.25">
      <c r="A479" s="35">
        <v>63388</v>
      </c>
      <c r="B479" s="35" t="s">
        <v>1328</v>
      </c>
      <c r="C479" s="35" t="s">
        <v>2131</v>
      </c>
      <c r="D479" s="35" t="s">
        <v>2132</v>
      </c>
      <c r="E479" s="35" t="s">
        <v>2558</v>
      </c>
      <c r="F479" s="35" t="s">
        <v>737</v>
      </c>
    </row>
    <row r="480" spans="1:6" ht="16.350000000000001" customHeight="1" x14ac:dyDescent="0.25">
      <c r="A480" s="35">
        <v>453</v>
      </c>
      <c r="B480" s="35" t="s">
        <v>498</v>
      </c>
      <c r="C480" s="35" t="s">
        <v>2829</v>
      </c>
      <c r="D480" s="35" t="s">
        <v>2830</v>
      </c>
      <c r="E480" s="35" t="s">
        <v>2558</v>
      </c>
      <c r="F480" s="35" t="s">
        <v>737</v>
      </c>
    </row>
    <row r="481" spans="1:6" ht="16.350000000000001" customHeight="1" x14ac:dyDescent="0.25">
      <c r="A481" s="35">
        <v>551</v>
      </c>
      <c r="B481" s="35" t="s">
        <v>734</v>
      </c>
      <c r="C481" s="35" t="s">
        <v>2831</v>
      </c>
      <c r="D481" s="35" t="s">
        <v>2832</v>
      </c>
      <c r="E481" s="35" t="s">
        <v>2558</v>
      </c>
      <c r="F481" s="35" t="s">
        <v>737</v>
      </c>
    </row>
    <row r="482" spans="1:6" ht="16.350000000000001" customHeight="1" x14ac:dyDescent="0.25">
      <c r="A482" s="35">
        <v>4036</v>
      </c>
      <c r="B482" s="35" t="s">
        <v>2833</v>
      </c>
      <c r="C482" s="35" t="s">
        <v>2834</v>
      </c>
      <c r="D482" s="35" t="s">
        <v>2835</v>
      </c>
      <c r="E482" s="35" t="s">
        <v>2558</v>
      </c>
      <c r="F482" s="35" t="s">
        <v>737</v>
      </c>
    </row>
    <row r="483" spans="1:6" ht="16.350000000000001" customHeight="1" x14ac:dyDescent="0.25">
      <c r="A483" s="35">
        <v>97485</v>
      </c>
      <c r="B483" s="35" t="s">
        <v>1610</v>
      </c>
      <c r="C483" s="35" t="s">
        <v>2836</v>
      </c>
      <c r="D483" s="35" t="s">
        <v>2837</v>
      </c>
      <c r="E483" s="35" t="s">
        <v>2558</v>
      </c>
      <c r="F483" s="35" t="s">
        <v>737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0F681-D62C-4823-85BA-77C067EA4352}">
  <dimension ref="A1:T39"/>
  <sheetViews>
    <sheetView workbookViewId="0">
      <selection activeCell="F16" sqref="F16"/>
    </sheetView>
  </sheetViews>
  <sheetFormatPr defaultColWidth="8.5703125" defaultRowHeight="15" x14ac:dyDescent="0.25"/>
  <cols>
    <col min="1" max="1" width="10.42578125" bestFit="1" customWidth="1"/>
    <col min="2" max="2" width="26.5703125" customWidth="1"/>
    <col min="3" max="3" width="14.42578125" bestFit="1" customWidth="1"/>
    <col min="4" max="4" width="11.42578125" hidden="1" customWidth="1"/>
    <col min="5" max="5" width="12.5703125" hidden="1" customWidth="1"/>
    <col min="6" max="6" width="23.42578125" bestFit="1" customWidth="1"/>
    <col min="7" max="7" width="7.5703125" customWidth="1"/>
    <col min="8" max="8" width="14.42578125" bestFit="1" customWidth="1"/>
    <col min="9" max="9" width="60" bestFit="1" customWidth="1"/>
    <col min="10" max="10" width="9.42578125" style="36" customWidth="1"/>
    <col min="11" max="11" width="9.42578125" bestFit="1" customWidth="1"/>
    <col min="12" max="12" width="21.42578125" hidden="1" customWidth="1"/>
    <col min="13" max="13" width="19.5703125" hidden="1" customWidth="1"/>
    <col min="14" max="14" width="13.5703125" hidden="1" customWidth="1"/>
    <col min="15" max="15" width="97.5703125" bestFit="1" customWidth="1"/>
    <col min="16" max="16" width="26.42578125" bestFit="1" customWidth="1"/>
    <col min="18" max="18" width="7.42578125" bestFit="1" customWidth="1"/>
    <col min="19" max="19" width="10.42578125" bestFit="1" customWidth="1"/>
    <col min="20" max="20" width="207.5703125" bestFit="1" customWidth="1"/>
  </cols>
  <sheetData>
    <row r="1" spans="1:20" x14ac:dyDescent="0.25">
      <c r="B1">
        <f>SUBTOTAL(3,B3:B39)</f>
        <v>37</v>
      </c>
      <c r="C1" s="19">
        <f>SUBTOTAL(9,C3:C51)</f>
        <v>87586252.617686853</v>
      </c>
      <c r="F1" s="19">
        <f>SUBTOTAL(9,F3:F51)</f>
        <v>100182280.33694801</v>
      </c>
    </row>
    <row r="2" spans="1:20" ht="45" x14ac:dyDescent="0.25">
      <c r="A2" s="1" t="s">
        <v>3</v>
      </c>
      <c r="B2" s="1" t="s">
        <v>804</v>
      </c>
      <c r="C2" s="1" t="s">
        <v>2838</v>
      </c>
      <c r="D2" s="1" t="s">
        <v>5</v>
      </c>
      <c r="E2" s="1" t="s">
        <v>6</v>
      </c>
      <c r="F2" s="1" t="s">
        <v>7</v>
      </c>
      <c r="G2" s="1" t="s">
        <v>39</v>
      </c>
      <c r="H2" s="20" t="s">
        <v>40</v>
      </c>
      <c r="I2" s="17" t="s">
        <v>41</v>
      </c>
      <c r="J2" s="18" t="s">
        <v>2839</v>
      </c>
      <c r="K2" s="25" t="s">
        <v>44</v>
      </c>
      <c r="L2" s="8" t="s">
        <v>45</v>
      </c>
      <c r="M2" s="8" t="s">
        <v>46</v>
      </c>
      <c r="N2" s="8" t="s">
        <v>47</v>
      </c>
      <c r="O2" s="8" t="s">
        <v>48</v>
      </c>
      <c r="P2" s="8" t="s">
        <v>49</v>
      </c>
      <c r="Q2" s="26" t="s">
        <v>50</v>
      </c>
      <c r="R2" s="26" t="s">
        <v>51</v>
      </c>
      <c r="S2" s="11" t="s">
        <v>52</v>
      </c>
      <c r="T2" s="2" t="s">
        <v>53</v>
      </c>
    </row>
    <row r="3" spans="1:20" x14ac:dyDescent="0.25">
      <c r="A3" s="3">
        <v>9647</v>
      </c>
      <c r="B3" s="4" t="s">
        <v>64</v>
      </c>
      <c r="C3" s="5">
        <v>37170939.991021566</v>
      </c>
      <c r="D3" s="5">
        <v>0</v>
      </c>
      <c r="E3" s="5">
        <v>5946668.1592519898</v>
      </c>
      <c r="F3" s="5">
        <v>43117609.500200011</v>
      </c>
      <c r="G3" s="4" t="s">
        <v>67</v>
      </c>
      <c r="H3" s="21">
        <v>43117609.479999997</v>
      </c>
      <c r="I3" s="4" t="s">
        <v>68</v>
      </c>
      <c r="J3" s="9"/>
      <c r="K3" s="23">
        <v>46043</v>
      </c>
      <c r="L3" s="23">
        <v>46043</v>
      </c>
      <c r="M3" s="4"/>
      <c r="N3" s="4"/>
      <c r="O3" s="4"/>
      <c r="P3" s="4" t="s">
        <v>70</v>
      </c>
      <c r="Q3" s="9" t="s">
        <v>71</v>
      </c>
      <c r="R3" s="9"/>
      <c r="S3" s="4"/>
    </row>
    <row r="4" spans="1:20" ht="30" x14ac:dyDescent="0.25">
      <c r="A4" s="3">
        <v>24232</v>
      </c>
      <c r="B4" s="4" t="s">
        <v>72</v>
      </c>
      <c r="C4" s="5">
        <v>17089111.16012286</v>
      </c>
      <c r="D4" s="5">
        <v>15021.683508218999</v>
      </c>
      <c r="E4" s="5">
        <v>2502789.4134380124</v>
      </c>
      <c r="F4" s="5">
        <v>19606921.750600003</v>
      </c>
      <c r="G4" s="4" t="s">
        <v>76</v>
      </c>
      <c r="H4" s="21"/>
      <c r="I4" s="13" t="s">
        <v>77</v>
      </c>
      <c r="J4" s="4"/>
      <c r="K4" s="23">
        <v>46042</v>
      </c>
      <c r="L4" s="23">
        <v>46042</v>
      </c>
      <c r="M4" s="4"/>
      <c r="N4" s="4"/>
      <c r="O4" s="4" t="s">
        <v>594</v>
      </c>
      <c r="P4" s="4"/>
      <c r="Q4" s="9"/>
      <c r="R4" s="9" t="s">
        <v>71</v>
      </c>
      <c r="S4" s="4"/>
    </row>
    <row r="5" spans="1:20" x14ac:dyDescent="0.25">
      <c r="A5" s="3">
        <v>8593</v>
      </c>
      <c r="B5" s="4" t="s">
        <v>96</v>
      </c>
      <c r="C5" s="5">
        <v>8613844.6423914563</v>
      </c>
      <c r="D5" s="5">
        <v>0</v>
      </c>
      <c r="E5" s="5">
        <v>1378215.144882632</v>
      </c>
      <c r="F5" s="5">
        <v>9992059.629999999</v>
      </c>
      <c r="G5" s="4" t="s">
        <v>76</v>
      </c>
      <c r="H5" s="21">
        <v>9992059.629999999</v>
      </c>
      <c r="I5" s="4" t="s">
        <v>98</v>
      </c>
      <c r="J5" s="9">
        <v>11</v>
      </c>
      <c r="K5" s="23">
        <v>46042</v>
      </c>
      <c r="L5" s="23">
        <v>46042</v>
      </c>
      <c r="M5" s="4"/>
      <c r="N5" s="4"/>
      <c r="O5" s="4" t="s">
        <v>2840</v>
      </c>
      <c r="P5" s="4"/>
      <c r="Q5" s="9" t="s">
        <v>71</v>
      </c>
      <c r="R5" s="9"/>
      <c r="S5" s="4"/>
    </row>
    <row r="6" spans="1:20" x14ac:dyDescent="0.25">
      <c r="A6" s="3">
        <v>56150</v>
      </c>
      <c r="B6" s="4" t="s">
        <v>106</v>
      </c>
      <c r="C6" s="5">
        <v>5860104.4459649464</v>
      </c>
      <c r="D6" s="5">
        <v>417698.03941792349</v>
      </c>
      <c r="E6" s="5">
        <v>0</v>
      </c>
      <c r="F6" s="5">
        <v>6277802.3108000038</v>
      </c>
      <c r="G6" s="4" t="s">
        <v>107</v>
      </c>
      <c r="H6" s="21">
        <v>6277802.3108000038</v>
      </c>
      <c r="I6" s="4" t="s">
        <v>68</v>
      </c>
      <c r="J6" s="9"/>
      <c r="K6" s="23">
        <v>46042</v>
      </c>
      <c r="L6" s="23">
        <v>46045</v>
      </c>
      <c r="M6" s="4"/>
      <c r="N6" s="4"/>
      <c r="O6" s="4"/>
      <c r="P6" s="4"/>
      <c r="Q6" s="9" t="s">
        <v>71</v>
      </c>
      <c r="R6" s="9"/>
      <c r="S6" s="4"/>
      <c r="T6" t="s">
        <v>109</v>
      </c>
    </row>
    <row r="7" spans="1:20" x14ac:dyDescent="0.25">
      <c r="A7" s="3">
        <v>12480</v>
      </c>
      <c r="B7" s="4" t="s">
        <v>176</v>
      </c>
      <c r="C7" s="5">
        <v>1963610.7503713719</v>
      </c>
      <c r="D7" s="5">
        <v>0</v>
      </c>
      <c r="E7" s="5">
        <v>314177.72810447548</v>
      </c>
      <c r="F7" s="5">
        <v>2277788.3835</v>
      </c>
      <c r="G7" s="4" t="s">
        <v>91</v>
      </c>
      <c r="H7" s="21">
        <v>2277788.3835</v>
      </c>
      <c r="I7" s="4" t="s">
        <v>68</v>
      </c>
      <c r="J7" s="4"/>
      <c r="K7" s="23">
        <v>46038</v>
      </c>
      <c r="L7" s="23">
        <v>46041</v>
      </c>
      <c r="M7" s="7"/>
      <c r="N7" s="7"/>
      <c r="O7" s="7"/>
      <c r="P7" s="4" t="s">
        <v>70</v>
      </c>
      <c r="Q7" s="9"/>
      <c r="R7" s="9" t="s">
        <v>71</v>
      </c>
      <c r="S7" s="9"/>
      <c r="T7" t="s">
        <v>179</v>
      </c>
    </row>
    <row r="8" spans="1:20" x14ac:dyDescent="0.25">
      <c r="A8" s="3">
        <v>319178</v>
      </c>
      <c r="B8" s="4" t="s">
        <v>184</v>
      </c>
      <c r="C8" s="5">
        <v>1899275.9204441682</v>
      </c>
      <c r="D8" s="5">
        <v>0</v>
      </c>
      <c r="E8" s="5">
        <v>0</v>
      </c>
      <c r="F8" s="5">
        <v>1899275.8922999993</v>
      </c>
      <c r="G8" s="4" t="s">
        <v>137</v>
      </c>
      <c r="H8" s="21"/>
      <c r="I8" s="4"/>
      <c r="J8" s="4"/>
      <c r="K8" s="23">
        <v>46045</v>
      </c>
      <c r="L8" s="23">
        <v>46045</v>
      </c>
      <c r="M8" s="7">
        <v>46045</v>
      </c>
      <c r="N8" s="4"/>
      <c r="O8" s="4"/>
      <c r="P8" s="4"/>
      <c r="Q8" s="9"/>
      <c r="R8" s="9" t="s">
        <v>71</v>
      </c>
      <c r="S8" s="4"/>
      <c r="T8" t="s">
        <v>186</v>
      </c>
    </row>
    <row r="9" spans="1:20" x14ac:dyDescent="0.25">
      <c r="A9" s="3">
        <v>303974</v>
      </c>
      <c r="B9" s="4" t="s">
        <v>188</v>
      </c>
      <c r="C9" s="5">
        <v>1805198.339684733</v>
      </c>
      <c r="D9" s="5">
        <v>0</v>
      </c>
      <c r="E9" s="5">
        <v>0</v>
      </c>
      <c r="F9" s="5">
        <v>1805198.3299999998</v>
      </c>
      <c r="G9" s="4" t="s">
        <v>67</v>
      </c>
      <c r="H9" s="21">
        <v>1805198.3299999998</v>
      </c>
      <c r="I9" s="13" t="s">
        <v>68</v>
      </c>
      <c r="J9" s="9">
        <v>16</v>
      </c>
      <c r="K9" s="23">
        <v>46041</v>
      </c>
      <c r="L9" s="23">
        <v>46041</v>
      </c>
      <c r="M9" s="7"/>
      <c r="N9" s="4"/>
      <c r="O9" s="4"/>
      <c r="P9" s="4" t="s">
        <v>70</v>
      </c>
      <c r="Q9" s="9" t="s">
        <v>71</v>
      </c>
      <c r="R9" s="9"/>
      <c r="S9" s="9"/>
      <c r="T9" t="s">
        <v>86</v>
      </c>
    </row>
    <row r="10" spans="1:20" x14ac:dyDescent="0.25">
      <c r="A10" s="3">
        <v>16747</v>
      </c>
      <c r="B10" s="4" t="s">
        <v>206</v>
      </c>
      <c r="C10" s="5">
        <v>1363627.5560198275</v>
      </c>
      <c r="D10" s="5">
        <v>0</v>
      </c>
      <c r="E10" s="5">
        <v>218180.43166317238</v>
      </c>
      <c r="F10" s="5">
        <v>1581808.0000000002</v>
      </c>
      <c r="G10" s="4" t="s">
        <v>83</v>
      </c>
      <c r="H10" s="21">
        <v>1581808.0000000002</v>
      </c>
      <c r="I10" s="13" t="s">
        <v>68</v>
      </c>
      <c r="J10" s="28">
        <v>1</v>
      </c>
      <c r="K10" s="23">
        <v>46041</v>
      </c>
      <c r="L10" s="23">
        <v>46041</v>
      </c>
      <c r="M10" s="7"/>
      <c r="N10" s="7"/>
      <c r="O10" s="7"/>
      <c r="P10" s="4"/>
      <c r="Q10" s="12" t="s">
        <v>71</v>
      </c>
      <c r="R10" s="12"/>
      <c r="S10" s="12"/>
      <c r="T10" t="s">
        <v>86</v>
      </c>
    </row>
    <row r="11" spans="1:20" x14ac:dyDescent="0.25">
      <c r="A11" s="3">
        <v>83394</v>
      </c>
      <c r="B11" s="4" t="s">
        <v>209</v>
      </c>
      <c r="C11" s="5">
        <v>1061915.9577686242</v>
      </c>
      <c r="D11" s="5">
        <v>298798.97400868539</v>
      </c>
      <c r="E11" s="5">
        <v>207398.1825003695</v>
      </c>
      <c r="F11" s="5">
        <v>1568113.1700000002</v>
      </c>
      <c r="G11" s="4" t="s">
        <v>112</v>
      </c>
      <c r="H11" s="21">
        <v>742195.03</v>
      </c>
      <c r="I11" s="4" t="s">
        <v>68</v>
      </c>
      <c r="J11" s="9">
        <v>2</v>
      </c>
      <c r="K11" s="23">
        <v>46042</v>
      </c>
      <c r="L11" s="23">
        <v>46042</v>
      </c>
      <c r="M11" s="4"/>
      <c r="N11" s="4"/>
      <c r="O11" s="4"/>
      <c r="P11" s="4"/>
      <c r="Q11" s="9" t="s">
        <v>71</v>
      </c>
      <c r="R11" s="9"/>
      <c r="S11" s="4"/>
      <c r="T11" t="s">
        <v>86</v>
      </c>
    </row>
    <row r="12" spans="1:20" x14ac:dyDescent="0.25">
      <c r="A12" s="3">
        <v>312231</v>
      </c>
      <c r="B12" s="4" t="s">
        <v>217</v>
      </c>
      <c r="C12" s="5">
        <v>1362282.3499999999</v>
      </c>
      <c r="D12" s="5">
        <v>0</v>
      </c>
      <c r="E12" s="5">
        <v>184002.29440000001</v>
      </c>
      <c r="F12" s="5">
        <v>1546284.54</v>
      </c>
      <c r="G12" s="4" t="s">
        <v>112</v>
      </c>
      <c r="H12" s="21"/>
      <c r="I12" s="4"/>
      <c r="J12" s="4"/>
      <c r="K12" s="23">
        <v>46042</v>
      </c>
      <c r="L12" s="23">
        <v>46042</v>
      </c>
      <c r="M12" s="4"/>
      <c r="N12" s="4"/>
      <c r="O12" s="4"/>
      <c r="P12" s="4"/>
      <c r="Q12" s="9"/>
      <c r="R12" s="9" t="s">
        <v>71</v>
      </c>
      <c r="S12" s="4"/>
      <c r="T12" t="s">
        <v>220</v>
      </c>
    </row>
    <row r="13" spans="1:20" x14ac:dyDescent="0.25">
      <c r="A13" s="3">
        <v>75390</v>
      </c>
      <c r="B13" s="4" t="s">
        <v>221</v>
      </c>
      <c r="C13" s="5">
        <v>1455353.9391289758</v>
      </c>
      <c r="D13" s="5">
        <v>0</v>
      </c>
      <c r="E13" s="5">
        <v>0</v>
      </c>
      <c r="F13" s="5">
        <v>1455353.93</v>
      </c>
      <c r="G13" s="4" t="s">
        <v>67</v>
      </c>
      <c r="H13" s="21"/>
      <c r="I13" s="4"/>
      <c r="J13" s="4"/>
      <c r="K13" s="23">
        <v>46041</v>
      </c>
      <c r="L13" s="23">
        <v>46041</v>
      </c>
      <c r="M13" s="7"/>
      <c r="N13" s="7"/>
      <c r="O13" s="7"/>
      <c r="P13" s="4"/>
      <c r="Q13" s="9"/>
      <c r="R13" s="9" t="s">
        <v>71</v>
      </c>
      <c r="S13" s="9"/>
    </row>
    <row r="14" spans="1:20" x14ac:dyDescent="0.25">
      <c r="A14" s="3">
        <v>5330</v>
      </c>
      <c r="B14" s="4" t="s">
        <v>245</v>
      </c>
      <c r="C14" s="5">
        <v>961798.11</v>
      </c>
      <c r="D14" s="5">
        <v>0</v>
      </c>
      <c r="E14" s="5">
        <v>153887.69759999996</v>
      </c>
      <c r="F14" s="5">
        <v>1115685.8199999998</v>
      </c>
      <c r="G14" s="4" t="s">
        <v>94</v>
      </c>
      <c r="H14" s="21">
        <v>1115685.8199999998</v>
      </c>
      <c r="I14" s="13" t="s">
        <v>68</v>
      </c>
      <c r="J14" s="28">
        <v>3</v>
      </c>
      <c r="K14" s="23">
        <v>46041</v>
      </c>
      <c r="L14" s="23">
        <v>46041</v>
      </c>
      <c r="M14" s="7">
        <v>46041</v>
      </c>
      <c r="N14" s="7"/>
      <c r="O14" s="7"/>
      <c r="P14" s="4"/>
      <c r="Q14" s="9" t="s">
        <v>71</v>
      </c>
      <c r="R14" s="9"/>
      <c r="S14" s="9"/>
      <c r="T14" t="s">
        <v>248</v>
      </c>
    </row>
    <row r="15" spans="1:20" x14ac:dyDescent="0.25">
      <c r="A15" s="3">
        <v>387183</v>
      </c>
      <c r="B15" s="4" t="s">
        <v>253</v>
      </c>
      <c r="C15" s="5">
        <v>866011.34979124658</v>
      </c>
      <c r="D15" s="5">
        <v>0</v>
      </c>
      <c r="E15" s="5">
        <v>138561.2374665995</v>
      </c>
      <c r="F15" s="5">
        <v>1004572.6299999999</v>
      </c>
      <c r="G15" s="4" t="s">
        <v>216</v>
      </c>
      <c r="H15" s="21">
        <v>1004572.6299999999</v>
      </c>
      <c r="I15" s="4" t="s">
        <v>68</v>
      </c>
      <c r="J15" s="9">
        <v>7</v>
      </c>
      <c r="K15" s="23">
        <v>46042</v>
      </c>
      <c r="L15" s="23">
        <v>46045</v>
      </c>
      <c r="M15" s="7">
        <v>46045</v>
      </c>
      <c r="N15" s="4"/>
      <c r="O15" s="4"/>
      <c r="P15" s="4" t="s">
        <v>70</v>
      </c>
      <c r="Q15" s="9" t="s">
        <v>71</v>
      </c>
      <c r="R15" s="9"/>
      <c r="S15" s="4"/>
    </row>
    <row r="16" spans="1:20" x14ac:dyDescent="0.25">
      <c r="A16" s="3">
        <v>384776</v>
      </c>
      <c r="B16" s="4" t="s">
        <v>270</v>
      </c>
      <c r="C16" s="5">
        <v>603036.43118287146</v>
      </c>
      <c r="D16" s="5">
        <v>160860.24754408322</v>
      </c>
      <c r="E16" s="5">
        <v>122223.4685763125</v>
      </c>
      <c r="F16" s="5">
        <v>886120.11999999988</v>
      </c>
      <c r="G16" s="4" t="s">
        <v>119</v>
      </c>
      <c r="H16" s="5">
        <v>886120.11999999988</v>
      </c>
      <c r="I16" s="13" t="s">
        <v>68</v>
      </c>
      <c r="J16" s="4"/>
      <c r="K16" s="23">
        <v>46042</v>
      </c>
      <c r="L16" s="23">
        <v>46042</v>
      </c>
      <c r="M16" s="7">
        <v>46043</v>
      </c>
      <c r="N16" s="4"/>
      <c r="O16" s="4" t="s">
        <v>2841</v>
      </c>
      <c r="P16" s="4"/>
      <c r="Q16" s="9"/>
      <c r="R16" s="9" t="s">
        <v>71</v>
      </c>
      <c r="S16" s="4"/>
    </row>
    <row r="17" spans="1:20" x14ac:dyDescent="0.25">
      <c r="A17" s="3">
        <v>48298</v>
      </c>
      <c r="B17" s="4" t="s">
        <v>287</v>
      </c>
      <c r="C17" s="5">
        <v>619104.2478109689</v>
      </c>
      <c r="D17" s="5">
        <v>0</v>
      </c>
      <c r="E17" s="5">
        <v>99056.696149754876</v>
      </c>
      <c r="F17" s="5">
        <v>718160.95000000007</v>
      </c>
      <c r="G17" s="4" t="s">
        <v>141</v>
      </c>
      <c r="H17" s="21">
        <v>718160.95000000007</v>
      </c>
      <c r="I17" s="4" t="s">
        <v>68</v>
      </c>
      <c r="J17" s="9">
        <v>3</v>
      </c>
      <c r="K17" s="23">
        <v>46042</v>
      </c>
      <c r="L17" s="23">
        <v>46042</v>
      </c>
      <c r="M17" s="4"/>
      <c r="N17" s="4"/>
      <c r="O17" s="4"/>
      <c r="P17" s="4"/>
      <c r="Q17" s="9" t="s">
        <v>71</v>
      </c>
      <c r="R17" s="9"/>
      <c r="S17" s="4"/>
      <c r="T17" t="s">
        <v>626</v>
      </c>
    </row>
    <row r="18" spans="1:20" x14ac:dyDescent="0.25">
      <c r="A18" s="3">
        <v>13860</v>
      </c>
      <c r="B18" s="4" t="s">
        <v>297</v>
      </c>
      <c r="C18" s="5">
        <v>591083.07880170015</v>
      </c>
      <c r="D18" s="5">
        <v>0</v>
      </c>
      <c r="E18" s="5">
        <v>94573.292608272008</v>
      </c>
      <c r="F18" s="5">
        <v>685656.36744799837</v>
      </c>
      <c r="G18" s="4" t="s">
        <v>216</v>
      </c>
      <c r="H18" s="21">
        <v>685656.36744799837</v>
      </c>
      <c r="I18" s="13" t="s">
        <v>68</v>
      </c>
      <c r="J18" s="28">
        <v>1</v>
      </c>
      <c r="K18" s="23">
        <v>46041</v>
      </c>
      <c r="L18" s="23">
        <v>46041</v>
      </c>
      <c r="M18" s="4"/>
      <c r="N18" s="4"/>
      <c r="O18" s="4"/>
      <c r="P18" s="4" t="s">
        <v>70</v>
      </c>
      <c r="Q18" s="9" t="s">
        <v>71</v>
      </c>
      <c r="R18" s="9"/>
      <c r="S18" s="9"/>
    </row>
    <row r="19" spans="1:20" x14ac:dyDescent="0.25">
      <c r="A19" s="3">
        <v>82370</v>
      </c>
      <c r="B19" s="4" t="s">
        <v>319</v>
      </c>
      <c r="C19" s="5">
        <v>547009.90346483048</v>
      </c>
      <c r="D19" s="5">
        <v>3115.9219196569998</v>
      </c>
      <c r="E19" s="5">
        <v>0</v>
      </c>
      <c r="F19" s="5">
        <v>550125.81959999993</v>
      </c>
      <c r="G19" s="4" t="s">
        <v>119</v>
      </c>
      <c r="H19" s="31">
        <v>123635.65</v>
      </c>
      <c r="I19" s="33" t="s">
        <v>98</v>
      </c>
      <c r="J19" s="37">
        <v>1</v>
      </c>
      <c r="K19" s="23">
        <v>46044</v>
      </c>
      <c r="L19" s="7">
        <v>46045</v>
      </c>
      <c r="M19" s="4"/>
      <c r="N19" s="4"/>
      <c r="O19" s="4" t="s">
        <v>2842</v>
      </c>
      <c r="P19" s="4" t="s">
        <v>85</v>
      </c>
      <c r="Q19" s="9" t="s">
        <v>71</v>
      </c>
      <c r="R19" s="9"/>
      <c r="S19" s="4"/>
    </row>
    <row r="20" spans="1:20" x14ac:dyDescent="0.25">
      <c r="A20" s="3">
        <v>98327</v>
      </c>
      <c r="B20" s="4" t="s">
        <v>324</v>
      </c>
      <c r="C20" s="5">
        <v>454531.92000000016</v>
      </c>
      <c r="D20" s="5">
        <v>0</v>
      </c>
      <c r="E20" s="5">
        <v>72725.107200000013</v>
      </c>
      <c r="F20" s="5">
        <v>527257.07999999984</v>
      </c>
      <c r="G20" s="4" t="s">
        <v>216</v>
      </c>
      <c r="H20" s="21">
        <v>527257.07999999996</v>
      </c>
      <c r="I20" s="13" t="s">
        <v>98</v>
      </c>
      <c r="J20" s="28">
        <v>1</v>
      </c>
      <c r="K20" s="23">
        <v>46041</v>
      </c>
      <c r="L20" s="23">
        <v>46041</v>
      </c>
      <c r="M20" s="4"/>
      <c r="N20" s="4"/>
      <c r="O20" s="4"/>
      <c r="P20" s="4" t="s">
        <v>70</v>
      </c>
      <c r="Q20" s="9" t="s">
        <v>71</v>
      </c>
      <c r="R20" s="9"/>
      <c r="S20" s="9"/>
      <c r="T20" t="s">
        <v>328</v>
      </c>
    </row>
    <row r="21" spans="1:20" x14ac:dyDescent="0.25">
      <c r="A21" s="3">
        <v>8599</v>
      </c>
      <c r="B21" s="4" t="s">
        <v>1083</v>
      </c>
      <c r="C21" s="5">
        <v>507149.52</v>
      </c>
      <c r="D21" s="5">
        <v>0</v>
      </c>
      <c r="E21" s="5">
        <v>0</v>
      </c>
      <c r="F21" s="5">
        <v>507149.52</v>
      </c>
      <c r="G21" s="4" t="s">
        <v>61</v>
      </c>
      <c r="H21" s="21">
        <v>507149.52</v>
      </c>
      <c r="I21" s="4" t="s">
        <v>68</v>
      </c>
      <c r="J21" s="4"/>
      <c r="K21" s="23">
        <v>46038</v>
      </c>
      <c r="L21" s="23">
        <v>46041</v>
      </c>
      <c r="M21" s="7"/>
      <c r="N21" s="7"/>
      <c r="O21" s="7"/>
      <c r="P21" s="4"/>
      <c r="Q21" s="9"/>
      <c r="R21" s="9" t="s">
        <v>71</v>
      </c>
      <c r="S21" s="9"/>
      <c r="T21" t="s">
        <v>330</v>
      </c>
    </row>
    <row r="22" spans="1:20" x14ac:dyDescent="0.25">
      <c r="A22" s="3">
        <v>716</v>
      </c>
      <c r="B22" s="4" t="s">
        <v>352</v>
      </c>
      <c r="C22" s="5">
        <v>354374.51104173745</v>
      </c>
      <c r="D22" s="5">
        <v>0</v>
      </c>
      <c r="E22" s="5">
        <v>56699.921766677995</v>
      </c>
      <c r="F22" s="5">
        <v>411074.43000000005</v>
      </c>
      <c r="G22" s="4" t="s">
        <v>148</v>
      </c>
      <c r="H22" s="21">
        <v>411074.43000000005</v>
      </c>
      <c r="I22" s="4" t="s">
        <v>68</v>
      </c>
      <c r="J22" s="9">
        <v>1</v>
      </c>
      <c r="K22" s="23">
        <v>46042</v>
      </c>
      <c r="L22" s="23">
        <v>46042</v>
      </c>
      <c r="M22" s="4"/>
      <c r="N22" s="4"/>
      <c r="O22" s="14" t="s">
        <v>2843</v>
      </c>
      <c r="P22" s="4"/>
      <c r="Q22" s="9" t="s">
        <v>71</v>
      </c>
      <c r="R22" s="10"/>
      <c r="S22" s="4"/>
      <c r="T22" t="s">
        <v>2844</v>
      </c>
    </row>
    <row r="23" spans="1:20" x14ac:dyDescent="0.25">
      <c r="A23" s="3">
        <v>6346</v>
      </c>
      <c r="B23" s="4" t="s">
        <v>362</v>
      </c>
      <c r="C23" s="5">
        <v>317346.71850135003</v>
      </c>
      <c r="D23" s="5">
        <v>0</v>
      </c>
      <c r="E23" s="5">
        <v>50775.474960216001</v>
      </c>
      <c r="F23" s="5">
        <v>368122.19</v>
      </c>
      <c r="G23" s="4" t="s">
        <v>141</v>
      </c>
      <c r="H23" s="21">
        <v>316392.8</v>
      </c>
      <c r="I23" s="4" t="s">
        <v>98</v>
      </c>
      <c r="J23" s="9">
        <v>5</v>
      </c>
      <c r="K23" s="23">
        <v>46041</v>
      </c>
      <c r="L23" s="23">
        <v>46041</v>
      </c>
      <c r="M23" s="4"/>
      <c r="N23" s="4"/>
      <c r="O23" s="4"/>
      <c r="P23" s="4"/>
      <c r="Q23" s="9" t="s">
        <v>71</v>
      </c>
      <c r="R23" s="9"/>
      <c r="S23" s="9"/>
      <c r="T23" t="s">
        <v>248</v>
      </c>
    </row>
    <row r="24" spans="1:20" x14ac:dyDescent="0.25">
      <c r="A24" s="3">
        <v>26831</v>
      </c>
      <c r="B24" s="4" t="s">
        <v>370</v>
      </c>
      <c r="C24" s="5">
        <v>336250.07908752403</v>
      </c>
      <c r="D24" s="5">
        <v>0</v>
      </c>
      <c r="E24" s="5">
        <v>0</v>
      </c>
      <c r="F24" s="5">
        <v>336250.08</v>
      </c>
      <c r="G24" s="4" t="s">
        <v>91</v>
      </c>
      <c r="H24" s="21">
        <v>336250.08</v>
      </c>
      <c r="I24" s="13" t="s">
        <v>68</v>
      </c>
      <c r="J24" s="28">
        <v>6</v>
      </c>
      <c r="K24" s="23">
        <v>46041</v>
      </c>
      <c r="L24" s="23">
        <v>46041</v>
      </c>
      <c r="M24" s="7"/>
      <c r="N24" s="7"/>
      <c r="O24" s="7"/>
      <c r="P24" s="4" t="s">
        <v>70</v>
      </c>
      <c r="Q24" s="9" t="s">
        <v>71</v>
      </c>
      <c r="R24" s="9"/>
      <c r="S24" s="9"/>
      <c r="T24" t="s">
        <v>248</v>
      </c>
    </row>
    <row r="25" spans="1:20" x14ac:dyDescent="0.25">
      <c r="A25" s="3">
        <v>315838</v>
      </c>
      <c r="B25" s="4" t="s">
        <v>372</v>
      </c>
      <c r="C25" s="5">
        <v>280053.8</v>
      </c>
      <c r="D25" s="5">
        <v>0</v>
      </c>
      <c r="E25" s="5">
        <v>44808.611699999994</v>
      </c>
      <c r="F25" s="5">
        <v>324862.32999999996</v>
      </c>
      <c r="G25" s="4" t="s">
        <v>91</v>
      </c>
      <c r="H25" s="21">
        <v>324862.32999999996</v>
      </c>
      <c r="I25" s="4" t="s">
        <v>68</v>
      </c>
      <c r="J25" s="4"/>
      <c r="K25" s="23">
        <v>46038</v>
      </c>
      <c r="L25" s="23">
        <v>46041</v>
      </c>
      <c r="M25" s="7"/>
      <c r="N25" s="7"/>
      <c r="O25" s="7"/>
      <c r="P25" s="4" t="s">
        <v>70</v>
      </c>
      <c r="Q25" s="9"/>
      <c r="R25" s="9" t="s">
        <v>71</v>
      </c>
      <c r="S25" s="9"/>
      <c r="T25" t="s">
        <v>179</v>
      </c>
    </row>
    <row r="26" spans="1:20" x14ac:dyDescent="0.25">
      <c r="A26" s="3">
        <v>36152</v>
      </c>
      <c r="B26" s="4" t="s">
        <v>382</v>
      </c>
      <c r="C26" s="5">
        <v>298263.64581100101</v>
      </c>
      <c r="D26" s="5">
        <v>0</v>
      </c>
      <c r="E26" s="5">
        <v>0</v>
      </c>
      <c r="F26" s="5">
        <v>298263.62999999995</v>
      </c>
      <c r="G26" s="4" t="s">
        <v>67</v>
      </c>
      <c r="H26" s="21">
        <v>298263.63</v>
      </c>
      <c r="I26" s="4" t="s">
        <v>68</v>
      </c>
      <c r="J26" s="4"/>
      <c r="K26" s="23">
        <v>46044</v>
      </c>
      <c r="L26" s="23"/>
      <c r="M26" s="4"/>
      <c r="N26" s="4"/>
      <c r="O26" s="4"/>
      <c r="P26" s="4" t="s">
        <v>70</v>
      </c>
      <c r="Q26" s="9" t="s">
        <v>71</v>
      </c>
      <c r="R26" s="9"/>
      <c r="S26" s="4" t="s">
        <v>71</v>
      </c>
    </row>
    <row r="27" spans="1:20" x14ac:dyDescent="0.25">
      <c r="A27" s="3">
        <v>26393</v>
      </c>
      <c r="B27" s="4" t="s">
        <v>400</v>
      </c>
      <c r="C27" s="5">
        <v>223893.68</v>
      </c>
      <c r="D27" s="5">
        <v>0</v>
      </c>
      <c r="E27" s="5">
        <v>35822.988799999999</v>
      </c>
      <c r="F27" s="5">
        <v>259716.65999999997</v>
      </c>
      <c r="G27" s="4" t="s">
        <v>148</v>
      </c>
      <c r="H27" s="21">
        <v>259716.65999999997</v>
      </c>
      <c r="I27" s="4" t="s">
        <v>68</v>
      </c>
      <c r="J27" s="9">
        <v>1</v>
      </c>
      <c r="K27" s="23">
        <v>46042</v>
      </c>
      <c r="L27" s="23">
        <v>46042</v>
      </c>
      <c r="M27" s="4"/>
      <c r="N27" s="4"/>
      <c r="O27" s="4" t="s">
        <v>2845</v>
      </c>
      <c r="P27" s="4" t="s">
        <v>85</v>
      </c>
      <c r="Q27" s="9" t="s">
        <v>71</v>
      </c>
      <c r="R27" s="9"/>
      <c r="S27" s="4"/>
      <c r="T27" t="s">
        <v>2846</v>
      </c>
    </row>
    <row r="28" spans="1:20" x14ac:dyDescent="0.25">
      <c r="A28" s="3">
        <v>8939</v>
      </c>
      <c r="B28" s="4" t="s">
        <v>452</v>
      </c>
      <c r="C28" s="5">
        <v>155960.33757873203</v>
      </c>
      <c r="D28" s="5">
        <v>0</v>
      </c>
      <c r="E28" s="5">
        <v>0</v>
      </c>
      <c r="F28" s="5">
        <v>155960.34000000003</v>
      </c>
      <c r="G28" s="4" t="s">
        <v>76</v>
      </c>
      <c r="H28" s="21">
        <v>155960.34000000003</v>
      </c>
      <c r="I28" s="13" t="s">
        <v>68</v>
      </c>
      <c r="J28" s="28">
        <v>1</v>
      </c>
      <c r="K28" s="23">
        <v>46041</v>
      </c>
      <c r="L28" s="23">
        <v>46041</v>
      </c>
      <c r="M28" s="4"/>
      <c r="N28" s="4"/>
      <c r="O28" s="4"/>
      <c r="P28" s="4"/>
      <c r="Q28" s="9" t="s">
        <v>71</v>
      </c>
      <c r="R28" s="9"/>
      <c r="S28" s="9"/>
    </row>
    <row r="29" spans="1:20" x14ac:dyDescent="0.25">
      <c r="A29" s="3">
        <v>210369</v>
      </c>
      <c r="B29" s="4" t="s">
        <v>461</v>
      </c>
      <c r="C29" s="5">
        <v>147408.97</v>
      </c>
      <c r="D29" s="5">
        <v>0</v>
      </c>
      <c r="E29" s="5">
        <v>0</v>
      </c>
      <c r="F29" s="5">
        <v>147408.97</v>
      </c>
      <c r="G29" s="4" t="s">
        <v>216</v>
      </c>
      <c r="H29" s="21"/>
      <c r="I29" s="4"/>
      <c r="J29" s="4"/>
      <c r="K29" s="23">
        <v>46045</v>
      </c>
      <c r="L29" s="23">
        <v>46045</v>
      </c>
      <c r="M29" s="4"/>
      <c r="N29" s="4"/>
      <c r="O29" s="13" t="s">
        <v>2847</v>
      </c>
      <c r="P29" s="4"/>
      <c r="Q29" s="9"/>
      <c r="R29" s="9" t="s">
        <v>71</v>
      </c>
      <c r="S29" s="4"/>
      <c r="T29" t="s">
        <v>179</v>
      </c>
    </row>
    <row r="30" spans="1:20" x14ac:dyDescent="0.25">
      <c r="A30" s="3">
        <v>52035</v>
      </c>
      <c r="B30" s="4" t="s">
        <v>473</v>
      </c>
      <c r="C30" s="5">
        <v>117107.443120376</v>
      </c>
      <c r="D30" s="5">
        <v>0</v>
      </c>
      <c r="E30" s="5">
        <v>18737.19089926016</v>
      </c>
      <c r="F30" s="5">
        <v>135844.63</v>
      </c>
      <c r="G30" s="4" t="s">
        <v>61</v>
      </c>
      <c r="H30" s="21">
        <v>135844.63</v>
      </c>
      <c r="I30" s="13" t="s">
        <v>68</v>
      </c>
      <c r="J30" s="28">
        <v>1</v>
      </c>
      <c r="K30" s="23">
        <v>46041</v>
      </c>
      <c r="L30" s="23">
        <v>46041</v>
      </c>
      <c r="M30" s="4"/>
      <c r="N30" s="4"/>
      <c r="O30" s="4"/>
      <c r="P30" s="4"/>
      <c r="Q30" s="9" t="s">
        <v>71</v>
      </c>
      <c r="R30" s="9"/>
      <c r="S30" s="9"/>
    </row>
    <row r="31" spans="1:20" x14ac:dyDescent="0.25">
      <c r="A31" s="3">
        <v>61846</v>
      </c>
      <c r="B31" s="4" t="s">
        <v>483</v>
      </c>
      <c r="C31" s="5">
        <v>114220.96207406801</v>
      </c>
      <c r="D31" s="5">
        <v>0</v>
      </c>
      <c r="E31" s="5">
        <v>0</v>
      </c>
      <c r="F31" s="5">
        <v>114220.96580000001</v>
      </c>
      <c r="G31" s="4" t="s">
        <v>83</v>
      </c>
      <c r="H31" s="21">
        <v>7361.49</v>
      </c>
      <c r="I31" s="4" t="s">
        <v>98</v>
      </c>
      <c r="J31" s="9">
        <v>1</v>
      </c>
      <c r="K31" s="23">
        <v>46043</v>
      </c>
      <c r="L31" s="23">
        <v>46043</v>
      </c>
      <c r="M31" s="4"/>
      <c r="N31" s="4"/>
      <c r="O31" s="4"/>
      <c r="P31" s="4"/>
      <c r="Q31" s="12" t="s">
        <v>71</v>
      </c>
      <c r="R31" s="12"/>
      <c r="S31" s="12"/>
      <c r="T31" t="s">
        <v>86</v>
      </c>
    </row>
    <row r="32" spans="1:20" x14ac:dyDescent="0.25">
      <c r="A32" s="3">
        <v>92767</v>
      </c>
      <c r="B32" s="4" t="s">
        <v>489</v>
      </c>
      <c r="C32" s="5">
        <v>94270.415962450003</v>
      </c>
      <c r="D32" s="5">
        <v>0</v>
      </c>
      <c r="E32" s="5">
        <v>12221.508400000001</v>
      </c>
      <c r="F32" s="5">
        <v>106491.74669999999</v>
      </c>
      <c r="G32" s="4" t="s">
        <v>83</v>
      </c>
      <c r="H32" s="21"/>
      <c r="I32" s="4"/>
      <c r="J32" s="4"/>
      <c r="K32" s="23">
        <v>46042</v>
      </c>
      <c r="L32" s="23">
        <v>46042</v>
      </c>
      <c r="M32" s="4"/>
      <c r="N32" s="4"/>
      <c r="O32" s="4"/>
      <c r="P32" s="4"/>
      <c r="Q32" s="12"/>
      <c r="R32" s="12" t="s">
        <v>71</v>
      </c>
      <c r="S32" s="12"/>
      <c r="T32" s="15" t="s">
        <v>492</v>
      </c>
    </row>
    <row r="33" spans="1:20" x14ac:dyDescent="0.25">
      <c r="A33" s="3">
        <v>77974</v>
      </c>
      <c r="B33" s="4" t="s">
        <v>493</v>
      </c>
      <c r="C33" s="5">
        <v>91224.528335501993</v>
      </c>
      <c r="D33" s="5">
        <v>0</v>
      </c>
      <c r="E33" s="5">
        <v>14595.903333680322</v>
      </c>
      <c r="F33" s="5">
        <v>105820.43000000001</v>
      </c>
      <c r="G33" s="4" t="s">
        <v>83</v>
      </c>
      <c r="H33" s="21"/>
      <c r="I33" s="4"/>
      <c r="J33" s="4"/>
      <c r="K33" s="23">
        <v>46042</v>
      </c>
      <c r="L33" s="23">
        <v>46042</v>
      </c>
      <c r="M33" s="4"/>
      <c r="N33" s="4"/>
      <c r="O33" s="4"/>
      <c r="P33" s="4"/>
      <c r="Q33" s="12"/>
      <c r="R33" s="12" t="s">
        <v>71</v>
      </c>
      <c r="S33" s="12"/>
      <c r="T33" t="s">
        <v>496</v>
      </c>
    </row>
    <row r="34" spans="1:20" x14ac:dyDescent="0.25">
      <c r="A34" s="3">
        <v>90258</v>
      </c>
      <c r="B34" s="4" t="s">
        <v>106</v>
      </c>
      <c r="C34" s="5">
        <v>89677.439375000002</v>
      </c>
      <c r="D34" s="5">
        <v>7018.5879499999992</v>
      </c>
      <c r="E34" s="5">
        <v>0</v>
      </c>
      <c r="F34" s="5">
        <v>96696.02</v>
      </c>
      <c r="G34" s="4" t="s">
        <v>216</v>
      </c>
      <c r="H34" s="21">
        <v>96696.02</v>
      </c>
      <c r="I34" s="4" t="s">
        <v>68</v>
      </c>
      <c r="J34" s="9"/>
      <c r="K34" s="23">
        <v>46042</v>
      </c>
      <c r="L34" s="23">
        <v>46045</v>
      </c>
      <c r="M34" s="4"/>
      <c r="N34" s="4"/>
      <c r="O34" s="4"/>
      <c r="P34" s="4" t="s">
        <v>70</v>
      </c>
      <c r="Q34" s="9" t="s">
        <v>71</v>
      </c>
      <c r="R34" s="9"/>
      <c r="S34" s="4"/>
      <c r="T34" t="s">
        <v>109</v>
      </c>
    </row>
    <row r="35" spans="1:20" x14ac:dyDescent="0.25">
      <c r="A35" s="3">
        <v>24687</v>
      </c>
      <c r="B35" s="4" t="s">
        <v>544</v>
      </c>
      <c r="C35" s="5">
        <v>46715.042026260002</v>
      </c>
      <c r="D35" s="5">
        <v>0</v>
      </c>
      <c r="E35" s="5">
        <v>7474.4067242016008</v>
      </c>
      <c r="F35" s="5">
        <v>54189.45</v>
      </c>
      <c r="G35" s="4" t="s">
        <v>94</v>
      </c>
      <c r="H35" s="21">
        <v>54189.45</v>
      </c>
      <c r="I35" s="13" t="s">
        <v>68</v>
      </c>
      <c r="J35" s="28">
        <v>2</v>
      </c>
      <c r="K35" s="23">
        <v>46041</v>
      </c>
      <c r="L35" s="23">
        <v>46041</v>
      </c>
      <c r="M35" s="7">
        <v>46041</v>
      </c>
      <c r="N35" s="7"/>
      <c r="O35" s="7"/>
      <c r="P35" s="4"/>
      <c r="Q35" s="9" t="s">
        <v>71</v>
      </c>
      <c r="R35" s="9"/>
      <c r="S35" s="9"/>
      <c r="T35" t="s">
        <v>86</v>
      </c>
    </row>
    <row r="36" spans="1:20" x14ac:dyDescent="0.25">
      <c r="A36" s="3">
        <v>20539</v>
      </c>
      <c r="B36" s="4" t="s">
        <v>551</v>
      </c>
      <c r="C36" s="5">
        <v>41943.960802699992</v>
      </c>
      <c r="D36" s="5">
        <v>0</v>
      </c>
      <c r="E36" s="5">
        <v>6711.0337284320003</v>
      </c>
      <c r="F36" s="5">
        <v>48654.99</v>
      </c>
      <c r="G36" s="4" t="s">
        <v>94</v>
      </c>
      <c r="H36" s="5">
        <v>48654.99</v>
      </c>
      <c r="I36" s="13" t="s">
        <v>68</v>
      </c>
      <c r="J36" s="4"/>
      <c r="K36" s="23">
        <v>46042</v>
      </c>
      <c r="L36" s="7">
        <v>46043</v>
      </c>
      <c r="M36" s="7">
        <v>46043</v>
      </c>
      <c r="N36" s="4"/>
      <c r="O36" s="4"/>
      <c r="P36" s="4"/>
      <c r="Q36" s="9"/>
      <c r="R36" s="9" t="s">
        <v>71</v>
      </c>
      <c r="S36" s="4"/>
    </row>
    <row r="37" spans="1:20" x14ac:dyDescent="0.25">
      <c r="A37" s="3">
        <v>314567</v>
      </c>
      <c r="B37" s="4" t="s">
        <v>553</v>
      </c>
      <c r="C37" s="5">
        <v>39378.299999999996</v>
      </c>
      <c r="D37" s="5">
        <v>0</v>
      </c>
      <c r="E37" s="5">
        <v>6300.5279999999993</v>
      </c>
      <c r="F37" s="5">
        <v>45678.86</v>
      </c>
      <c r="G37" s="4" t="s">
        <v>103</v>
      </c>
      <c r="H37" s="21">
        <v>45678.86</v>
      </c>
      <c r="I37" s="4" t="s">
        <v>68</v>
      </c>
      <c r="J37" s="9">
        <v>6</v>
      </c>
      <c r="K37" s="23">
        <v>46043</v>
      </c>
      <c r="L37" s="23">
        <v>46044</v>
      </c>
      <c r="M37" s="23">
        <v>46044</v>
      </c>
      <c r="N37" s="4"/>
      <c r="O37" s="4"/>
      <c r="P37" s="4" t="s">
        <v>70</v>
      </c>
      <c r="Q37" s="9" t="s">
        <v>71</v>
      </c>
      <c r="R37" s="9"/>
      <c r="S37" s="4"/>
    </row>
    <row r="38" spans="1:20" x14ac:dyDescent="0.25">
      <c r="A38" s="3">
        <v>36137</v>
      </c>
      <c r="B38" s="4" t="s">
        <v>574</v>
      </c>
      <c r="C38" s="5">
        <v>28106.13</v>
      </c>
      <c r="D38" s="5">
        <v>0</v>
      </c>
      <c r="E38" s="5">
        <v>4496.9808000000003</v>
      </c>
      <c r="F38" s="5">
        <v>32603.11</v>
      </c>
      <c r="G38" s="4" t="s">
        <v>137</v>
      </c>
      <c r="H38" s="5">
        <v>32603.11</v>
      </c>
      <c r="I38" s="4" t="s">
        <v>576</v>
      </c>
      <c r="J38" s="9">
        <v>5</v>
      </c>
      <c r="K38" s="23">
        <v>46043</v>
      </c>
      <c r="L38" s="23">
        <v>46044</v>
      </c>
      <c r="M38" s="4"/>
      <c r="N38" s="4"/>
      <c r="O38" s="4"/>
      <c r="P38" s="13" t="s">
        <v>70</v>
      </c>
      <c r="Q38" s="9" t="s">
        <v>71</v>
      </c>
      <c r="R38" s="9"/>
      <c r="S38" s="4"/>
    </row>
    <row r="39" spans="1:20" x14ac:dyDescent="0.25">
      <c r="A39" s="3">
        <v>339457</v>
      </c>
      <c r="B39" s="4" t="s">
        <v>624</v>
      </c>
      <c r="C39" s="5">
        <v>15067.04</v>
      </c>
      <c r="D39" s="5">
        <v>0</v>
      </c>
      <c r="E39" s="5">
        <v>2410.7264</v>
      </c>
      <c r="F39" s="5">
        <v>17477.759999999998</v>
      </c>
      <c r="G39" s="4" t="s">
        <v>91</v>
      </c>
      <c r="H39" s="21">
        <v>17477.759999999998</v>
      </c>
      <c r="I39" s="4" t="s">
        <v>68</v>
      </c>
      <c r="J39" s="9">
        <v>1</v>
      </c>
      <c r="K39" s="23">
        <v>46042</v>
      </c>
      <c r="L39" s="23">
        <v>46042</v>
      </c>
      <c r="M39" s="4"/>
      <c r="N39" s="4"/>
      <c r="O39" s="4"/>
      <c r="P39" s="4" t="s">
        <v>70</v>
      </c>
      <c r="Q39" s="9" t="s">
        <v>71</v>
      </c>
      <c r="R39" s="9"/>
      <c r="S39" s="4"/>
      <c r="T39" s="16" t="s">
        <v>626</v>
      </c>
    </row>
  </sheetData>
  <autoFilter ref="A2:T2" xr:uid="{7AE0F681-D62C-4823-85BA-77C067EA4352}"/>
  <hyperlinks>
    <hyperlink ref="O22" r:id="rId1" xr:uid="{50A55B82-E5C2-41FB-8991-C9137BF1B96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3275A10-6030-4A3D-890E-105D2BB9A6B4}">
          <x14:formula1>
            <xm:f>'Notas Aclaraciones'!$B$16:$B$17</xm:f>
          </x14:formula1>
          <xm:sqref>P3:P39</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A8C2FC14D88564ABA20E1613CBFB1FC" ma:contentTypeVersion="9" ma:contentTypeDescription="Create a new document." ma:contentTypeScope="" ma:versionID="4cac80db9c4b4663c03636344aede8b7">
  <xsd:schema xmlns:xsd="http://www.w3.org/2001/XMLSchema" xmlns:xs="http://www.w3.org/2001/XMLSchema" xmlns:p="http://schemas.microsoft.com/office/2006/metadata/properties" xmlns:ns3="9ea3c3e7-b617-4968-a9f4-96daa35e03e0" targetNamespace="http://schemas.microsoft.com/office/2006/metadata/properties" ma:root="true" ma:fieldsID="332edd0b5a5362de74d510c31403d41d" ns3:_="">
    <xsd:import namespace="9ea3c3e7-b617-4968-a9f4-96daa35e03e0"/>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a3c3e7-b617-4968-a9f4-96daa35e03e0"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9ea3c3e7-b617-4968-a9f4-96daa35e03e0" xsi:nil="true"/>
  </documentManagement>
</p:properties>
</file>

<file path=customXml/itemProps1.xml><?xml version="1.0" encoding="utf-8"?>
<ds:datastoreItem xmlns:ds="http://schemas.openxmlformats.org/officeDocument/2006/customXml" ds:itemID="{5D0B272E-A6F3-4496-873B-CE5785329240}">
  <ds:schemaRefs>
    <ds:schemaRef ds:uri="http://schemas.microsoft.com/sharepoint/v3/contenttype/forms"/>
  </ds:schemaRefs>
</ds:datastoreItem>
</file>

<file path=customXml/itemProps2.xml><?xml version="1.0" encoding="utf-8"?>
<ds:datastoreItem xmlns:ds="http://schemas.openxmlformats.org/officeDocument/2006/customXml" ds:itemID="{BD675A29-6C28-40AD-A862-D7B1460E59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a3c3e7-b617-4968-a9f4-96daa35e03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FBAB459-692C-4B28-81D5-5DB17159903A}">
  <ds:schemaRefs>
    <ds:schemaRef ds:uri="http://schemas.microsoft.com/office/infopath/2007/PartnerControls"/>
    <ds:schemaRef ds:uri="http://purl.org/dc/elements/1.1/"/>
    <ds:schemaRef ds:uri="http://schemas.microsoft.com/office/2006/metadata/properties"/>
    <ds:schemaRef ds:uri="9ea3c3e7-b617-4968-a9f4-96daa35e03e0"/>
    <ds:schemaRef ds:uri="http://purl.org/dc/terms/"/>
    <ds:schemaRef ds:uri="http://schemas.openxmlformats.org/package/2006/metadata/core-properties"/>
    <ds:schemaRef ds:uri="http://schemas.microsoft.com/office/2006/documentManagement/types"/>
    <ds:schemaRef ds:uri="http://www.w3.org/XML/1998/namespace"/>
    <ds:schemaRef ds:uri="http://purl.org/dc/dcmitype/"/>
  </ds:schemaRefs>
</ds:datastoreItem>
</file>

<file path=docMetadata/LabelInfo.xml><?xml version="1.0" encoding="utf-8"?>
<clbl:labelList xmlns:clbl="http://schemas.microsoft.com/office/2020/mipLabelMetadata">
  <clbl:label id="{03edc44b-b702-4aa2-ab60-ec52c225ec0b}" enabled="0" method="" siteId="{03edc44b-b702-4aa2-ab60-ec52c225ec0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Bitacora</vt:lpstr>
      <vt:lpstr>Resumen</vt:lpstr>
      <vt:lpstr>Detalle Cargos 24Mzo26</vt:lpstr>
      <vt:lpstr>Reembolsos</vt:lpstr>
      <vt:lpstr>reembolsoxproveedor</vt:lpstr>
      <vt:lpstr>reembolso 12May26</vt:lpstr>
      <vt:lpstr>aplicados 23feb2026</vt:lpstr>
      <vt:lpstr>Sheet3</vt:lpstr>
      <vt:lpstr>Notas Aclaraciones</vt:lpstr>
      <vt:lpstr>2020-2024</vt:lpstr>
      <vt:lpstr>contactos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Lopez, Monica</dc:creator>
  <cp:keywords/>
  <dc:description/>
  <cp:lastModifiedBy>Pineda, Oscar</cp:lastModifiedBy>
  <cp:revision/>
  <dcterms:created xsi:type="dcterms:W3CDTF">2026-01-16T23:05:51Z</dcterms:created>
  <dcterms:modified xsi:type="dcterms:W3CDTF">2026-07-09T19:10:39Z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0x010100EA8C2FC14D88564ABA20E1613CBFB1FC</vt:lpwstr>
  </property>
  <property fmtid="{D5CDD505-2E9C-101B-9397-08002B2CF9AE}" pid="3" name="MediaServiceImageTags">
    <vt:lpwstr/>
  </property>
</Properties>
</file>