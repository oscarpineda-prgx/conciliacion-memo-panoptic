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Soriana\00 - AUDITORIA 2020 - 2024\Cargos\Memo_030 varios\"/>
    </mc:Choice>
  </mc:AlternateContent>
  <xr:revisionPtr revIDLastSave="0" documentId="13_ncr:1_{AAEBD034-197D-4B3F-9CD1-EB66E1C34BB7}" xr6:coauthVersionLast="47" xr6:coauthVersionMax="47" xr10:uidLastSave="{00000000-0000-0000-0000-000000000000}"/>
  <bookViews>
    <workbookView xWindow="-28920" yWindow="-120" windowWidth="29040" windowHeight="15840" tabRatio="934" xr2:uid="{FB4F1182-D7EE-4634-9905-3E5B56EBD9F3}"/>
  </bookViews>
  <sheets>
    <sheet name="MontoxProveedorxFase" sheetId="6" r:id="rId1"/>
    <sheet name="MontoxConceptoxAño " sheetId="9" r:id="rId2"/>
    <sheet name="AP-PAGOS" sheetId="1" r:id="rId3"/>
    <sheet name="CONVENIOS" sheetId="2" r:id="rId4"/>
    <sheet name="VALIDACION DE CONDICIONES" sheetId="3" r:id="rId5"/>
    <sheet name="CONVENIOS DOLARES" sheetId="7" r:id="rId6"/>
  </sheets>
  <definedNames>
    <definedName name="_xlnm._FilterDatabase" localSheetId="2" hidden="1">'AP-PAGOS'!$A$3:$R$3</definedName>
    <definedName name="_xlnm._FilterDatabase" localSheetId="3" hidden="1">CONVENIOS!$A$2:$M$2</definedName>
    <definedName name="_xlnm._FilterDatabase" localSheetId="5" hidden="1">'CONVENIOS DOLARES'!$A$2:$L$2</definedName>
    <definedName name="_xlnm._FilterDatabase" localSheetId="1" hidden="1">'MontoxConceptoxAño '!$A$2:$L$2</definedName>
    <definedName name="_xlnm._FilterDatabase" localSheetId="0" hidden="1">MontoxProveedorxFase!$A$7:$O$21</definedName>
    <definedName name="_xlnm._FilterDatabase" localSheetId="4" hidden="1">'VALIDACION DE CONDICIONES'!$A$2:$R$1182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2" l="1"/>
  <c r="L23" i="2"/>
  <c r="L22" i="2"/>
  <c r="L21" i="2"/>
  <c r="L20" i="2"/>
  <c r="L19" i="2"/>
  <c r="L18" i="2"/>
  <c r="K24" i="2"/>
  <c r="K23" i="2"/>
  <c r="K22" i="2"/>
  <c r="K21" i="2"/>
  <c r="K20" i="2"/>
  <c r="K19" i="2"/>
  <c r="K18" i="2"/>
  <c r="I1" i="9"/>
  <c r="K37" i="9"/>
  <c r="K36" i="9"/>
  <c r="K35" i="9"/>
  <c r="K34" i="9"/>
  <c r="K33" i="9"/>
  <c r="K32" i="9"/>
  <c r="K31" i="9"/>
  <c r="G21" i="6" l="1"/>
  <c r="H21" i="6" s="1"/>
  <c r="L15" i="2"/>
  <c r="L16" i="2"/>
  <c r="L17" i="2"/>
  <c r="L14" i="2"/>
  <c r="H20" i="6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32" i="3"/>
  <c r="O6" i="1" l="1"/>
  <c r="O5" i="1"/>
  <c r="H9" i="6" l="1"/>
  <c r="H10" i="6"/>
  <c r="H11" i="6"/>
  <c r="H12" i="6"/>
  <c r="H13" i="6"/>
  <c r="H14" i="6"/>
  <c r="H15" i="6"/>
  <c r="H16" i="6"/>
  <c r="H17" i="6"/>
  <c r="H8" i="6"/>
  <c r="L8" i="2"/>
  <c r="L9" i="2"/>
  <c r="L10" i="2"/>
  <c r="L11" i="2"/>
  <c r="L12" i="2"/>
  <c r="L13" i="2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19" i="3"/>
  <c r="N1119" i="3" l="1"/>
  <c r="N1124" i="3"/>
  <c r="N1130" i="3"/>
  <c r="N1128" i="3"/>
  <c r="N1120" i="3"/>
  <c r="N1131" i="3"/>
  <c r="N1126" i="3"/>
  <c r="N1122" i="3"/>
  <c r="N1127" i="3"/>
  <c r="N1129" i="3"/>
  <c r="N1125" i="3"/>
  <c r="N1121" i="3"/>
  <c r="N1123" i="3"/>
  <c r="G6" i="6"/>
  <c r="F6" i="6"/>
  <c r="E6" i="6"/>
  <c r="L7" i="2"/>
  <c r="L1118" i="3" l="1"/>
  <c r="L1" i="3" l="1"/>
  <c r="O4" i="1"/>
  <c r="N4" i="1"/>
  <c r="L4" i="1"/>
  <c r="H6" i="6" l="1"/>
  <c r="B4" i="6" l="1"/>
  <c r="K1" i="9"/>
  <c r="J1" i="9"/>
  <c r="N1" i="3"/>
  <c r="I1" i="2" l="1"/>
  <c r="Q2" i="1" l="1"/>
  <c r="P2" i="1"/>
  <c r="O2" i="1"/>
  <c r="N2" i="1"/>
  <c r="K1" i="2"/>
  <c r="J1" i="2"/>
  <c r="O1" i="3"/>
  <c r="M1" i="3" l="1"/>
  <c r="L1" i="2" l="1"/>
  <c r="N6" i="6" l="1"/>
  <c r="M6" i="6"/>
  <c r="L6" i="6"/>
  <c r="K6" i="6"/>
  <c r="L1" i="7" l="1"/>
  <c r="K1" i="7"/>
  <c r="J1" i="7"/>
  <c r="I1" i="7"/>
</calcChain>
</file>

<file path=xl/sharedStrings.xml><?xml version="1.0" encoding="utf-8"?>
<sst xmlns="http://schemas.openxmlformats.org/spreadsheetml/2006/main" count="7416" uniqueCount="4534">
  <si>
    <t>Proveedor</t>
  </si>
  <si>
    <t>CMSUCFOL</t>
  </si>
  <si>
    <t>Tienda/Cedis</t>
  </si>
  <si>
    <t>Formato</t>
  </si>
  <si>
    <t>Folio Entrada</t>
  </si>
  <si>
    <t>Fecha Factura</t>
  </si>
  <si>
    <t>Factura</t>
  </si>
  <si>
    <t>Valor de Factura</t>
  </si>
  <si>
    <t>Debió Pagar</t>
  </si>
  <si>
    <t>Pagado</t>
  </si>
  <si>
    <t>Diferencia Inicial</t>
  </si>
  <si>
    <t>Ajuste sistema</t>
  </si>
  <si>
    <t>Diferencia Final (inlcuye impuestos)</t>
  </si>
  <si>
    <t>Subtotal</t>
  </si>
  <si>
    <t>IVA</t>
  </si>
  <si>
    <t>Observaciones Auditor</t>
  </si>
  <si>
    <t>Documento sap</t>
  </si>
  <si>
    <t>Num Proveedor</t>
  </si>
  <si>
    <t>Año</t>
  </si>
  <si>
    <t>Negocio</t>
  </si>
  <si>
    <t>Fase</t>
  </si>
  <si>
    <t>Concepto</t>
  </si>
  <si>
    <t>Num Categoria</t>
  </si>
  <si>
    <t>Nombre Categoria</t>
  </si>
  <si>
    <t>Monto antes impuestos</t>
  </si>
  <si>
    <t>Total</t>
  </si>
  <si>
    <t>Tienda/CEDIS</t>
  </si>
  <si>
    <t>Fecha Pedido</t>
  </si>
  <si>
    <t>Pedido</t>
  </si>
  <si>
    <t>Fec Recibo</t>
  </si>
  <si>
    <t>Nota Entrada</t>
  </si>
  <si>
    <t>Total Pagado</t>
  </si>
  <si>
    <t>Debio Pagar</t>
  </si>
  <si>
    <t>Diferencia incluye impuestos</t>
  </si>
  <si>
    <t>IEPS</t>
  </si>
  <si>
    <t>Monto Total</t>
  </si>
  <si>
    <t>RELACION DE CARGOS A PROVEEDOR</t>
  </si>
  <si>
    <t>AUDITORIA DE PAGOS - PRGX</t>
  </si>
  <si>
    <t>FASE</t>
  </si>
  <si>
    <t>TOTAL</t>
  </si>
  <si>
    <t>Marcas Nestl S.A. de C.V.</t>
  </si>
  <si>
    <t>VALIDACIÓN DE CONDICIONES</t>
  </si>
  <si>
    <t>INTERPEC SAN MARCOS SA</t>
  </si>
  <si>
    <t>APORTACIONES</t>
  </si>
  <si>
    <t>SORIANA</t>
  </si>
  <si>
    <t>VALIDACION DE CONDICIONES</t>
  </si>
  <si>
    <t>COSTOS</t>
  </si>
  <si>
    <t>C3B501225</t>
  </si>
  <si>
    <t>MASCOTAS</t>
  </si>
  <si>
    <t>CONVENIOS</t>
  </si>
  <si>
    <t>C4A101277</t>
  </si>
  <si>
    <t>CARNE DE POLLO</t>
  </si>
  <si>
    <t>36827531</t>
  </si>
  <si>
    <t>1110183</t>
  </si>
  <si>
    <t>FWAC-258541</t>
  </si>
  <si>
    <t>Sobrepago</t>
  </si>
  <si>
    <t>100184441</t>
  </si>
  <si>
    <t>781930</t>
  </si>
  <si>
    <t>FJAC-23118</t>
  </si>
  <si>
    <t>33746062</t>
  </si>
  <si>
    <t>3420662</t>
  </si>
  <si>
    <t>FWAC-251544</t>
  </si>
  <si>
    <t>17749137</t>
  </si>
  <si>
    <t>1144258</t>
  </si>
  <si>
    <t>FWAC-242353</t>
  </si>
  <si>
    <t>20062621</t>
  </si>
  <si>
    <t>940567</t>
  </si>
  <si>
    <t>FWAC-246976</t>
  </si>
  <si>
    <t>36546514</t>
  </si>
  <si>
    <t>1101557</t>
  </si>
  <si>
    <t>FWAC-257612</t>
  </si>
  <si>
    <t>111471613</t>
  </si>
  <si>
    <t>1286551</t>
  </si>
  <si>
    <t>FWAC278145</t>
  </si>
  <si>
    <t>38134241</t>
  </si>
  <si>
    <t>3572557</t>
  </si>
  <si>
    <t>FWAC-260916</t>
  </si>
  <si>
    <t>100894435</t>
  </si>
  <si>
    <t>1080700</t>
  </si>
  <si>
    <t>FWAC-261210</t>
  </si>
  <si>
    <t>34223720</t>
  </si>
  <si>
    <t>990499</t>
  </si>
  <si>
    <t>FWAC-253037</t>
  </si>
  <si>
    <t>19012072</t>
  </si>
  <si>
    <t>917147</t>
  </si>
  <si>
    <t>FWAC-244678</t>
  </si>
  <si>
    <t>106395581</t>
  </si>
  <si>
    <t>876223</t>
  </si>
  <si>
    <t>FSIL-13373</t>
  </si>
  <si>
    <t>108073546</t>
  </si>
  <si>
    <t>1219177</t>
  </si>
  <si>
    <t>FYAC-93494</t>
  </si>
  <si>
    <t>101064072</t>
  </si>
  <si>
    <t>1339758</t>
  </si>
  <si>
    <t>FSIL-8475</t>
  </si>
  <si>
    <t>17534213</t>
  </si>
  <si>
    <t>3265005</t>
  </si>
  <si>
    <t>FWAC-241567</t>
  </si>
  <si>
    <t>36546519</t>
  </si>
  <si>
    <t>1038135</t>
  </si>
  <si>
    <t>FWAC-257445</t>
  </si>
  <si>
    <t>104281035</t>
  </si>
  <si>
    <t>851293</t>
  </si>
  <si>
    <t>FSIL-11574</t>
  </si>
  <si>
    <t>37077881</t>
  </si>
  <si>
    <t>1104963</t>
  </si>
  <si>
    <t>FWAC-257880</t>
  </si>
  <si>
    <t>18174087</t>
  </si>
  <si>
    <t>3285953</t>
  </si>
  <si>
    <t>FWAC-242887</t>
  </si>
  <si>
    <t>105545180</t>
  </si>
  <si>
    <t>3714924</t>
  </si>
  <si>
    <t>FWAC-269320</t>
  </si>
  <si>
    <t>17535461</t>
  </si>
  <si>
    <t>657184</t>
  </si>
  <si>
    <t>FYAC-84340</t>
  </si>
  <si>
    <t>20360770</t>
  </si>
  <si>
    <t>3365173</t>
  </si>
  <si>
    <t>FWAC-247878</t>
  </si>
  <si>
    <t>106516696</t>
  </si>
  <si>
    <t>1192822</t>
  </si>
  <si>
    <t>FWAC-270475</t>
  </si>
  <si>
    <t>102351981</t>
  </si>
  <si>
    <t>1368105</t>
  </si>
  <si>
    <t>FSIL-9752</t>
  </si>
  <si>
    <t>37468717</t>
  </si>
  <si>
    <t>790488</t>
  </si>
  <si>
    <t>FJAC-23218</t>
  </si>
  <si>
    <t>37894307</t>
  </si>
  <si>
    <t>1070851</t>
  </si>
  <si>
    <t>FWAC-260367</t>
  </si>
  <si>
    <t>18544032</t>
  </si>
  <si>
    <t>3300690</t>
  </si>
  <si>
    <t>FWAC-243848</t>
  </si>
  <si>
    <t>36463293</t>
  </si>
  <si>
    <t>1096372</t>
  </si>
  <si>
    <t>FWAC-257021</t>
  </si>
  <si>
    <t>19316934</t>
  </si>
  <si>
    <t>693590</t>
  </si>
  <si>
    <t>FJAC-22186</t>
  </si>
  <si>
    <t>107745307</t>
  </si>
  <si>
    <t>1464874</t>
  </si>
  <si>
    <t>FSIL-14660</t>
  </si>
  <si>
    <t>104549456</t>
  </si>
  <si>
    <t>853097</t>
  </si>
  <si>
    <t>FSIL-11722</t>
  </si>
  <si>
    <t>34123966</t>
  </si>
  <si>
    <t>3434442</t>
  </si>
  <si>
    <t>FWAC-252635</t>
  </si>
  <si>
    <t>110521314</t>
  </si>
  <si>
    <t>3830563</t>
  </si>
  <si>
    <t>FWAC-276344</t>
  </si>
  <si>
    <t>33104916</t>
  </si>
  <si>
    <t>969495</t>
  </si>
  <si>
    <t>FWAC-250219</t>
  </si>
  <si>
    <t>102199754</t>
  </si>
  <si>
    <t>3619915</t>
  </si>
  <si>
    <t>FWAC-263705</t>
  </si>
  <si>
    <t>33409385</t>
  </si>
  <si>
    <t>724321</t>
  </si>
  <si>
    <t>FJAC-22508</t>
  </si>
  <si>
    <t>109344924</t>
  </si>
  <si>
    <t>3804633</t>
  </si>
  <si>
    <t>FWAC274605</t>
  </si>
  <si>
    <t>100172205</t>
  </si>
  <si>
    <t>1311454</t>
  </si>
  <si>
    <t>FSIL-7067</t>
  </si>
  <si>
    <t>33365046</t>
  </si>
  <si>
    <t>804654</t>
  </si>
  <si>
    <t>FYAC-87075</t>
  </si>
  <si>
    <t>37243249</t>
  </si>
  <si>
    <t>1107546</t>
  </si>
  <si>
    <t>FWAC-258168</t>
  </si>
  <si>
    <t>109117203</t>
  </si>
  <si>
    <t>1488864</t>
  </si>
  <si>
    <t>FSIL-15899</t>
  </si>
  <si>
    <t>106112650</t>
  </si>
  <si>
    <t>1189114</t>
  </si>
  <si>
    <t>FWAC-270255</t>
  </si>
  <si>
    <t>36823751</t>
  </si>
  <si>
    <t>3519410</t>
  </si>
  <si>
    <t>FWAC-257630</t>
  </si>
  <si>
    <t>106121811</t>
  </si>
  <si>
    <t>1437105</t>
  </si>
  <si>
    <t>FSIL-13133</t>
  </si>
  <si>
    <t>37580404</t>
  </si>
  <si>
    <t>785303</t>
  </si>
  <si>
    <t>FJAC-23166</t>
  </si>
  <si>
    <t>20265524</t>
  </si>
  <si>
    <t>3359327</t>
  </si>
  <si>
    <t>FWAC-247481</t>
  </si>
  <si>
    <t>32405240</t>
  </si>
  <si>
    <t>1011424</t>
  </si>
  <si>
    <t>FWAC-248598</t>
  </si>
  <si>
    <t>33505795</t>
  </si>
  <si>
    <t>1231845</t>
  </si>
  <si>
    <t>FSIL-3182</t>
  </si>
  <si>
    <t>18051793</t>
  </si>
  <si>
    <t>954108</t>
  </si>
  <si>
    <t>FWAC-242902</t>
  </si>
  <si>
    <t>107791514</t>
  </si>
  <si>
    <t>895496</t>
  </si>
  <si>
    <t>FSIL-14701</t>
  </si>
  <si>
    <t>100172202</t>
  </si>
  <si>
    <t>3538873</t>
  </si>
  <si>
    <t>FWAC-258946</t>
  </si>
  <si>
    <t>33940421</t>
  </si>
  <si>
    <t>3427308</t>
  </si>
  <si>
    <t>FWAC-252042</t>
  </si>
  <si>
    <t>106003463</t>
  </si>
  <si>
    <t>3719206</t>
  </si>
  <si>
    <t>FWAC-269566</t>
  </si>
  <si>
    <t>110643069</t>
  </si>
  <si>
    <t>3834529</t>
  </si>
  <si>
    <t>FWAC-276622</t>
  </si>
  <si>
    <t>101506641</t>
  </si>
  <si>
    <t>1349482</t>
  </si>
  <si>
    <t>FSIL-8910</t>
  </si>
  <si>
    <t>4164160</t>
  </si>
  <si>
    <t>4429661</t>
  </si>
  <si>
    <t>FYAC-74844</t>
  </si>
  <si>
    <t>108014533</t>
  </si>
  <si>
    <t>897937</t>
  </si>
  <si>
    <t>FSIL-14849</t>
  </si>
  <si>
    <t>109433150</t>
  </si>
  <si>
    <t>1491331</t>
  </si>
  <si>
    <t>FSIL-16063</t>
  </si>
  <si>
    <t>103816692</t>
  </si>
  <si>
    <t>1086346</t>
  </si>
  <si>
    <t>FYAC-91862</t>
  </si>
  <si>
    <t>105850571</t>
  </si>
  <si>
    <t>868185</t>
  </si>
  <si>
    <t>FSIL-12784</t>
  </si>
  <si>
    <t>109358434</t>
  </si>
  <si>
    <t>1491332</t>
  </si>
  <si>
    <t>FSIL-16064</t>
  </si>
  <si>
    <t>19911515</t>
  </si>
  <si>
    <t>3353138</t>
  </si>
  <si>
    <t>FWAC-247038</t>
  </si>
  <si>
    <t>37871875</t>
  </si>
  <si>
    <t>1067548</t>
  </si>
  <si>
    <t>FWAC-260143</t>
  </si>
  <si>
    <t>36263995</t>
  </si>
  <si>
    <t>3509802</t>
  </si>
  <si>
    <t>FWAC-257036</t>
  </si>
  <si>
    <t>33274780</t>
  </si>
  <si>
    <t>3406988</t>
  </si>
  <si>
    <t>FWAC-250642</t>
  </si>
  <si>
    <t>105703207</t>
  </si>
  <si>
    <t>1181314</t>
  </si>
  <si>
    <t>FWAC-269539</t>
  </si>
  <si>
    <t>16680545</t>
  </si>
  <si>
    <t>3237897</t>
  </si>
  <si>
    <t>FWAC-239298</t>
  </si>
  <si>
    <t>104205368</t>
  </si>
  <si>
    <t>3671689</t>
  </si>
  <si>
    <t>FWAC-266928</t>
  </si>
  <si>
    <t>36172423</t>
  </si>
  <si>
    <t>3501208</t>
  </si>
  <si>
    <t>FWAC-256583</t>
  </si>
  <si>
    <t>102187457</t>
  </si>
  <si>
    <t>1036107</t>
  </si>
  <si>
    <t>FYAC-91097</t>
  </si>
  <si>
    <t>109842381</t>
  </si>
  <si>
    <t>1268891</t>
  </si>
  <si>
    <t>FYAC-94150</t>
  </si>
  <si>
    <t>33938821</t>
  </si>
  <si>
    <t>982983</t>
  </si>
  <si>
    <t>FWAC-251982</t>
  </si>
  <si>
    <t>17961912</t>
  </si>
  <si>
    <t>1144682</t>
  </si>
  <si>
    <t>FWAC-242365</t>
  </si>
  <si>
    <t>106286795</t>
  </si>
  <si>
    <t>1167147</t>
  </si>
  <si>
    <t>FYAC-92812</t>
  </si>
  <si>
    <t>104198019</t>
  </si>
  <si>
    <t>1399699</t>
  </si>
  <si>
    <t>FSIL-11449</t>
  </si>
  <si>
    <t>36823754</t>
  </si>
  <si>
    <t>3519406</t>
  </si>
  <si>
    <t>FWAC-257634</t>
  </si>
  <si>
    <t>18171446</t>
  </si>
  <si>
    <t>954113</t>
  </si>
  <si>
    <t>FWAC-242907</t>
  </si>
  <si>
    <t>17315267</t>
  </si>
  <si>
    <t>3257111</t>
  </si>
  <si>
    <t>FWAC-240862</t>
  </si>
  <si>
    <t>36293412</t>
  </si>
  <si>
    <t>1093758</t>
  </si>
  <si>
    <t>FWAC-256787</t>
  </si>
  <si>
    <t>100487596</t>
  </si>
  <si>
    <t>3557204</t>
  </si>
  <si>
    <t>FWAC-260052</t>
  </si>
  <si>
    <t>37305680</t>
  </si>
  <si>
    <t>779783</t>
  </si>
  <si>
    <t>FJAC-23102</t>
  </si>
  <si>
    <t>103689162</t>
  </si>
  <si>
    <t>3656934</t>
  </si>
  <si>
    <t>FWAC-266065</t>
  </si>
  <si>
    <t>34530454</t>
  </si>
  <si>
    <t>1031402</t>
  </si>
  <si>
    <t>FWAC-256759</t>
  </si>
  <si>
    <t>34157347</t>
  </si>
  <si>
    <t>736140</t>
  </si>
  <si>
    <t>FJAC-22616</t>
  </si>
  <si>
    <t>106109293</t>
  </si>
  <si>
    <t>1189814</t>
  </si>
  <si>
    <t>FWAC-270265</t>
  </si>
  <si>
    <t>109822929</t>
  </si>
  <si>
    <t>918498</t>
  </si>
  <si>
    <t>FSIL-16422</t>
  </si>
  <si>
    <t>105319618</t>
  </si>
  <si>
    <t>1168381</t>
  </si>
  <si>
    <t>FWAC-268764</t>
  </si>
  <si>
    <t>108564895</t>
  </si>
  <si>
    <t>2336656</t>
  </si>
  <si>
    <t>FWAC-273587</t>
  </si>
  <si>
    <t>7015267</t>
  </si>
  <si>
    <t>2890023</t>
  </si>
  <si>
    <t>FWAC-218921</t>
  </si>
  <si>
    <t>37359271</t>
  </si>
  <si>
    <t>3534105</t>
  </si>
  <si>
    <t>FWAC-258577</t>
  </si>
  <si>
    <t>100487597</t>
  </si>
  <si>
    <t>974888</t>
  </si>
  <si>
    <t>FYAC-90118</t>
  </si>
  <si>
    <t>37256772</t>
  </si>
  <si>
    <t>1049593</t>
  </si>
  <si>
    <t>FWAC-258504</t>
  </si>
  <si>
    <t>106710535</t>
  </si>
  <si>
    <t>1195924</t>
  </si>
  <si>
    <t>FWAC-270873</t>
  </si>
  <si>
    <t>105478625</t>
  </si>
  <si>
    <t>864289</t>
  </si>
  <si>
    <t>FSIL-12548</t>
  </si>
  <si>
    <t>37240108</t>
  </si>
  <si>
    <t>3528910</t>
  </si>
  <si>
    <t>FWAC-258203</t>
  </si>
  <si>
    <t>17096331</t>
  </si>
  <si>
    <t>3248931</t>
  </si>
  <si>
    <t>FWAC-240236</t>
  </si>
  <si>
    <t>105755832</t>
  </si>
  <si>
    <t>1150400</t>
  </si>
  <si>
    <t>FYAC-92575</t>
  </si>
  <si>
    <t>36114058</t>
  </si>
  <si>
    <t>1027865</t>
  </si>
  <si>
    <t>FWAC-256506</t>
  </si>
  <si>
    <t>20164809</t>
  </si>
  <si>
    <t>944472</t>
  </si>
  <si>
    <t>FWAC-247445</t>
  </si>
  <si>
    <t>36444815</t>
  </si>
  <si>
    <t>3509878</t>
  </si>
  <si>
    <t>FWAC-257056</t>
  </si>
  <si>
    <t>18077475</t>
  </si>
  <si>
    <t>676942</t>
  </si>
  <si>
    <t>FJAC-21956</t>
  </si>
  <si>
    <t>36170707</t>
  </si>
  <si>
    <t>1027796</t>
  </si>
  <si>
    <t>FWAC-256509</t>
  </si>
  <si>
    <t>104646076</t>
  </si>
  <si>
    <t>1124457</t>
  </si>
  <si>
    <t>FYAC-92297</t>
  </si>
  <si>
    <t>33563141</t>
  </si>
  <si>
    <t>3412913</t>
  </si>
  <si>
    <t>FWAC-251143</t>
  </si>
  <si>
    <t>37381126</t>
  </si>
  <si>
    <t>952892</t>
  </si>
  <si>
    <t>FYAC-89758</t>
  </si>
  <si>
    <t>109358435</t>
  </si>
  <si>
    <t>1247905</t>
  </si>
  <si>
    <t>FWAC-274582</t>
  </si>
  <si>
    <t>36659427</t>
  </si>
  <si>
    <t>3514057</t>
  </si>
  <si>
    <t>FWAC-257366</t>
  </si>
  <si>
    <t>105552282</t>
  </si>
  <si>
    <t>867602</t>
  </si>
  <si>
    <t>FSIL-12683</t>
  </si>
  <si>
    <t>33965157</t>
  </si>
  <si>
    <t>994352</t>
  </si>
  <si>
    <t>FWAC-253392</t>
  </si>
  <si>
    <t>34505561</t>
  </si>
  <si>
    <t>994357</t>
  </si>
  <si>
    <t>FWAC-253397</t>
  </si>
  <si>
    <t>106459256</t>
  </si>
  <si>
    <t>3733656</t>
  </si>
  <si>
    <t>FWAC-270571</t>
  </si>
  <si>
    <t>37130835</t>
  </si>
  <si>
    <t>782784</t>
  </si>
  <si>
    <t>FJAC-23129</t>
  </si>
  <si>
    <t>3618877</t>
  </si>
  <si>
    <t>FWAC-263636</t>
  </si>
  <si>
    <t>105701268</t>
  </si>
  <si>
    <t>1154998</t>
  </si>
  <si>
    <t>FYAC-92644</t>
  </si>
  <si>
    <t>102734660</t>
  </si>
  <si>
    <t>1375064</t>
  </si>
  <si>
    <t>FSIL-10096</t>
  </si>
  <si>
    <t>108646328</t>
  </si>
  <si>
    <t>905439</t>
  </si>
  <si>
    <t>FSIL-15411</t>
  </si>
  <si>
    <t>109006547</t>
  </si>
  <si>
    <t>910213</t>
  </si>
  <si>
    <t>FSIL-15789</t>
  </si>
  <si>
    <t>37480422</t>
  </si>
  <si>
    <t>783064</t>
  </si>
  <si>
    <t>FJAC-23145</t>
  </si>
  <si>
    <t>18173648</t>
  </si>
  <si>
    <t>678321</t>
  </si>
  <si>
    <t>FYAC-84769</t>
  </si>
  <si>
    <t>19231334</t>
  </si>
  <si>
    <t>722071</t>
  </si>
  <si>
    <t>FYAC-85581</t>
  </si>
  <si>
    <t>104600234</t>
  </si>
  <si>
    <t>854536</t>
  </si>
  <si>
    <t>FSIL-11942</t>
  </si>
  <si>
    <t>17313593</t>
  </si>
  <si>
    <t>1132681</t>
  </si>
  <si>
    <t>FWAC-240991</t>
  </si>
  <si>
    <t>37152759</t>
  </si>
  <si>
    <t>1047063</t>
  </si>
  <si>
    <t>FWAC-258270</t>
  </si>
  <si>
    <t>104455425</t>
  </si>
  <si>
    <t>1151263</t>
  </si>
  <si>
    <t>FWAC-267438</t>
  </si>
  <si>
    <t>106109291</t>
  </si>
  <si>
    <t>874810</t>
  </si>
  <si>
    <t>FSIL-13235</t>
  </si>
  <si>
    <t>36295455</t>
  </si>
  <si>
    <t>3505754</t>
  </si>
  <si>
    <t>FWAC-256818</t>
  </si>
  <si>
    <t>33556599</t>
  </si>
  <si>
    <t>1227155</t>
  </si>
  <si>
    <t>FSIL-2996</t>
  </si>
  <si>
    <t>111518613</t>
  </si>
  <si>
    <t>944946</t>
  </si>
  <si>
    <t>FSIL017796</t>
  </si>
  <si>
    <t>37873161</t>
  </si>
  <si>
    <t>792852</t>
  </si>
  <si>
    <t>FJAC-23243</t>
  </si>
  <si>
    <t>103914363</t>
  </si>
  <si>
    <t>846503</t>
  </si>
  <si>
    <t>FSIL-11369</t>
  </si>
  <si>
    <t>108564899</t>
  </si>
  <si>
    <t>1479671</t>
  </si>
  <si>
    <t>FSIL-15391</t>
  </si>
  <si>
    <t>18175336</t>
  </si>
  <si>
    <t>679654</t>
  </si>
  <si>
    <t>FJAC-22008</t>
  </si>
  <si>
    <t>37076187</t>
  </si>
  <si>
    <t>3524057</t>
  </si>
  <si>
    <t>FWAC-257915</t>
  </si>
  <si>
    <t>17095516</t>
  </si>
  <si>
    <t>1123979</t>
  </si>
  <si>
    <t>FWAC-240161</t>
  </si>
  <si>
    <t>17961966</t>
  </si>
  <si>
    <t>672494</t>
  </si>
  <si>
    <t>FYAC-84633</t>
  </si>
  <si>
    <t>108249275</t>
  </si>
  <si>
    <t>902236</t>
  </si>
  <si>
    <t>FSIL-15105</t>
  </si>
  <si>
    <t>37310371</t>
  </si>
  <si>
    <t>3544377</t>
  </si>
  <si>
    <t>FWAC-259343</t>
  </si>
  <si>
    <t>105552283</t>
  </si>
  <si>
    <t>1428737</t>
  </si>
  <si>
    <t>FSIL-12772</t>
  </si>
  <si>
    <t>105268941</t>
  </si>
  <si>
    <t>1164922</t>
  </si>
  <si>
    <t>FWAC-268489</t>
  </si>
  <si>
    <t>100340373</t>
  </si>
  <si>
    <t>3548803</t>
  </si>
  <si>
    <t>FWAC-259536</t>
  </si>
  <si>
    <t>34503581</t>
  </si>
  <si>
    <t>3448702</t>
  </si>
  <si>
    <t>FWAC-253436</t>
  </si>
  <si>
    <t>104252946</t>
  </si>
  <si>
    <t>849253</t>
  </si>
  <si>
    <t>FSIL-11460</t>
  </si>
  <si>
    <t>109621667</t>
  </si>
  <si>
    <t>1251350</t>
  </si>
  <si>
    <t>FWAC-274942</t>
  </si>
  <si>
    <t>103456735</t>
  </si>
  <si>
    <t>3652487</t>
  </si>
  <si>
    <t>FWAC-265765</t>
  </si>
  <si>
    <t>37306249</t>
  </si>
  <si>
    <t>1121650</t>
  </si>
  <si>
    <t>FWAC-259832</t>
  </si>
  <si>
    <t>18739975</t>
  </si>
  <si>
    <t>967615</t>
  </si>
  <si>
    <t>FWAC-244275</t>
  </si>
  <si>
    <t>37361971</t>
  </si>
  <si>
    <t>1311466</t>
  </si>
  <si>
    <t>FSIL-7073</t>
  </si>
  <si>
    <t>105473018</t>
  </si>
  <si>
    <t>3713712</t>
  </si>
  <si>
    <t>FWAC-269297</t>
  </si>
  <si>
    <t>37235853</t>
  </si>
  <si>
    <t>3529027</t>
  </si>
  <si>
    <t>FWAC-258219</t>
  </si>
  <si>
    <t>19462642</t>
  </si>
  <si>
    <t>693589</t>
  </si>
  <si>
    <t>FJAC-22185</t>
  </si>
  <si>
    <t>17314864</t>
  </si>
  <si>
    <t>3256835</t>
  </si>
  <si>
    <t>FWAC-240823</t>
  </si>
  <si>
    <t>101946710</t>
  </si>
  <si>
    <t>3610444</t>
  </si>
  <si>
    <t>FWAC-263121</t>
  </si>
  <si>
    <t>32511675</t>
  </si>
  <si>
    <t>778753</t>
  </si>
  <si>
    <t>FYAC-86561</t>
  </si>
  <si>
    <t>110012860</t>
  </si>
  <si>
    <t>920948</t>
  </si>
  <si>
    <t>FSIL-16573</t>
  </si>
  <si>
    <t>104455422</t>
  </si>
  <si>
    <t>1107433</t>
  </si>
  <si>
    <t>FYAC-92103</t>
  </si>
  <si>
    <t>101581758</t>
  </si>
  <si>
    <t>1015289</t>
  </si>
  <si>
    <t>FYAC-90776</t>
  </si>
  <si>
    <t>37871173</t>
  </si>
  <si>
    <t>975245</t>
  </si>
  <si>
    <t>FYAC-90121</t>
  </si>
  <si>
    <t>33556539</t>
  </si>
  <si>
    <t>811588</t>
  </si>
  <si>
    <t>FYAC-87239</t>
  </si>
  <si>
    <t>36878900</t>
  </si>
  <si>
    <t>1101848</t>
  </si>
  <si>
    <t>FWAC-257624</t>
  </si>
  <si>
    <t>111518615</t>
  </si>
  <si>
    <t>1289958</t>
  </si>
  <si>
    <t>FWAC278563</t>
  </si>
  <si>
    <t>102946235</t>
  </si>
  <si>
    <t>1074268</t>
  </si>
  <si>
    <t>FYAC-91653</t>
  </si>
  <si>
    <t>108759020</t>
  </si>
  <si>
    <t>907058</t>
  </si>
  <si>
    <t>FSIL-15528</t>
  </si>
  <si>
    <t>104121137</t>
  </si>
  <si>
    <t>1146192</t>
  </si>
  <si>
    <t>FWAC-266951</t>
  </si>
  <si>
    <t>18173070</t>
  </si>
  <si>
    <t>954115</t>
  </si>
  <si>
    <t>FWAC-242909</t>
  </si>
  <si>
    <t>110386843</t>
  </si>
  <si>
    <t>926179</t>
  </si>
  <si>
    <t>FSIL-16850</t>
  </si>
  <si>
    <t>109304621</t>
  </si>
  <si>
    <t>912535</t>
  </si>
  <si>
    <t>FSIL-15988</t>
  </si>
  <si>
    <t>36644157</t>
  </si>
  <si>
    <t>1099038</t>
  </si>
  <si>
    <t>FWAC-257364</t>
  </si>
  <si>
    <t>34730953</t>
  </si>
  <si>
    <t>1071658</t>
  </si>
  <si>
    <t>FWAC-254598</t>
  </si>
  <si>
    <t>111518614</t>
  </si>
  <si>
    <t>1537545</t>
  </si>
  <si>
    <t>FSIL017867</t>
  </si>
  <si>
    <t>104645825</t>
  </si>
  <si>
    <t>1153579</t>
  </si>
  <si>
    <t>FWAC-267662</t>
  </si>
  <si>
    <t>37456843</t>
  </si>
  <si>
    <t>3538796</t>
  </si>
  <si>
    <t>FWAC-258948</t>
  </si>
  <si>
    <t>16864328</t>
  </si>
  <si>
    <t>3241925</t>
  </si>
  <si>
    <t>FWAC239758</t>
  </si>
  <si>
    <t>105680047</t>
  </si>
  <si>
    <t>866010</t>
  </si>
  <si>
    <t>FSIL-12642</t>
  </si>
  <si>
    <t>110014229</t>
  </si>
  <si>
    <t>2355449</t>
  </si>
  <si>
    <t>FWAC-275768</t>
  </si>
  <si>
    <t>20062834</t>
  </si>
  <si>
    <t>995328</t>
  </si>
  <si>
    <t>FWAC-247001</t>
  </si>
  <si>
    <t>107891468</t>
  </si>
  <si>
    <t>3765018</t>
  </si>
  <si>
    <t>FWAC-272546</t>
  </si>
  <si>
    <t>102379150</t>
  </si>
  <si>
    <t>1125448</t>
  </si>
  <si>
    <t>FWAC-264915</t>
  </si>
  <si>
    <t>106177107</t>
  </si>
  <si>
    <t>1161233</t>
  </si>
  <si>
    <t>FYAC-92716</t>
  </si>
  <si>
    <t>106177308</t>
  </si>
  <si>
    <t>876222</t>
  </si>
  <si>
    <t>FSIL-13372</t>
  </si>
  <si>
    <t>37794488</t>
  </si>
  <si>
    <t>790487</t>
  </si>
  <si>
    <t>FJAC-23217</t>
  </si>
  <si>
    <t>106081991</t>
  </si>
  <si>
    <t>1189816</t>
  </si>
  <si>
    <t>FWAC-270269</t>
  </si>
  <si>
    <t>17256598</t>
  </si>
  <si>
    <t>882650</t>
  </si>
  <si>
    <t>FWAC-240738</t>
  </si>
  <si>
    <t>17748991</t>
  </si>
  <si>
    <t>949411</t>
  </si>
  <si>
    <t>FWAC-242307</t>
  </si>
  <si>
    <t>108646325</t>
  </si>
  <si>
    <t>2336659</t>
  </si>
  <si>
    <t>FWAC-273586</t>
  </si>
  <si>
    <t>108889139</t>
  </si>
  <si>
    <t>3790045</t>
  </si>
  <si>
    <t>FWAC-273703</t>
  </si>
  <si>
    <t>34787847</t>
  </si>
  <si>
    <t>1007123</t>
  </si>
  <si>
    <t>FWAC-254569</t>
  </si>
  <si>
    <t>110696524</t>
  </si>
  <si>
    <t>1513927</t>
  </si>
  <si>
    <t>FSIL-17039</t>
  </si>
  <si>
    <t>33363581</t>
  </si>
  <si>
    <t>971849</t>
  </si>
  <si>
    <t>FWAC-250618</t>
  </si>
  <si>
    <t>105314060</t>
  </si>
  <si>
    <t>862035</t>
  </si>
  <si>
    <t>FSIL-12369</t>
  </si>
  <si>
    <t>101368030</t>
  </si>
  <si>
    <t>1010018</t>
  </si>
  <si>
    <t>FYAC-90678</t>
  </si>
  <si>
    <t>17835510</t>
  </si>
  <si>
    <t>895018</t>
  </si>
  <si>
    <t>FWAC-242288</t>
  </si>
  <si>
    <t>17413506</t>
  </si>
  <si>
    <t>3264449</t>
  </si>
  <si>
    <t>FWAC-241538</t>
  </si>
  <si>
    <t>100004556</t>
  </si>
  <si>
    <t>3528207</t>
  </si>
  <si>
    <t>FWAC-258160</t>
  </si>
  <si>
    <t>106109289</t>
  </si>
  <si>
    <t>2305412</t>
  </si>
  <si>
    <t>FWAC-270078</t>
  </si>
  <si>
    <t>104734141</t>
  </si>
  <si>
    <t>1408108</t>
  </si>
  <si>
    <t>FSIL-11927</t>
  </si>
  <si>
    <t>16864333</t>
  </si>
  <si>
    <t>3242041</t>
  </si>
  <si>
    <t>FWAC-239746</t>
  </si>
  <si>
    <t>19159340</t>
  </si>
  <si>
    <t>3323909</t>
  </si>
  <si>
    <t>FWAC-245183</t>
  </si>
  <si>
    <t>18592525</t>
  </si>
  <si>
    <t>3300610</t>
  </si>
  <si>
    <t>FWAC-243819</t>
  </si>
  <si>
    <t>107891469</t>
  </si>
  <si>
    <t>1211686</t>
  </si>
  <si>
    <t>FYAC-93442</t>
  </si>
  <si>
    <t>35393959</t>
  </si>
  <si>
    <t>3482386</t>
  </si>
  <si>
    <t>FWAC-255328</t>
  </si>
  <si>
    <t>108159867</t>
  </si>
  <si>
    <t>1472826</t>
  </si>
  <si>
    <t>FSIL-14941</t>
  </si>
  <si>
    <t>106043774</t>
  </si>
  <si>
    <t>3728788</t>
  </si>
  <si>
    <t>FWAC-270305</t>
  </si>
  <si>
    <t>3621018</t>
  </si>
  <si>
    <t>FWAC-263757</t>
  </si>
  <si>
    <t>108276812</t>
  </si>
  <si>
    <t>3776440</t>
  </si>
  <si>
    <t>FWAC-273026</t>
  </si>
  <si>
    <t>103131720</t>
  </si>
  <si>
    <t>1381246</t>
  </si>
  <si>
    <t>FSIL-10493</t>
  </si>
  <si>
    <t>18594384</t>
  </si>
  <si>
    <t>963542</t>
  </si>
  <si>
    <t>FWAC-243928</t>
  </si>
  <si>
    <t>101285024</t>
  </si>
  <si>
    <t>1140263</t>
  </si>
  <si>
    <t>FWAC-261827</t>
  </si>
  <si>
    <t>37541615</t>
  </si>
  <si>
    <t>1314500</t>
  </si>
  <si>
    <t>FSIL-7245</t>
  </si>
  <si>
    <t>18170177</t>
  </si>
  <si>
    <t>954120</t>
  </si>
  <si>
    <t>FWAC-242914</t>
  </si>
  <si>
    <t>108646330</t>
  </si>
  <si>
    <t>1233812</t>
  </si>
  <si>
    <t>FWAC-273534</t>
  </si>
  <si>
    <t>32434800</t>
  </si>
  <si>
    <t>971847</t>
  </si>
  <si>
    <t>FWAC-250616</t>
  </si>
  <si>
    <t>103631032</t>
  </si>
  <si>
    <t>1096916</t>
  </si>
  <si>
    <t>FYAC-91979</t>
  </si>
  <si>
    <t>36806998</t>
  </si>
  <si>
    <t>1040345</t>
  </si>
  <si>
    <t>FWAC-257575</t>
  </si>
  <si>
    <t>33361532</t>
  </si>
  <si>
    <t>1222990</t>
  </si>
  <si>
    <t>FSIL-2796</t>
  </si>
  <si>
    <t>109210888</t>
  </si>
  <si>
    <t>1256002</t>
  </si>
  <si>
    <t>FYAC-93943</t>
  </si>
  <si>
    <t>109188860</t>
  </si>
  <si>
    <t>1489673</t>
  </si>
  <si>
    <t>FSIL-15967</t>
  </si>
  <si>
    <t>34450546</t>
  </si>
  <si>
    <t>1059411</t>
  </si>
  <si>
    <t>FWAC-253446</t>
  </si>
  <si>
    <t>37361970</t>
  </si>
  <si>
    <t>1311465</t>
  </si>
  <si>
    <t>FSIL-7076</t>
  </si>
  <si>
    <t>18173457</t>
  </si>
  <si>
    <t>678324</t>
  </si>
  <si>
    <t>FYAC-84766</t>
  </si>
  <si>
    <t>18282854</t>
  </si>
  <si>
    <t>690691</t>
  </si>
  <si>
    <t>FYAC-84969</t>
  </si>
  <si>
    <t>37077798</t>
  </si>
  <si>
    <t>3524059</t>
  </si>
  <si>
    <t>FWAC-257917</t>
  </si>
  <si>
    <t>33940424</t>
  </si>
  <si>
    <t>3427306</t>
  </si>
  <si>
    <t>FWAC-252044</t>
  </si>
  <si>
    <t>20117981</t>
  </si>
  <si>
    <t>702344</t>
  </si>
  <si>
    <t>FJAC-22269</t>
  </si>
  <si>
    <t>103581492</t>
  </si>
  <si>
    <t>1417770</t>
  </si>
  <si>
    <t>FSIL-12322</t>
  </si>
  <si>
    <t>37625253</t>
  </si>
  <si>
    <t>3559342</t>
  </si>
  <si>
    <t>FWAC-260154</t>
  </si>
  <si>
    <t>18170178</t>
  </si>
  <si>
    <t>954119</t>
  </si>
  <si>
    <t>FWAC-242913</t>
  </si>
  <si>
    <t>103286888</t>
  </si>
  <si>
    <t>1068109</t>
  </si>
  <si>
    <t>FYAC-91578</t>
  </si>
  <si>
    <t>109409036</t>
  </si>
  <si>
    <t>1245976</t>
  </si>
  <si>
    <t>FWAC-274521</t>
  </si>
  <si>
    <t>18130932</t>
  </si>
  <si>
    <t>678322</t>
  </si>
  <si>
    <t>FYAC-84768</t>
  </si>
  <si>
    <t>106109292</t>
  </si>
  <si>
    <t>1437346</t>
  </si>
  <si>
    <t>FSIL-13161</t>
  </si>
  <si>
    <t>100333604</t>
  </si>
  <si>
    <t>964568</t>
  </si>
  <si>
    <t>FYAC-89980</t>
  </si>
  <si>
    <t>105633105</t>
  </si>
  <si>
    <t>3711391</t>
  </si>
  <si>
    <t>FWAC-269160</t>
  </si>
  <si>
    <t>34504414</t>
  </si>
  <si>
    <t>994358</t>
  </si>
  <si>
    <t>FWAC-253395</t>
  </si>
  <si>
    <t>108422875</t>
  </si>
  <si>
    <t>1230224</t>
  </si>
  <si>
    <t>FWAC-273300</t>
  </si>
  <si>
    <t>109842807</t>
  </si>
  <si>
    <t>918509</t>
  </si>
  <si>
    <t>FSIL-16427</t>
  </si>
  <si>
    <t>37516475</t>
  </si>
  <si>
    <t>1060198</t>
  </si>
  <si>
    <t>FWAC-259500</t>
  </si>
  <si>
    <t>104524155</t>
  </si>
  <si>
    <t>1151246</t>
  </si>
  <si>
    <t>FWAC-267450</t>
  </si>
  <si>
    <t>100939901</t>
  </si>
  <si>
    <t>1134807</t>
  </si>
  <si>
    <t>FWAC-261227</t>
  </si>
  <si>
    <t>109381976</t>
  </si>
  <si>
    <t>1253425</t>
  </si>
  <si>
    <t>FYAC-93988</t>
  </si>
  <si>
    <t>107846041</t>
  </si>
  <si>
    <t>895495</t>
  </si>
  <si>
    <t>FSIL-14702</t>
  </si>
  <si>
    <t>104799440</t>
  </si>
  <si>
    <t>1413399</t>
  </si>
  <si>
    <t>FSIL-12144</t>
  </si>
  <si>
    <t>1107385</t>
  </si>
  <si>
    <t>FYAC-92100</t>
  </si>
  <si>
    <t>17961910</t>
  </si>
  <si>
    <t>1144681</t>
  </si>
  <si>
    <t>FWAC-242364</t>
  </si>
  <si>
    <t>19230821</t>
  </si>
  <si>
    <t>978221</t>
  </si>
  <si>
    <t>FWAC-245200</t>
  </si>
  <si>
    <t>34504533</t>
  </si>
  <si>
    <t>1059410</t>
  </si>
  <si>
    <t>FWAC-253445</t>
  </si>
  <si>
    <t>100851931</t>
  </si>
  <si>
    <t>802803</t>
  </si>
  <si>
    <t>FJAC-23340</t>
  </si>
  <si>
    <t>37240106</t>
  </si>
  <si>
    <t>3529026</t>
  </si>
  <si>
    <t>FWAC-258220</t>
  </si>
  <si>
    <t>944822</t>
  </si>
  <si>
    <t>FWAC-247467</t>
  </si>
  <si>
    <t>101108821</t>
  </si>
  <si>
    <t>1083918</t>
  </si>
  <si>
    <t>FWAC-261480</t>
  </si>
  <si>
    <t>105452482</t>
  </si>
  <si>
    <t>3704582</t>
  </si>
  <si>
    <t>FWAC-268817</t>
  </si>
  <si>
    <t>100178135</t>
  </si>
  <si>
    <t>3538793</t>
  </si>
  <si>
    <t>FWAC-258912</t>
  </si>
  <si>
    <t>108202159</t>
  </si>
  <si>
    <t>1227743</t>
  </si>
  <si>
    <t>FWAC-273088</t>
  </si>
  <si>
    <t>105552281</t>
  </si>
  <si>
    <t>1148864</t>
  </si>
  <si>
    <t>FYAC-92546</t>
  </si>
  <si>
    <t>107790317</t>
  </si>
  <si>
    <t>1464877</t>
  </si>
  <si>
    <t>FSIL-14663</t>
  </si>
  <si>
    <t>37276986</t>
  </si>
  <si>
    <t>1052733</t>
  </si>
  <si>
    <t>FWAC-258833</t>
  </si>
  <si>
    <t>19852889</t>
  </si>
  <si>
    <t>935742</t>
  </si>
  <si>
    <t>FWAC-246567</t>
  </si>
  <si>
    <t>105744213</t>
  </si>
  <si>
    <t>2298728</t>
  </si>
  <si>
    <t>FWAC-269293</t>
  </si>
  <si>
    <t>37804107</t>
  </si>
  <si>
    <t>1074604</t>
  </si>
  <si>
    <t>FWAC-260612</t>
  </si>
  <si>
    <t>105048203</t>
  </si>
  <si>
    <t>1161188</t>
  </si>
  <si>
    <t>FWAC-268198</t>
  </si>
  <si>
    <t>107463673</t>
  </si>
  <si>
    <t>893015</t>
  </si>
  <si>
    <t>FSIL-14566</t>
  </si>
  <si>
    <t>108464228</t>
  </si>
  <si>
    <t>3779979</t>
  </si>
  <si>
    <t>FWAC-273195</t>
  </si>
  <si>
    <t>17022238</t>
  </si>
  <si>
    <t>930963</t>
  </si>
  <si>
    <t>FWAC-240219</t>
  </si>
  <si>
    <t>32352625</t>
  </si>
  <si>
    <t>3376781</t>
  </si>
  <si>
    <t>FWAC-248617</t>
  </si>
  <si>
    <t>100178138</t>
  </si>
  <si>
    <t>1311464</t>
  </si>
  <si>
    <t>FSIL-7077</t>
  </si>
  <si>
    <t>32598538</t>
  </si>
  <si>
    <t>3383572</t>
  </si>
  <si>
    <t>FWAC-249071</t>
  </si>
  <si>
    <t>18173456</t>
  </si>
  <si>
    <t>678328</t>
  </si>
  <si>
    <t>FYAC-84770</t>
  </si>
  <si>
    <t>110213341</t>
  </si>
  <si>
    <t>923679</t>
  </si>
  <si>
    <t>FSIL-16762</t>
  </si>
  <si>
    <t>108775017</t>
  </si>
  <si>
    <t>3794471</t>
  </si>
  <si>
    <t>FWAC-274010</t>
  </si>
  <si>
    <t>100939557</t>
  </si>
  <si>
    <t>1137468</t>
  </si>
  <si>
    <t>FWAC-261490</t>
  </si>
  <si>
    <t>17964947</t>
  </si>
  <si>
    <t>895025</t>
  </si>
  <si>
    <t>FWAC-242296</t>
  </si>
  <si>
    <t>33696355</t>
  </si>
  <si>
    <t>1041414</t>
  </si>
  <si>
    <t>FWAC-251491</t>
  </si>
  <si>
    <t>17158184</t>
  </si>
  <si>
    <t>882666</t>
  </si>
  <si>
    <t>SPFWAC240853</t>
  </si>
  <si>
    <t>33297885</t>
  </si>
  <si>
    <t>3406777</t>
  </si>
  <si>
    <t>FWAC-250632</t>
  </si>
  <si>
    <t>107999703</t>
  </si>
  <si>
    <t>3770480</t>
  </si>
  <si>
    <t>FWAC-272784</t>
  </si>
  <si>
    <t>17365629</t>
  </si>
  <si>
    <t>666236</t>
  </si>
  <si>
    <t>FJAC-21831</t>
  </si>
  <si>
    <t>108160701</t>
  </si>
  <si>
    <t>3773633</t>
  </si>
  <si>
    <t>FWAC-272915</t>
  </si>
  <si>
    <t>104907105</t>
  </si>
  <si>
    <t>1115801</t>
  </si>
  <si>
    <t>FYAC-92206</t>
  </si>
  <si>
    <t>37589274</t>
  </si>
  <si>
    <t>3555030</t>
  </si>
  <si>
    <t>FWAC-259879</t>
  </si>
  <si>
    <t>32551734</t>
  </si>
  <si>
    <t>958297</t>
  </si>
  <si>
    <t>FWAC-249013</t>
  </si>
  <si>
    <t>CITY</t>
  </si>
  <si>
    <t>110278685</t>
  </si>
  <si>
    <t>52224</t>
  </si>
  <si>
    <t>FSIL-16867</t>
  </si>
  <si>
    <t>107792167</t>
  </si>
  <si>
    <t>1216004</t>
  </si>
  <si>
    <t>FWAC-272419</t>
  </si>
  <si>
    <t>120244684</t>
  </si>
  <si>
    <t>4073455</t>
  </si>
  <si>
    <t>FWAC291161</t>
  </si>
  <si>
    <t>37516436</t>
  </si>
  <si>
    <t>1314054</t>
  </si>
  <si>
    <t>FSIL-7230</t>
  </si>
  <si>
    <t>107976547</t>
  </si>
  <si>
    <t>1468251</t>
  </si>
  <si>
    <t>FSIL-14813</t>
  </si>
  <si>
    <t>105090950</t>
  </si>
  <si>
    <t>3694032</t>
  </si>
  <si>
    <t>FWAC-268221</t>
  </si>
  <si>
    <t>37361666</t>
  </si>
  <si>
    <t>1311463</t>
  </si>
  <si>
    <t>FSIL-7075</t>
  </si>
  <si>
    <t>17022237</t>
  </si>
  <si>
    <t>930967</t>
  </si>
  <si>
    <t>FWAC-240223</t>
  </si>
  <si>
    <t>109112820</t>
  </si>
  <si>
    <t>3799316</t>
  </si>
  <si>
    <t>FWAC-274260</t>
  </si>
  <si>
    <t>3544116</t>
  </si>
  <si>
    <t>FWAC-259305</t>
  </si>
  <si>
    <t>106109290</t>
  </si>
  <si>
    <t>3725657</t>
  </si>
  <si>
    <t>FWAC-270045</t>
  </si>
  <si>
    <t>37979015</t>
  </si>
  <si>
    <t>991008</t>
  </si>
  <si>
    <t>FYAC-90363</t>
  </si>
  <si>
    <t>3790064</t>
  </si>
  <si>
    <t>FWAC-273704</t>
  </si>
  <si>
    <t>18173540</t>
  </si>
  <si>
    <t>3285959</t>
  </si>
  <si>
    <t>FWAC-242893</t>
  </si>
  <si>
    <t>3728480</t>
  </si>
  <si>
    <t>FWAC-270295</t>
  </si>
  <si>
    <t>100179877</t>
  </si>
  <si>
    <t>3543525</t>
  </si>
  <si>
    <t>FWAC-259241</t>
  </si>
  <si>
    <t>33110537</t>
  </si>
  <si>
    <t>3400127</t>
  </si>
  <si>
    <t>FWAC-250151</t>
  </si>
  <si>
    <t>33297886</t>
  </si>
  <si>
    <t>3406990</t>
  </si>
  <si>
    <t>FWAC-250640</t>
  </si>
  <si>
    <t>33556538</t>
  </si>
  <si>
    <t>811509</t>
  </si>
  <si>
    <t>FYAC-87227</t>
  </si>
  <si>
    <t>105566192</t>
  </si>
  <si>
    <t>1173253</t>
  </si>
  <si>
    <t>FWAC-269107</t>
  </si>
  <si>
    <t>109614751</t>
  </si>
  <si>
    <t>1260120</t>
  </si>
  <si>
    <t>FYAC-94047</t>
  </si>
  <si>
    <t>34455369</t>
  </si>
  <si>
    <t>995288</t>
  </si>
  <si>
    <t>FWAC-253413</t>
  </si>
  <si>
    <t>108646329</t>
  </si>
  <si>
    <t>1479672</t>
  </si>
  <si>
    <t>FSIL-15390</t>
  </si>
  <si>
    <t>34394407</t>
  </si>
  <si>
    <t>3448694</t>
  </si>
  <si>
    <t>FWAC-253428</t>
  </si>
  <si>
    <t>17566299</t>
  </si>
  <si>
    <t>949409</t>
  </si>
  <si>
    <t>FWAC-242309</t>
  </si>
  <si>
    <t>18050839</t>
  </si>
  <si>
    <t>676957</t>
  </si>
  <si>
    <t>FJAC-21971</t>
  </si>
  <si>
    <t>101284502</t>
  </si>
  <si>
    <t>1004969</t>
  </si>
  <si>
    <t>FYAC-90574</t>
  </si>
  <si>
    <t>104456021</t>
  </si>
  <si>
    <t>3681523</t>
  </si>
  <si>
    <t>FWAC-267510</t>
  </si>
  <si>
    <t>18230079</t>
  </si>
  <si>
    <t>680019</t>
  </si>
  <si>
    <t>FJAC-22017</t>
  </si>
  <si>
    <t>20360769</t>
  </si>
  <si>
    <t>1003404</t>
  </si>
  <si>
    <t>FWAC-247861</t>
  </si>
  <si>
    <t>110279354</t>
  </si>
  <si>
    <t>3824645</t>
  </si>
  <si>
    <t>FWAC-275867</t>
  </si>
  <si>
    <t>109358431</t>
  </si>
  <si>
    <t>3803752</t>
  </si>
  <si>
    <t>FWAC-274571</t>
  </si>
  <si>
    <t>18282856</t>
  </si>
  <si>
    <t>690689</t>
  </si>
  <si>
    <t>FYAC-84967</t>
  </si>
  <si>
    <t>109360418</t>
  </si>
  <si>
    <t>3803857</t>
  </si>
  <si>
    <t>FWAC-274572</t>
  </si>
  <si>
    <t>105809122</t>
  </si>
  <si>
    <t>1177036</t>
  </si>
  <si>
    <t>FWAC-269292</t>
  </si>
  <si>
    <t>17091277</t>
  </si>
  <si>
    <t>3248927</t>
  </si>
  <si>
    <t>FWAC-240242</t>
  </si>
  <si>
    <t>100184442</t>
  </si>
  <si>
    <t>1311462</t>
  </si>
  <si>
    <t>FSIL-7072</t>
  </si>
  <si>
    <t>103343631</t>
  </si>
  <si>
    <t>3647893</t>
  </si>
  <si>
    <t>FWAC-265545</t>
  </si>
  <si>
    <t>19432336</t>
  </si>
  <si>
    <t>1175697</t>
  </si>
  <si>
    <t>FSIL-973</t>
  </si>
  <si>
    <t>32527614</t>
  </si>
  <si>
    <t>1209226</t>
  </si>
  <si>
    <t>FSIL-2224</t>
  </si>
  <si>
    <t>37771832</t>
  </si>
  <si>
    <t>969624</t>
  </si>
  <si>
    <t>FYAC-90037</t>
  </si>
  <si>
    <t>36484033</t>
  </si>
  <si>
    <t>3514185</t>
  </si>
  <si>
    <t>FWAC-257374</t>
  </si>
  <si>
    <t>37077244</t>
  </si>
  <si>
    <t>1044454</t>
  </si>
  <si>
    <t>FWAC-257901</t>
  </si>
  <si>
    <t>18171053</t>
  </si>
  <si>
    <t>3297242</t>
  </si>
  <si>
    <t>FWAC-243599</t>
  </si>
  <si>
    <t>36209993</t>
  </si>
  <si>
    <t>1031407</t>
  </si>
  <si>
    <t>FWAC-256765</t>
  </si>
  <si>
    <t>102951676</t>
  </si>
  <si>
    <t>1125447</t>
  </si>
  <si>
    <t>FWAC-264913</t>
  </si>
  <si>
    <t>101456992</t>
  </si>
  <si>
    <t>1145945</t>
  </si>
  <si>
    <t>FWAC-262468</t>
  </si>
  <si>
    <t>107590603</t>
  </si>
  <si>
    <t>1212758</t>
  </si>
  <si>
    <t>FWAC-272150</t>
  </si>
  <si>
    <t>36283548</t>
  </si>
  <si>
    <t>3505718</t>
  </si>
  <si>
    <t>FWAC-256819</t>
  </si>
  <si>
    <t>102836943</t>
  </si>
  <si>
    <t>1121937</t>
  </si>
  <si>
    <t>FWAC-264625</t>
  </si>
  <si>
    <t>17095707</t>
  </si>
  <si>
    <t>877723</t>
  </si>
  <si>
    <t>FWAC240260</t>
  </si>
  <si>
    <t>16685930</t>
  </si>
  <si>
    <t>923939</t>
  </si>
  <si>
    <t>FWAC-239291</t>
  </si>
  <si>
    <t>19067195</t>
  </si>
  <si>
    <t>691746</t>
  </si>
  <si>
    <t>FJAC-22160</t>
  </si>
  <si>
    <t>37873268</t>
  </si>
  <si>
    <t>1324755</t>
  </si>
  <si>
    <t>FSIL-7708</t>
  </si>
  <si>
    <t>19911514</t>
  </si>
  <si>
    <t>3352971</t>
  </si>
  <si>
    <t>FWAC-247014</t>
  </si>
  <si>
    <t>37693971</t>
  </si>
  <si>
    <t>788617</t>
  </si>
  <si>
    <t>FJAC-23192</t>
  </si>
  <si>
    <t>16332138</t>
  </si>
  <si>
    <t>1116309</t>
  </si>
  <si>
    <t>FWAC-238918</t>
  </si>
  <si>
    <t>3718847</t>
  </si>
  <si>
    <t>FWAC-269551</t>
  </si>
  <si>
    <t>34681675</t>
  </si>
  <si>
    <t>999515</t>
  </si>
  <si>
    <t>FWAC-253696</t>
  </si>
  <si>
    <t>102584802</t>
  </si>
  <si>
    <t>1117877</t>
  </si>
  <si>
    <t>FWAC-264375</t>
  </si>
  <si>
    <t>691805</t>
  </si>
  <si>
    <t>FJAC-22159</t>
  </si>
  <si>
    <t>105480776</t>
  </si>
  <si>
    <t>3715763</t>
  </si>
  <si>
    <t>FWAC-269377</t>
  </si>
  <si>
    <t>102279031</t>
  </si>
  <si>
    <t>1111612</t>
  </si>
  <si>
    <t>FWAC-263790</t>
  </si>
  <si>
    <t>102734656</t>
  </si>
  <si>
    <t>1166659</t>
  </si>
  <si>
    <t>FWAC-264620</t>
  </si>
  <si>
    <t>107423229</t>
  </si>
  <si>
    <t>1224761</t>
  </si>
  <si>
    <t>FWAC-272893</t>
  </si>
  <si>
    <t>17313843</t>
  </si>
  <si>
    <t>1130035</t>
  </si>
  <si>
    <t>FWAC240781</t>
  </si>
  <si>
    <t>3781352</t>
  </si>
  <si>
    <t>FWAC-273326</t>
  </si>
  <si>
    <t>108564896</t>
  </si>
  <si>
    <t>3786168</t>
  </si>
  <si>
    <t>FWAC-273595</t>
  </si>
  <si>
    <t>101415060</t>
  </si>
  <si>
    <t>1091307</t>
  </si>
  <si>
    <t>FWAC-262044</t>
  </si>
  <si>
    <t>109011154</t>
  </si>
  <si>
    <t>1245102</t>
  </si>
  <si>
    <t>FYAC-93831</t>
  </si>
  <si>
    <t>105950037</t>
  </si>
  <si>
    <t>871265</t>
  </si>
  <si>
    <t>FSIL-12957</t>
  </si>
  <si>
    <t>36172395</t>
  </si>
  <si>
    <t>3501207</t>
  </si>
  <si>
    <t>FWAC-256584</t>
  </si>
  <si>
    <t>33561214</t>
  </si>
  <si>
    <t>811590</t>
  </si>
  <si>
    <t>FYAC-87236</t>
  </si>
  <si>
    <t>104730207</t>
  </si>
  <si>
    <t>2283754</t>
  </si>
  <si>
    <t>FWAC-267828</t>
  </si>
  <si>
    <t>18542035</t>
  </si>
  <si>
    <t>908058</t>
  </si>
  <si>
    <t>FWAC-243894</t>
  </si>
  <si>
    <t>20464102</t>
  </si>
  <si>
    <t>3365409</t>
  </si>
  <si>
    <t>FWAC-247899</t>
  </si>
  <si>
    <t>18742589</t>
  </si>
  <si>
    <t>3308541</t>
  </si>
  <si>
    <t>FWAC-244316</t>
  </si>
  <si>
    <t>105947544</t>
  </si>
  <si>
    <t>1189819</t>
  </si>
  <si>
    <t>FWAC-270276</t>
  </si>
  <si>
    <t>16328691</t>
  </si>
  <si>
    <t>1116305</t>
  </si>
  <si>
    <t>FWAC-238913</t>
  </si>
  <si>
    <t>37725654</t>
  </si>
  <si>
    <t>3559349</t>
  </si>
  <si>
    <t>FWAC-260184</t>
  </si>
  <si>
    <t>18229282</t>
  </si>
  <si>
    <t>676947</t>
  </si>
  <si>
    <t>FJAC-21961</t>
  </si>
  <si>
    <t>107633489</t>
  </si>
  <si>
    <t>3763036</t>
  </si>
  <si>
    <t>FWAC-272433</t>
  </si>
  <si>
    <t>17158185</t>
  </si>
  <si>
    <t>882661</t>
  </si>
  <si>
    <t>FWAC-240848</t>
  </si>
  <si>
    <t>18646658</t>
  </si>
  <si>
    <t>1162870</t>
  </si>
  <si>
    <t>FSIL-540</t>
  </si>
  <si>
    <t>3619381</t>
  </si>
  <si>
    <t>FWAC-263672</t>
  </si>
  <si>
    <t>20657996</t>
  </si>
  <si>
    <t>3371232</t>
  </si>
  <si>
    <t>FWAC-248213</t>
  </si>
  <si>
    <t>100178136</t>
  </si>
  <si>
    <t>954989</t>
  </si>
  <si>
    <t>FYAC-89799</t>
  </si>
  <si>
    <t>101744355</t>
  </si>
  <si>
    <t>1149391</t>
  </si>
  <si>
    <t>FWAC-262864</t>
  </si>
  <si>
    <t>34418090</t>
  </si>
  <si>
    <t>1059414</t>
  </si>
  <si>
    <t>FWAC-253449</t>
  </si>
  <si>
    <t>20259757</t>
  </si>
  <si>
    <t>3359331</t>
  </si>
  <si>
    <t>FWAC-247483</t>
  </si>
  <si>
    <t>18170453</t>
  </si>
  <si>
    <t>3285961</t>
  </si>
  <si>
    <t>FWAC-242895</t>
  </si>
  <si>
    <t>102500541</t>
  </si>
  <si>
    <t>1114565</t>
  </si>
  <si>
    <t>FWAC-264049</t>
  </si>
  <si>
    <t>102379401</t>
  </si>
  <si>
    <t>823981</t>
  </si>
  <si>
    <t>FJAC-23494</t>
  </si>
  <si>
    <t>37794541</t>
  </si>
  <si>
    <t>790485</t>
  </si>
  <si>
    <t>FJAC-23213</t>
  </si>
  <si>
    <t>17805086</t>
  </si>
  <si>
    <t>895029</t>
  </si>
  <si>
    <t>FWAC-242272</t>
  </si>
  <si>
    <t>37566255</t>
  </si>
  <si>
    <t>958897</t>
  </si>
  <si>
    <t>FYAC-89862</t>
  </si>
  <si>
    <t>102712461</t>
  </si>
  <si>
    <t>829826</t>
  </si>
  <si>
    <t>FSIL-9972</t>
  </si>
  <si>
    <t>16701205</t>
  </si>
  <si>
    <t>868777</t>
  </si>
  <si>
    <t>FWAC239315</t>
  </si>
  <si>
    <t>106106248</t>
  </si>
  <si>
    <t>1189112</t>
  </si>
  <si>
    <t>FWAC-270254</t>
  </si>
  <si>
    <t>107592940</t>
  </si>
  <si>
    <t>1461788</t>
  </si>
  <si>
    <t>FSIL-14524</t>
  </si>
  <si>
    <t>104145627</t>
  </si>
  <si>
    <t>1399697</t>
  </si>
  <si>
    <t>FSIL-11451</t>
  </si>
  <si>
    <t>32458589</t>
  </si>
  <si>
    <t>712211</t>
  </si>
  <si>
    <t>FJAC-22368</t>
  </si>
  <si>
    <t>35477414</t>
  </si>
  <si>
    <t>1086476</t>
  </si>
  <si>
    <t>FWAC-256105</t>
  </si>
  <si>
    <t>33296579</t>
  </si>
  <si>
    <t>1223018</t>
  </si>
  <si>
    <t>FSIL-2807</t>
  </si>
  <si>
    <t>35494823</t>
  </si>
  <si>
    <t>1017832</t>
  </si>
  <si>
    <t>FWAC-255503</t>
  </si>
  <si>
    <t>36643733</t>
  </si>
  <si>
    <t>1037153</t>
  </si>
  <si>
    <t>FWAC-257382</t>
  </si>
  <si>
    <t>110044618</t>
  </si>
  <si>
    <t>1504774</t>
  </si>
  <si>
    <t>FSIL-16686</t>
  </si>
  <si>
    <t>101838109</t>
  </si>
  <si>
    <t>1360004</t>
  </si>
  <si>
    <t>FSIL-9381</t>
  </si>
  <si>
    <t>19231439</t>
  </si>
  <si>
    <t>691347</t>
  </si>
  <si>
    <t>FJAC-22161</t>
  </si>
  <si>
    <t>37715769</t>
  </si>
  <si>
    <t>1321261</t>
  </si>
  <si>
    <t>FSIL-7547</t>
  </si>
  <si>
    <t>109903963</t>
  </si>
  <si>
    <t>2353705</t>
  </si>
  <si>
    <t>FWAC-275540</t>
  </si>
  <si>
    <t>18739973</t>
  </si>
  <si>
    <t>967620</t>
  </si>
  <si>
    <t>FWAC-244272</t>
  </si>
  <si>
    <t>32251120</t>
  </si>
  <si>
    <t>3376782</t>
  </si>
  <si>
    <t>FWAC-248616</t>
  </si>
  <si>
    <t>109117201</t>
  </si>
  <si>
    <t>1249420</t>
  </si>
  <si>
    <t>FYAC-93912</t>
  </si>
  <si>
    <t>102183894</t>
  </si>
  <si>
    <t>1160704</t>
  </si>
  <si>
    <t>FWAC-263769</t>
  </si>
  <si>
    <t>20529179</t>
  </si>
  <si>
    <t>1007523</t>
  </si>
  <si>
    <t>FWAC-248223</t>
  </si>
  <si>
    <t>4123484</t>
  </si>
  <si>
    <t>4430038</t>
  </si>
  <si>
    <t>FYAC-74866</t>
  </si>
  <si>
    <t>102734659</t>
  </si>
  <si>
    <t>830501</t>
  </si>
  <si>
    <t>FSIL-10024</t>
  </si>
  <si>
    <t>107929194</t>
  </si>
  <si>
    <t>2327139</t>
  </si>
  <si>
    <t>FWAC-272668</t>
  </si>
  <si>
    <t>103475847</t>
  </si>
  <si>
    <t>1133943</t>
  </si>
  <si>
    <t>FWAC-265730</t>
  </si>
  <si>
    <t>36351475</t>
  </si>
  <si>
    <t>3510552</t>
  </si>
  <si>
    <t>FWAC-257080</t>
  </si>
  <si>
    <t>16825376</t>
  </si>
  <si>
    <t>3241930</t>
  </si>
  <si>
    <t>FWAC-239764</t>
  </si>
  <si>
    <t>35494822</t>
  </si>
  <si>
    <t>1275485</t>
  </si>
  <si>
    <t>FSIL-4981</t>
  </si>
  <si>
    <t>17091280</t>
  </si>
  <si>
    <t>3248929</t>
  </si>
  <si>
    <t>FWAC240240</t>
  </si>
  <si>
    <t>101500750</t>
  </si>
  <si>
    <t>3598525</t>
  </si>
  <si>
    <t>FWAC-262640</t>
  </si>
  <si>
    <t>3538799</t>
  </si>
  <si>
    <t>FWAC-258937</t>
  </si>
  <si>
    <t>102734658</t>
  </si>
  <si>
    <t>1053344</t>
  </si>
  <si>
    <t>FYAC-91365</t>
  </si>
  <si>
    <t>104455424</t>
  </si>
  <si>
    <t>1405611</t>
  </si>
  <si>
    <t>FSIL-11756</t>
  </si>
  <si>
    <t>36546515</t>
  </si>
  <si>
    <t>3518181</t>
  </si>
  <si>
    <t>FWAC-257568</t>
  </si>
  <si>
    <t>37566221</t>
  </si>
  <si>
    <t>1056841</t>
  </si>
  <si>
    <t>FWAC-259162</t>
  </si>
  <si>
    <t>32349242</t>
  </si>
  <si>
    <t>772631</t>
  </si>
  <si>
    <t>FYAC-86415</t>
  </si>
  <si>
    <t>20265526</t>
  </si>
  <si>
    <t>3359405</t>
  </si>
  <si>
    <t>FWAC-247496</t>
  </si>
  <si>
    <t>101980797</t>
  </si>
  <si>
    <t>1152567</t>
  </si>
  <si>
    <t>FWAC-263088</t>
  </si>
  <si>
    <t>102500503</t>
  </si>
  <si>
    <t>1114561</t>
  </si>
  <si>
    <t>FWAC-264054</t>
  </si>
  <si>
    <t>111518611</t>
  </si>
  <si>
    <t>3864567</t>
  </si>
  <si>
    <t>FWAC278632</t>
  </si>
  <si>
    <t>35488247</t>
  </si>
  <si>
    <t>1018769</t>
  </si>
  <si>
    <t>FWAC-255692</t>
  </si>
  <si>
    <t>111518612</t>
  </si>
  <si>
    <t>1320718</t>
  </si>
  <si>
    <t>FYAC094897</t>
  </si>
  <si>
    <t>109975513</t>
  </si>
  <si>
    <t>1501616</t>
  </si>
  <si>
    <t>FSIL-16567</t>
  </si>
  <si>
    <t>108564897</t>
  </si>
  <si>
    <t>1231220</t>
  </si>
  <si>
    <t>FYAC-93639</t>
  </si>
  <si>
    <t>103970045</t>
  </si>
  <si>
    <t>1142576</t>
  </si>
  <si>
    <t>FWAC-266674</t>
  </si>
  <si>
    <t>18385306</t>
  </si>
  <si>
    <t>960774</t>
  </si>
  <si>
    <t>FWAC-243612</t>
  </si>
  <si>
    <t>18173688</t>
  </si>
  <si>
    <t>3285957</t>
  </si>
  <si>
    <t>FWAC-242891</t>
  </si>
  <si>
    <t>100172203</t>
  </si>
  <si>
    <t>958902</t>
  </si>
  <si>
    <t>FYAC-89849</t>
  </si>
  <si>
    <t>994363</t>
  </si>
  <si>
    <t>FWAC-253400</t>
  </si>
  <si>
    <t>3779856</t>
  </si>
  <si>
    <t>FWAC-273225</t>
  </si>
  <si>
    <t>3538871</t>
  </si>
  <si>
    <t>FWAC-258945</t>
  </si>
  <si>
    <t>105502929</t>
  </si>
  <si>
    <t>864290</t>
  </si>
  <si>
    <t>FSIL-12547</t>
  </si>
  <si>
    <t>107925897</t>
  </si>
  <si>
    <t>1468248</t>
  </si>
  <si>
    <t>FSIL-14815</t>
  </si>
  <si>
    <t>104322579</t>
  </si>
  <si>
    <t>1149389</t>
  </si>
  <si>
    <t>FWAC-267145</t>
  </si>
  <si>
    <t>107600764</t>
  </si>
  <si>
    <t>3758922</t>
  </si>
  <si>
    <t>FWAC-272215</t>
  </si>
  <si>
    <t>104290295</t>
  </si>
  <si>
    <t>3677370</t>
  </si>
  <si>
    <t>FWAC-267204</t>
  </si>
  <si>
    <t>17835513</t>
  </si>
  <si>
    <t>895028</t>
  </si>
  <si>
    <t>FWAC-242271</t>
  </si>
  <si>
    <t>1230175</t>
  </si>
  <si>
    <t>FWAC-273260</t>
  </si>
  <si>
    <t>104725636</t>
  </si>
  <si>
    <t>3684688</t>
  </si>
  <si>
    <t>FWAC-267824</t>
  </si>
  <si>
    <t>35477416</t>
  </si>
  <si>
    <t>1021961</t>
  </si>
  <si>
    <t>FWAC-256100</t>
  </si>
  <si>
    <t>36463294</t>
  </si>
  <si>
    <t>1096373</t>
  </si>
  <si>
    <t>FWAC-257020</t>
  </si>
  <si>
    <t>35488243</t>
  </si>
  <si>
    <t>3486759</t>
  </si>
  <si>
    <t>FWAC-255677</t>
  </si>
  <si>
    <t>16877674</t>
  </si>
  <si>
    <t>1154080</t>
  </si>
  <si>
    <t>FSIL-303</t>
  </si>
  <si>
    <t>37985325</t>
  </si>
  <si>
    <t>986269</t>
  </si>
  <si>
    <t>FYAC-90266</t>
  </si>
  <si>
    <t>17907264</t>
  </si>
  <si>
    <t>674427</t>
  </si>
  <si>
    <t>FJAC-21930</t>
  </si>
  <si>
    <t>110345961</t>
  </si>
  <si>
    <t>1279425</t>
  </si>
  <si>
    <t>FYAC-94312</t>
  </si>
  <si>
    <t>17965693</t>
  </si>
  <si>
    <t>671057</t>
  </si>
  <si>
    <t>FYAC-84609</t>
  </si>
  <si>
    <t>19013016</t>
  </si>
  <si>
    <t>972390</t>
  </si>
  <si>
    <t>FWAC-244672</t>
  </si>
  <si>
    <t>105244830</t>
  </si>
  <si>
    <t>3698966</t>
  </si>
  <si>
    <t>FWAC-268460</t>
  </si>
  <si>
    <t>104077588</t>
  </si>
  <si>
    <t>846506</t>
  </si>
  <si>
    <t>FSIL-11371</t>
  </si>
  <si>
    <t>19067197</t>
  </si>
  <si>
    <t>924973</t>
  </si>
  <si>
    <t>FWAC-245251</t>
  </si>
  <si>
    <t>3758037</t>
  </si>
  <si>
    <t>FWAC-272214</t>
  </si>
  <si>
    <t>37929025</t>
  </si>
  <si>
    <t>795699</t>
  </si>
  <si>
    <t>FJAC-23256</t>
  </si>
  <si>
    <t>110147913</t>
  </si>
  <si>
    <t>1258859</t>
  </si>
  <si>
    <t>FWAC-275563</t>
  </si>
  <si>
    <t>1492010</t>
  </si>
  <si>
    <t>FSIL-16109</t>
  </si>
  <si>
    <t>19229624</t>
  </si>
  <si>
    <t>921802</t>
  </si>
  <si>
    <t>FWAC-245026</t>
  </si>
  <si>
    <t>32461325</t>
  </si>
  <si>
    <t>712208</t>
  </si>
  <si>
    <t>FJAC-22374</t>
  </si>
  <si>
    <t>18621572</t>
  </si>
  <si>
    <t>1162089</t>
  </si>
  <si>
    <t>FSIL-524</t>
  </si>
  <si>
    <t>102860227</t>
  </si>
  <si>
    <t>831879</t>
  </si>
  <si>
    <t>FSIL-10115</t>
  </si>
  <si>
    <t>17094569</t>
  </si>
  <si>
    <t>930883</t>
  </si>
  <si>
    <t>FWAC-240193</t>
  </si>
  <si>
    <t>37822627</t>
  </si>
  <si>
    <t>1067587</t>
  </si>
  <si>
    <t>FWAC-260138</t>
  </si>
  <si>
    <t>17984619</t>
  </si>
  <si>
    <t>674430</t>
  </si>
  <si>
    <t>FJAC-21933</t>
  </si>
  <si>
    <t>17835511</t>
  </si>
  <si>
    <t>895030</t>
  </si>
  <si>
    <t>FWAC-242270</t>
  </si>
  <si>
    <t>106106245</t>
  </si>
  <si>
    <t>1161231</t>
  </si>
  <si>
    <t>FYAC-92713</t>
  </si>
  <si>
    <t>37179736</t>
  </si>
  <si>
    <t>3533895</t>
  </si>
  <si>
    <t>FWAC-258561</t>
  </si>
  <si>
    <t>103863782</t>
  </si>
  <si>
    <t>3662279</t>
  </si>
  <si>
    <t>FWAC-266418</t>
  </si>
  <si>
    <t>20320155</t>
  </si>
  <si>
    <t>948136</t>
  </si>
  <si>
    <t>FWAC-247838</t>
  </si>
  <si>
    <t>19071639</t>
  </si>
  <si>
    <t>926664</t>
  </si>
  <si>
    <t>FWAC-245526</t>
  </si>
  <si>
    <t>37471673</t>
  </si>
  <si>
    <t>782780</t>
  </si>
  <si>
    <t>FJAC-23130</t>
  </si>
  <si>
    <t>102709311</t>
  </si>
  <si>
    <t>831880</t>
  </si>
  <si>
    <t>FSIL-10113</t>
  </si>
  <si>
    <t>104164956</t>
  </si>
  <si>
    <t>3671685</t>
  </si>
  <si>
    <t>FWAC-266937</t>
  </si>
  <si>
    <t>109822927</t>
  </si>
  <si>
    <t>3815658</t>
  </si>
  <si>
    <t>FWAC-275235</t>
  </si>
  <si>
    <t>106711404</t>
  </si>
  <si>
    <t>3737062</t>
  </si>
  <si>
    <t>FWAC-270884</t>
  </si>
  <si>
    <t>103803439</t>
  </si>
  <si>
    <t>1140131</t>
  </si>
  <si>
    <t>FWAC-266334</t>
  </si>
  <si>
    <t>106512754</t>
  </si>
  <si>
    <t>2309290</t>
  </si>
  <si>
    <t>FWAC-270558</t>
  </si>
  <si>
    <t>106220867</t>
  </si>
  <si>
    <t>874333</t>
  </si>
  <si>
    <t>FSIL-13219</t>
  </si>
  <si>
    <t>108560027</t>
  </si>
  <si>
    <t>904011</t>
  </si>
  <si>
    <t>FSIL-15248</t>
  </si>
  <si>
    <t>18589933</t>
  </si>
  <si>
    <t>1157374</t>
  </si>
  <si>
    <t>FSIL-364</t>
  </si>
  <si>
    <t>108025741</t>
  </si>
  <si>
    <t>897936</t>
  </si>
  <si>
    <t>FSIL-14848</t>
  </si>
  <si>
    <t>35090892</t>
  </si>
  <si>
    <t>752095</t>
  </si>
  <si>
    <t>FJAC-22780</t>
  </si>
  <si>
    <t>103216215</t>
  </si>
  <si>
    <t>1129393</t>
  </si>
  <si>
    <t>FWAC-265508</t>
  </si>
  <si>
    <t>36243213</t>
  </si>
  <si>
    <t>1093757</t>
  </si>
  <si>
    <t>FWAC-256788</t>
  </si>
  <si>
    <t>32598861</t>
  </si>
  <si>
    <t>3383575</t>
  </si>
  <si>
    <t>FWAC-249075</t>
  </si>
  <si>
    <t>17965608</t>
  </si>
  <si>
    <t>949418</t>
  </si>
  <si>
    <t>FWAC-242316</t>
  </si>
  <si>
    <t>101582026</t>
  </si>
  <si>
    <t>1349486</t>
  </si>
  <si>
    <t>FSIL-8912</t>
  </si>
  <si>
    <t>20104207</t>
  </si>
  <si>
    <t>702348</t>
  </si>
  <si>
    <t>FJAC-22273</t>
  </si>
  <si>
    <t>37370355</t>
  </si>
  <si>
    <t>3554532</t>
  </si>
  <si>
    <t>FWAC-259841</t>
  </si>
  <si>
    <t>17822786</t>
  </si>
  <si>
    <t>3277761</t>
  </si>
  <si>
    <t>FWAC-242258</t>
  </si>
  <si>
    <t>1264810</t>
  </si>
  <si>
    <t>FYAC-94050</t>
  </si>
  <si>
    <t>20261520</t>
  </si>
  <si>
    <t>752764</t>
  </si>
  <si>
    <t>FYAC-86066</t>
  </si>
  <si>
    <t>38085830</t>
  </si>
  <si>
    <t>3571995</t>
  </si>
  <si>
    <t>FWAC-260884</t>
  </si>
  <si>
    <t>35117571</t>
  </si>
  <si>
    <t>1011430</t>
  </si>
  <si>
    <t>FWAC-254949</t>
  </si>
  <si>
    <t>102155704</t>
  </si>
  <si>
    <t>1106794</t>
  </si>
  <si>
    <t>FWAC-263396</t>
  </si>
  <si>
    <t>34254015</t>
  </si>
  <si>
    <t>990497</t>
  </si>
  <si>
    <t>FWAC-253036</t>
  </si>
  <si>
    <t>910158</t>
  </si>
  <si>
    <t>FSIL-15784</t>
  </si>
  <si>
    <t>36828805</t>
  </si>
  <si>
    <t>1040342</t>
  </si>
  <si>
    <t>FWAC-257573</t>
  </si>
  <si>
    <t>34361311</t>
  </si>
  <si>
    <t>994353</t>
  </si>
  <si>
    <t>FWAC-253390</t>
  </si>
  <si>
    <t>1472918</t>
  </si>
  <si>
    <t>FSIL-14946</t>
  </si>
  <si>
    <t>34500030</t>
  </si>
  <si>
    <t>1059416</t>
  </si>
  <si>
    <t>FWAC-253448</t>
  </si>
  <si>
    <t>37601444</t>
  </si>
  <si>
    <t>788615</t>
  </si>
  <si>
    <t>FJAC-23195</t>
  </si>
  <si>
    <t>952940</t>
  </si>
  <si>
    <t>FYAC-89759</t>
  </si>
  <si>
    <t>36295456</t>
  </si>
  <si>
    <t>3505720</t>
  </si>
  <si>
    <t>FWAC-256822</t>
  </si>
  <si>
    <t>107912490</t>
  </si>
  <si>
    <t>1220968</t>
  </si>
  <si>
    <t>FWAC-272639</t>
  </si>
  <si>
    <t>17749140</t>
  </si>
  <si>
    <t>1144685</t>
  </si>
  <si>
    <t>FWAC-242368</t>
  </si>
  <si>
    <t>34292472</t>
  </si>
  <si>
    <t>1054504</t>
  </si>
  <si>
    <t>FWAC-252997</t>
  </si>
  <si>
    <t>17962568</t>
  </si>
  <si>
    <t>3277367</t>
  </si>
  <si>
    <t>FWAC-242280</t>
  </si>
  <si>
    <t>102501064</t>
  </si>
  <si>
    <t>1161754</t>
  </si>
  <si>
    <t>FWAC-264151</t>
  </si>
  <si>
    <t>18173069</t>
  </si>
  <si>
    <t>954118</t>
  </si>
  <si>
    <t>FWAC-242912</t>
  </si>
  <si>
    <t>3538813</t>
  </si>
  <si>
    <t>FWAC-258954</t>
  </si>
  <si>
    <t>17449651</t>
  </si>
  <si>
    <t>3277368</t>
  </si>
  <si>
    <t>FWAC-242281</t>
  </si>
  <si>
    <t>37629682</t>
  </si>
  <si>
    <t>1060197</t>
  </si>
  <si>
    <t>FWAC-259501</t>
  </si>
  <si>
    <t>105658896</t>
  </si>
  <si>
    <t>866009</t>
  </si>
  <si>
    <t>FSIL-12640</t>
  </si>
  <si>
    <t>19229484</t>
  </si>
  <si>
    <t>715968</t>
  </si>
  <si>
    <t>FYAC-85497</t>
  </si>
  <si>
    <t>36807618</t>
  </si>
  <si>
    <t>969621</t>
  </si>
  <si>
    <t>FYAC-90039</t>
  </si>
  <si>
    <t>108528470</t>
  </si>
  <si>
    <t>1229229</t>
  </si>
  <si>
    <t>FYAC-93617</t>
  </si>
  <si>
    <t>100566493</t>
  </si>
  <si>
    <t>995640</t>
  </si>
  <si>
    <t>FYAC-90428</t>
  </si>
  <si>
    <t>109790831</t>
  </si>
  <si>
    <t>1266588</t>
  </si>
  <si>
    <t>FYAC-94111</t>
  </si>
  <si>
    <t>18825559</t>
  </si>
  <si>
    <t>1166166</t>
  </si>
  <si>
    <t>FSIL-653</t>
  </si>
  <si>
    <t>104556241</t>
  </si>
  <si>
    <t>3681524</t>
  </si>
  <si>
    <t>FWAC-267519</t>
  </si>
  <si>
    <t>33275490</t>
  </si>
  <si>
    <t>1031783</t>
  </si>
  <si>
    <t>FWAC-250591</t>
  </si>
  <si>
    <t>19719239</t>
  </si>
  <si>
    <t>3346243</t>
  </si>
  <si>
    <t>FWAC-246619</t>
  </si>
  <si>
    <t>105918769</t>
  </si>
  <si>
    <t>1181315</t>
  </si>
  <si>
    <t>FWAC-269538</t>
  </si>
  <si>
    <t>103688141</t>
  </si>
  <si>
    <t>1137035</t>
  </si>
  <si>
    <t>FWAC-266030</t>
  </si>
  <si>
    <t>102444799</t>
  </si>
  <si>
    <t>1114563</t>
  </si>
  <si>
    <t>FWAC-264055</t>
  </si>
  <si>
    <t>107794563</t>
  </si>
  <si>
    <t>2324660</t>
  </si>
  <si>
    <t>FWAC-272374</t>
  </si>
  <si>
    <t>104784781</t>
  </si>
  <si>
    <t>854535</t>
  </si>
  <si>
    <t>FSIL-11944</t>
  </si>
  <si>
    <t>107647388</t>
  </si>
  <si>
    <t>892562</t>
  </si>
  <si>
    <t>FSIL-14512</t>
  </si>
  <si>
    <t>109965994</t>
  </si>
  <si>
    <t>1256084</t>
  </si>
  <si>
    <t>FWAC-275314</t>
  </si>
  <si>
    <t>32789024</t>
  </si>
  <si>
    <t>961670</t>
  </si>
  <si>
    <t>FWAC-249445</t>
  </si>
  <si>
    <t>35636353</t>
  </si>
  <si>
    <t>1083303</t>
  </si>
  <si>
    <t>FWAC-255765</t>
  </si>
  <si>
    <t>109822928</t>
  </si>
  <si>
    <t>1268892</t>
  </si>
  <si>
    <t>FYAC-94149</t>
  </si>
  <si>
    <t>106345356</t>
  </si>
  <si>
    <t>875862</t>
  </si>
  <si>
    <t>FSIL-13361</t>
  </si>
  <si>
    <t>20063472</t>
  </si>
  <si>
    <t>3352969</t>
  </si>
  <si>
    <t>FWAC-247012</t>
  </si>
  <si>
    <t>109062076</t>
  </si>
  <si>
    <t>1239881</t>
  </si>
  <si>
    <t>FWAC-273995</t>
  </si>
  <si>
    <t>36896161</t>
  </si>
  <si>
    <t>1101845</t>
  </si>
  <si>
    <t>FWAC-257621</t>
  </si>
  <si>
    <t>37077683</t>
  </si>
  <si>
    <t>1104958</t>
  </si>
  <si>
    <t>FWAC-257882</t>
  </si>
  <si>
    <t>109812419</t>
  </si>
  <si>
    <t>1263387</t>
  </si>
  <si>
    <t>FYAC-94094</t>
  </si>
  <si>
    <t>108646326</t>
  </si>
  <si>
    <t>3786169</t>
  </si>
  <si>
    <t>FWAC-273596</t>
  </si>
  <si>
    <t>101378955</t>
  </si>
  <si>
    <t>1091308</t>
  </si>
  <si>
    <t>FWAC-262046</t>
  </si>
  <si>
    <t>101331941</t>
  </si>
  <si>
    <t>807300</t>
  </si>
  <si>
    <t>FJAC-23376</t>
  </si>
  <si>
    <t>100151190</t>
  </si>
  <si>
    <t>1140261</t>
  </si>
  <si>
    <t>FWAC-261825</t>
  </si>
  <si>
    <t>16863023</t>
  </si>
  <si>
    <t>872987</t>
  </si>
  <si>
    <t>FWAC239673</t>
  </si>
  <si>
    <t>37359542</t>
  </si>
  <si>
    <t>1049543</t>
  </si>
  <si>
    <t>FWAC-258493</t>
  </si>
  <si>
    <t>104408926</t>
  </si>
  <si>
    <t>851294</t>
  </si>
  <si>
    <t>FSIL-11577</t>
  </si>
  <si>
    <t>107794185</t>
  </si>
  <si>
    <t>1216005</t>
  </si>
  <si>
    <t>FWAC-272413</t>
  </si>
  <si>
    <t>33563136</t>
  </si>
  <si>
    <t>3413012</t>
  </si>
  <si>
    <t>FWAC-251090</t>
  </si>
  <si>
    <t>18593086</t>
  </si>
  <si>
    <t>1157370</t>
  </si>
  <si>
    <t>FSIL-360</t>
  </si>
  <si>
    <t>32789633</t>
  </si>
  <si>
    <t>3388406</t>
  </si>
  <si>
    <t>FWAC-249444</t>
  </si>
  <si>
    <t>37894347</t>
  </si>
  <si>
    <t>981342</t>
  </si>
  <si>
    <t>FYAC-90196</t>
  </si>
  <si>
    <t>20259579</t>
  </si>
  <si>
    <t>1194024</t>
  </si>
  <si>
    <t>FSIL-1623</t>
  </si>
  <si>
    <t>108203062</t>
  </si>
  <si>
    <t>899634</t>
  </si>
  <si>
    <t>FSIL-14896</t>
  </si>
  <si>
    <t>1111613</t>
  </si>
  <si>
    <t>FWAC-263789</t>
  </si>
  <si>
    <t>103893282</t>
  </si>
  <si>
    <t>844308</t>
  </si>
  <si>
    <t>FSIL-11180</t>
  </si>
  <si>
    <t>19983652</t>
  </si>
  <si>
    <t>940564</t>
  </si>
  <si>
    <t>FWAC-246977</t>
  </si>
  <si>
    <t>102159245</t>
  </si>
  <si>
    <t>1155120</t>
  </si>
  <si>
    <t>FWAC-263424</t>
  </si>
  <si>
    <t>782782</t>
  </si>
  <si>
    <t>FJAC-23128</t>
  </si>
  <si>
    <t>1164910</t>
  </si>
  <si>
    <t>FWAC-268457</t>
  </si>
  <si>
    <t>101935515</t>
  </si>
  <si>
    <t>1357086</t>
  </si>
  <si>
    <t>FSIL-9220</t>
  </si>
  <si>
    <t>34119851</t>
  </si>
  <si>
    <t>1050161</t>
  </si>
  <si>
    <t>FWAC-252588</t>
  </si>
  <si>
    <t>104910805</t>
  </si>
  <si>
    <t>1157144</t>
  </si>
  <si>
    <t>FWAC-267964</t>
  </si>
  <si>
    <t>16860404</t>
  </si>
  <si>
    <t>873434</t>
  </si>
  <si>
    <t>FWAC-239624</t>
  </si>
  <si>
    <t>17965461</t>
  </si>
  <si>
    <t>1144683</t>
  </si>
  <si>
    <t>FWAC-242366</t>
  </si>
  <si>
    <t>102837304</t>
  </si>
  <si>
    <t>1166660</t>
  </si>
  <si>
    <t>FWAC-264621</t>
  </si>
  <si>
    <t>17095503</t>
  </si>
  <si>
    <t>877732</t>
  </si>
  <si>
    <t>FWAC-240255</t>
  </si>
  <si>
    <t>105880389</t>
  </si>
  <si>
    <t>871263</t>
  </si>
  <si>
    <t>FSIL-12954</t>
  </si>
  <si>
    <t>109078123</t>
  </si>
  <si>
    <t>1486388</t>
  </si>
  <si>
    <t>FSIL-15776</t>
  </si>
  <si>
    <t>17964946</t>
  </si>
  <si>
    <t>895017</t>
  </si>
  <si>
    <t>FWAC-242292</t>
  </si>
  <si>
    <t>1219064</t>
  </si>
  <si>
    <t>FYAC-93489</t>
  </si>
  <si>
    <t>101132872</t>
  </si>
  <si>
    <t>804822</t>
  </si>
  <si>
    <t>FJAC-23354</t>
  </si>
  <si>
    <t>109731795</t>
  </si>
  <si>
    <t>3813062</t>
  </si>
  <si>
    <t>FWAC-275039</t>
  </si>
  <si>
    <t>104597252</t>
  </si>
  <si>
    <t>853100</t>
  </si>
  <si>
    <t>FSIL-11719</t>
  </si>
  <si>
    <t>106911130</t>
  </si>
  <si>
    <t>1202636</t>
  </si>
  <si>
    <t>FWAC-271623</t>
  </si>
  <si>
    <t>36544997</t>
  </si>
  <si>
    <t>1044084</t>
  </si>
  <si>
    <t>FWAC-257875</t>
  </si>
  <si>
    <t>33500878</t>
  </si>
  <si>
    <t>1036434</t>
  </si>
  <si>
    <t>FWAC-251126</t>
  </si>
  <si>
    <t>19163522</t>
  </si>
  <si>
    <t>981831</t>
  </si>
  <si>
    <t>FWAC-245634</t>
  </si>
  <si>
    <t>102279027</t>
  </si>
  <si>
    <t>3624542</t>
  </si>
  <si>
    <t>FWAC-263999</t>
  </si>
  <si>
    <t>32884008</t>
  </si>
  <si>
    <t>964878</t>
  </si>
  <si>
    <t>FWAC-249737</t>
  </si>
  <si>
    <t>17964735</t>
  </si>
  <si>
    <t>671059</t>
  </si>
  <si>
    <t>FYAC-84611</t>
  </si>
  <si>
    <t>36462770</t>
  </si>
  <si>
    <t>1033838</t>
  </si>
  <si>
    <t>FWAC-257026</t>
  </si>
  <si>
    <t>3699716</t>
  </si>
  <si>
    <t>FWAC-268533</t>
  </si>
  <si>
    <t>19258994</t>
  </si>
  <si>
    <t>690741</t>
  </si>
  <si>
    <t>FJAC-22158</t>
  </si>
  <si>
    <t>108646327</t>
  </si>
  <si>
    <t>1235604</t>
  </si>
  <si>
    <t>FYAC-93713</t>
  </si>
  <si>
    <t>3779349</t>
  </si>
  <si>
    <t>FWAC-273133</t>
  </si>
  <si>
    <t>17749136</t>
  </si>
  <si>
    <t>1144257</t>
  </si>
  <si>
    <t>FWAC-242352</t>
  </si>
  <si>
    <t>3528841</t>
  </si>
  <si>
    <t>FWAC-258190</t>
  </si>
  <si>
    <t>35477415</t>
  </si>
  <si>
    <t>757070</t>
  </si>
  <si>
    <t>FJAC-22836</t>
  </si>
  <si>
    <t>37077328</t>
  </si>
  <si>
    <t>1044455</t>
  </si>
  <si>
    <t>FWAC-257902</t>
  </si>
  <si>
    <t>20320151</t>
  </si>
  <si>
    <t>3365176</t>
  </si>
  <si>
    <t>FWAC-247881</t>
  </si>
  <si>
    <t>37077799</t>
  </si>
  <si>
    <t>3524058</t>
  </si>
  <si>
    <t>FWAC-257916</t>
  </si>
  <si>
    <t>103600662</t>
  </si>
  <si>
    <t>1137036</t>
  </si>
  <si>
    <t>FWAC-266031</t>
  </si>
  <si>
    <t>20288435</t>
  </si>
  <si>
    <t>778757</t>
  </si>
  <si>
    <t>FYAC-86547</t>
  </si>
  <si>
    <t>34500138</t>
  </si>
  <si>
    <t>994359</t>
  </si>
  <si>
    <t>FWAC-253398</t>
  </si>
  <si>
    <t>1160781</t>
  </si>
  <si>
    <t>FWAC-268162</t>
  </si>
  <si>
    <t>103710335</t>
  </si>
  <si>
    <t>3661668</t>
  </si>
  <si>
    <t>FWAC-266339</t>
  </si>
  <si>
    <t>105269005</t>
  </si>
  <si>
    <t>1131911</t>
  </si>
  <si>
    <t>FYAC-92386</t>
  </si>
  <si>
    <t>33745675</t>
  </si>
  <si>
    <t>1236038</t>
  </si>
  <si>
    <t>FSIL-3357</t>
  </si>
  <si>
    <t>110743682</t>
  </si>
  <si>
    <t>931676</t>
  </si>
  <si>
    <t>FSIL-17093</t>
  </si>
  <si>
    <t>102202990</t>
  </si>
  <si>
    <t>1364322</t>
  </si>
  <si>
    <t>FSIL-9592</t>
  </si>
  <si>
    <t>37939583</t>
  </si>
  <si>
    <t>1070759</t>
  </si>
  <si>
    <t>FWAC-260333</t>
  </si>
  <si>
    <t>103214126</t>
  </si>
  <si>
    <t>836166</t>
  </si>
  <si>
    <t>FSIL-10533</t>
  </si>
  <si>
    <t>20265122</t>
  </si>
  <si>
    <t>999152</t>
  </si>
  <si>
    <t>FWAC-247428</t>
  </si>
  <si>
    <t>1486397</t>
  </si>
  <si>
    <t>FSIL-15780</t>
  </si>
  <si>
    <t>33797766</t>
  </si>
  <si>
    <t>730220</t>
  </si>
  <si>
    <t>FJAC-22563</t>
  </si>
  <si>
    <t>18958493</t>
  </si>
  <si>
    <t>921804</t>
  </si>
  <si>
    <t>FWAC-245024</t>
  </si>
  <si>
    <t>103703551</t>
  </si>
  <si>
    <t>841604</t>
  </si>
  <si>
    <t>FSIL-10956</t>
  </si>
  <si>
    <t>110160486</t>
  </si>
  <si>
    <t>3820316</t>
  </si>
  <si>
    <t>FWAC-275608</t>
  </si>
  <si>
    <t>36570919</t>
  </si>
  <si>
    <t>1037149</t>
  </si>
  <si>
    <t>FWAC-257385</t>
  </si>
  <si>
    <t>952883</t>
  </si>
  <si>
    <t>FYAC-89731</t>
  </si>
  <si>
    <t>35131892</t>
  </si>
  <si>
    <t>1011132</t>
  </si>
  <si>
    <t>FWAC-254940</t>
  </si>
  <si>
    <t>959085</t>
  </si>
  <si>
    <t>FYAC-89865</t>
  </si>
  <si>
    <t>18544263</t>
  </si>
  <si>
    <t>963538</t>
  </si>
  <si>
    <t>FWAC-243932</t>
  </si>
  <si>
    <t>17315268</t>
  </si>
  <si>
    <t>3256852</t>
  </si>
  <si>
    <t>FWAC240834</t>
  </si>
  <si>
    <t>37243698</t>
  </si>
  <si>
    <t>1049587</t>
  </si>
  <si>
    <t>FWAC-258508</t>
  </si>
  <si>
    <t>19644930</t>
  </si>
  <si>
    <t>3336505</t>
  </si>
  <si>
    <t>FWAC-246124</t>
  </si>
  <si>
    <t>18542033</t>
  </si>
  <si>
    <t>908050</t>
  </si>
  <si>
    <t>FWAC-243887</t>
  </si>
  <si>
    <t>17964948</t>
  </si>
  <si>
    <t>895172</t>
  </si>
  <si>
    <t>FWAC-242243</t>
  </si>
  <si>
    <t>36527925</t>
  </si>
  <si>
    <t>1033839</t>
  </si>
  <si>
    <t>FWAC-257027</t>
  </si>
  <si>
    <t>18051935</t>
  </si>
  <si>
    <t>905316</t>
  </si>
  <si>
    <t>FWAC-243487</t>
  </si>
  <si>
    <t>3359328</t>
  </si>
  <si>
    <t>FWAC-247486</t>
  </si>
  <si>
    <t>104203664</t>
  </si>
  <si>
    <t>1186048</t>
  </si>
  <si>
    <t>FWAC-266964</t>
  </si>
  <si>
    <t>36644158</t>
  </si>
  <si>
    <t>1099037</t>
  </si>
  <si>
    <t>FWAC-257360</t>
  </si>
  <si>
    <t>102392925</t>
  </si>
  <si>
    <t>826767</t>
  </si>
  <si>
    <t>FSIL-9814</t>
  </si>
  <si>
    <t>36115894</t>
  </si>
  <si>
    <t>1091099</t>
  </si>
  <si>
    <t>FWAC-256503</t>
  </si>
  <si>
    <t>37674212</t>
  </si>
  <si>
    <t>3548804</t>
  </si>
  <si>
    <t>FWAC-259535</t>
  </si>
  <si>
    <t>35494821</t>
  </si>
  <si>
    <t>754946</t>
  </si>
  <si>
    <t>FJAC-22813</t>
  </si>
  <si>
    <t>103051134</t>
  </si>
  <si>
    <t>834090</t>
  </si>
  <si>
    <t>FSIL-10362</t>
  </si>
  <si>
    <t>18273911</t>
  </si>
  <si>
    <t>960787</t>
  </si>
  <si>
    <t>FWAC-243613</t>
  </si>
  <si>
    <t>107987296</t>
  </si>
  <si>
    <t>3785713</t>
  </si>
  <si>
    <t>FWAC-273571</t>
  </si>
  <si>
    <t>19490543</t>
  </si>
  <si>
    <t>694238</t>
  </si>
  <si>
    <t>FJAC-22189</t>
  </si>
  <si>
    <t>103975331</t>
  </si>
  <si>
    <t>1142578</t>
  </si>
  <si>
    <t>FWAC-266678</t>
  </si>
  <si>
    <t>3482592</t>
  </si>
  <si>
    <t>FWAC-255325</t>
  </si>
  <si>
    <t>32352624</t>
  </si>
  <si>
    <t>3376784</t>
  </si>
  <si>
    <t>FWAC-248614</t>
  </si>
  <si>
    <t>17449649</t>
  </si>
  <si>
    <t>3277374</t>
  </si>
  <si>
    <t>FWAC-242325</t>
  </si>
  <si>
    <t>34394409</t>
  </si>
  <si>
    <t>3448872</t>
  </si>
  <si>
    <t>FWAC-253455</t>
  </si>
  <si>
    <t>1046648</t>
  </si>
  <si>
    <t>FWAC-258290</t>
  </si>
  <si>
    <t>105406144</t>
  </si>
  <si>
    <t>1168383</t>
  </si>
  <si>
    <t>FWAC-268762</t>
  </si>
  <si>
    <t>103830431</t>
  </si>
  <si>
    <t>1140140</t>
  </si>
  <si>
    <t>FWAC-266337</t>
  </si>
  <si>
    <t>103133582</t>
  </si>
  <si>
    <t>1127459</t>
  </si>
  <si>
    <t>FWAC-265221</t>
  </si>
  <si>
    <t>35442585</t>
  </si>
  <si>
    <t>1015829</t>
  </si>
  <si>
    <t>FWAC-255257</t>
  </si>
  <si>
    <t>37360638</t>
  </si>
  <si>
    <t>1119261</t>
  </si>
  <si>
    <t>FWAC-259608</t>
  </si>
  <si>
    <t>36354384</t>
  </si>
  <si>
    <t>1031268</t>
  </si>
  <si>
    <t>FWAC-256758</t>
  </si>
  <si>
    <t>102523353</t>
  </si>
  <si>
    <t>826293</t>
  </si>
  <si>
    <t>FSIL-9838</t>
  </si>
  <si>
    <t>110378339</t>
  </si>
  <si>
    <t>3837595</t>
  </si>
  <si>
    <t>FWAC276931</t>
  </si>
  <si>
    <t>34991727</t>
  </si>
  <si>
    <t>1074240</t>
  </si>
  <si>
    <t>FWAC-254857</t>
  </si>
  <si>
    <t>109610408</t>
  </si>
  <si>
    <t>3808290</t>
  </si>
  <si>
    <t>FWAC-274789</t>
  </si>
  <si>
    <t>36545935</t>
  </si>
  <si>
    <t>1037150</t>
  </si>
  <si>
    <t>FWAC-257383</t>
  </si>
  <si>
    <t>34335680</t>
  </si>
  <si>
    <t>995290</t>
  </si>
  <si>
    <t>FWAC-253410</t>
  </si>
  <si>
    <t>1365995</t>
  </si>
  <si>
    <t>FSIL-9663</t>
  </si>
  <si>
    <t>33939497</t>
  </si>
  <si>
    <t>986847</t>
  </si>
  <si>
    <t>FWAC-252572</t>
  </si>
  <si>
    <t>102197213</t>
  </si>
  <si>
    <t>821363</t>
  </si>
  <si>
    <t>FSIL-9462</t>
  </si>
  <si>
    <t>104081206</t>
  </si>
  <si>
    <t>846863</t>
  </si>
  <si>
    <t>FSIL-11387</t>
  </si>
  <si>
    <t>102306392</t>
  </si>
  <si>
    <t>1368135</t>
  </si>
  <si>
    <t>FSIL-9764</t>
  </si>
  <si>
    <t>102397160</t>
  </si>
  <si>
    <t>826294</t>
  </si>
  <si>
    <t>FSIL-9845</t>
  </si>
  <si>
    <t>110290279</t>
  </si>
  <si>
    <t>1262715</t>
  </si>
  <si>
    <t>FWAC-275895</t>
  </si>
  <si>
    <t>19645466</t>
  </si>
  <si>
    <t>985677</t>
  </si>
  <si>
    <t>FWAC-246221</t>
  </si>
  <si>
    <t>102269106</t>
  </si>
  <si>
    <t>1365518</t>
  </si>
  <si>
    <t>FSIL-9630</t>
  </si>
  <si>
    <t>20462916</t>
  </si>
  <si>
    <t>1003406</t>
  </si>
  <si>
    <t>FWAC-247866</t>
  </si>
  <si>
    <t>108337519</t>
  </si>
  <si>
    <t>2331778</t>
  </si>
  <si>
    <t>FWAC-273036</t>
  </si>
  <si>
    <t>34066120</t>
  </si>
  <si>
    <t>833980</t>
  </si>
  <si>
    <t>FYAC-87699</t>
  </si>
  <si>
    <t>102612310</t>
  </si>
  <si>
    <t>1117878</t>
  </si>
  <si>
    <t>FWAC-264378</t>
  </si>
  <si>
    <t>101639270</t>
  </si>
  <si>
    <t>1095360</t>
  </si>
  <si>
    <t>FWAC-262482</t>
  </si>
  <si>
    <t>20389871</t>
  </si>
  <si>
    <t>948135</t>
  </si>
  <si>
    <t>FWAC-247842</t>
  </si>
  <si>
    <t>4819578</t>
  </si>
  <si>
    <t>4462933</t>
  </si>
  <si>
    <t>FYAC-75449</t>
  </si>
  <si>
    <t>17096864</t>
  </si>
  <si>
    <t>3248577</t>
  </si>
  <si>
    <t>FWAC240200</t>
  </si>
  <si>
    <t>17805088</t>
  </si>
  <si>
    <t>895022</t>
  </si>
  <si>
    <t>FWAC-242295</t>
  </si>
  <si>
    <t>33494832</t>
  </si>
  <si>
    <t>1036428</t>
  </si>
  <si>
    <t>FWAC-251119</t>
  </si>
  <si>
    <t>1097170</t>
  </si>
  <si>
    <t>FYAC-91983</t>
  </si>
  <si>
    <t>105865481</t>
  </si>
  <si>
    <t>869202</t>
  </si>
  <si>
    <t>FSIL-12798</t>
  </si>
  <si>
    <t>102609443</t>
  </si>
  <si>
    <t>1118099</t>
  </si>
  <si>
    <t>FWAC-264373</t>
  </si>
  <si>
    <t>101461596</t>
  </si>
  <si>
    <t>1102733</t>
  </si>
  <si>
    <t>FWAC-263035</t>
  </si>
  <si>
    <t>37955202</t>
  </si>
  <si>
    <t>795703</t>
  </si>
  <si>
    <t>FJAC-23260</t>
  </si>
  <si>
    <t>106008722</t>
  </si>
  <si>
    <t>874334</t>
  </si>
  <si>
    <t>FSIL-13218</t>
  </si>
  <si>
    <t>921200</t>
  </si>
  <si>
    <t>FSIL-16598</t>
  </si>
  <si>
    <t>105992410</t>
  </si>
  <si>
    <t>2302517</t>
  </si>
  <si>
    <t>FWAC-269600</t>
  </si>
  <si>
    <t>102498271</t>
  </si>
  <si>
    <t>1161749</t>
  </si>
  <si>
    <t>FWAC-264156</t>
  </si>
  <si>
    <t>101744354</t>
  </si>
  <si>
    <t>1353880</t>
  </si>
  <si>
    <t>FSIL-9122</t>
  </si>
  <si>
    <t>37593633</t>
  </si>
  <si>
    <t>1317555</t>
  </si>
  <si>
    <t>FSIL-7391</t>
  </si>
  <si>
    <t>16862224</t>
  </si>
  <si>
    <t>1120549</t>
  </si>
  <si>
    <t>FWAC239826</t>
  </si>
  <si>
    <t>36444814</t>
  </si>
  <si>
    <t>3509877</t>
  </si>
  <si>
    <t>FWAC-257054</t>
  </si>
  <si>
    <t>18448004</t>
  </si>
  <si>
    <t>679652</t>
  </si>
  <si>
    <t>FJAC-22012</t>
  </si>
  <si>
    <t>17313841</t>
  </si>
  <si>
    <t>1130040</t>
  </si>
  <si>
    <t>FWAC240786</t>
  </si>
  <si>
    <t>103116753</t>
  </si>
  <si>
    <t>1381245</t>
  </si>
  <si>
    <t>FSIL-10494</t>
  </si>
  <si>
    <t>108709722</t>
  </si>
  <si>
    <t>1233815</t>
  </si>
  <si>
    <t>FWAC-273539</t>
  </si>
  <si>
    <t>18447349</t>
  </si>
  <si>
    <t>680016</t>
  </si>
  <si>
    <t>FJAC-22014</t>
  </si>
  <si>
    <t>18173687</t>
  </si>
  <si>
    <t>3285960</t>
  </si>
  <si>
    <t>FWAC-242894</t>
  </si>
  <si>
    <t>104051917</t>
  </si>
  <si>
    <t>846507</t>
  </si>
  <si>
    <t>FSIL-11373</t>
  </si>
  <si>
    <t>104860660</t>
  </si>
  <si>
    <t>3689231</t>
  </si>
  <si>
    <t>FWAC-268026</t>
  </si>
  <si>
    <t>33406027</t>
  </si>
  <si>
    <t>1227160</t>
  </si>
  <si>
    <t>FSIL-3001</t>
  </si>
  <si>
    <t>19365839</t>
  </si>
  <si>
    <t>3330091</t>
  </si>
  <si>
    <t>FWAC-245582</t>
  </si>
  <si>
    <t>18699652</t>
  </si>
  <si>
    <t>3308713</t>
  </si>
  <si>
    <t>FWAC-244329</t>
  </si>
  <si>
    <t>38047490</t>
  </si>
  <si>
    <t>797699</t>
  </si>
  <si>
    <t>FJAC-23289</t>
  </si>
  <si>
    <t>106304314</t>
  </si>
  <si>
    <t>2306673</t>
  </si>
  <si>
    <t>FWAC-270300</t>
  </si>
  <si>
    <t>35476159</t>
  </si>
  <si>
    <t>3492252</t>
  </si>
  <si>
    <t>FWAC-256136</t>
  </si>
  <si>
    <t>37871171</t>
  </si>
  <si>
    <t>975254</t>
  </si>
  <si>
    <t>FYAC-90122</t>
  </si>
  <si>
    <t>33613834</t>
  </si>
  <si>
    <t>979140</t>
  </si>
  <si>
    <t>FWAC-251458</t>
  </si>
  <si>
    <t>101920936</t>
  </si>
  <si>
    <t>1106798</t>
  </si>
  <si>
    <t>FWAC-263400</t>
  </si>
  <si>
    <t>36545019</t>
  </si>
  <si>
    <t>782785</t>
  </si>
  <si>
    <t>FJAC-23131</t>
  </si>
  <si>
    <t>104247610</t>
  </si>
  <si>
    <t>849270</t>
  </si>
  <si>
    <t>FSIL-11462</t>
  </si>
  <si>
    <t>33858574</t>
  </si>
  <si>
    <t>982986</t>
  </si>
  <si>
    <t>FWAC-251981</t>
  </si>
  <si>
    <t>36172422</t>
  </si>
  <si>
    <t>3500528</t>
  </si>
  <si>
    <t>FWAC-256535</t>
  </si>
  <si>
    <t>37559895</t>
  </si>
  <si>
    <t>958896</t>
  </si>
  <si>
    <t>FYAC-89861</t>
  </si>
  <si>
    <t>102097331</t>
  </si>
  <si>
    <t>821362</t>
  </si>
  <si>
    <t>FSIL-9461</t>
  </si>
  <si>
    <t>34306559</t>
  </si>
  <si>
    <t>3441103</t>
  </si>
  <si>
    <t>FWAC-253010</t>
  </si>
  <si>
    <t>105116240</t>
  </si>
  <si>
    <t>858940</t>
  </si>
  <si>
    <t>FSIL-12192</t>
  </si>
  <si>
    <t>102029244</t>
  </si>
  <si>
    <t>818645</t>
  </si>
  <si>
    <t>FJAC-23463</t>
  </si>
  <si>
    <t>3554534</t>
  </si>
  <si>
    <t>FWAC-259840</t>
  </si>
  <si>
    <t>19432338</t>
  </si>
  <si>
    <t>1175696</t>
  </si>
  <si>
    <t>FSIL-975</t>
  </si>
  <si>
    <t>101380073</t>
  </si>
  <si>
    <t>1143290</t>
  </si>
  <si>
    <t>FWAC-262162</t>
  </si>
  <si>
    <t>911855</t>
  </si>
  <si>
    <t>FSIL-15925</t>
  </si>
  <si>
    <t>102378108</t>
  </si>
  <si>
    <t>823982</t>
  </si>
  <si>
    <t>FJAC-23498</t>
  </si>
  <si>
    <t>33696356</t>
  </si>
  <si>
    <t>1040936</t>
  </si>
  <si>
    <t>FWAC-251484</t>
  </si>
  <si>
    <t>37812839</t>
  </si>
  <si>
    <t>797698</t>
  </si>
  <si>
    <t>FJAC-23290</t>
  </si>
  <si>
    <t>37274618</t>
  </si>
  <si>
    <t>1053349</t>
  </si>
  <si>
    <t>FWAC-258880</t>
  </si>
  <si>
    <t>1107637</t>
  </si>
  <si>
    <t>FWAC-258196</t>
  </si>
  <si>
    <t>100939886</t>
  </si>
  <si>
    <t>1134804</t>
  </si>
  <si>
    <t>FWAC-261230</t>
  </si>
  <si>
    <t>1083065</t>
  </si>
  <si>
    <t>FWAC-255717</t>
  </si>
  <si>
    <t>101504659</t>
  </si>
  <si>
    <t>1019124</t>
  </si>
  <si>
    <t>FYAC-90810</t>
  </si>
  <si>
    <t>36911606</t>
  </si>
  <si>
    <t>1077121</t>
  </si>
  <si>
    <t>FWAC-260848</t>
  </si>
  <si>
    <t>104194042</t>
  </si>
  <si>
    <t>1146189</t>
  </si>
  <si>
    <t>FWAC-266933</t>
  </si>
  <si>
    <t>18590954</t>
  </si>
  <si>
    <t>908048</t>
  </si>
  <si>
    <t>FWAC-243882</t>
  </si>
  <si>
    <t>33315462</t>
  </si>
  <si>
    <t>971848</t>
  </si>
  <si>
    <t>FWAC-250617</t>
  </si>
  <si>
    <t>101378953</t>
  </si>
  <si>
    <t>809498</t>
  </si>
  <si>
    <t>FJAC-23394</t>
  </si>
  <si>
    <t>103340077</t>
  </si>
  <si>
    <t>1383426</t>
  </si>
  <si>
    <t>FSIL-10613</t>
  </si>
  <si>
    <t>101282612</t>
  </si>
  <si>
    <t>3585575</t>
  </si>
  <si>
    <t>FWAC-261808</t>
  </si>
  <si>
    <t>103512114</t>
  </si>
  <si>
    <t>1133946</t>
  </si>
  <si>
    <t>FWAC-265732</t>
  </si>
  <si>
    <t>104118299</t>
  </si>
  <si>
    <t>1149393</t>
  </si>
  <si>
    <t>FWAC-267149</t>
  </si>
  <si>
    <t>975317</t>
  </si>
  <si>
    <t>FYAC-90132</t>
  </si>
  <si>
    <t>100178139</t>
  </si>
  <si>
    <t>1052727</t>
  </si>
  <si>
    <t>FWAC-258830</t>
  </si>
  <si>
    <t>111390867</t>
  </si>
  <si>
    <t>1282313</t>
  </si>
  <si>
    <t>FWAC277759</t>
  </si>
  <si>
    <t>105003851</t>
  </si>
  <si>
    <t>1412742</t>
  </si>
  <si>
    <t>FSIL-12117</t>
  </si>
  <si>
    <t>100805382</t>
  </si>
  <si>
    <t>799958</t>
  </si>
  <si>
    <t>FJAC-23314</t>
  </si>
  <si>
    <t>33364842</t>
  </si>
  <si>
    <t>3407028</t>
  </si>
  <si>
    <t>FWAC-250660</t>
  </si>
  <si>
    <t>37871369</t>
  </si>
  <si>
    <t>1067547</t>
  </si>
  <si>
    <t>FWAC-260142</t>
  </si>
  <si>
    <t>108709425</t>
  </si>
  <si>
    <t>2336658</t>
  </si>
  <si>
    <t>FWAC-273584</t>
  </si>
  <si>
    <t>33364841</t>
  </si>
  <si>
    <t>3406999</t>
  </si>
  <si>
    <t>FWAC-250650</t>
  </si>
  <si>
    <t>108472232</t>
  </si>
  <si>
    <t>1478094</t>
  </si>
  <si>
    <t>FSIL-15271</t>
  </si>
  <si>
    <t>102664584</t>
  </si>
  <si>
    <t>1048578</t>
  </si>
  <si>
    <t>FYAC-91302</t>
  </si>
  <si>
    <t>32809569</t>
  </si>
  <si>
    <t>3394489</t>
  </si>
  <si>
    <t>FWAC-249760</t>
  </si>
  <si>
    <t>33937397</t>
  </si>
  <si>
    <t>1236037</t>
  </si>
  <si>
    <t>FSIL-3358</t>
  </si>
  <si>
    <t>19434602</t>
  </si>
  <si>
    <t>1175695</t>
  </si>
  <si>
    <t>FSIL-976</t>
  </si>
  <si>
    <t>32980111</t>
  </si>
  <si>
    <t>3396028</t>
  </si>
  <si>
    <t>FWAC-249885</t>
  </si>
  <si>
    <t>104038550</t>
  </si>
  <si>
    <t>3665809</t>
  </si>
  <si>
    <t>FWAC-266706</t>
  </si>
  <si>
    <t>103176926</t>
  </si>
  <si>
    <t>836168</t>
  </si>
  <si>
    <t>FSIL-10535</t>
  </si>
  <si>
    <t>110239491</t>
  </si>
  <si>
    <t>2357570</t>
  </si>
  <si>
    <t>FWAC-276077</t>
  </si>
  <si>
    <t>35060439</t>
  </si>
  <si>
    <t>1006451</t>
  </si>
  <si>
    <t>FWAC-254558</t>
  </si>
  <si>
    <t>882648</t>
  </si>
  <si>
    <t>SPFWAC240732</t>
  </si>
  <si>
    <t>1478093</t>
  </si>
  <si>
    <t>FSIL-15269</t>
  </si>
  <si>
    <t>101813827</t>
  </si>
  <si>
    <t>1149394</t>
  </si>
  <si>
    <t>FWAC-262861</t>
  </si>
  <si>
    <t>37273455</t>
  </si>
  <si>
    <t>1052732</t>
  </si>
  <si>
    <t>FWAC-258836</t>
  </si>
  <si>
    <t>107608261</t>
  </si>
  <si>
    <t>1201889</t>
  </si>
  <si>
    <t>FYAC-93313</t>
  </si>
  <si>
    <t>106177763</t>
  </si>
  <si>
    <t>3725470</t>
  </si>
  <si>
    <t>FWAC-270006</t>
  </si>
  <si>
    <t>1053363</t>
  </si>
  <si>
    <t>FYAC-91368</t>
  </si>
  <si>
    <t>904643</t>
  </si>
  <si>
    <t>FSIL-15275</t>
  </si>
  <si>
    <t>672573</t>
  </si>
  <si>
    <t>FYAC-84635</t>
  </si>
  <si>
    <t>108709486</t>
  </si>
  <si>
    <t>1479991</t>
  </si>
  <si>
    <t>FSIL-15408</t>
  </si>
  <si>
    <t>1363598</t>
  </si>
  <si>
    <t>FSIL-9524</t>
  </si>
  <si>
    <t>782949</t>
  </si>
  <si>
    <t>FJAC-23137</t>
  </si>
  <si>
    <t>18803921</t>
  </si>
  <si>
    <t>913023</t>
  </si>
  <si>
    <t>FWAC-244242</t>
  </si>
  <si>
    <t>106570065</t>
  </si>
  <si>
    <t>2309893</t>
  </si>
  <si>
    <t>FWAC-270674</t>
  </si>
  <si>
    <t>722076</t>
  </si>
  <si>
    <t>FYAC-85593</t>
  </si>
  <si>
    <t>34122721</t>
  </si>
  <si>
    <t>1240439</t>
  </si>
  <si>
    <t>FSIL-3576</t>
  </si>
  <si>
    <t>1167175</t>
  </si>
  <si>
    <t>FYAC-92830</t>
  </si>
  <si>
    <t>100796827</t>
  </si>
  <si>
    <t>1080158</t>
  </si>
  <si>
    <t>FWAC-261120</t>
  </si>
  <si>
    <t>107506626</t>
  </si>
  <si>
    <t>1212847</t>
  </si>
  <si>
    <t>FWAC-272152</t>
  </si>
  <si>
    <t>33563137</t>
  </si>
  <si>
    <t>3412908</t>
  </si>
  <si>
    <t>FWAC-251147</t>
  </si>
  <si>
    <t>33851873</t>
  </si>
  <si>
    <t>1045529</t>
  </si>
  <si>
    <t>FWAC-252005</t>
  </si>
  <si>
    <t>19760497</t>
  </si>
  <si>
    <t>699744</t>
  </si>
  <si>
    <t>FJAC-22250</t>
  </si>
  <si>
    <t>101508814</t>
  </si>
  <si>
    <t>809763</t>
  </si>
  <si>
    <t>FJAC-23400</t>
  </si>
  <si>
    <t>109849357</t>
  </si>
  <si>
    <t>1271495</t>
  </si>
  <si>
    <t>FYAC-94196</t>
  </si>
  <si>
    <t>32789740</t>
  </si>
  <si>
    <t>1019107</t>
  </si>
  <si>
    <t>FWAC-249437</t>
  </si>
  <si>
    <t>3728558</t>
  </si>
  <si>
    <t>FWAC-270303</t>
  </si>
  <si>
    <t>103530016</t>
  </si>
  <si>
    <t>842653</t>
  </si>
  <si>
    <t>FSIL-10968</t>
  </si>
  <si>
    <t>102697994</t>
  </si>
  <si>
    <t>829885</t>
  </si>
  <si>
    <t>FSIL-9970</t>
  </si>
  <si>
    <t>1280042</t>
  </si>
  <si>
    <t>FYAC-94319</t>
  </si>
  <si>
    <t>38085832</t>
  </si>
  <si>
    <t>3572556</t>
  </si>
  <si>
    <t>FWAC-260915</t>
  </si>
  <si>
    <t>104381988</t>
  </si>
  <si>
    <t>1403231</t>
  </si>
  <si>
    <t>FSIL-11540</t>
  </si>
  <si>
    <t>101108846</t>
  </si>
  <si>
    <t>1339759</t>
  </si>
  <si>
    <t>FSIL-8478</t>
  </si>
  <si>
    <t>18917238</t>
  </si>
  <si>
    <t>1166168</t>
  </si>
  <si>
    <t>FSIL-648</t>
  </si>
  <si>
    <t>102500749</t>
  </si>
  <si>
    <t>1368133</t>
  </si>
  <si>
    <t>FSIL-9763</t>
  </si>
  <si>
    <t>33275491</t>
  </si>
  <si>
    <t>1032255</t>
  </si>
  <si>
    <t>FWAC-250636</t>
  </si>
  <si>
    <t>34530453</t>
  </si>
  <si>
    <t>1031406</t>
  </si>
  <si>
    <t>FWAC-256761</t>
  </si>
  <si>
    <t>959887</t>
  </si>
  <si>
    <t>FYAC-89874</t>
  </si>
  <si>
    <t>32548677</t>
  </si>
  <si>
    <t>1209228</t>
  </si>
  <si>
    <t>FSIL-2225</t>
  </si>
  <si>
    <t>3759041</t>
  </si>
  <si>
    <t>FWAC-272216</t>
  </si>
  <si>
    <t>20259756</t>
  </si>
  <si>
    <t>3359330</t>
  </si>
  <si>
    <t>FWAC-247484</t>
  </si>
  <si>
    <t>1357318</t>
  </si>
  <si>
    <t>FSIL-9231</t>
  </si>
  <si>
    <t>20264561</t>
  </si>
  <si>
    <t>752765</t>
  </si>
  <si>
    <t>FYAC-86064</t>
  </si>
  <si>
    <t>101046398</t>
  </si>
  <si>
    <t>1137469</t>
  </si>
  <si>
    <t>FWAC-261492</t>
  </si>
  <si>
    <t>17964897</t>
  </si>
  <si>
    <t>672574</t>
  </si>
  <si>
    <t>FYAC-84637</t>
  </si>
  <si>
    <t>918499</t>
  </si>
  <si>
    <t>FSIL-16424</t>
  </si>
  <si>
    <t>107999705</t>
  </si>
  <si>
    <t>897938</t>
  </si>
  <si>
    <t>FSIL-14850</t>
  </si>
  <si>
    <t>18803711</t>
  </si>
  <si>
    <t>913022</t>
  </si>
  <si>
    <t>FWAC-244243</t>
  </si>
  <si>
    <t>124767310</t>
  </si>
  <si>
    <t>1078144</t>
  </si>
  <si>
    <t>FSIL028563</t>
  </si>
  <si>
    <t>19013015</t>
  </si>
  <si>
    <t>972395</t>
  </si>
  <si>
    <t>FWAC-244677</t>
  </si>
  <si>
    <t>101764010</t>
  </si>
  <si>
    <t>1099068</t>
  </si>
  <si>
    <t>FWAC-262815</t>
  </si>
  <si>
    <t>101813347</t>
  </si>
  <si>
    <t>1353883</t>
  </si>
  <si>
    <t>FSIL-9102</t>
  </si>
  <si>
    <t>33940422</t>
  </si>
  <si>
    <t>3427462</t>
  </si>
  <si>
    <t>FWAC-252046</t>
  </si>
  <si>
    <t>17991157</t>
  </si>
  <si>
    <t>674392</t>
  </si>
  <si>
    <t>FJAC-21922</t>
  </si>
  <si>
    <t>102183895</t>
  </si>
  <si>
    <t>1110936</t>
  </si>
  <si>
    <t>FWAC-263674</t>
  </si>
  <si>
    <t>109078684</t>
  </si>
  <si>
    <t>2341096</t>
  </si>
  <si>
    <t>FWAC-273971</t>
  </si>
  <si>
    <t>2353702</t>
  </si>
  <si>
    <t>FWAC-275519</t>
  </si>
  <si>
    <t>17748990</t>
  </si>
  <si>
    <t>949424</t>
  </si>
  <si>
    <t>FWAC-242311</t>
  </si>
  <si>
    <t>16680653</t>
  </si>
  <si>
    <t>868794</t>
  </si>
  <si>
    <t>FWAC-239319</t>
  </si>
  <si>
    <t>907651</t>
  </si>
  <si>
    <t>FSIL-15580</t>
  </si>
  <si>
    <t>105992523</t>
  </si>
  <si>
    <t>1433169</t>
  </si>
  <si>
    <t>FSIL-12931</t>
  </si>
  <si>
    <t>108343303</t>
  </si>
  <si>
    <t>1224813</t>
  </si>
  <si>
    <t>FYAC-93559</t>
  </si>
  <si>
    <t>690543</t>
  </si>
  <si>
    <t>FYAC-84974</t>
  </si>
  <si>
    <t>108433607</t>
  </si>
  <si>
    <t>2333855</t>
  </si>
  <si>
    <t>FWAC-273266</t>
  </si>
  <si>
    <t>100566491</t>
  </si>
  <si>
    <t>1080702</t>
  </si>
  <si>
    <t>FWAC-261206</t>
  </si>
  <si>
    <t>106066984</t>
  </si>
  <si>
    <t>1437106</t>
  </si>
  <si>
    <t>FSIL-13132</t>
  </si>
  <si>
    <t>33877765</t>
  </si>
  <si>
    <t>826919</t>
  </si>
  <si>
    <t>FYAC-87541</t>
  </si>
  <si>
    <t>33940423</t>
  </si>
  <si>
    <t>3427150</t>
  </si>
  <si>
    <t>FWAC-252011</t>
  </si>
  <si>
    <t>106474996</t>
  </si>
  <si>
    <t>3733664</t>
  </si>
  <si>
    <t>FWAC-270591</t>
  </si>
  <si>
    <t>32623327</t>
  </si>
  <si>
    <t>714254</t>
  </si>
  <si>
    <t>FJAC-22398</t>
  </si>
  <si>
    <t>3679984</t>
  </si>
  <si>
    <t>FWAC-267427</t>
  </si>
  <si>
    <t>101156735</t>
  </si>
  <si>
    <t>1091615</t>
  </si>
  <si>
    <t>FWAC-262059</t>
  </si>
  <si>
    <t>3657357</t>
  </si>
  <si>
    <t>FWAC-266069</t>
  </si>
  <si>
    <t>104910902</t>
  </si>
  <si>
    <t>1410951</t>
  </si>
  <si>
    <t>FSIL-12030</t>
  </si>
  <si>
    <t>102990779</t>
  </si>
  <si>
    <t>1377991</t>
  </si>
  <si>
    <t>FSIL-10272</t>
  </si>
  <si>
    <t>110524442</t>
  </si>
  <si>
    <t>2359770</t>
  </si>
  <si>
    <t>FWAC-276355</t>
  </si>
  <si>
    <t>101157056</t>
  </si>
  <si>
    <t>1342627</t>
  </si>
  <si>
    <t>FSIL-8610</t>
  </si>
  <si>
    <t>3652485</t>
  </si>
  <si>
    <t>FWAC-265761</t>
  </si>
  <si>
    <t>37827014</t>
  </si>
  <si>
    <t>1127077</t>
  </si>
  <si>
    <t>FWAC-260423</t>
  </si>
  <si>
    <t>101059736</t>
  </si>
  <si>
    <t>1083917</t>
  </si>
  <si>
    <t>FWAC-261478</t>
  </si>
  <si>
    <t>34551454</t>
  </si>
  <si>
    <t>999342</t>
  </si>
  <si>
    <t>FWAC-253692</t>
  </si>
  <si>
    <t>3826006</t>
  </si>
  <si>
    <t>FWAC-276084</t>
  </si>
  <si>
    <t>37465196</t>
  </si>
  <si>
    <t>785305</t>
  </si>
  <si>
    <t>FJAC-23163</t>
  </si>
  <si>
    <t>1353885</t>
  </si>
  <si>
    <t>FSIL-9105</t>
  </si>
  <si>
    <t>18743068</t>
  </si>
  <si>
    <t>913020</t>
  </si>
  <si>
    <t>FWAC-244241</t>
  </si>
  <si>
    <t>17314485</t>
  </si>
  <si>
    <t>935543</t>
  </si>
  <si>
    <t>FWAC240807</t>
  </si>
  <si>
    <t>102791762</t>
  </si>
  <si>
    <t>1074417</t>
  </si>
  <si>
    <t>FYAC-91662</t>
  </si>
  <si>
    <t>2299310</t>
  </si>
  <si>
    <t>FWAC-269336</t>
  </si>
  <si>
    <t>17046094</t>
  </si>
  <si>
    <t>1125668</t>
  </si>
  <si>
    <t>FWAC240306</t>
  </si>
  <si>
    <t>38036937</t>
  </si>
  <si>
    <t>987141</t>
  </si>
  <si>
    <t>FYAC-90276</t>
  </si>
  <si>
    <t>104373300</t>
  </si>
  <si>
    <t>1188964</t>
  </si>
  <si>
    <t>FWAC-267199</t>
  </si>
  <si>
    <t>4605899</t>
  </si>
  <si>
    <t>4453879</t>
  </si>
  <si>
    <t>FYAC-75261</t>
  </si>
  <si>
    <t>108727319</t>
  </si>
  <si>
    <t>2338975</t>
  </si>
  <si>
    <t>FWAC-273759</t>
  </si>
  <si>
    <t>924975</t>
  </si>
  <si>
    <t>FWAC-245253</t>
  </si>
  <si>
    <t>19953215</t>
  </si>
  <si>
    <t>3353509</t>
  </si>
  <si>
    <t>FWAC-247045</t>
  </si>
  <si>
    <t>33589568</t>
  </si>
  <si>
    <t>3420660</t>
  </si>
  <si>
    <t>FWAC-251542</t>
  </si>
  <si>
    <t>1260241</t>
  </si>
  <si>
    <t>FYAC-94046</t>
  </si>
  <si>
    <t>33196098</t>
  </si>
  <si>
    <t>971925</t>
  </si>
  <si>
    <t>FWAC-250584</t>
  </si>
  <si>
    <t>107650210</t>
  </si>
  <si>
    <t>892563</t>
  </si>
  <si>
    <t>FSIL-14510</t>
  </si>
  <si>
    <t>969747</t>
  </si>
  <si>
    <t>FYAC-90050</t>
  </si>
  <si>
    <t>33938886</t>
  </si>
  <si>
    <t>983529</t>
  </si>
  <si>
    <t>FWAC-251975</t>
  </si>
  <si>
    <t>35441249</t>
  </si>
  <si>
    <t>754945</t>
  </si>
  <si>
    <t>FJAC-22812</t>
  </si>
  <si>
    <t>34687323</t>
  </si>
  <si>
    <t>1063625</t>
  </si>
  <si>
    <t>FWAC-253714</t>
  </si>
  <si>
    <t>20264101</t>
  </si>
  <si>
    <t>944470</t>
  </si>
  <si>
    <t>FWAC-247442</t>
  </si>
  <si>
    <t>1311098</t>
  </si>
  <si>
    <t>FSIL-7047</t>
  </si>
  <si>
    <t>106908754</t>
  </si>
  <si>
    <t>3746711</t>
  </si>
  <si>
    <t>FWAC-271645</t>
  </si>
  <si>
    <t>34529652</t>
  </si>
  <si>
    <t>3463670</t>
  </si>
  <si>
    <t>FWAC-254181</t>
  </si>
  <si>
    <t>1227749</t>
  </si>
  <si>
    <t>FWAC-273066</t>
  </si>
  <si>
    <t>34686279</t>
  </si>
  <si>
    <t>3456527</t>
  </si>
  <si>
    <t>FWAC-253735</t>
  </si>
  <si>
    <t>105698207</t>
  </si>
  <si>
    <t>2299313</t>
  </si>
  <si>
    <t>FWAC-269333</t>
  </si>
  <si>
    <t>19011969</t>
  </si>
  <si>
    <t>917644</t>
  </si>
  <si>
    <t>FWAC-244660</t>
  </si>
  <si>
    <t>103177271</t>
  </si>
  <si>
    <t>1171667</t>
  </si>
  <si>
    <t>FWAC-265252</t>
  </si>
  <si>
    <t>19535207</t>
  </si>
  <si>
    <t>729369</t>
  </si>
  <si>
    <t>FYAC-85720</t>
  </si>
  <si>
    <t>1219190</t>
  </si>
  <si>
    <t>FYAC-93495</t>
  </si>
  <si>
    <t>921302</t>
  </si>
  <si>
    <t>FWAC-244956</t>
  </si>
  <si>
    <t>36354474</t>
  </si>
  <si>
    <t>1093678</t>
  </si>
  <si>
    <t>FWAC-256794</t>
  </si>
  <si>
    <t>38019678</t>
  </si>
  <si>
    <t>1130037</t>
  </si>
  <si>
    <t>FWAC-260652</t>
  </si>
  <si>
    <t>3485333</t>
  </si>
  <si>
    <t>FWAC-255495</t>
  </si>
  <si>
    <t>899629</t>
  </si>
  <si>
    <t>FSIL-14894</t>
  </si>
  <si>
    <t>34921534</t>
  </si>
  <si>
    <t>3471742</t>
  </si>
  <si>
    <t>FWAC-254703</t>
  </si>
  <si>
    <t>109609792</t>
  </si>
  <si>
    <t>1249962</t>
  </si>
  <si>
    <t>FWAC-274876</t>
  </si>
  <si>
    <t>106493678</t>
  </si>
  <si>
    <t>1443231</t>
  </si>
  <si>
    <t>FSIL-13518</t>
  </si>
  <si>
    <t>102960394</t>
  </si>
  <si>
    <t>1169238</t>
  </si>
  <si>
    <t>FWAC-264917</t>
  </si>
  <si>
    <t>34730954</t>
  </si>
  <si>
    <t>1071654</t>
  </si>
  <si>
    <t>FWAC-254594</t>
  </si>
  <si>
    <t>1112698</t>
  </si>
  <si>
    <t>FWAC-263689</t>
  </si>
  <si>
    <t>35056831</t>
  </si>
  <si>
    <t>1006450</t>
  </si>
  <si>
    <t>FWAC-254559</t>
  </si>
  <si>
    <t>33361531</t>
  </si>
  <si>
    <t>1222991</t>
  </si>
  <si>
    <t>FSIL-2798</t>
  </si>
  <si>
    <t>36172421</t>
  </si>
  <si>
    <t>3501312</t>
  </si>
  <si>
    <t>FWAC-256566</t>
  </si>
  <si>
    <t>19116803</t>
  </si>
  <si>
    <t>1174853</t>
  </si>
  <si>
    <t>FSIL-953</t>
  </si>
  <si>
    <t>103688882</t>
  </si>
  <si>
    <t>1178653</t>
  </si>
  <si>
    <t>FWAC-266045</t>
  </si>
  <si>
    <t>103000517</t>
  </si>
  <si>
    <t>833970</t>
  </si>
  <si>
    <t>FSIL-10347</t>
  </si>
  <si>
    <t>102501244</t>
  </si>
  <si>
    <t>3629274</t>
  </si>
  <si>
    <t>FWAC-264142</t>
  </si>
  <si>
    <t>17094396</t>
  </si>
  <si>
    <t>930962</t>
  </si>
  <si>
    <t>FWAC-240218</t>
  </si>
  <si>
    <t>3672688</t>
  </si>
  <si>
    <t>FWAC-266981</t>
  </si>
  <si>
    <t>34991732</t>
  </si>
  <si>
    <t>1008195</t>
  </si>
  <si>
    <t>FWAC-254749</t>
  </si>
  <si>
    <t>1202635</t>
  </si>
  <si>
    <t>FWAC-271627</t>
  </si>
  <si>
    <t>36123902</t>
  </si>
  <si>
    <t>1027795</t>
  </si>
  <si>
    <t>FWAC-256510</t>
  </si>
  <si>
    <t>18170452</t>
  </si>
  <si>
    <t>3286094</t>
  </si>
  <si>
    <t>FWAC-242929</t>
  </si>
  <si>
    <t>901509</t>
  </si>
  <si>
    <t>FSIL-15043</t>
  </si>
  <si>
    <t>37622298</t>
  </si>
  <si>
    <t>964862</t>
  </si>
  <si>
    <t>FYAC-89986</t>
  </si>
  <si>
    <t>3725481</t>
  </si>
  <si>
    <t>FWAC-270012</t>
  </si>
  <si>
    <t>3487792</t>
  </si>
  <si>
    <t>FWAC-255789</t>
  </si>
  <si>
    <t>33652796</t>
  </si>
  <si>
    <t>979795</t>
  </si>
  <si>
    <t>FWAC-251475</t>
  </si>
  <si>
    <t>17095502</t>
  </si>
  <si>
    <t>877724</t>
  </si>
  <si>
    <t>FWAC240258</t>
  </si>
  <si>
    <t>33661997</t>
  </si>
  <si>
    <t>3420303</t>
  </si>
  <si>
    <t>FWAC-251535</t>
  </si>
  <si>
    <t>101457355</t>
  </si>
  <si>
    <t>1143287</t>
  </si>
  <si>
    <t>FWAC-262165</t>
  </si>
  <si>
    <t>105360627</t>
  </si>
  <si>
    <t>1422701</t>
  </si>
  <si>
    <t>FSIL-12500</t>
  </si>
  <si>
    <t>35442214</t>
  </si>
  <si>
    <t>1276825</t>
  </si>
  <si>
    <t>FSIL-5037</t>
  </si>
  <si>
    <t>104315342</t>
  </si>
  <si>
    <t>3677029</t>
  </si>
  <si>
    <t>FWAC-267154</t>
  </si>
  <si>
    <t>124620309</t>
  </si>
  <si>
    <t>1078147</t>
  </si>
  <si>
    <t>FSIL028566</t>
  </si>
  <si>
    <t>102615960</t>
  </si>
  <si>
    <t>1118100</t>
  </si>
  <si>
    <t>FWAC-264374</t>
  </si>
  <si>
    <t>1267677</t>
  </si>
  <si>
    <t>FYAC-94127</t>
  </si>
  <si>
    <t>17749139</t>
  </si>
  <si>
    <t>1144255</t>
  </si>
  <si>
    <t>FWAC-242361</t>
  </si>
  <si>
    <t>102328888</t>
  </si>
  <si>
    <t>1365520</t>
  </si>
  <si>
    <t>FSIL-9633</t>
  </si>
  <si>
    <t>922825</t>
  </si>
  <si>
    <t>FSIL-16717</t>
  </si>
  <si>
    <t>1078145</t>
  </si>
  <si>
    <t>FSIL028564</t>
  </si>
  <si>
    <t>100796826</t>
  </si>
  <si>
    <t>1335983</t>
  </si>
  <si>
    <t>FSIL-8303</t>
  </si>
  <si>
    <t>18958036</t>
  </si>
  <si>
    <t>917146</t>
  </si>
  <si>
    <t>FWAC-244680</t>
  </si>
  <si>
    <t>102500981</t>
  </si>
  <si>
    <t>1044540</t>
  </si>
  <si>
    <t>FYAC-91248</t>
  </si>
  <si>
    <t>101120525</t>
  </si>
  <si>
    <t>804823</t>
  </si>
  <si>
    <t>FJAC-23353</t>
  </si>
  <si>
    <t>108343143</t>
  </si>
  <si>
    <t>1475546</t>
  </si>
  <si>
    <t>FSIL-15113</t>
  </si>
  <si>
    <t>3812995</t>
  </si>
  <si>
    <t>FWAC-275050</t>
  </si>
  <si>
    <t>102220149</t>
  </si>
  <si>
    <t>1109110</t>
  </si>
  <si>
    <t>FWAC-263540</t>
  </si>
  <si>
    <t>102118633</t>
  </si>
  <si>
    <t>1360771</t>
  </si>
  <si>
    <t>FSIL-9432</t>
  </si>
  <si>
    <t>16680654</t>
  </si>
  <si>
    <t>868778</t>
  </si>
  <si>
    <t>FWAC-239317</t>
  </si>
  <si>
    <t>101025776</t>
  </si>
  <si>
    <t>1083920</t>
  </si>
  <si>
    <t>FWAC-261515</t>
  </si>
  <si>
    <t>1158342</t>
  </si>
  <si>
    <t>FWAC-263691</t>
  </si>
  <si>
    <t>124901047</t>
  </si>
  <si>
    <t>1724532</t>
  </si>
  <si>
    <t>FSIL028705</t>
  </si>
  <si>
    <t>1313992</t>
  </si>
  <si>
    <t>FSIL-7237</t>
  </si>
  <si>
    <t>100588694</t>
  </si>
  <si>
    <t>1000696</t>
  </si>
  <si>
    <t>FYAC-90501</t>
  </si>
  <si>
    <t>35132270</t>
  </si>
  <si>
    <t>1011427</t>
  </si>
  <si>
    <t>FWAC-254946</t>
  </si>
  <si>
    <t>37895580</t>
  </si>
  <si>
    <t>3564446</t>
  </si>
  <si>
    <t>FWAC-260409</t>
  </si>
  <si>
    <t>3441842</t>
  </si>
  <si>
    <t>FWAC-253048</t>
  </si>
  <si>
    <t>1258872</t>
  </si>
  <si>
    <t>FWAC-275553</t>
  </si>
  <si>
    <t>36351476</t>
  </si>
  <si>
    <t>3510836</t>
  </si>
  <si>
    <t>FWAC-257091</t>
  </si>
  <si>
    <t>37508040</t>
  </si>
  <si>
    <t>795698</t>
  </si>
  <si>
    <t>FJAC-23257</t>
  </si>
  <si>
    <t>34879281</t>
  </si>
  <si>
    <t>1067653</t>
  </si>
  <si>
    <t>FWAC-254132</t>
  </si>
  <si>
    <t>107558305</t>
  </si>
  <si>
    <t>1461614</t>
  </si>
  <si>
    <t>FSIL-14519</t>
  </si>
  <si>
    <t>17794454</t>
  </si>
  <si>
    <t>3277307</t>
  </si>
  <si>
    <t>FWAC-242339</t>
  </si>
  <si>
    <t>1018889</t>
  </si>
  <si>
    <t>FWAC-255754</t>
  </si>
  <si>
    <t>101107247</t>
  </si>
  <si>
    <t>3581219</t>
  </si>
  <si>
    <t>FWAC-261528</t>
  </si>
  <si>
    <t>18957854</t>
  </si>
  <si>
    <t>3316141</t>
  </si>
  <si>
    <t>FWAC-244748</t>
  </si>
  <si>
    <t>34454705</t>
  </si>
  <si>
    <t>3448700</t>
  </si>
  <si>
    <t>FWAC-253434</t>
  </si>
  <si>
    <t>100551505</t>
  </si>
  <si>
    <t>792856</t>
  </si>
  <si>
    <t>FJAC-23244</t>
  </si>
  <si>
    <t>17964736</t>
  </si>
  <si>
    <t>670837</t>
  </si>
  <si>
    <t>FYAC-84574</t>
  </si>
  <si>
    <t>104198790</t>
  </si>
  <si>
    <t>849252</t>
  </si>
  <si>
    <t>FSIL-11459</t>
  </si>
  <si>
    <t>104316453</t>
  </si>
  <si>
    <t>1103180</t>
  </si>
  <si>
    <t>FYAC-92018</t>
  </si>
  <si>
    <t>1018641</t>
  </si>
  <si>
    <t>FWAC-255675</t>
  </si>
  <si>
    <t>19644431</t>
  </si>
  <si>
    <t>3339620</t>
  </si>
  <si>
    <t>FWAC-246288</t>
  </si>
  <si>
    <t>102329521</t>
  </si>
  <si>
    <t>3620955</t>
  </si>
  <si>
    <t>FWAC-263758</t>
  </si>
  <si>
    <t>19855528</t>
  </si>
  <si>
    <t>935737</t>
  </si>
  <si>
    <t>FWAC-246570</t>
  </si>
  <si>
    <t>36823753</t>
  </si>
  <si>
    <t>3519408</t>
  </si>
  <si>
    <t>FWAC-257632</t>
  </si>
  <si>
    <t>110454732</t>
  </si>
  <si>
    <t>1511471</t>
  </si>
  <si>
    <t>FSIL-16937</t>
  </si>
  <si>
    <t>34875367</t>
  </si>
  <si>
    <t>1002989</t>
  </si>
  <si>
    <t>FWAC-254088</t>
  </si>
  <si>
    <t>36170706</t>
  </si>
  <si>
    <t>1027867</t>
  </si>
  <si>
    <t>FWAC-256507</t>
  </si>
  <si>
    <t>19603232</t>
  </si>
  <si>
    <t>931757</t>
  </si>
  <si>
    <t>FWAC-246214</t>
  </si>
  <si>
    <t>35180789</t>
  </si>
  <si>
    <t>1075572</t>
  </si>
  <si>
    <t>FWAC-254956</t>
  </si>
  <si>
    <t>110286533</t>
  </si>
  <si>
    <t>1508168</t>
  </si>
  <si>
    <t>FSIL-16809</t>
  </si>
  <si>
    <t>1365232</t>
  </si>
  <si>
    <t>FSIL-9625</t>
  </si>
  <si>
    <t>18173068</t>
  </si>
  <si>
    <t>954107</t>
  </si>
  <si>
    <t>FWAC-242901</t>
  </si>
  <si>
    <t>1254242</t>
  </si>
  <si>
    <t>FWAC-274944</t>
  </si>
  <si>
    <t>3627817</t>
  </si>
  <si>
    <t>FWAC-264008</t>
  </si>
  <si>
    <t>1044432</t>
  </si>
  <si>
    <t>FYAC-91234</t>
  </si>
  <si>
    <t>103688489</t>
  </si>
  <si>
    <t>1403233</t>
  </si>
  <si>
    <t>FSIL-11561</t>
  </si>
  <si>
    <t>101769079</t>
  </si>
  <si>
    <t>1353881</t>
  </si>
  <si>
    <t>FSIL-9100</t>
  </si>
  <si>
    <t>34790696</t>
  </si>
  <si>
    <t>749414</t>
  </si>
  <si>
    <t>FJAC-22755</t>
  </si>
  <si>
    <t>108892121</t>
  </si>
  <si>
    <t>1237277</t>
  </si>
  <si>
    <t>FWAC-273767</t>
  </si>
  <si>
    <t>3337492</t>
  </si>
  <si>
    <t>FWAC-246202</t>
  </si>
  <si>
    <t>100938873</t>
  </si>
  <si>
    <t>1336427</t>
  </si>
  <si>
    <t>FSIL-8316</t>
  </si>
  <si>
    <t>18102976</t>
  </si>
  <si>
    <t>707710</t>
  </si>
  <si>
    <t>FYAC-85321</t>
  </si>
  <si>
    <t>105880635</t>
  </si>
  <si>
    <t>7419</t>
  </si>
  <si>
    <t>FWAC-269524</t>
  </si>
  <si>
    <t>109558072</t>
  </si>
  <si>
    <t>2349438</t>
  </si>
  <si>
    <t>FWAC-274905</t>
  </si>
  <si>
    <t>37566582</t>
  </si>
  <si>
    <t>1115822</t>
  </si>
  <si>
    <t>FWAC-259188</t>
  </si>
  <si>
    <t>37978149</t>
  </si>
  <si>
    <t>798337</t>
  </si>
  <si>
    <t>FJAC-23295</t>
  </si>
  <si>
    <t>1245571</t>
  </si>
  <si>
    <t>FWAC-274501</t>
  </si>
  <si>
    <t>1339560</t>
  </si>
  <si>
    <t>FSIL-8472</t>
  </si>
  <si>
    <t>1224763</t>
  </si>
  <si>
    <t>FWAC-272887</t>
  </si>
  <si>
    <t>3571996</t>
  </si>
  <si>
    <t>FWAC-260883</t>
  </si>
  <si>
    <t>811970</t>
  </si>
  <si>
    <t>FYAC-87241</t>
  </si>
  <si>
    <t>19645465</t>
  </si>
  <si>
    <t>985675</t>
  </si>
  <si>
    <t>FWAC-246217</t>
  </si>
  <si>
    <t>1342626</t>
  </si>
  <si>
    <t>FSIL-8616</t>
  </si>
  <si>
    <t>36484032</t>
  </si>
  <si>
    <t>3514183</t>
  </si>
  <si>
    <t>FWAC-257375</t>
  </si>
  <si>
    <t>3549111</t>
  </si>
  <si>
    <t>FWAC-259560</t>
  </si>
  <si>
    <t>19856266</t>
  </si>
  <si>
    <t>991038</t>
  </si>
  <si>
    <t>FWAC-246601</t>
  </si>
  <si>
    <t>1489709</t>
  </si>
  <si>
    <t>FSIL-15993</t>
  </si>
  <si>
    <t>35254966</t>
  </si>
  <si>
    <t>1268878</t>
  </si>
  <si>
    <t>FSIL-4652</t>
  </si>
  <si>
    <t>103176250</t>
  </si>
  <si>
    <t>3643311</t>
  </si>
  <si>
    <t>FWAC-265239</t>
  </si>
  <si>
    <t>37898698</t>
  </si>
  <si>
    <t>3568580</t>
  </si>
  <si>
    <t>FWAC-260692</t>
  </si>
  <si>
    <t>3572170</t>
  </si>
  <si>
    <t>FWAC-260900</t>
  </si>
  <si>
    <t>37939849</t>
  </si>
  <si>
    <t>796017</t>
  </si>
  <si>
    <t>FJAC-23271</t>
  </si>
  <si>
    <t>109734856</t>
  </si>
  <si>
    <t>2350530</t>
  </si>
  <si>
    <t>FWAC-275058</t>
  </si>
  <si>
    <t>1102695</t>
  </si>
  <si>
    <t>FYAC-92010</t>
  </si>
  <si>
    <t>105570285</t>
  </si>
  <si>
    <t>1426091</t>
  </si>
  <si>
    <t>FSIL-12670</t>
  </si>
  <si>
    <t>34076379</t>
  </si>
  <si>
    <t>3434440</t>
  </si>
  <si>
    <t>FWAC-252631</t>
  </si>
  <si>
    <t>3568294</t>
  </si>
  <si>
    <t>FWAC-260638</t>
  </si>
  <si>
    <t>19067196</t>
  </si>
  <si>
    <t>1172071</t>
  </si>
  <si>
    <t>FSIL-859</t>
  </si>
  <si>
    <t>3684433</t>
  </si>
  <si>
    <t>FWAC-267751</t>
  </si>
  <si>
    <t>110519759</t>
  </si>
  <si>
    <t>1265635</t>
  </si>
  <si>
    <t>FWAC-276192</t>
  </si>
  <si>
    <t>37802640</t>
  </si>
  <si>
    <t>1327919</t>
  </si>
  <si>
    <t>FSIL-7862</t>
  </si>
  <si>
    <t>3427174</t>
  </si>
  <si>
    <t>FWAC-252033</t>
  </si>
  <si>
    <t>102614999</t>
  </si>
  <si>
    <t>1371597</t>
  </si>
  <si>
    <t>FSIL-9953</t>
  </si>
  <si>
    <t>103628579</t>
  </si>
  <si>
    <t>1395338</t>
  </si>
  <si>
    <t>FSIL-11332</t>
  </si>
  <si>
    <t>101240811</t>
  </si>
  <si>
    <t>1087662</t>
  </si>
  <si>
    <t>FWAC-261751</t>
  </si>
  <si>
    <t>101829052</t>
  </si>
  <si>
    <t>815141</t>
  </si>
  <si>
    <t>FJAC-23441</t>
  </si>
  <si>
    <t>16864330</t>
  </si>
  <si>
    <t>3241921</t>
  </si>
  <si>
    <t>FWAC-239770</t>
  </si>
  <si>
    <t>108727612</t>
  </si>
  <si>
    <t>905441</t>
  </si>
  <si>
    <t>FSIL-15414</t>
  </si>
  <si>
    <t>33124657</t>
  </si>
  <si>
    <t>968047</t>
  </si>
  <si>
    <t>FWAC-250161</t>
  </si>
  <si>
    <t>18621825</t>
  </si>
  <si>
    <t>1163062</t>
  </si>
  <si>
    <t>FSIL-528</t>
  </si>
  <si>
    <t>103269129</t>
  </si>
  <si>
    <t>1387377</t>
  </si>
  <si>
    <t>FSIL-10796</t>
  </si>
  <si>
    <t>105563036</t>
  </si>
  <si>
    <t>1145601</t>
  </si>
  <si>
    <t>FYAC-92518</t>
  </si>
  <si>
    <t>861185</t>
  </si>
  <si>
    <t>FSIL-12305</t>
  </si>
  <si>
    <t>33556537</t>
  </si>
  <si>
    <t>811510</t>
  </si>
  <si>
    <t>FYAC-87228</t>
  </si>
  <si>
    <t>103512196</t>
  </si>
  <si>
    <t>1176322</t>
  </si>
  <si>
    <t>FWAC-265763</t>
  </si>
  <si>
    <t>18592523</t>
  </si>
  <si>
    <t>3300473</t>
  </si>
  <si>
    <t>FWAC-243901</t>
  </si>
  <si>
    <t>3484783</t>
  </si>
  <si>
    <t>FWAC-255469</t>
  </si>
  <si>
    <t>3785684</t>
  </si>
  <si>
    <t>FWAC-273533</t>
  </si>
  <si>
    <t>103204595</t>
  </si>
  <si>
    <t>1383737</t>
  </si>
  <si>
    <t>FSIL-10624</t>
  </si>
  <si>
    <t>109798181</t>
  </si>
  <si>
    <t>1497969</t>
  </si>
  <si>
    <t>FSIL-16386</t>
  </si>
  <si>
    <t>3323944</t>
  </si>
  <si>
    <t>FWAC-245186</t>
  </si>
  <si>
    <t>18387141</t>
  </si>
  <si>
    <t>3297243</t>
  </si>
  <si>
    <t>FWAC-243596</t>
  </si>
  <si>
    <t>101416690</t>
  </si>
  <si>
    <t>1349484</t>
  </si>
  <si>
    <t>FSIL-8913</t>
  </si>
  <si>
    <t>37939803</t>
  </si>
  <si>
    <t>1127078</t>
  </si>
  <si>
    <t>FWAC-260425</t>
  </si>
  <si>
    <t>37940195</t>
  </si>
  <si>
    <t>798336</t>
  </si>
  <si>
    <t>FJAC-23294</t>
  </si>
  <si>
    <t>103606591</t>
  </si>
  <si>
    <t>1391254</t>
  </si>
  <si>
    <t>FSIL-10911</t>
  </si>
  <si>
    <t>3820218</t>
  </si>
  <si>
    <t>FWAC-275602</t>
  </si>
  <si>
    <t>37868595</t>
  </si>
  <si>
    <t>1124381</t>
  </si>
  <si>
    <t>FWAC-260180</t>
  </si>
  <si>
    <t>3529110</t>
  </si>
  <si>
    <t>FWAC-258223</t>
  </si>
  <si>
    <t>109386378</t>
  </si>
  <si>
    <t>916086</t>
  </si>
  <si>
    <t>FSIL-16286</t>
  </si>
  <si>
    <t>1380719</t>
  </si>
  <si>
    <t>FSIL-10471</t>
  </si>
  <si>
    <t>1492012</t>
  </si>
  <si>
    <t>FSIL-16100</t>
  </si>
  <si>
    <t>105742794</t>
  </si>
  <si>
    <t>7359</t>
  </si>
  <si>
    <t>FWAC-269269</t>
  </si>
  <si>
    <t>38088905</t>
  </si>
  <si>
    <t>1077120</t>
  </si>
  <si>
    <t>FWAC-260862</t>
  </si>
  <si>
    <t>104936454</t>
  </si>
  <si>
    <t>857037</t>
  </si>
  <si>
    <t>FSIL-12045</t>
  </si>
  <si>
    <t>102253893</t>
  </si>
  <si>
    <t>3621334</t>
  </si>
  <si>
    <t>FWAC-263784</t>
  </si>
  <si>
    <t>108777437</t>
  </si>
  <si>
    <t>1483497</t>
  </si>
  <si>
    <t>FSIL-15590</t>
  </si>
  <si>
    <t>987147</t>
  </si>
  <si>
    <t>FYAC-90277</t>
  </si>
  <si>
    <t>100391870</t>
  </si>
  <si>
    <t>788307</t>
  </si>
  <si>
    <t>FJAC-23179</t>
  </si>
  <si>
    <t>19574952</t>
  </si>
  <si>
    <t>1180324</t>
  </si>
  <si>
    <t>FSIL-1100</t>
  </si>
  <si>
    <t>38034712</t>
  </si>
  <si>
    <t>1130056</t>
  </si>
  <si>
    <t>FWAC-260691</t>
  </si>
  <si>
    <t>926178</t>
  </si>
  <si>
    <t>FSIL-16851</t>
  </si>
  <si>
    <t>110374654</t>
  </si>
  <si>
    <t>1291381</t>
  </si>
  <si>
    <t>FYAC-94486</t>
  </si>
  <si>
    <t>100391867</t>
  </si>
  <si>
    <t>1120061</t>
  </si>
  <si>
    <t>FWAC-259671</t>
  </si>
  <si>
    <t>1038112</t>
  </si>
  <si>
    <t>FYAC-91135</t>
  </si>
  <si>
    <t>100391872</t>
  </si>
  <si>
    <t>1061071</t>
  </si>
  <si>
    <t>FWAC-259613</t>
  </si>
  <si>
    <t>108011736</t>
  </si>
  <si>
    <t>897010</t>
  </si>
  <si>
    <t>FSIL-14796</t>
  </si>
  <si>
    <t>1078146</t>
  </si>
  <si>
    <t>FSIL028565</t>
  </si>
  <si>
    <t>17566297</t>
  </si>
  <si>
    <t>949422</t>
  </si>
  <si>
    <t>FWAC-242312</t>
  </si>
  <si>
    <t>37076186</t>
  </si>
  <si>
    <t>3524773</t>
  </si>
  <si>
    <t>FWAC-257942</t>
  </si>
  <si>
    <t>3346028</t>
  </si>
  <si>
    <t>FWAC-246606</t>
  </si>
  <si>
    <t>100179876</t>
  </si>
  <si>
    <t>1112888</t>
  </si>
  <si>
    <t>FWAC-258902</t>
  </si>
  <si>
    <t>100805415</t>
  </si>
  <si>
    <t>799959</t>
  </si>
  <si>
    <t>FJAC-23315</t>
  </si>
  <si>
    <t>3406987</t>
  </si>
  <si>
    <t>FWAC-250643</t>
  </si>
  <si>
    <t>104098502</t>
  </si>
  <si>
    <t>1188962</t>
  </si>
  <si>
    <t>FWAC-267202</t>
  </si>
  <si>
    <t>105632788</t>
  </si>
  <si>
    <t>3712213</t>
  </si>
  <si>
    <t>FWAC-269170</t>
  </si>
  <si>
    <t>101729958</t>
  </si>
  <si>
    <t>3603390</t>
  </si>
  <si>
    <t>FWAC-262875</t>
  </si>
  <si>
    <t>104742299</t>
  </si>
  <si>
    <t>1173250</t>
  </si>
  <si>
    <t>FWAC-269104</t>
  </si>
  <si>
    <t>36283547</t>
  </si>
  <si>
    <t>3505142</t>
  </si>
  <si>
    <t>FWAC-256802</t>
  </si>
  <si>
    <t>104512412</t>
  </si>
  <si>
    <t>853098</t>
  </si>
  <si>
    <t>FSIL-11721</t>
  </si>
  <si>
    <t>1505240</t>
  </si>
  <si>
    <t>FSIL-16697</t>
  </si>
  <si>
    <t>109976026</t>
  </si>
  <si>
    <t>3817400</t>
  </si>
  <si>
    <t>FWAC-275393</t>
  </si>
  <si>
    <t>108105843</t>
  </si>
  <si>
    <t>2329841</t>
  </si>
  <si>
    <t>FWAC-272868</t>
  </si>
  <si>
    <t>1019132</t>
  </si>
  <si>
    <t>FWAC-255725</t>
  </si>
  <si>
    <t>110041777</t>
  </si>
  <si>
    <t>1275529</t>
  </si>
  <si>
    <t>FYAC-94260</t>
  </si>
  <si>
    <t>19067400</t>
  </si>
  <si>
    <t>3323497</t>
  </si>
  <si>
    <t>FWAC-245171</t>
  </si>
  <si>
    <t>19116804</t>
  </si>
  <si>
    <t>922953</t>
  </si>
  <si>
    <t>FWAC-245192</t>
  </si>
  <si>
    <t>17046097</t>
  </si>
  <si>
    <t>1123972</t>
  </si>
  <si>
    <t>FWAC-240154</t>
  </si>
  <si>
    <t>104984300</t>
  </si>
  <si>
    <t>2296974</t>
  </si>
  <si>
    <t>FWAC-269158</t>
  </si>
  <si>
    <t>3482301</t>
  </si>
  <si>
    <t>FWAC-255329</t>
  </si>
  <si>
    <t>104555587</t>
  </si>
  <si>
    <t>1105865</t>
  </si>
  <si>
    <t>FYAC-92073</t>
  </si>
  <si>
    <t>107857828</t>
  </si>
  <si>
    <t>1227755</t>
  </si>
  <si>
    <t>FWAC-273067</t>
  </si>
  <si>
    <t>3564277</t>
  </si>
  <si>
    <t>FWAC-260398</t>
  </si>
  <si>
    <t>17965609</t>
  </si>
  <si>
    <t>949759</t>
  </si>
  <si>
    <t>FWAC-242376</t>
  </si>
  <si>
    <t>102220148</t>
  </si>
  <si>
    <t>1364197</t>
  </si>
  <si>
    <t>FSIL-9581</t>
  </si>
  <si>
    <t>101814101</t>
  </si>
  <si>
    <t>1020360</t>
  </si>
  <si>
    <t>FYAC-90862</t>
  </si>
  <si>
    <t>101635058</t>
  </si>
  <si>
    <t>3595373</t>
  </si>
  <si>
    <t>FWAC-262415</t>
  </si>
  <si>
    <t>1004752</t>
  </si>
  <si>
    <t>FYAC-90570</t>
  </si>
  <si>
    <t>104417840</t>
  </si>
  <si>
    <t>851292</t>
  </si>
  <si>
    <t>FSIL-11576</t>
  </si>
  <si>
    <t>35395225</t>
  </si>
  <si>
    <t>1272747</t>
  </si>
  <si>
    <t>FSIL-4824</t>
  </si>
  <si>
    <t>3500590</t>
  </si>
  <si>
    <t>FWAC-256528</t>
  </si>
  <si>
    <t>37893171</t>
  </si>
  <si>
    <t>1331098</t>
  </si>
  <si>
    <t>FSIL-7998</t>
  </si>
  <si>
    <t>104780789</t>
  </si>
  <si>
    <t>854533</t>
  </si>
  <si>
    <t>FSIL-11947</t>
  </si>
  <si>
    <t>35331869</t>
  </si>
  <si>
    <t>890819</t>
  </si>
  <si>
    <t>FYAC-88595</t>
  </si>
  <si>
    <t>34991728</t>
  </si>
  <si>
    <t>3472034</t>
  </si>
  <si>
    <t>FWAC-254753</t>
  </si>
  <si>
    <t>104729848</t>
  </si>
  <si>
    <t>1408106</t>
  </si>
  <si>
    <t>FSIL-11925</t>
  </si>
  <si>
    <t>101936966</t>
  </si>
  <si>
    <t>1027275</t>
  </si>
  <si>
    <t>FYAC-90935</t>
  </si>
  <si>
    <t>756606</t>
  </si>
  <si>
    <t>FJAC-22838</t>
  </si>
  <si>
    <t>19434263</t>
  </si>
  <si>
    <t>3330547</t>
  </si>
  <si>
    <t>FWAC-245605</t>
  </si>
  <si>
    <t>3834086</t>
  </si>
  <si>
    <t>FWAC-276619</t>
  </si>
  <si>
    <t>100674868</t>
  </si>
  <si>
    <t>1330900</t>
  </si>
  <si>
    <t>FSIL-7993</t>
  </si>
  <si>
    <t>3538803</t>
  </si>
  <si>
    <t>FWAC-258956</t>
  </si>
  <si>
    <t>3486648</t>
  </si>
  <si>
    <t>FWAC-255664</t>
  </si>
  <si>
    <t>38128658</t>
  </si>
  <si>
    <t>1132708</t>
  </si>
  <si>
    <t>FWAC-260914</t>
  </si>
  <si>
    <t>3487593</t>
  </si>
  <si>
    <t>FWAC-255724</t>
  </si>
  <si>
    <t>957123</t>
  </si>
  <si>
    <t>FYAC-89832</t>
  </si>
  <si>
    <t>100932933</t>
  </si>
  <si>
    <t>3576844</t>
  </si>
  <si>
    <t>FWAC-261286</t>
  </si>
  <si>
    <t>100391871</t>
  </si>
  <si>
    <t>1318856</t>
  </si>
  <si>
    <t>FSIL-7466</t>
  </si>
  <si>
    <t>105703010</t>
  </si>
  <si>
    <t>1428269</t>
  </si>
  <si>
    <t>FSIL-12770</t>
  </si>
  <si>
    <t>101281946</t>
  </si>
  <si>
    <t>1087663</t>
  </si>
  <si>
    <t>FWAC-261750</t>
  </si>
  <si>
    <t>1040981</t>
  </si>
  <si>
    <t>FYAC-91181</t>
  </si>
  <si>
    <t>100674865</t>
  </si>
  <si>
    <t>3568304</t>
  </si>
  <si>
    <t>FWAC-260634</t>
  </si>
  <si>
    <t>101202827</t>
  </si>
  <si>
    <t>1342629</t>
  </si>
  <si>
    <t>FSIL-8611</t>
  </si>
  <si>
    <t>3808316</t>
  </si>
  <si>
    <t>FWAC-274786</t>
  </si>
  <si>
    <t>16862223</t>
  </si>
  <si>
    <t>1120553</t>
  </si>
  <si>
    <t>FWAC-239713</t>
  </si>
  <si>
    <t>37802592</t>
  </si>
  <si>
    <t>1327922</t>
  </si>
  <si>
    <t>FSIL-7864</t>
  </si>
  <si>
    <t>1335967</t>
  </si>
  <si>
    <t>FSIL-8307</t>
  </si>
  <si>
    <t>34879543</t>
  </si>
  <si>
    <t>3463603</t>
  </si>
  <si>
    <t>FWAC-254155</t>
  </si>
  <si>
    <t>34686548</t>
  </si>
  <si>
    <t>3457065</t>
  </si>
  <si>
    <t>FWAC-253755</t>
  </si>
  <si>
    <t>36439808</t>
  </si>
  <si>
    <t>3509879</t>
  </si>
  <si>
    <t>FWAC-257055</t>
  </si>
  <si>
    <t>100185501</t>
  </si>
  <si>
    <t>1053491</t>
  </si>
  <si>
    <t>FWAC-258933</t>
  </si>
  <si>
    <t>1413534</t>
  </si>
  <si>
    <t>FSIL-12156</t>
  </si>
  <si>
    <t>37873242</t>
  </si>
  <si>
    <t>1324753</t>
  </si>
  <si>
    <t>FSIL-7706</t>
  </si>
  <si>
    <t>3603263</t>
  </si>
  <si>
    <t>FWAC-262879</t>
  </si>
  <si>
    <t>1081282</t>
  </si>
  <si>
    <t>FWAC-255454</t>
  </si>
  <si>
    <t>100391869</t>
  </si>
  <si>
    <t>967254</t>
  </si>
  <si>
    <t>FYAC-89996</t>
  </si>
  <si>
    <t>100366971</t>
  </si>
  <si>
    <t>967007</t>
  </si>
  <si>
    <t>FYAC-89994</t>
  </si>
  <si>
    <t>37490075</t>
  </si>
  <si>
    <t>3543524</t>
  </si>
  <si>
    <t>FWAC-259242</t>
  </si>
  <si>
    <t>1021367</t>
  </si>
  <si>
    <t>FYAC-90878</t>
  </si>
  <si>
    <t>100391868</t>
  </si>
  <si>
    <t>3551306</t>
  </si>
  <si>
    <t>FWAC-259697</t>
  </si>
  <si>
    <t>36439812</t>
  </si>
  <si>
    <t>1033561</t>
  </si>
  <si>
    <t>FWAC-256985</t>
  </si>
  <si>
    <t>101461291</t>
  </si>
  <si>
    <t>1346125</t>
  </si>
  <si>
    <t>FSIL-8761</t>
  </si>
  <si>
    <t>35063050</t>
  </si>
  <si>
    <t>3474202</t>
  </si>
  <si>
    <t>FWAC-254899</t>
  </si>
  <si>
    <t>100674866</t>
  </si>
  <si>
    <t>986135</t>
  </si>
  <si>
    <t>FYAC-90250</t>
  </si>
  <si>
    <t>34926134</t>
  </si>
  <si>
    <t>3469865</t>
  </si>
  <si>
    <t>FWAC-254633</t>
  </si>
  <si>
    <t>967008</t>
  </si>
  <si>
    <t>FYAC-89997</t>
  </si>
  <si>
    <t>967269</t>
  </si>
  <si>
    <t>FYAC-89993</t>
  </si>
  <si>
    <t>35481324</t>
  </si>
  <si>
    <t>896912</t>
  </si>
  <si>
    <t>FYAC-88718</t>
  </si>
  <si>
    <t>35375234</t>
  </si>
  <si>
    <t>1015862</t>
  </si>
  <si>
    <t>FWAC-255251</t>
  </si>
  <si>
    <t>105487580</t>
  </si>
  <si>
    <t>864630</t>
  </si>
  <si>
    <t>FSIL-12533</t>
  </si>
  <si>
    <t>1417625</t>
  </si>
  <si>
    <t>FSIL-12288</t>
  </si>
  <si>
    <t>108085537</t>
  </si>
  <si>
    <t>8382</t>
  </si>
  <si>
    <t>FWAC-272912</t>
  </si>
  <si>
    <t>990969</t>
  </si>
  <si>
    <t>FYAC-90352</t>
  </si>
  <si>
    <t>3580453</t>
  </si>
  <si>
    <t>FWAC-261488</t>
  </si>
  <si>
    <t>859284</t>
  </si>
  <si>
    <t>FSIL-12197</t>
  </si>
  <si>
    <t>102279030</t>
  </si>
  <si>
    <t>1365996</t>
  </si>
  <si>
    <t>FSIL-9665</t>
  </si>
  <si>
    <t>19067399</t>
  </si>
  <si>
    <t>977558</t>
  </si>
  <si>
    <t>FWAC-245271</t>
  </si>
  <si>
    <t>37792756</t>
  </si>
  <si>
    <t>3564274</t>
  </si>
  <si>
    <t>FWAC-260396</t>
  </si>
  <si>
    <t>1010583</t>
  </si>
  <si>
    <t>FYAC-90686</t>
  </si>
  <si>
    <t>GRUPO RANCHO EL NOPAL SA DE CV</t>
  </si>
  <si>
    <t>AP-PAGOS</t>
  </si>
  <si>
    <t>MERMA FYV</t>
  </si>
  <si>
    <t>PAGO DUPLICADO</t>
  </si>
  <si>
    <t>C4A202295</t>
  </si>
  <si>
    <t>VERDURAS</t>
  </si>
  <si>
    <t>00378233</t>
  </si>
  <si>
    <t>A-27199</t>
  </si>
  <si>
    <t>5105815966</t>
  </si>
  <si>
    <t>11004552100378233</t>
  </si>
  <si>
    <t>18902736</t>
  </si>
  <si>
    <t>A-27432</t>
  </si>
  <si>
    <t>Faltante</t>
  </si>
  <si>
    <t>LOCOCHONES SA DE CV</t>
  </si>
  <si>
    <t>C1A401053</t>
  </si>
  <si>
    <t>CABALLEROS ROPA INTERIOR</t>
  </si>
  <si>
    <t xml:space="preserve">MERMA  </t>
  </si>
  <si>
    <t>COMERCIALIZADORA PEPSICO MEXICO S D E RL DE CV</t>
  </si>
  <si>
    <t>FALTANTES MERCANCIA</t>
  </si>
  <si>
    <t>C3A203185</t>
  </si>
  <si>
    <t>CEREALES</t>
  </si>
  <si>
    <t>NN-2352593</t>
  </si>
  <si>
    <t>NN-2318949</t>
  </si>
  <si>
    <t>NN-2378974</t>
  </si>
  <si>
    <t>NN-2372383</t>
  </si>
  <si>
    <t>NN-2347010</t>
  </si>
  <si>
    <t>NN-2405030</t>
  </si>
  <si>
    <t>NN-2454363</t>
  </si>
  <si>
    <t>NN-2386413</t>
  </si>
  <si>
    <t>NN-2461053</t>
  </si>
  <si>
    <t>NN-02411506</t>
  </si>
  <si>
    <t>NN-2421677</t>
  </si>
  <si>
    <t>NN-2449373</t>
  </si>
  <si>
    <t>NN-02391951</t>
  </si>
  <si>
    <t>FALTANTE</t>
  </si>
  <si>
    <t>ALTAMIRANO E IZAGUIRRE DISTRIBUIDOSA CV</t>
  </si>
  <si>
    <t>PUBLICIDAD</t>
  </si>
  <si>
    <t>MAR BRAN SA DE CV</t>
  </si>
  <si>
    <t>USO PORTAL</t>
  </si>
  <si>
    <t>C4A301274</t>
  </si>
  <si>
    <t>COMIDAS CONGELADAS</t>
  </si>
  <si>
    <t>MAGANA GARCIA CLAUDIA</t>
  </si>
  <si>
    <t>PAGOS</t>
  </si>
  <si>
    <t>C4A201278</t>
  </si>
  <si>
    <t>FRUTAS</t>
  </si>
  <si>
    <t>SA-792</t>
  </si>
  <si>
    <t>SA-849</t>
  </si>
  <si>
    <t>A-6171</t>
  </si>
  <si>
    <t>Costos</t>
  </si>
  <si>
    <t>A-6161</t>
  </si>
  <si>
    <t>A-6170</t>
  </si>
  <si>
    <t>A-6177</t>
  </si>
  <si>
    <t>A-6196</t>
  </si>
  <si>
    <t>A-6238</t>
  </si>
  <si>
    <t>A-6239</t>
  </si>
  <si>
    <t>A-6240</t>
  </si>
  <si>
    <t>A-6286</t>
  </si>
  <si>
    <t>A-6281</t>
  </si>
  <si>
    <t>A-6280</t>
  </si>
  <si>
    <t>A-6309</t>
  </si>
  <si>
    <t>A-6318</t>
  </si>
  <si>
    <t>A-6351</t>
  </si>
  <si>
    <t>A-6356</t>
  </si>
  <si>
    <t>A-6350</t>
  </si>
  <si>
    <t>A-6663</t>
  </si>
  <si>
    <t>A-6658</t>
  </si>
  <si>
    <t>A-6664</t>
  </si>
  <si>
    <t>A-8027</t>
  </si>
  <si>
    <t>A-8753</t>
  </si>
  <si>
    <t>A-8822</t>
  </si>
  <si>
    <t>A-8974</t>
  </si>
  <si>
    <t>A-6160</t>
  </si>
  <si>
    <t>A-6165</t>
  </si>
  <si>
    <t>A-6163</t>
  </si>
  <si>
    <t>A-6194</t>
  </si>
  <si>
    <t>A-6191</t>
  </si>
  <si>
    <t>A-6192</t>
  </si>
  <si>
    <t>A-6190</t>
  </si>
  <si>
    <t>A-6215</t>
  </si>
  <si>
    <t>A-6216</t>
  </si>
  <si>
    <t>A-6217</t>
  </si>
  <si>
    <t>A-6352</t>
  </si>
  <si>
    <t>A-7123</t>
  </si>
  <si>
    <t>A-7180</t>
  </si>
  <si>
    <t>A-7236</t>
  </si>
  <si>
    <t>A-7323</t>
  </si>
  <si>
    <t>A-7182</t>
  </si>
  <si>
    <t>A-7486</t>
  </si>
  <si>
    <t>A-7784</t>
  </si>
  <si>
    <t>A-8603</t>
  </si>
  <si>
    <t>A-8706</t>
  </si>
  <si>
    <t>A-8814</t>
  </si>
  <si>
    <t>A-8965</t>
  </si>
  <si>
    <t>A-8964</t>
  </si>
  <si>
    <t>A-8995</t>
  </si>
  <si>
    <t>SA-1725</t>
  </si>
  <si>
    <t>GRUPO YAXCHE SA DE C V</t>
  </si>
  <si>
    <t>MERMA DE ORIGEN</t>
  </si>
  <si>
    <t>3.5% RSVA. FYV</t>
  </si>
  <si>
    <t>PROMOCION COMPRA</t>
  </si>
  <si>
    <t>INGRAM MICRO MEXICO S.A DE C.V</t>
  </si>
  <si>
    <t>City Club</t>
  </si>
  <si>
    <t>C2A602324</t>
  </si>
  <si>
    <t>VIDEOJUEGOS</t>
  </si>
  <si>
    <t>COMPRA CENTRALIZADA SECOS</t>
  </si>
  <si>
    <t>C2A601496</t>
  </si>
  <si>
    <t>NO DEVOLUCION SECOS</t>
  </si>
  <si>
    <t>14004553701110183</t>
  </si>
  <si>
    <t>14004555600781930</t>
  </si>
  <si>
    <t>14004554803420662</t>
  </si>
  <si>
    <t>14004555701144258</t>
  </si>
  <si>
    <t>14004568100940567</t>
  </si>
  <si>
    <t>14004553701101557</t>
  </si>
  <si>
    <t>14004568101286551</t>
  </si>
  <si>
    <t>14004554803572557</t>
  </si>
  <si>
    <t>14004568101080700</t>
  </si>
  <si>
    <t>14004568100990499</t>
  </si>
  <si>
    <t>14004568100917147</t>
  </si>
  <si>
    <t>14004555600876223</t>
  </si>
  <si>
    <t>14004554901219177</t>
  </si>
  <si>
    <t>14004555701339758</t>
  </si>
  <si>
    <t>14004554803265005</t>
  </si>
  <si>
    <t>14004568101038135</t>
  </si>
  <si>
    <t>14004555600851293</t>
  </si>
  <si>
    <t>14004553701104963</t>
  </si>
  <si>
    <t>14004554803285953</t>
  </si>
  <si>
    <t>14004554803714924</t>
  </si>
  <si>
    <t>14004554900657184</t>
  </si>
  <si>
    <t>14004554803365173</t>
  </si>
  <si>
    <t>14004568101192822</t>
  </si>
  <si>
    <t>14004555701368105</t>
  </si>
  <si>
    <t>14004555600790488</t>
  </si>
  <si>
    <t>14004568101070851</t>
  </si>
  <si>
    <t>14004554803300690</t>
  </si>
  <si>
    <t>14004553701096372</t>
  </si>
  <si>
    <t>14004555600693590</t>
  </si>
  <si>
    <t>14004555701464874</t>
  </si>
  <si>
    <t>14004555600853097</t>
  </si>
  <si>
    <t>14004554803434442</t>
  </si>
  <si>
    <t>14004554803830563</t>
  </si>
  <si>
    <t>14004568100969495</t>
  </si>
  <si>
    <t>14004554803619915</t>
  </si>
  <si>
    <t>14004555600724321</t>
  </si>
  <si>
    <t>14004554803804633</t>
  </si>
  <si>
    <t>14004555701311454</t>
  </si>
  <si>
    <t>14004554900804654</t>
  </si>
  <si>
    <t>14004553701107546</t>
  </si>
  <si>
    <t>14004555701488864</t>
  </si>
  <si>
    <t>14004568101189114</t>
  </si>
  <si>
    <t>14004554803519410</t>
  </si>
  <si>
    <t>14004555701437105</t>
  </si>
  <si>
    <t>14004555600785303</t>
  </si>
  <si>
    <t>14004554803359327</t>
  </si>
  <si>
    <t>14004553701011424</t>
  </si>
  <si>
    <t>14004555701231845</t>
  </si>
  <si>
    <t>14004553700954108</t>
  </si>
  <si>
    <t>14004555600895496</t>
  </si>
  <si>
    <t>14004554803538873</t>
  </si>
  <si>
    <t>14004554803427308</t>
  </si>
  <si>
    <t>14004554803719206</t>
  </si>
  <si>
    <t>14004554803834529</t>
  </si>
  <si>
    <t>14004555701349482</t>
  </si>
  <si>
    <t>14004555404429661</t>
  </si>
  <si>
    <t>14004555600897937</t>
  </si>
  <si>
    <t>14004555701491331</t>
  </si>
  <si>
    <t>14004554901086346</t>
  </si>
  <si>
    <t>14004555600868185</t>
  </si>
  <si>
    <t>14004555701491332</t>
  </si>
  <si>
    <t>14004554803353138</t>
  </si>
  <si>
    <t>14004568101067548</t>
  </si>
  <si>
    <t>14004554803509802</t>
  </si>
  <si>
    <t>14004554803406988</t>
  </si>
  <si>
    <t>14004568101181314</t>
  </si>
  <si>
    <t>14004554803237897</t>
  </si>
  <si>
    <t>14004554803671689</t>
  </si>
  <si>
    <t>14004554803501208</t>
  </si>
  <si>
    <t>14004554901036107</t>
  </si>
  <si>
    <t>14004554901268891</t>
  </si>
  <si>
    <t>14004568100982983</t>
  </si>
  <si>
    <t>14004555701144682</t>
  </si>
  <si>
    <t>14004554901167147</t>
  </si>
  <si>
    <t>14004555701399699</t>
  </si>
  <si>
    <t>14004554803519406</t>
  </si>
  <si>
    <t>14004553700954113</t>
  </si>
  <si>
    <t>14004554803257111</t>
  </si>
  <si>
    <t>14004553701093758</t>
  </si>
  <si>
    <t>14004554803557204</t>
  </si>
  <si>
    <t>14004555600779783</t>
  </si>
  <si>
    <t>14004554803656934</t>
  </si>
  <si>
    <t>14004568101031402</t>
  </si>
  <si>
    <t>14004555600736140</t>
  </si>
  <si>
    <t>14004568101189814</t>
  </si>
  <si>
    <t>14004555600918498</t>
  </si>
  <si>
    <t>14004568101168381</t>
  </si>
  <si>
    <t>14004553702336656</t>
  </si>
  <si>
    <t>14004554802890023</t>
  </si>
  <si>
    <t>14004554803534105</t>
  </si>
  <si>
    <t>14004554900974888</t>
  </si>
  <si>
    <t>14004568101049593</t>
  </si>
  <si>
    <t>14004568101195924</t>
  </si>
  <si>
    <t>14004555600864289</t>
  </si>
  <si>
    <t>14004554803528910</t>
  </si>
  <si>
    <t>14004554803248931</t>
  </si>
  <si>
    <t>14004554901150400</t>
  </si>
  <si>
    <t>14004568101027865</t>
  </si>
  <si>
    <t>14004568100944472</t>
  </si>
  <si>
    <t>14004554803509878</t>
  </si>
  <si>
    <t>14004555600676942</t>
  </si>
  <si>
    <t>14004568101027796</t>
  </si>
  <si>
    <t>14004554901124457</t>
  </si>
  <si>
    <t>14004554803412913</t>
  </si>
  <si>
    <t>14004554900952892</t>
  </si>
  <si>
    <t>14004568101247905</t>
  </si>
  <si>
    <t>14004554803514057</t>
  </si>
  <si>
    <t>14004555600867602</t>
  </si>
  <si>
    <t>14004568100994352</t>
  </si>
  <si>
    <t>14004568100994357</t>
  </si>
  <si>
    <t>14004554803733656</t>
  </si>
  <si>
    <t>14004555600782784</t>
  </si>
  <si>
    <t>14004554803618877</t>
  </si>
  <si>
    <t>14004554901154998</t>
  </si>
  <si>
    <t>14004555701375064</t>
  </si>
  <si>
    <t>14004555600905439</t>
  </si>
  <si>
    <t>14004555600910213</t>
  </si>
  <si>
    <t>14004555600783064</t>
  </si>
  <si>
    <t>14004554900678321</t>
  </si>
  <si>
    <t>14004554900722071</t>
  </si>
  <si>
    <t>14004555600854536</t>
  </si>
  <si>
    <t>14004555701132681</t>
  </si>
  <si>
    <t>14004568101047063</t>
  </si>
  <si>
    <t>14004568101151263</t>
  </si>
  <si>
    <t>14004555600874810</t>
  </si>
  <si>
    <t>14004554803505754</t>
  </si>
  <si>
    <t>14004555701227155</t>
  </si>
  <si>
    <t>14004555600944946</t>
  </si>
  <si>
    <t>14004555600792852</t>
  </si>
  <si>
    <t>14004555600846503</t>
  </si>
  <si>
    <t>14004555701479671</t>
  </si>
  <si>
    <t>14004555600679654</t>
  </si>
  <si>
    <t>14004554803524057</t>
  </si>
  <si>
    <t>14004555701123979</t>
  </si>
  <si>
    <t>14004554900672494</t>
  </si>
  <si>
    <t>14004555600902236</t>
  </si>
  <si>
    <t>14004554803544377</t>
  </si>
  <si>
    <t>14004555701428737</t>
  </si>
  <si>
    <t>14004568101164922</t>
  </si>
  <si>
    <t>14004554803548803</t>
  </si>
  <si>
    <t>14004554803448702</t>
  </si>
  <si>
    <t>14004555600849253</t>
  </si>
  <si>
    <t>14004568101251350</t>
  </si>
  <si>
    <t>14004554803652487</t>
  </si>
  <si>
    <t>14004553701121650</t>
  </si>
  <si>
    <t>14004553700967615</t>
  </si>
  <si>
    <t>14004555701311466</t>
  </si>
  <si>
    <t>14004554803713712</t>
  </si>
  <si>
    <t>14004554803529027</t>
  </si>
  <si>
    <t>14004555600693589</t>
  </si>
  <si>
    <t>14004554803256835</t>
  </si>
  <si>
    <t>14004554803610444</t>
  </si>
  <si>
    <t>14004554900778753</t>
  </si>
  <si>
    <t>14004555600920948</t>
  </si>
  <si>
    <t>14004554901107433</t>
  </si>
  <si>
    <t>14004554901015289</t>
  </si>
  <si>
    <t>14004554900975245</t>
  </si>
  <si>
    <t>14004554900811588</t>
  </si>
  <si>
    <t>14004553701101848</t>
  </si>
  <si>
    <t>14004568101289958</t>
  </si>
  <si>
    <t>14004554901074268</t>
  </si>
  <si>
    <t>14004555600907058</t>
  </si>
  <si>
    <t>14004568101146192</t>
  </si>
  <si>
    <t>14004553700954115</t>
  </si>
  <si>
    <t>14004555600926179</t>
  </si>
  <si>
    <t>14004555600912535</t>
  </si>
  <si>
    <t>14004553701099038</t>
  </si>
  <si>
    <t>14004553701071658</t>
  </si>
  <si>
    <t>14004555701537545</t>
  </si>
  <si>
    <t>14004568101153579</t>
  </si>
  <si>
    <t>14004554803538796</t>
  </si>
  <si>
    <t>14004554803241925</t>
  </si>
  <si>
    <t>14004555600866010</t>
  </si>
  <si>
    <t>14004553702355449</t>
  </si>
  <si>
    <t>14004553700995328</t>
  </si>
  <si>
    <t>14004554803765018</t>
  </si>
  <si>
    <t>14004568101125448</t>
  </si>
  <si>
    <t>14004554901161233</t>
  </si>
  <si>
    <t>14004555600876222</t>
  </si>
  <si>
    <t>14004555600790487</t>
  </si>
  <si>
    <t>14004568101189816</t>
  </si>
  <si>
    <t>14004568100882650</t>
  </si>
  <si>
    <t>14004553700949411</t>
  </si>
  <si>
    <t>14004553702336659</t>
  </si>
  <si>
    <t>14004554803790045</t>
  </si>
  <si>
    <t>14004568101007123</t>
  </si>
  <si>
    <t>14004555701513927</t>
  </si>
  <si>
    <t>14004568100971849</t>
  </si>
  <si>
    <t>14004555600862035</t>
  </si>
  <si>
    <t>14004554901010018</t>
  </si>
  <si>
    <t>14004568100895018</t>
  </si>
  <si>
    <t>14004554803264449</t>
  </si>
  <si>
    <t>14004554803528207</t>
  </si>
  <si>
    <t>14004553702305412</t>
  </si>
  <si>
    <t>14004555701408108</t>
  </si>
  <si>
    <t>14004554803242041</t>
  </si>
  <si>
    <t>14004554803323909</t>
  </si>
  <si>
    <t>14004554803300610</t>
  </si>
  <si>
    <t>14004554901211686</t>
  </si>
  <si>
    <t>14004554803482386</t>
  </si>
  <si>
    <t>14004555701472826</t>
  </si>
  <si>
    <t>14004554803728788</t>
  </si>
  <si>
    <t>14004554803621018</t>
  </si>
  <si>
    <t>14004554803776440</t>
  </si>
  <si>
    <t>14004555701381246</t>
  </si>
  <si>
    <t>14004553700963542</t>
  </si>
  <si>
    <t>14004553701140263</t>
  </si>
  <si>
    <t>14004555701314500</t>
  </si>
  <si>
    <t>14004553700954120</t>
  </si>
  <si>
    <t>14004568101233812</t>
  </si>
  <si>
    <t>14004568100971847</t>
  </si>
  <si>
    <t>14004554901096916</t>
  </si>
  <si>
    <t>14004568101040345</t>
  </si>
  <si>
    <t>14004555701222990</t>
  </si>
  <si>
    <t>14004554901256002</t>
  </si>
  <si>
    <t>14004555701489673</t>
  </si>
  <si>
    <t>14004553701059411</t>
  </si>
  <si>
    <t>14004555701311465</t>
  </si>
  <si>
    <t>14004554900678324</t>
  </si>
  <si>
    <t>14004554900690691</t>
  </si>
  <si>
    <t>14004554803524059</t>
  </si>
  <si>
    <t>14004554803427306</t>
  </si>
  <si>
    <t>14004555600702344</t>
  </si>
  <si>
    <t>14004555701417770</t>
  </si>
  <si>
    <t>14004554803559342</t>
  </si>
  <si>
    <t>14004553700954119</t>
  </si>
  <si>
    <t>14004554901068109</t>
  </si>
  <si>
    <t>14004568101245976</t>
  </si>
  <si>
    <t>14004554900678322</t>
  </si>
  <si>
    <t>14004555701437346</t>
  </si>
  <si>
    <t>14004554900964568</t>
  </si>
  <si>
    <t>14004554803711391</t>
  </si>
  <si>
    <t>14004568100994358</t>
  </si>
  <si>
    <t>14004568101230224</t>
  </si>
  <si>
    <t>14004555600918509</t>
  </si>
  <si>
    <t>14004568101060198</t>
  </si>
  <si>
    <t>14004568101151246</t>
  </si>
  <si>
    <t>14004553701134807</t>
  </si>
  <si>
    <t>14004554901253425</t>
  </si>
  <si>
    <t>14004555600895495</t>
  </si>
  <si>
    <t>14004555701413399</t>
  </si>
  <si>
    <t>14004554901107385</t>
  </si>
  <si>
    <t>14004555701144681</t>
  </si>
  <si>
    <t>14004553700978221</t>
  </si>
  <si>
    <t>14004553701059410</t>
  </si>
  <si>
    <t>14004555600802803</t>
  </si>
  <si>
    <t>14004554803529026</t>
  </si>
  <si>
    <t>14004568100944822</t>
  </si>
  <si>
    <t>14004568101083918</t>
  </si>
  <si>
    <t>14004554803704582</t>
  </si>
  <si>
    <t>14004554803538793</t>
  </si>
  <si>
    <t>14004568101227743</t>
  </si>
  <si>
    <t>14004554901148864</t>
  </si>
  <si>
    <t>14004555701464877</t>
  </si>
  <si>
    <t>14004568101052733</t>
  </si>
  <si>
    <t>14004568100935742</t>
  </si>
  <si>
    <t>14004553702298728</t>
  </si>
  <si>
    <t>14004568101074604</t>
  </si>
  <si>
    <t>14004568101161188</t>
  </si>
  <si>
    <t>14004555600893015</t>
  </si>
  <si>
    <t>14004554803779979</t>
  </si>
  <si>
    <t>14004553700930963</t>
  </si>
  <si>
    <t>14004554803376781</t>
  </si>
  <si>
    <t>14004555701311464</t>
  </si>
  <si>
    <t>14004554803383572</t>
  </si>
  <si>
    <t>14004554900678328</t>
  </si>
  <si>
    <t>14004555600923679</t>
  </si>
  <si>
    <t>14004554803794471</t>
  </si>
  <si>
    <t>14004553701137468</t>
  </si>
  <si>
    <t>14004568100895025</t>
  </si>
  <si>
    <t>14004553701041414</t>
  </si>
  <si>
    <t>14004568100882666</t>
  </si>
  <si>
    <t>14004554803406777</t>
  </si>
  <si>
    <t>14004554803770480</t>
  </si>
  <si>
    <t>14004555600666236</t>
  </si>
  <si>
    <t>14004554803773633</t>
  </si>
  <si>
    <t>14004554901115801</t>
  </si>
  <si>
    <t>14004554803555030</t>
  </si>
  <si>
    <t>14004568100958297</t>
  </si>
  <si>
    <t>14004564800052224</t>
  </si>
  <si>
    <t>14004568101216004</t>
  </si>
  <si>
    <t>14004554804073455</t>
  </si>
  <si>
    <t>14004555701314054</t>
  </si>
  <si>
    <t>14004555701468251</t>
  </si>
  <si>
    <t>14004554803694032</t>
  </si>
  <si>
    <t>14004555701311463</t>
  </si>
  <si>
    <t>14004553700930967</t>
  </si>
  <si>
    <t>14004554803799316</t>
  </si>
  <si>
    <t>14004554803544116</t>
  </si>
  <si>
    <t>14004554803725657</t>
  </si>
  <si>
    <t>14004554900991008</t>
  </si>
  <si>
    <t>14004554803790064</t>
  </si>
  <si>
    <t>14004554803285959</t>
  </si>
  <si>
    <t>14004554803728480</t>
  </si>
  <si>
    <t>14004554803543525</t>
  </si>
  <si>
    <t>14004554803400127</t>
  </si>
  <si>
    <t>14004554803406990</t>
  </si>
  <si>
    <t>14004554900811509</t>
  </si>
  <si>
    <t>14004568101173253</t>
  </si>
  <si>
    <t>14004554901260120</t>
  </si>
  <si>
    <t>14004568100995288</t>
  </si>
  <si>
    <t>14004555701479672</t>
  </si>
  <si>
    <t>14004554803448694</t>
  </si>
  <si>
    <t>14004553700949409</t>
  </si>
  <si>
    <t>14004555600676957</t>
  </si>
  <si>
    <t>14004554901004969</t>
  </si>
  <si>
    <t>14004554803681523</t>
  </si>
  <si>
    <t>14004555600680019</t>
  </si>
  <si>
    <t>14004553701003404</t>
  </si>
  <si>
    <t>14004554803824645</t>
  </si>
  <si>
    <t>14004554803803752</t>
  </si>
  <si>
    <t>14004554900690689</t>
  </si>
  <si>
    <t>14004554803803857</t>
  </si>
  <si>
    <t>14004568101177036</t>
  </si>
  <si>
    <t>14004554803248927</t>
  </si>
  <si>
    <t>14004555701311462</t>
  </si>
  <si>
    <t>14004554803647893</t>
  </si>
  <si>
    <t>14004555701175697</t>
  </si>
  <si>
    <t>14004555701209226</t>
  </si>
  <si>
    <t>14004554900969624</t>
  </si>
  <si>
    <t>14004554803514185</t>
  </si>
  <si>
    <t>14004568101044454</t>
  </si>
  <si>
    <t>14004554803297242</t>
  </si>
  <si>
    <t>14004568101031407</t>
  </si>
  <si>
    <t>14004568101125447</t>
  </si>
  <si>
    <t>14004553701145945</t>
  </si>
  <si>
    <t>14004568101212758</t>
  </si>
  <si>
    <t>14004554803505718</t>
  </si>
  <si>
    <t>14004568101121937</t>
  </si>
  <si>
    <t>14004568100877723</t>
  </si>
  <si>
    <t>14004553700923939</t>
  </si>
  <si>
    <t>14004555600691746</t>
  </si>
  <si>
    <t>14004555701324755</t>
  </si>
  <si>
    <t>14004554803352971</t>
  </si>
  <si>
    <t>14004555600788617</t>
  </si>
  <si>
    <t>14004555701116309</t>
  </si>
  <si>
    <t>14004554803718847</t>
  </si>
  <si>
    <t>14004568100999515</t>
  </si>
  <si>
    <t>14004568101117877</t>
  </si>
  <si>
    <t>14004555600691805</t>
  </si>
  <si>
    <t>14004554803715763</t>
  </si>
  <si>
    <t>14004568101111612</t>
  </si>
  <si>
    <t>14004553701166659</t>
  </si>
  <si>
    <t>14004568101224761</t>
  </si>
  <si>
    <t>14004555701130035</t>
  </si>
  <si>
    <t>14004554803781352</t>
  </si>
  <si>
    <t>14004554803786168</t>
  </si>
  <si>
    <t>14004568101091307</t>
  </si>
  <si>
    <t>14004554901245102</t>
  </si>
  <si>
    <t>14004555600871265</t>
  </si>
  <si>
    <t>14004554803501207</t>
  </si>
  <si>
    <t>14004554900811590</t>
  </si>
  <si>
    <t>14004553702283754</t>
  </si>
  <si>
    <t>14004568100908058</t>
  </si>
  <si>
    <t>14004554803365409</t>
  </si>
  <si>
    <t>14004554803308541</t>
  </si>
  <si>
    <t>14004568101189819</t>
  </si>
  <si>
    <t>14004555701116305</t>
  </si>
  <si>
    <t>14004554803559349</t>
  </si>
  <si>
    <t>14004555600676947</t>
  </si>
  <si>
    <t>14004554803763036</t>
  </si>
  <si>
    <t>14004568100882661</t>
  </si>
  <si>
    <t>14004555701162870</t>
  </si>
  <si>
    <t>14004554803619381</t>
  </si>
  <si>
    <t>14004554803371232</t>
  </si>
  <si>
    <t>14004554900954989</t>
  </si>
  <si>
    <t>14004553701149391</t>
  </si>
  <si>
    <t>14004553701059414</t>
  </si>
  <si>
    <t>14004554803359331</t>
  </si>
  <si>
    <t>14004554803285961</t>
  </si>
  <si>
    <t>14004568101114565</t>
  </si>
  <si>
    <t>14004555600823981</t>
  </si>
  <si>
    <t>14004555600790485</t>
  </si>
  <si>
    <t>14004568100895029</t>
  </si>
  <si>
    <t>14004554900958897</t>
  </si>
  <si>
    <t>14004555600829826</t>
  </si>
  <si>
    <t>14004568100868777</t>
  </si>
  <si>
    <t>14004568101189112</t>
  </si>
  <si>
    <t>14004555701461788</t>
  </si>
  <si>
    <t>14004555701399697</t>
  </si>
  <si>
    <t>14004555600712211</t>
  </si>
  <si>
    <t>14004553701086476</t>
  </si>
  <si>
    <t>14004555701223018</t>
  </si>
  <si>
    <t>14004568101017832</t>
  </si>
  <si>
    <t>14004568101037153</t>
  </si>
  <si>
    <t>14004555701504774</t>
  </si>
  <si>
    <t>14004555701360004</t>
  </si>
  <si>
    <t>14004555600691347</t>
  </si>
  <si>
    <t>14004555701321261</t>
  </si>
  <si>
    <t>14004553702353705</t>
  </si>
  <si>
    <t>14004553700967620</t>
  </si>
  <si>
    <t>14004554803376782</t>
  </si>
  <si>
    <t>14004554901249420</t>
  </si>
  <si>
    <t>14004553701160704</t>
  </si>
  <si>
    <t>14004553701007523</t>
  </si>
  <si>
    <t>14004555404430038</t>
  </si>
  <si>
    <t>14004555600830501</t>
  </si>
  <si>
    <t>14004553702327139</t>
  </si>
  <si>
    <t>14004568101133943</t>
  </si>
  <si>
    <t>14004554803510552</t>
  </si>
  <si>
    <t>14004554803241930</t>
  </si>
  <si>
    <t>14004555701275485</t>
  </si>
  <si>
    <t>14004554803248929</t>
  </si>
  <si>
    <t>14004554803598525</t>
  </si>
  <si>
    <t>14004554803538799</t>
  </si>
  <si>
    <t>14004554901053344</t>
  </si>
  <si>
    <t>14004555701405611</t>
  </si>
  <si>
    <t>14004554803518181</t>
  </si>
  <si>
    <t>14004568101056841</t>
  </si>
  <si>
    <t>14004554900772631</t>
  </si>
  <si>
    <t>14004554803359405</t>
  </si>
  <si>
    <t>14004553701152567</t>
  </si>
  <si>
    <t>14004568101114561</t>
  </si>
  <si>
    <t>14004554803864567</t>
  </si>
  <si>
    <t>14004568101018769</t>
  </si>
  <si>
    <t>14004554901320718</t>
  </si>
  <si>
    <t>14004555701501616</t>
  </si>
  <si>
    <t>14004554901231220</t>
  </si>
  <si>
    <t>14004568101142576</t>
  </si>
  <si>
    <t>14004553700960774</t>
  </si>
  <si>
    <t>14004554803285957</t>
  </si>
  <si>
    <t>14004554900958902</t>
  </si>
  <si>
    <t>14004568100994363</t>
  </si>
  <si>
    <t>14004554803779856</t>
  </si>
  <si>
    <t>14004554803538871</t>
  </si>
  <si>
    <t>14004555600864290</t>
  </si>
  <si>
    <t>14004555701468248</t>
  </si>
  <si>
    <t>14004568101149389</t>
  </si>
  <si>
    <t>14004554803758922</t>
  </si>
  <si>
    <t>14004554803677370</t>
  </si>
  <si>
    <t>14004568100895028</t>
  </si>
  <si>
    <t>14004568101230175</t>
  </si>
  <si>
    <t>14004554803684688</t>
  </si>
  <si>
    <t>14004568101021961</t>
  </si>
  <si>
    <t>14004553701096373</t>
  </si>
  <si>
    <t>14004554803486759</t>
  </si>
  <si>
    <t>14004555701154080</t>
  </si>
  <si>
    <t>14004554900986269</t>
  </si>
  <si>
    <t>14004555600674427</t>
  </si>
  <si>
    <t>14004554901279425</t>
  </si>
  <si>
    <t>14004554900671057</t>
  </si>
  <si>
    <t>14004553700972390</t>
  </si>
  <si>
    <t>14004554803698966</t>
  </si>
  <si>
    <t>14004555600846506</t>
  </si>
  <si>
    <t>14004568100924973</t>
  </si>
  <si>
    <t>14004554803758037</t>
  </si>
  <si>
    <t>14004555600795699</t>
  </si>
  <si>
    <t>14004568101258859</t>
  </si>
  <si>
    <t>14004555701492010</t>
  </si>
  <si>
    <t>14004568100921802</t>
  </si>
  <si>
    <t>14004555600712208</t>
  </si>
  <si>
    <t>14004555701162089</t>
  </si>
  <si>
    <t>14004555600831879</t>
  </si>
  <si>
    <t>14004553700930883</t>
  </si>
  <si>
    <t>14004568101067587</t>
  </si>
  <si>
    <t>14004555600674430</t>
  </si>
  <si>
    <t>14004568100895030</t>
  </si>
  <si>
    <t>14004554901161231</t>
  </si>
  <si>
    <t>14004554803533895</t>
  </si>
  <si>
    <t>14004554803662279</t>
  </si>
  <si>
    <t>14004568100948136</t>
  </si>
  <si>
    <t>14004568100926664</t>
  </si>
  <si>
    <t>14004555600782780</t>
  </si>
  <si>
    <t>14004555600831880</t>
  </si>
  <si>
    <t>14004554803671685</t>
  </si>
  <si>
    <t>14004554803815658</t>
  </si>
  <si>
    <t>14004554803737062</t>
  </si>
  <si>
    <t>14004568101140131</t>
  </si>
  <si>
    <t>14004553702309290</t>
  </si>
  <si>
    <t>14004555600874333</t>
  </si>
  <si>
    <t>14004555600904011</t>
  </si>
  <si>
    <t>14004555701157374</t>
  </si>
  <si>
    <t>14004555600897936</t>
  </si>
  <si>
    <t>14004555600752095</t>
  </si>
  <si>
    <t>14004568101129393</t>
  </si>
  <si>
    <t>14004553701093757</t>
  </si>
  <si>
    <t>14004554803383575</t>
  </si>
  <si>
    <t>14004553700949418</t>
  </si>
  <si>
    <t>14004555701349486</t>
  </si>
  <si>
    <t>14004555600702348</t>
  </si>
  <si>
    <t>14004554803554532</t>
  </si>
  <si>
    <t>14004554803277761</t>
  </si>
  <si>
    <t>14004554901264810</t>
  </si>
  <si>
    <t>14004554900752764</t>
  </si>
  <si>
    <t>14004554803571995</t>
  </si>
  <si>
    <t>14004568101011430</t>
  </si>
  <si>
    <t>14004568101106794</t>
  </si>
  <si>
    <t>14004568100990497</t>
  </si>
  <si>
    <t>14004555600910158</t>
  </si>
  <si>
    <t>14004568101040342</t>
  </si>
  <si>
    <t>14004568100994353</t>
  </si>
  <si>
    <t>14004555701472918</t>
  </si>
  <si>
    <t>14004553701059416</t>
  </si>
  <si>
    <t>14004555600788615</t>
  </si>
  <si>
    <t>14004554900952940</t>
  </si>
  <si>
    <t>14004554803505720</t>
  </si>
  <si>
    <t>14004568101220968</t>
  </si>
  <si>
    <t>14004555701144685</t>
  </si>
  <si>
    <t>14004553701054504</t>
  </si>
  <si>
    <t>14004554803277367</t>
  </si>
  <si>
    <t>14004553701161754</t>
  </si>
  <si>
    <t>14004553700954118</t>
  </si>
  <si>
    <t>14004554803538813</t>
  </si>
  <si>
    <t>14004554803277368</t>
  </si>
  <si>
    <t>14004568101060197</t>
  </si>
  <si>
    <t>14004555600866009</t>
  </si>
  <si>
    <t>14004554900715968</t>
  </si>
  <si>
    <t>14004554900969621</t>
  </si>
  <si>
    <t>14004554901229229</t>
  </si>
  <si>
    <t>14004554900995640</t>
  </si>
  <si>
    <t>14004554901266588</t>
  </si>
  <si>
    <t>14004555701166166</t>
  </si>
  <si>
    <t>14004554803681524</t>
  </si>
  <si>
    <t>14004553701031783</t>
  </si>
  <si>
    <t>14004554803346243</t>
  </si>
  <si>
    <t>14004568101181315</t>
  </si>
  <si>
    <t>14004568101137035</t>
  </si>
  <si>
    <t>14004568101114563</t>
  </si>
  <si>
    <t>14004553702324660</t>
  </si>
  <si>
    <t>14004555600854535</t>
  </si>
  <si>
    <t>14004555600892562</t>
  </si>
  <si>
    <t>14004568101256084</t>
  </si>
  <si>
    <t>14004568100961670</t>
  </si>
  <si>
    <t>14004553701083303</t>
  </si>
  <si>
    <t>14004554901268892</t>
  </si>
  <si>
    <t>14004555600875862</t>
  </si>
  <si>
    <t>14004554803352969</t>
  </si>
  <si>
    <t>14004568101239881</t>
  </si>
  <si>
    <t>14004553701101845</t>
  </si>
  <si>
    <t>14004553701104958</t>
  </si>
  <si>
    <t>14004554901263387</t>
  </si>
  <si>
    <t>14004554803786169</t>
  </si>
  <si>
    <t>14004568101091308</t>
  </si>
  <si>
    <t>14004555600807300</t>
  </si>
  <si>
    <t>14004553701140261</t>
  </si>
  <si>
    <t>14004568100872987</t>
  </si>
  <si>
    <t>14004568101049543</t>
  </si>
  <si>
    <t>14004555600851294</t>
  </si>
  <si>
    <t>14004568101216005</t>
  </si>
  <si>
    <t>14004554803413012</t>
  </si>
  <si>
    <t>14004555701157370</t>
  </si>
  <si>
    <t>14004554803388406</t>
  </si>
  <si>
    <t>14004554900981342</t>
  </si>
  <si>
    <t>14004555701194024</t>
  </si>
  <si>
    <t>14004555600899634</t>
  </si>
  <si>
    <t>14004568101111613</t>
  </si>
  <si>
    <t>14004555600844308</t>
  </si>
  <si>
    <t>14004568100940564</t>
  </si>
  <si>
    <t>14004553701155120</t>
  </si>
  <si>
    <t>14004555600782782</t>
  </si>
  <si>
    <t>14004568101164910</t>
  </si>
  <si>
    <t>14004555701357086</t>
  </si>
  <si>
    <t>14004553701050161</t>
  </si>
  <si>
    <t>14004568101157144</t>
  </si>
  <si>
    <t>14004568100873434</t>
  </si>
  <si>
    <t>14004555701144683</t>
  </si>
  <si>
    <t>14004553701166660</t>
  </si>
  <si>
    <t>14004568100877732</t>
  </si>
  <si>
    <t>14004555600871263</t>
  </si>
  <si>
    <t>14004555701486388</t>
  </si>
  <si>
    <t>14004568100895017</t>
  </si>
  <si>
    <t>14004554901219064</t>
  </si>
  <si>
    <t>14004555600804822</t>
  </si>
  <si>
    <t>14004554803813062</t>
  </si>
  <si>
    <t>14004555600853100</t>
  </si>
  <si>
    <t>14004568101202636</t>
  </si>
  <si>
    <t>14004568101044084</t>
  </si>
  <si>
    <t>14004553701036434</t>
  </si>
  <si>
    <t>14004553700981831</t>
  </si>
  <si>
    <t>14004554803624542</t>
  </si>
  <si>
    <t>14004568100964878</t>
  </si>
  <si>
    <t>14004554900671059</t>
  </si>
  <si>
    <t>14004568101033838</t>
  </si>
  <si>
    <t>14004554803699716</t>
  </si>
  <si>
    <t>14004555600690741</t>
  </si>
  <si>
    <t>14004554901235604</t>
  </si>
  <si>
    <t>14004554803779349</t>
  </si>
  <si>
    <t>14004555701144257</t>
  </si>
  <si>
    <t>14004554803528841</t>
  </si>
  <si>
    <t>14004555600757070</t>
  </si>
  <si>
    <t>14004568101044455</t>
  </si>
  <si>
    <t>14004554803365176</t>
  </si>
  <si>
    <t>14004554803524058</t>
  </si>
  <si>
    <t>14004568101137036</t>
  </si>
  <si>
    <t>14004554900778757</t>
  </si>
  <si>
    <t>14004568100994359</t>
  </si>
  <si>
    <t>14004568101160781</t>
  </si>
  <si>
    <t>14004554803661668</t>
  </si>
  <si>
    <t>14004554901131911</t>
  </si>
  <si>
    <t>14004555701236038</t>
  </si>
  <si>
    <t>14004555600931676</t>
  </si>
  <si>
    <t>14004555701364322</t>
  </si>
  <si>
    <t>14004568101070759</t>
  </si>
  <si>
    <t>14004555600836166</t>
  </si>
  <si>
    <t>14004553700999152</t>
  </si>
  <si>
    <t>14004555701486397</t>
  </si>
  <si>
    <t>14004555600730220</t>
  </si>
  <si>
    <t>14004568100921804</t>
  </si>
  <si>
    <t>14004555600841604</t>
  </si>
  <si>
    <t>14004554803820316</t>
  </si>
  <si>
    <t>14004568101037149</t>
  </si>
  <si>
    <t>14004554900952883</t>
  </si>
  <si>
    <t>14004568101011132</t>
  </si>
  <si>
    <t>14004554900959085</t>
  </si>
  <si>
    <t>14004553700963538</t>
  </si>
  <si>
    <t>14004554803256852</t>
  </si>
  <si>
    <t>14004568101049587</t>
  </si>
  <si>
    <t>14004554803336505</t>
  </si>
  <si>
    <t>14004568100908050</t>
  </si>
  <si>
    <t>14004568100895172</t>
  </si>
  <si>
    <t>14004568101033839</t>
  </si>
  <si>
    <t>14004568100905316</t>
  </si>
  <si>
    <t>14004554803359328</t>
  </si>
  <si>
    <t>14004553701186048</t>
  </si>
  <si>
    <t>14004553701099037</t>
  </si>
  <si>
    <t>14004555600826767</t>
  </si>
  <si>
    <t>14004553701091099</t>
  </si>
  <si>
    <t>14004554803548804</t>
  </si>
  <si>
    <t>14004555600754946</t>
  </si>
  <si>
    <t>14004555600834090</t>
  </si>
  <si>
    <t>14004553700960787</t>
  </si>
  <si>
    <t>14004554803785713</t>
  </si>
  <si>
    <t>14004555600694238</t>
  </si>
  <si>
    <t>14004568101142578</t>
  </si>
  <si>
    <t>14004554803482592</t>
  </si>
  <si>
    <t>14004554803376784</t>
  </si>
  <si>
    <t>14004554803277374</t>
  </si>
  <si>
    <t>14004554803448872</t>
  </si>
  <si>
    <t>14004568101046648</t>
  </si>
  <si>
    <t>14004568101168383</t>
  </si>
  <si>
    <t>14004568101140140</t>
  </si>
  <si>
    <t>14004568101127459</t>
  </si>
  <si>
    <t>14004568101015829</t>
  </si>
  <si>
    <t>14004553701119261</t>
  </si>
  <si>
    <t>14004568101031268</t>
  </si>
  <si>
    <t>14004555600826293</t>
  </si>
  <si>
    <t>14004554803837595</t>
  </si>
  <si>
    <t>14004553701074240</t>
  </si>
  <si>
    <t>14004554803808290</t>
  </si>
  <si>
    <t>14004568101037150</t>
  </si>
  <si>
    <t>14004568100995290</t>
  </si>
  <si>
    <t>14004555701365995</t>
  </si>
  <si>
    <t>14004568100986847</t>
  </si>
  <si>
    <t>14004555600821363</t>
  </si>
  <si>
    <t>14004555600846863</t>
  </si>
  <si>
    <t>14004555701368135</t>
  </si>
  <si>
    <t>14004555600826294</t>
  </si>
  <si>
    <t>14004568101262715</t>
  </si>
  <si>
    <t>14004553700985677</t>
  </si>
  <si>
    <t>14004555701365518</t>
  </si>
  <si>
    <t>14004553701003406</t>
  </si>
  <si>
    <t>14004553702331778</t>
  </si>
  <si>
    <t>14004554900833980</t>
  </si>
  <si>
    <t>14004568101117878</t>
  </si>
  <si>
    <t>14004568101095360</t>
  </si>
  <si>
    <t>14004568100948135</t>
  </si>
  <si>
    <t>14004555404462933</t>
  </si>
  <si>
    <t>14004554803248577</t>
  </si>
  <si>
    <t>14004568100895022</t>
  </si>
  <si>
    <t>14004553701036428</t>
  </si>
  <si>
    <t>14004554901097170</t>
  </si>
  <si>
    <t>14004555600869202</t>
  </si>
  <si>
    <t>14004568101118099</t>
  </si>
  <si>
    <t>14004568101102733</t>
  </si>
  <si>
    <t>14004555600795703</t>
  </si>
  <si>
    <t>14004555600874334</t>
  </si>
  <si>
    <t>14004555600921200</t>
  </si>
  <si>
    <t>14004553702302517</t>
  </si>
  <si>
    <t>14004553701161749</t>
  </si>
  <si>
    <t>14004555701353880</t>
  </si>
  <si>
    <t>14004555701317555</t>
  </si>
  <si>
    <t>14004555701120549</t>
  </si>
  <si>
    <t>14004554803509877</t>
  </si>
  <si>
    <t>14004555600679652</t>
  </si>
  <si>
    <t>14004555701130040</t>
  </si>
  <si>
    <t>14004555701381245</t>
  </si>
  <si>
    <t>14004568101233815</t>
  </si>
  <si>
    <t>14004555600680016</t>
  </si>
  <si>
    <t>14004554803285960</t>
  </si>
  <si>
    <t>14004555600846507</t>
  </si>
  <si>
    <t>14004554803689231</t>
  </si>
  <si>
    <t>14004555701227160</t>
  </si>
  <si>
    <t>14004554803330091</t>
  </si>
  <si>
    <t>14004554803308713</t>
  </si>
  <si>
    <t>14004555600797699</t>
  </si>
  <si>
    <t>14004553702306673</t>
  </si>
  <si>
    <t>14004554803492252</t>
  </si>
  <si>
    <t>14004554900975254</t>
  </si>
  <si>
    <t>14004568100979140</t>
  </si>
  <si>
    <t>14004568101106798</t>
  </si>
  <si>
    <t>14004555600782785</t>
  </si>
  <si>
    <t>14004555600849270</t>
  </si>
  <si>
    <t>14004568100982986</t>
  </si>
  <si>
    <t>14004554803500528</t>
  </si>
  <si>
    <t>14004554900958896</t>
  </si>
  <si>
    <t>14004555600821362</t>
  </si>
  <si>
    <t>14004554803441103</t>
  </si>
  <si>
    <t>14004555600858940</t>
  </si>
  <si>
    <t>14004555600818645</t>
  </si>
  <si>
    <t>14004554803554534</t>
  </si>
  <si>
    <t>14004555701175696</t>
  </si>
  <si>
    <t>14004553701143290</t>
  </si>
  <si>
    <t>14004555600911855</t>
  </si>
  <si>
    <t>14004555600823982</t>
  </si>
  <si>
    <t>14004553701040936</t>
  </si>
  <si>
    <t>14004555600797698</t>
  </si>
  <si>
    <t>14004568101053349</t>
  </si>
  <si>
    <t>14004553701107637</t>
  </si>
  <si>
    <t>14004553701134804</t>
  </si>
  <si>
    <t>14004553701083065</t>
  </si>
  <si>
    <t>14004554901019124</t>
  </si>
  <si>
    <t>14004568101077121</t>
  </si>
  <si>
    <t>14004568101146189</t>
  </si>
  <si>
    <t>14004568100908048</t>
  </si>
  <si>
    <t>14004568100971848</t>
  </si>
  <si>
    <t>14004555600809498</t>
  </si>
  <si>
    <t>14004555701383426</t>
  </si>
  <si>
    <t>14004554803585575</t>
  </si>
  <si>
    <t>14004568101133946</t>
  </si>
  <si>
    <t>14004568101149393</t>
  </si>
  <si>
    <t>14004554900975317</t>
  </si>
  <si>
    <t>14004568101052727</t>
  </si>
  <si>
    <t>14004568101282313</t>
  </si>
  <si>
    <t>14004555701412742</t>
  </si>
  <si>
    <t>14004555600799958</t>
  </si>
  <si>
    <t>14004554803407028</t>
  </si>
  <si>
    <t>14004568101067547</t>
  </si>
  <si>
    <t>14004553702336658</t>
  </si>
  <si>
    <t>14004554803406999</t>
  </si>
  <si>
    <t>14004555701478094</t>
  </si>
  <si>
    <t>14004554901048578</t>
  </si>
  <si>
    <t>14004554803394489</t>
  </si>
  <si>
    <t>14004555701236037</t>
  </si>
  <si>
    <t>14004555701175695</t>
  </si>
  <si>
    <t>14004554803396028</t>
  </si>
  <si>
    <t>14004554803665809</t>
  </si>
  <si>
    <t>14004555600836168</t>
  </si>
  <si>
    <t>14004553702357570</t>
  </si>
  <si>
    <t>14004568101006451</t>
  </si>
  <si>
    <t>14004568100882648</t>
  </si>
  <si>
    <t>14004555701478093</t>
  </si>
  <si>
    <t>14004553701149394</t>
  </si>
  <si>
    <t>14004568101052732</t>
  </si>
  <si>
    <t>14004554901201889</t>
  </si>
  <si>
    <t>14004554803725470</t>
  </si>
  <si>
    <t>14004554901053363</t>
  </si>
  <si>
    <t>14004555600904643</t>
  </si>
  <si>
    <t>14004554900672573</t>
  </si>
  <si>
    <t>14004555701479991</t>
  </si>
  <si>
    <t>14004555701363598</t>
  </si>
  <si>
    <t>14004555600782949</t>
  </si>
  <si>
    <t>14004568100913023</t>
  </si>
  <si>
    <t>14004553702309893</t>
  </si>
  <si>
    <t>14004554900722076</t>
  </si>
  <si>
    <t>14004555701240439</t>
  </si>
  <si>
    <t>14004554901167175</t>
  </si>
  <si>
    <t>14004568101080158</t>
  </si>
  <si>
    <t>14004568101212847</t>
  </si>
  <si>
    <t>14004554803412908</t>
  </si>
  <si>
    <t>14004553701045529</t>
  </si>
  <si>
    <t>14004555600699744</t>
  </si>
  <si>
    <t>14004555600809763</t>
  </si>
  <si>
    <t>14004554901271495</t>
  </si>
  <si>
    <t>14004553701019107</t>
  </si>
  <si>
    <t>14004554803728558</t>
  </si>
  <si>
    <t>14004555600842653</t>
  </si>
  <si>
    <t>14004555600829885</t>
  </si>
  <si>
    <t>14004554901280042</t>
  </si>
  <si>
    <t>14004554803572556</t>
  </si>
  <si>
    <t>14004555701403231</t>
  </si>
  <si>
    <t>14004555701339759</t>
  </si>
  <si>
    <t>14004555701166168</t>
  </si>
  <si>
    <t>14004555701368133</t>
  </si>
  <si>
    <t>14004553701032255</t>
  </si>
  <si>
    <t>14004568101031406</t>
  </si>
  <si>
    <t>14004554900959887</t>
  </si>
  <si>
    <t>14004555701209228</t>
  </si>
  <si>
    <t>14004554803759041</t>
  </si>
  <si>
    <t>14004554803359330</t>
  </si>
  <si>
    <t>14004555701357318</t>
  </si>
  <si>
    <t>14004554900752765</t>
  </si>
  <si>
    <t>14004553701137469</t>
  </si>
  <si>
    <t>14004554900672574</t>
  </si>
  <si>
    <t>14004555600918499</t>
  </si>
  <si>
    <t>14004555600897938</t>
  </si>
  <si>
    <t>14004568100913022</t>
  </si>
  <si>
    <t>14004555601078144</t>
  </si>
  <si>
    <t>14004553700972395</t>
  </si>
  <si>
    <t>14004568101099068</t>
  </si>
  <si>
    <t>14004555701353883</t>
  </si>
  <si>
    <t>14004554803427462</t>
  </si>
  <si>
    <t>14004555600674392</t>
  </si>
  <si>
    <t>14004568101110936</t>
  </si>
  <si>
    <t>14004553702341096</t>
  </si>
  <si>
    <t>14004553702353702</t>
  </si>
  <si>
    <t>14004553700949424</t>
  </si>
  <si>
    <t>14004568100868794</t>
  </si>
  <si>
    <t>14004555600907651</t>
  </si>
  <si>
    <t>14004555701433169</t>
  </si>
  <si>
    <t>14004554901224813</t>
  </si>
  <si>
    <t>14004554900690543</t>
  </si>
  <si>
    <t>14004553702333855</t>
  </si>
  <si>
    <t>14004568101080702</t>
  </si>
  <si>
    <t>14004555701437106</t>
  </si>
  <si>
    <t>14004554900826919</t>
  </si>
  <si>
    <t>14004554803427150</t>
  </si>
  <si>
    <t>14004554803733664</t>
  </si>
  <si>
    <t>14004555600714254</t>
  </si>
  <si>
    <t>14004554803679984</t>
  </si>
  <si>
    <t>14004568101091615</t>
  </si>
  <si>
    <t>14004554803657357</t>
  </si>
  <si>
    <t>14004555701410951</t>
  </si>
  <si>
    <t>14004555701377991</t>
  </si>
  <si>
    <t>14004553702359770</t>
  </si>
  <si>
    <t>14004555701342627</t>
  </si>
  <si>
    <t>14004554803652485</t>
  </si>
  <si>
    <t>14004553701127077</t>
  </si>
  <si>
    <t>14004568101083917</t>
  </si>
  <si>
    <t>14004568100999342</t>
  </si>
  <si>
    <t>14004554803826006</t>
  </si>
  <si>
    <t>14004555600785305</t>
  </si>
  <si>
    <t>14004555701353885</t>
  </si>
  <si>
    <t>14004568100913020</t>
  </si>
  <si>
    <t>14004553700935543</t>
  </si>
  <si>
    <t>14004554901074417</t>
  </si>
  <si>
    <t>14004553702299310</t>
  </si>
  <si>
    <t>14004555701125668</t>
  </si>
  <si>
    <t>14004554900987141</t>
  </si>
  <si>
    <t>14004553701188964</t>
  </si>
  <si>
    <t>14004555404453879</t>
  </si>
  <si>
    <t>14004553702338975</t>
  </si>
  <si>
    <t>14004568100924975</t>
  </si>
  <si>
    <t>14004554803353509</t>
  </si>
  <si>
    <t>14004554803420660</t>
  </si>
  <si>
    <t>14004554901260241</t>
  </si>
  <si>
    <t>14004568100971925</t>
  </si>
  <si>
    <t>14004555600892563</t>
  </si>
  <si>
    <t>14004554900969747</t>
  </si>
  <si>
    <t>14004568100983529</t>
  </si>
  <si>
    <t>14004555600754945</t>
  </si>
  <si>
    <t>14004553701063625</t>
  </si>
  <si>
    <t>14004568100944470</t>
  </si>
  <si>
    <t>14004555701311098</t>
  </si>
  <si>
    <t>14004554803746711</t>
  </si>
  <si>
    <t>14004554803463670</t>
  </si>
  <si>
    <t>14004568101227749</t>
  </si>
  <si>
    <t>14004554803456527</t>
  </si>
  <si>
    <t>14004553702299313</t>
  </si>
  <si>
    <t>14004568100917644</t>
  </si>
  <si>
    <t>14004553701171667</t>
  </si>
  <si>
    <t>14004554900729369</t>
  </si>
  <si>
    <t>14004554901219190</t>
  </si>
  <si>
    <t>14004568100921302</t>
  </si>
  <si>
    <t>14004553701093678</t>
  </si>
  <si>
    <t>14004553701130037</t>
  </si>
  <si>
    <t>14004554803485333</t>
  </si>
  <si>
    <t>14004555600899629</t>
  </si>
  <si>
    <t>14004554803471742</t>
  </si>
  <si>
    <t>14004568101249962</t>
  </si>
  <si>
    <t>14004555701443231</t>
  </si>
  <si>
    <t>14004553701169238</t>
  </si>
  <si>
    <t>14004553701071654</t>
  </si>
  <si>
    <t>14004568101112698</t>
  </si>
  <si>
    <t>14004568101006450</t>
  </si>
  <si>
    <t>14004555701222991</t>
  </si>
  <si>
    <t>14004554803501312</t>
  </si>
  <si>
    <t>14004555701174853</t>
  </si>
  <si>
    <t>14004553701178653</t>
  </si>
  <si>
    <t>14004555600833970</t>
  </si>
  <si>
    <t>14004554803629274</t>
  </si>
  <si>
    <t>14004553700930962</t>
  </si>
  <si>
    <t>14004554803672688</t>
  </si>
  <si>
    <t>14004568101008195</t>
  </si>
  <si>
    <t>14004568101202635</t>
  </si>
  <si>
    <t>14004568101027795</t>
  </si>
  <si>
    <t>14004554803286094</t>
  </si>
  <si>
    <t>14004555600901509</t>
  </si>
  <si>
    <t>14004554900964862</t>
  </si>
  <si>
    <t>14004554803725481</t>
  </si>
  <si>
    <t>14004554803487792</t>
  </si>
  <si>
    <t>14004568100979795</t>
  </si>
  <si>
    <t>14004568100877724</t>
  </si>
  <si>
    <t>14004554803420303</t>
  </si>
  <si>
    <t>14004553701143287</t>
  </si>
  <si>
    <t>14004555701422701</t>
  </si>
  <si>
    <t>14004555701276825</t>
  </si>
  <si>
    <t>14004554803677029</t>
  </si>
  <si>
    <t>14004555601078147</t>
  </si>
  <si>
    <t>14004568101118100</t>
  </si>
  <si>
    <t>14004554901267677</t>
  </si>
  <si>
    <t>14004555701144255</t>
  </si>
  <si>
    <t>14004555701365520</t>
  </si>
  <si>
    <t>14004555600922825</t>
  </si>
  <si>
    <t>14004555601078145</t>
  </si>
  <si>
    <t>14004555701335983</t>
  </si>
  <si>
    <t>14004568100917146</t>
  </si>
  <si>
    <t>14004554901044540</t>
  </si>
  <si>
    <t>14004555600804823</t>
  </si>
  <si>
    <t>14004555701475546</t>
  </si>
  <si>
    <t>14004554803812995</t>
  </si>
  <si>
    <t>14004568101109110</t>
  </si>
  <si>
    <t>14004555701360771</t>
  </si>
  <si>
    <t>14004568100868778</t>
  </si>
  <si>
    <t>14004568101083920</t>
  </si>
  <si>
    <t>14004553701158342</t>
  </si>
  <si>
    <t>14004554901724532</t>
  </si>
  <si>
    <t>14004555701313992</t>
  </si>
  <si>
    <t>14004554901000696</t>
  </si>
  <si>
    <t>14004568101011427</t>
  </si>
  <si>
    <t>14004554803564446</t>
  </si>
  <si>
    <t>14004554803441842</t>
  </si>
  <si>
    <t>14004568101258872</t>
  </si>
  <si>
    <t>14004554803510836</t>
  </si>
  <si>
    <t>14004555600795698</t>
  </si>
  <si>
    <t>14004553701067653</t>
  </si>
  <si>
    <t>14004555701461614</t>
  </si>
  <si>
    <t>14004554803277307</t>
  </si>
  <si>
    <t>14004568101018889</t>
  </si>
  <si>
    <t>14004554803581219</t>
  </si>
  <si>
    <t>14004554803316141</t>
  </si>
  <si>
    <t>14004554803448700</t>
  </si>
  <si>
    <t>14004555600792856</t>
  </si>
  <si>
    <t>14004554900670837</t>
  </si>
  <si>
    <t>14004555600849252</t>
  </si>
  <si>
    <t>14004554901103180</t>
  </si>
  <si>
    <t>14004568101018641</t>
  </si>
  <si>
    <t>14004554803339620</t>
  </si>
  <si>
    <t>14004554803620955</t>
  </si>
  <si>
    <t>14004568100935737</t>
  </si>
  <si>
    <t>14004554803519408</t>
  </si>
  <si>
    <t>14004555701511471</t>
  </si>
  <si>
    <t>14004568101002989</t>
  </si>
  <si>
    <t>14004568101027867</t>
  </si>
  <si>
    <t>14004568100931757</t>
  </si>
  <si>
    <t>14004553701075572</t>
  </si>
  <si>
    <t>14004555701508168</t>
  </si>
  <si>
    <t>14004555701365232</t>
  </si>
  <si>
    <t>14004553700954107</t>
  </si>
  <si>
    <t>14004568101254242</t>
  </si>
  <si>
    <t>14004554803627817</t>
  </si>
  <si>
    <t>14004554901044432</t>
  </si>
  <si>
    <t>14004555701403233</t>
  </si>
  <si>
    <t>14004555701353881</t>
  </si>
  <si>
    <t>14004555600749414</t>
  </si>
  <si>
    <t>14004568101237277</t>
  </si>
  <si>
    <t>14004554803337492</t>
  </si>
  <si>
    <t>14004555701336427</t>
  </si>
  <si>
    <t>14004554900707710</t>
  </si>
  <si>
    <t>14004565000007419</t>
  </si>
  <si>
    <t>14004553702349438</t>
  </si>
  <si>
    <t>14004553701115822</t>
  </si>
  <si>
    <t>14004555600798337</t>
  </si>
  <si>
    <t>14004568101245571</t>
  </si>
  <si>
    <t>14004555701339560</t>
  </si>
  <si>
    <t>14004568101224763</t>
  </si>
  <si>
    <t>14004554803571996</t>
  </si>
  <si>
    <t>14004554900811970</t>
  </si>
  <si>
    <t>14004553700985675</t>
  </si>
  <si>
    <t>14004555701342626</t>
  </si>
  <si>
    <t>14004554803514183</t>
  </si>
  <si>
    <t>14004554803549111</t>
  </si>
  <si>
    <t>14004553700991038</t>
  </si>
  <si>
    <t>14004555701489709</t>
  </si>
  <si>
    <t>14004555701268878</t>
  </si>
  <si>
    <t>14004554803643311</t>
  </si>
  <si>
    <t>14004554803568580</t>
  </si>
  <si>
    <t>14004554803572170</t>
  </si>
  <si>
    <t>14004555600796017</t>
  </si>
  <si>
    <t>14004553702350530</t>
  </si>
  <si>
    <t>14004554901102695</t>
  </si>
  <si>
    <t>14004555701426091</t>
  </si>
  <si>
    <t>14004554803434440</t>
  </si>
  <si>
    <t>14004554803568294</t>
  </si>
  <si>
    <t>14004555701172071</t>
  </si>
  <si>
    <t>14004554803684433</t>
  </si>
  <si>
    <t>14004568101265635</t>
  </si>
  <si>
    <t>14004555701327919</t>
  </si>
  <si>
    <t>14004554803427174</t>
  </si>
  <si>
    <t>14004555701371597</t>
  </si>
  <si>
    <t>14004555701395338</t>
  </si>
  <si>
    <t>14004568101087662</t>
  </si>
  <si>
    <t>14004555600815141</t>
  </si>
  <si>
    <t>14004554803241921</t>
  </si>
  <si>
    <t>14004555600905441</t>
  </si>
  <si>
    <t>14004568100968047</t>
  </si>
  <si>
    <t>14004555701163062</t>
  </si>
  <si>
    <t>14004555701387377</t>
  </si>
  <si>
    <t>14004554901145601</t>
  </si>
  <si>
    <t>14004555600861185</t>
  </si>
  <si>
    <t>14004554900811510</t>
  </si>
  <si>
    <t>14004553701176322</t>
  </si>
  <si>
    <t>14004554803300473</t>
  </si>
  <si>
    <t>14004554803484783</t>
  </si>
  <si>
    <t>14004554803785684</t>
  </si>
  <si>
    <t>14004555701383737</t>
  </si>
  <si>
    <t>14004555701497969</t>
  </si>
  <si>
    <t>14004554803323944</t>
  </si>
  <si>
    <t>14004554803297243</t>
  </si>
  <si>
    <t>14004555701349484</t>
  </si>
  <si>
    <t>14004553701127078</t>
  </si>
  <si>
    <t>14004555600798336</t>
  </si>
  <si>
    <t>14004555701391254</t>
  </si>
  <si>
    <t>14004554803820218</t>
  </si>
  <si>
    <t>14004553701124381</t>
  </si>
  <si>
    <t>14004554803529110</t>
  </si>
  <si>
    <t>14004555600916086</t>
  </si>
  <si>
    <t>14004555701380719</t>
  </si>
  <si>
    <t>14004555701492012</t>
  </si>
  <si>
    <t>14004565000007359</t>
  </si>
  <si>
    <t>14004568101077120</t>
  </si>
  <si>
    <t>14004555600857037</t>
  </si>
  <si>
    <t>14004554803621334</t>
  </si>
  <si>
    <t>14004555701483497</t>
  </si>
  <si>
    <t>14004554900987147</t>
  </si>
  <si>
    <t>14004555600788307</t>
  </si>
  <si>
    <t>14004555701180324</t>
  </si>
  <si>
    <t>14004553701130056</t>
  </si>
  <si>
    <t>14004555600926178</t>
  </si>
  <si>
    <t>14004554901291381</t>
  </si>
  <si>
    <t>14004553701120061</t>
  </si>
  <si>
    <t>14004554901038112</t>
  </si>
  <si>
    <t>14004568101061071</t>
  </si>
  <si>
    <t>14004555600897010</t>
  </si>
  <si>
    <t>14004555601078146</t>
  </si>
  <si>
    <t>14004553700949422</t>
  </si>
  <si>
    <t>14004554803524773</t>
  </si>
  <si>
    <t>14004554803346028</t>
  </si>
  <si>
    <t>14004553701112888</t>
  </si>
  <si>
    <t>14004555600799959</t>
  </si>
  <si>
    <t>14004554803406987</t>
  </si>
  <si>
    <t>14004553701188962</t>
  </si>
  <si>
    <t>14004554803712213</t>
  </si>
  <si>
    <t>14004554803603390</t>
  </si>
  <si>
    <t>14004568101173250</t>
  </si>
  <si>
    <t>14004554803505142</t>
  </si>
  <si>
    <t>14004555600853098</t>
  </si>
  <si>
    <t>14004555701505240</t>
  </si>
  <si>
    <t>14004554803817400</t>
  </si>
  <si>
    <t>14004553702329841</t>
  </si>
  <si>
    <t>14004568101019132</t>
  </si>
  <si>
    <t>14004554901275529</t>
  </si>
  <si>
    <t>14004554803323497</t>
  </si>
  <si>
    <t>14004568100922953</t>
  </si>
  <si>
    <t>14004555701123972</t>
  </si>
  <si>
    <t>14004553702296974</t>
  </si>
  <si>
    <t>14004554803482301</t>
  </si>
  <si>
    <t>14004554901105865</t>
  </si>
  <si>
    <t>14004568101227755</t>
  </si>
  <si>
    <t>14004554803564277</t>
  </si>
  <si>
    <t>14004553700949759</t>
  </si>
  <si>
    <t>14004555701364197</t>
  </si>
  <si>
    <t>14004554901020360</t>
  </si>
  <si>
    <t>14004554803595373</t>
  </si>
  <si>
    <t>14004554901004752</t>
  </si>
  <si>
    <t>14004555600851292</t>
  </si>
  <si>
    <t>14004555701272747</t>
  </si>
  <si>
    <t>14004554803500590</t>
  </si>
  <si>
    <t>14004555701331098</t>
  </si>
  <si>
    <t>14004555600854533</t>
  </si>
  <si>
    <t>14004554900890819</t>
  </si>
  <si>
    <t>14004554803472034</t>
  </si>
  <si>
    <t>14004555701408106</t>
  </si>
  <si>
    <t>14004554901027275</t>
  </si>
  <si>
    <t>14004555600756606</t>
  </si>
  <si>
    <t>14004554803330547</t>
  </si>
  <si>
    <t>14004554803834086</t>
  </si>
  <si>
    <t>14004555701330900</t>
  </si>
  <si>
    <t>14004554803538803</t>
  </si>
  <si>
    <t>14004554803486648</t>
  </si>
  <si>
    <t>14004553701132708</t>
  </si>
  <si>
    <t>14004554803487593</t>
  </si>
  <si>
    <t>14004554900957123</t>
  </si>
  <si>
    <t>14004554803576844</t>
  </si>
  <si>
    <t>14004555701318856</t>
  </si>
  <si>
    <t>14004555701428269</t>
  </si>
  <si>
    <t>14004568101087663</t>
  </si>
  <si>
    <t>14004554901040981</t>
  </si>
  <si>
    <t>14004554803568304</t>
  </si>
  <si>
    <t>14004555701342629</t>
  </si>
  <si>
    <t>14004554803808316</t>
  </si>
  <si>
    <t>14004555701120553</t>
  </si>
  <si>
    <t>14004555701327922</t>
  </si>
  <si>
    <t>14004555701335967</t>
  </si>
  <si>
    <t>14004554803463603</t>
  </si>
  <si>
    <t>14004554803457065</t>
  </si>
  <si>
    <t>14004554803509879</t>
  </si>
  <si>
    <t>14004568101053491</t>
  </si>
  <si>
    <t>14004555701413534</t>
  </si>
  <si>
    <t>14004555701324753</t>
  </si>
  <si>
    <t>14004554803603263</t>
  </si>
  <si>
    <t>14004553701081282</t>
  </si>
  <si>
    <t>14004554900967254</t>
  </si>
  <si>
    <t>14004554900967007</t>
  </si>
  <si>
    <t>14004554803543524</t>
  </si>
  <si>
    <t>14004554901021367</t>
  </si>
  <si>
    <t>14004554803551306</t>
  </si>
  <si>
    <t>14004568101033561</t>
  </si>
  <si>
    <t>14004555701346125</t>
  </si>
  <si>
    <t>14004554803474202</t>
  </si>
  <si>
    <t>14004554900986135</t>
  </si>
  <si>
    <t>14004554803469865</t>
  </si>
  <si>
    <t>14004554900967008</t>
  </si>
  <si>
    <t>14004554900967269</t>
  </si>
  <si>
    <t>14004554900896912</t>
  </si>
  <si>
    <t>14004568101015862</t>
  </si>
  <si>
    <t>14004555600864630</t>
  </si>
  <si>
    <t>14004555701417625</t>
  </si>
  <si>
    <t>14004565000008382</t>
  </si>
  <si>
    <t>14004554900990969</t>
  </si>
  <si>
    <t>14004554803580453</t>
  </si>
  <si>
    <t>14004555600859284</t>
  </si>
  <si>
    <t>14004555701365996</t>
  </si>
  <si>
    <t>14004553700977558</t>
  </si>
  <si>
    <t>14004554803564274</t>
  </si>
  <si>
    <t>14004554901010583</t>
  </si>
  <si>
    <t>14004553100274193</t>
  </si>
  <si>
    <t>14004554803287042</t>
  </si>
  <si>
    <t>14004568100879787</t>
  </si>
  <si>
    <t>14004554803317095</t>
  </si>
  <si>
    <t>14004554803310220</t>
  </si>
  <si>
    <t>14004553700951714</t>
  </si>
  <si>
    <t>14004554803348585</t>
  </si>
  <si>
    <t>14004554803396174</t>
  </si>
  <si>
    <t>14004554803325554</t>
  </si>
  <si>
    <t>14004554803402897</t>
  </si>
  <si>
    <t>14004554803355140</t>
  </si>
  <si>
    <t>14004554803365212</t>
  </si>
  <si>
    <t>14004554803390274</t>
  </si>
  <si>
    <t>14004554803332453</t>
  </si>
  <si>
    <t>14004091100043541</t>
  </si>
  <si>
    <t>14004091100043567</t>
  </si>
  <si>
    <t>14004091100043694</t>
  </si>
  <si>
    <t>14004091100043752</t>
  </si>
  <si>
    <t>14004091100044346</t>
  </si>
  <si>
    <t>14004091100044424</t>
  </si>
  <si>
    <t>14004091100044476</t>
  </si>
  <si>
    <t>14004091100044790</t>
  </si>
  <si>
    <t>14004091100044872</t>
  </si>
  <si>
    <t>14004091100044881</t>
  </si>
  <si>
    <t>14004091100044934</t>
  </si>
  <si>
    <t>14004091100045272</t>
  </si>
  <si>
    <t>14004091100045503</t>
  </si>
  <si>
    <t>14004091100045625</t>
  </si>
  <si>
    <t>14004091100045720</t>
  </si>
  <si>
    <t>14004091100045773</t>
  </si>
  <si>
    <t>14004091100046091</t>
  </si>
  <si>
    <t>14004091100046177</t>
  </si>
  <si>
    <t>14004091100046462</t>
  </si>
  <si>
    <t>14004091100046551</t>
  </si>
  <si>
    <t>14004091100046586</t>
  </si>
  <si>
    <t>14004091100046668</t>
  </si>
  <si>
    <t>14004091100059519</t>
  </si>
  <si>
    <t>14004091100064662</t>
  </si>
  <si>
    <t>14004091100064716</t>
  </si>
  <si>
    <t>14004091100064826</t>
  </si>
  <si>
    <t>14004097900050700</t>
  </si>
  <si>
    <t>14004097900050780</t>
  </si>
  <si>
    <t>14004097900050851</t>
  </si>
  <si>
    <t>14004097900051123</t>
  </si>
  <si>
    <t>14004097900051199</t>
  </si>
  <si>
    <t>14004097900051249</t>
  </si>
  <si>
    <t>14004097900051593</t>
  </si>
  <si>
    <t>14004097900051721</t>
  </si>
  <si>
    <t>14004097900051795</t>
  </si>
  <si>
    <t>14004097900051923</t>
  </si>
  <si>
    <t>14004097900053249</t>
  </si>
  <si>
    <t>14004097900062265</t>
  </si>
  <si>
    <t>14004097900062731</t>
  </si>
  <si>
    <t>14004097900062845</t>
  </si>
  <si>
    <t>14004097900062941</t>
  </si>
  <si>
    <t>14004097900063065</t>
  </si>
  <si>
    <t>14004097900066227</t>
  </si>
  <si>
    <t>14004097900068648</t>
  </si>
  <si>
    <t>14004097900077038</t>
  </si>
  <si>
    <t>14004097900077383</t>
  </si>
  <si>
    <t>14004097900079030</t>
  </si>
  <si>
    <t>14004097900079798</t>
  </si>
  <si>
    <t>14004097900079910</t>
  </si>
  <si>
    <t>14004097900080722</t>
  </si>
  <si>
    <t>14004097900099386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</si>
</sst>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80A]dddd\,\ dd&quot; de &quot;mmmm&quot; de &quot;yyyy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FD28"/>
        <bgColor indexed="64"/>
      </patternFill>
    </fill>
    <fill>
      <patternFill patternType="solid">
        <fgColor rgb="FFB5BBBD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88">
    <xf numFmtId="0" fontId="0" fillId="0" borderId="0" xfId="0"/>
    <xf numFmtId="43" fontId="0" fillId="0" borderId="0" xfId="1" applyFont="1"/>
    <xf numFmtId="0" fontId="3" fillId="0" borderId="0" xfId="0" applyFont="1"/>
    <xf numFmtId="44" fontId="2" fillId="0" borderId="0" xfId="2" applyFont="1"/>
    <xf numFmtId="0" fontId="0" fillId="0" borderId="0" xfId="0" applyAlignment="1">
      <alignment horizontal="center"/>
    </xf>
    <xf numFmtId="44" fontId="0" fillId="0" borderId="0" xfId="0" applyNumberFormat="1"/>
    <xf numFmtId="44" fontId="4" fillId="0" borderId="0" xfId="2" applyFont="1"/>
    <xf numFmtId="0" fontId="5" fillId="2" borderId="0" xfId="0" applyFont="1" applyFill="1" applyAlignment="1">
      <alignment horizontal="center" vertical="center" wrapText="1"/>
    </xf>
    <xf numFmtId="43" fontId="5" fillId="2" borderId="0" xfId="1" applyFont="1" applyFill="1" applyBorder="1" applyAlignment="1">
      <alignment horizontal="center" vertical="center" wrapText="1"/>
    </xf>
    <xf numFmtId="43" fontId="5" fillId="2" borderId="0" xfId="1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44" fontId="2" fillId="0" borderId="0" xfId="2" applyFont="1" applyAlignment="1">
      <alignment horizontal="left"/>
    </xf>
    <xf numFmtId="43" fontId="0" fillId="0" borderId="0" xfId="1" applyFont="1" applyFill="1" applyBorder="1"/>
    <xf numFmtId="1" fontId="3" fillId="0" borderId="0" xfId="0" applyNumberFormat="1" applyFont="1" applyAlignment="1">
      <alignment horizontal="center"/>
    </xf>
    <xf numFmtId="14" fontId="3" fillId="0" borderId="0" xfId="0" applyNumberFormat="1" applyFont="1"/>
    <xf numFmtId="44" fontId="3" fillId="0" borderId="0" xfId="2" applyFont="1"/>
    <xf numFmtId="44" fontId="3" fillId="0" borderId="0" xfId="0" applyNumberFormat="1" applyFont="1"/>
    <xf numFmtId="0" fontId="4" fillId="3" borderId="2" xfId="0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44" fontId="4" fillId="3" borderId="2" xfId="2" applyFont="1" applyFill="1" applyBorder="1" applyAlignment="1">
      <alignment horizontal="center"/>
    </xf>
    <xf numFmtId="44" fontId="4" fillId="3" borderId="2" xfId="2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44" fontId="0" fillId="0" borderId="0" xfId="2" applyFont="1" applyAlignment="1">
      <alignment horizontal="left"/>
    </xf>
    <xf numFmtId="43" fontId="4" fillId="3" borderId="2" xfId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44" fontId="0" fillId="0" borderId="0" xfId="2" applyFont="1" applyAlignment="1">
      <alignment horizontal="center"/>
    </xf>
    <xf numFmtId="44" fontId="0" fillId="0" borderId="3" xfId="2" applyFont="1" applyBorder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44" fontId="0" fillId="0" borderId="0" xfId="0" applyNumberFormat="1" applyFont="1" applyAlignment="1">
      <alignment horizontal="left"/>
    </xf>
    <xf numFmtId="44" fontId="5" fillId="2" borderId="0" xfId="2" applyFont="1" applyFill="1" applyBorder="1" applyAlignment="1">
      <alignment horizontal="center" vertical="center" wrapText="1"/>
    </xf>
    <xf numFmtId="44" fontId="5" fillId="2" borderId="0" xfId="2" applyFont="1" applyFill="1" applyAlignment="1">
      <alignment horizontal="center" vertical="center" wrapText="1"/>
    </xf>
    <xf numFmtId="0" fontId="0" fillId="0" borderId="0" xfId="0" applyFont="1"/>
    <xf numFmtId="43" fontId="0" fillId="0" borderId="0" xfId="1" applyFont="1" applyAlignment="1"/>
    <xf numFmtId="44" fontId="0" fillId="0" borderId="0" xfId="2" applyFont="1" applyAlignment="1"/>
    <xf numFmtId="44" fontId="0" fillId="0" borderId="0" xfId="2" applyFont="1" applyAlignment="1">
      <alignment horizontal="right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0" borderId="0" xfId="0" applyFont="1" applyFill="1"/>
    <xf numFmtId="43" fontId="0" fillId="0" borderId="0" xfId="1" applyFont="1" applyFill="1" applyAlignment="1"/>
    <xf numFmtId="44" fontId="0" fillId="0" borderId="0" xfId="2" applyFont="1" applyFill="1" applyAlignment="1"/>
    <xf numFmtId="44" fontId="0" fillId="0" borderId="0" xfId="2" applyFont="1" applyFill="1" applyAlignment="1">
      <alignment horizontal="left"/>
    </xf>
    <xf numFmtId="43" fontId="0" fillId="0" borderId="0" xfId="1" applyFont="1" applyFill="1" applyAlignment="1">
      <alignment horizontal="left"/>
    </xf>
    <xf numFmtId="0" fontId="0" fillId="0" borderId="0" xfId="0" applyNumberFormat="1" applyFont="1" applyFill="1" applyAlignment="1">
      <alignment horizontal="center"/>
    </xf>
    <xf numFmtId="44" fontId="0" fillId="0" borderId="0" xfId="2" applyFont="1" applyFill="1" applyAlignment="1">
      <alignment horizontal="right"/>
    </xf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/>
    <xf numFmtId="44" fontId="0" fillId="0" borderId="3" xfId="2" applyFont="1" applyFill="1" applyBorder="1"/>
    <xf numFmtId="44" fontId="0" fillId="0" borderId="0" xfId="0" applyNumberFormat="1" applyFont="1"/>
    <xf numFmtId="44" fontId="2" fillId="0" borderId="0" xfId="2" applyFont="1" applyAlignme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44" fontId="5" fillId="2" borderId="0" xfId="2" applyFont="1" applyFill="1" applyBorder="1" applyAlignment="1"/>
    <xf numFmtId="44" fontId="0" fillId="0" borderId="0" xfId="2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43" fontId="7" fillId="0" borderId="0" xfId="1" applyFont="1"/>
    <xf numFmtId="164" fontId="7" fillId="0" borderId="0" xfId="0" applyNumberFormat="1" applyFont="1" applyAlignment="1">
      <alignment horizontal="center"/>
    </xf>
    <xf numFmtId="43" fontId="8" fillId="0" borderId="0" xfId="1" applyFont="1"/>
    <xf numFmtId="44" fontId="8" fillId="0" borderId="0" xfId="2" applyFont="1"/>
    <xf numFmtId="0" fontId="9" fillId="2" borderId="0" xfId="0" applyFont="1" applyFill="1" applyAlignment="1">
      <alignment horizontal="center"/>
    </xf>
    <xf numFmtId="43" fontId="9" fillId="2" borderId="0" xfId="1" applyFont="1" applyFill="1" applyAlignment="1">
      <alignment horizontal="center" wrapText="1"/>
    </xf>
    <xf numFmtId="43" fontId="9" fillId="2" borderId="0" xfId="1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43" fontId="7" fillId="0" borderId="0" xfId="1" applyFont="1" applyFill="1"/>
    <xf numFmtId="0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4" fontId="10" fillId="0" borderId="0" xfId="0" applyNumberFormat="1" applyFont="1" applyAlignment="1">
      <alignment horizontal="left"/>
    </xf>
    <xf numFmtId="44" fontId="10" fillId="0" borderId="0" xfId="2" applyFont="1" applyAlignment="1">
      <alignment horizontal="left"/>
    </xf>
    <xf numFmtId="44" fontId="11" fillId="0" borderId="0" xfId="2" applyFont="1" applyAlignment="1">
      <alignment horizontal="left"/>
    </xf>
    <xf numFmtId="0" fontId="11" fillId="2" borderId="2" xfId="0" applyFont="1" applyFill="1" applyBorder="1" applyAlignment="1">
      <alignment horizontal="left" vertical="center"/>
    </xf>
    <xf numFmtId="44" fontId="11" fillId="2" borderId="2" xfId="2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/>
    </xf>
    <xf numFmtId="14" fontId="11" fillId="2" borderId="2" xfId="0" applyNumberFormat="1" applyFont="1" applyFill="1" applyBorder="1" applyAlignment="1">
      <alignment horizontal="left" vertical="center"/>
    </xf>
    <xf numFmtId="44" fontId="11" fillId="2" borderId="2" xfId="2" applyFont="1" applyFill="1" applyBorder="1" applyAlignment="1">
      <alignment horizontal="left" vertical="center" wrapText="1"/>
    </xf>
    <xf numFmtId="14" fontId="10" fillId="0" borderId="0" xfId="0" applyNumberFormat="1" applyFont="1" applyAlignment="1">
      <alignment horizontal="center"/>
    </xf>
    <xf numFmtId="44" fontId="10" fillId="0" borderId="0" xfId="2" applyFont="1" applyAlignment="1">
      <alignment horizontal="center"/>
    </xf>
    <xf numFmtId="0" fontId="10" fillId="0" borderId="0" xfId="2" applyNumberFormat="1" applyFont="1" applyFill="1" applyBorder="1" applyAlignment="1">
      <alignment horizontal="center"/>
    </xf>
    <xf numFmtId="44" fontId="10" fillId="0" borderId="0" xfId="2" applyFont="1" applyFill="1" applyBorder="1" applyAlignment="1">
      <alignment horizontal="left"/>
    </xf>
    <xf numFmtId="0" fontId="7" fillId="0" borderId="0" xfId="0" applyFont="1" applyAlignment="1">
      <alignment horizontal="left"/>
    </xf>
  </cellXfs>
  <cellStyles count="5">
    <cellStyle name="Comma" xfId="1" builtinId="3"/>
    <cellStyle name="Comma 2" xfId="3" xr:uid="{BEB89234-D7C5-4431-B959-DFDA4A85F38C}"/>
    <cellStyle name="Currency" xfId="2" builtinId="4"/>
    <cellStyle name="Normal" xfId="0" builtinId="0"/>
    <cellStyle name="Normal 10" xfId="4" xr:uid="{545D5BCE-C133-479C-86ED-052BFBFF0291}"/>
  </cellStyles>
  <dxfs count="0"/>
  <tableStyles count="0" defaultTableStyle="TableStyleMedium2" defaultPivotStyle="PivotStyleLight16"/>
  <colors>
    <mruColors>
      <color rgb="FFF2CE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53DB-60AF-4798-971E-E7EBCF86B1E4}">
  <dimension ref="B1:N21"/>
  <sheetViews>
    <sheetView showGridLines="0" tabSelected="1" zoomScaleNormal="100" workbookViewId="0">
      <pane ySplit="7" topLeftCell="A8" activePane="bottomLeft" state="frozen"/>
      <selection pane="bottomLeft" activeCell="E24" sqref="E24"/>
    </sheetView>
  </sheetViews>
  <sheetFormatPr defaultColWidth="8.81640625" defaultRowHeight="13" x14ac:dyDescent="0.3"/>
  <cols>
    <col min="1" max="1" width="3.81640625" style="61" customWidth="1"/>
    <col min="2" max="2" width="13.08984375" style="58" bestFit="1" customWidth="1"/>
    <col min="3" max="3" width="41.54296875" style="61" bestFit="1" customWidth="1"/>
    <col min="4" max="4" width="23.7265625" style="61" bestFit="1" customWidth="1"/>
    <col min="5" max="5" width="19.6328125" style="70" bestFit="1" customWidth="1"/>
    <col min="6" max="6" width="8.1796875" style="70" bestFit="1" customWidth="1"/>
    <col min="7" max="7" width="11.453125" style="70" bestFit="1" customWidth="1"/>
    <col min="8" max="8" width="12.90625" style="70" bestFit="1" customWidth="1"/>
    <col min="9" max="9" width="7.453125" style="61" customWidth="1"/>
    <col min="10" max="10" width="23.7265625" style="61" bestFit="1" customWidth="1"/>
    <col min="11" max="11" width="19.1796875" style="61" bestFit="1" customWidth="1"/>
    <col min="12" max="12" width="8.1796875" style="61" bestFit="1" customWidth="1"/>
    <col min="13" max="13" width="11.453125" style="61" bestFit="1" customWidth="1"/>
    <col min="14" max="14" width="12.90625" style="61" bestFit="1" customWidth="1"/>
    <col min="15" max="15" width="13.453125" style="61" bestFit="1" customWidth="1"/>
    <col min="16" max="16384" width="8.81640625" style="61"/>
  </cols>
  <sheetData>
    <row r="1" spans="2:14" x14ac:dyDescent="0.3">
      <c r="C1" s="59" t="s">
        <v>36</v>
      </c>
      <c r="D1" s="59"/>
      <c r="E1" s="59"/>
      <c r="F1" s="59"/>
      <c r="G1" s="59"/>
      <c r="H1" s="59"/>
      <c r="I1" s="60"/>
    </row>
    <row r="2" spans="2:14" x14ac:dyDescent="0.3">
      <c r="C2" s="59" t="s">
        <v>37</v>
      </c>
      <c r="D2" s="59"/>
      <c r="E2" s="59"/>
      <c r="F2" s="59"/>
      <c r="G2" s="59"/>
      <c r="H2" s="59"/>
      <c r="I2" s="60"/>
    </row>
    <row r="3" spans="2:14" x14ac:dyDescent="0.3">
      <c r="E3" s="62"/>
      <c r="F3" s="62"/>
      <c r="G3" s="62"/>
      <c r="H3" s="62"/>
      <c r="J3" s="62"/>
    </row>
    <row r="4" spans="2:14" x14ac:dyDescent="0.3">
      <c r="B4" s="63">
        <f ca="1">TODAY()</f>
        <v>46059</v>
      </c>
      <c r="C4" s="63"/>
      <c r="E4" s="62"/>
      <c r="F4" s="62"/>
      <c r="G4" s="62"/>
      <c r="H4" s="62"/>
      <c r="J4" s="64"/>
      <c r="K4" s="65"/>
      <c r="L4" s="64"/>
      <c r="M4" s="65"/>
    </row>
    <row r="5" spans="2:14" x14ac:dyDescent="0.3">
      <c r="E5" s="62"/>
      <c r="F5" s="62"/>
      <c r="G5" s="62"/>
      <c r="H5" s="62"/>
      <c r="J5" s="62"/>
    </row>
    <row r="6" spans="2:14" x14ac:dyDescent="0.3">
      <c r="E6" s="65">
        <f>SUBTOTAL(9,E7:E699)</f>
        <v>6527656.5634379312</v>
      </c>
      <c r="F6" s="65">
        <f>SUBTOTAL(9,F7:F699)</f>
        <v>546.65</v>
      </c>
      <c r="G6" s="65">
        <f>SUBTOTAL(9,G7:G699)</f>
        <v>330288.53935006901</v>
      </c>
      <c r="H6" s="65">
        <f>SUBTOTAL(9,H7:H699)</f>
        <v>6858491.7527880007</v>
      </c>
      <c r="K6" s="65">
        <f>SUBTOTAL(9,K7:K1048576)</f>
        <v>6527656.5634379312</v>
      </c>
      <c r="L6" s="65">
        <f>SUBTOTAL(9,L7:L1048576)</f>
        <v>546.65</v>
      </c>
      <c r="M6" s="65">
        <f>SUBTOTAL(9,M7:M1048576)</f>
        <v>330288.53935006895</v>
      </c>
      <c r="N6" s="65">
        <f>SUBTOTAL(9,N7:N1048576)</f>
        <v>6858491.7527879998</v>
      </c>
    </row>
    <row r="7" spans="2:14" ht="24.65" customHeight="1" x14ac:dyDescent="0.3">
      <c r="B7" s="66" t="s">
        <v>17</v>
      </c>
      <c r="C7" s="66" t="s">
        <v>0</v>
      </c>
      <c r="D7" s="66" t="s">
        <v>20</v>
      </c>
      <c r="E7" s="67" t="s">
        <v>24</v>
      </c>
      <c r="F7" s="68" t="s">
        <v>34</v>
      </c>
      <c r="G7" s="68" t="s">
        <v>14</v>
      </c>
      <c r="H7" s="68" t="s">
        <v>35</v>
      </c>
      <c r="J7" s="69" t="s">
        <v>38</v>
      </c>
      <c r="K7" s="69" t="s">
        <v>24</v>
      </c>
      <c r="L7" s="69" t="s">
        <v>34</v>
      </c>
      <c r="M7" s="69" t="s">
        <v>14</v>
      </c>
      <c r="N7" s="69" t="s">
        <v>39</v>
      </c>
    </row>
    <row r="8" spans="2:14" ht="17" customHeight="1" x14ac:dyDescent="0.3">
      <c r="B8" s="58">
        <v>21733</v>
      </c>
      <c r="C8" s="61" t="s">
        <v>40</v>
      </c>
      <c r="D8" s="61" t="s">
        <v>41</v>
      </c>
      <c r="E8" s="70">
        <v>1265151.7900000003</v>
      </c>
      <c r="F8" s="70">
        <v>0</v>
      </c>
      <c r="G8" s="70">
        <v>202424.28</v>
      </c>
      <c r="H8" s="70">
        <f>E8+F8+G8</f>
        <v>1467576.0700000003</v>
      </c>
      <c r="J8" s="87" t="s">
        <v>3248</v>
      </c>
      <c r="K8" s="62">
        <v>243462.38999999998</v>
      </c>
      <c r="L8" s="62">
        <v>0</v>
      </c>
      <c r="M8" s="62">
        <v>0</v>
      </c>
      <c r="N8" s="62">
        <v>243462.38999999998</v>
      </c>
    </row>
    <row r="9" spans="2:14" ht="17" customHeight="1" x14ac:dyDescent="0.3">
      <c r="B9" s="71">
        <v>384255</v>
      </c>
      <c r="C9" s="61" t="s">
        <v>42</v>
      </c>
      <c r="D9" s="61" t="s">
        <v>49</v>
      </c>
      <c r="E9" s="70">
        <v>9388</v>
      </c>
      <c r="F9" s="70">
        <v>0</v>
      </c>
      <c r="G9" s="70">
        <v>0</v>
      </c>
      <c r="H9" s="70">
        <f t="shared" ref="H9:H17" si="0">E9+F9+G9</f>
        <v>9388</v>
      </c>
      <c r="J9" s="87" t="s">
        <v>49</v>
      </c>
      <c r="K9" s="62">
        <v>4983750.5234379312</v>
      </c>
      <c r="L9" s="62">
        <v>0</v>
      </c>
      <c r="M9" s="62">
        <v>127864.25935006897</v>
      </c>
      <c r="N9" s="62">
        <v>5111614.7827880001</v>
      </c>
    </row>
    <row r="10" spans="2:14" ht="17" customHeight="1" x14ac:dyDescent="0.3">
      <c r="B10" s="71">
        <v>394213</v>
      </c>
      <c r="C10" s="61" t="s">
        <v>3247</v>
      </c>
      <c r="D10" s="61" t="s">
        <v>3248</v>
      </c>
      <c r="E10" s="70">
        <v>51846.400000000001</v>
      </c>
      <c r="F10" s="70">
        <v>0</v>
      </c>
      <c r="G10" s="70">
        <v>0</v>
      </c>
      <c r="H10" s="70">
        <f t="shared" si="0"/>
        <v>51846.400000000001</v>
      </c>
      <c r="J10" s="87" t="s">
        <v>41</v>
      </c>
      <c r="K10" s="62">
        <v>1300443.6500000004</v>
      </c>
      <c r="L10" s="62">
        <v>546.65</v>
      </c>
      <c r="M10" s="62">
        <v>202424.28</v>
      </c>
      <c r="N10" s="62">
        <v>1503414.5800000003</v>
      </c>
    </row>
    <row r="11" spans="2:14" ht="17" customHeight="1" x14ac:dyDescent="0.3">
      <c r="B11" s="71">
        <v>394213</v>
      </c>
      <c r="C11" s="61" t="s">
        <v>3247</v>
      </c>
      <c r="D11" s="61" t="s">
        <v>49</v>
      </c>
      <c r="E11" s="70">
        <v>87135.82</v>
      </c>
      <c r="F11" s="70">
        <v>0</v>
      </c>
      <c r="G11" s="70">
        <v>0</v>
      </c>
      <c r="H11" s="70">
        <f t="shared" si="0"/>
        <v>87135.82</v>
      </c>
    </row>
    <row r="12" spans="2:14" ht="17" customHeight="1" x14ac:dyDescent="0.3">
      <c r="B12" s="71">
        <v>394213</v>
      </c>
      <c r="C12" s="61" t="s">
        <v>3247</v>
      </c>
      <c r="D12" s="61" t="s">
        <v>41</v>
      </c>
      <c r="E12" s="70">
        <v>9599.26</v>
      </c>
      <c r="F12" s="70">
        <v>0</v>
      </c>
      <c r="G12" s="70">
        <v>0</v>
      </c>
      <c r="H12" s="70">
        <f t="shared" si="0"/>
        <v>9599.26</v>
      </c>
    </row>
    <row r="13" spans="2:14" ht="17" customHeight="1" x14ac:dyDescent="0.3">
      <c r="B13" s="71">
        <v>11784</v>
      </c>
      <c r="C13" s="61" t="s">
        <v>3260</v>
      </c>
      <c r="D13" s="61" t="s">
        <v>49</v>
      </c>
      <c r="E13" s="70">
        <v>10120.313437930999</v>
      </c>
      <c r="F13" s="70">
        <v>0</v>
      </c>
      <c r="G13" s="70">
        <v>1619.25015006897</v>
      </c>
      <c r="H13" s="70">
        <f t="shared" si="0"/>
        <v>11739.56358799997</v>
      </c>
    </row>
    <row r="14" spans="2:14" ht="17" customHeight="1" x14ac:dyDescent="0.3">
      <c r="B14" s="58">
        <v>8557</v>
      </c>
      <c r="C14" s="61" t="s">
        <v>3264</v>
      </c>
      <c r="D14" s="61" t="s">
        <v>41</v>
      </c>
      <c r="E14" s="70">
        <v>6833.1</v>
      </c>
      <c r="F14" s="70">
        <v>546.65</v>
      </c>
      <c r="G14" s="70">
        <v>0</v>
      </c>
      <c r="H14" s="70">
        <f t="shared" si="0"/>
        <v>7379.75</v>
      </c>
    </row>
    <row r="15" spans="2:14" ht="17" customHeight="1" x14ac:dyDescent="0.3">
      <c r="B15" s="58">
        <v>303664</v>
      </c>
      <c r="C15" s="61" t="s">
        <v>3282</v>
      </c>
      <c r="D15" s="61" t="s">
        <v>49</v>
      </c>
      <c r="E15" s="70">
        <v>17045.18</v>
      </c>
      <c r="F15" s="70">
        <v>0</v>
      </c>
      <c r="G15" s="70">
        <v>0</v>
      </c>
      <c r="H15" s="70">
        <f t="shared" si="0"/>
        <v>17045.18</v>
      </c>
    </row>
    <row r="16" spans="2:14" ht="17" customHeight="1" x14ac:dyDescent="0.3">
      <c r="B16" s="58">
        <v>303664</v>
      </c>
      <c r="C16" s="61" t="s">
        <v>3282</v>
      </c>
      <c r="D16" s="61" t="s">
        <v>49</v>
      </c>
      <c r="E16" s="70">
        <v>9731.39</v>
      </c>
      <c r="F16" s="70">
        <v>0</v>
      </c>
      <c r="G16" s="70">
        <v>0</v>
      </c>
      <c r="H16" s="70">
        <f t="shared" si="0"/>
        <v>9731.39</v>
      </c>
    </row>
    <row r="17" spans="2:8" ht="17" customHeight="1" x14ac:dyDescent="0.3">
      <c r="B17" s="71">
        <v>22734</v>
      </c>
      <c r="C17" s="61" t="s">
        <v>3284</v>
      </c>
      <c r="D17" s="61" t="s">
        <v>49</v>
      </c>
      <c r="E17" s="70">
        <v>216000</v>
      </c>
      <c r="F17" s="70">
        <v>0</v>
      </c>
      <c r="G17" s="70">
        <v>0</v>
      </c>
      <c r="H17" s="70">
        <f t="shared" si="0"/>
        <v>216000</v>
      </c>
    </row>
    <row r="18" spans="2:8" ht="17" customHeight="1" x14ac:dyDescent="0.3">
      <c r="B18" s="71">
        <v>303452</v>
      </c>
      <c r="C18" s="61" t="s">
        <v>3288</v>
      </c>
      <c r="D18" s="61" t="s">
        <v>3248</v>
      </c>
      <c r="E18" s="70">
        <v>191615.99</v>
      </c>
      <c r="F18" s="70">
        <v>0</v>
      </c>
      <c r="G18" s="70">
        <v>0</v>
      </c>
      <c r="H18" s="70">
        <v>191615.99</v>
      </c>
    </row>
    <row r="19" spans="2:8" ht="17" customHeight="1" x14ac:dyDescent="0.3">
      <c r="B19" s="71">
        <v>303452</v>
      </c>
      <c r="C19" s="61" t="s">
        <v>3288</v>
      </c>
      <c r="D19" s="61" t="s">
        <v>41</v>
      </c>
      <c r="E19" s="70">
        <v>18859.5</v>
      </c>
      <c r="F19" s="70">
        <v>0</v>
      </c>
      <c r="G19" s="70">
        <v>0</v>
      </c>
      <c r="H19" s="70">
        <v>18859.5</v>
      </c>
    </row>
    <row r="20" spans="2:8" ht="17" customHeight="1" x14ac:dyDescent="0.3">
      <c r="B20" s="71">
        <v>23081</v>
      </c>
      <c r="C20" s="61" t="s">
        <v>3343</v>
      </c>
      <c r="D20" s="61" t="s">
        <v>49</v>
      </c>
      <c r="E20" s="70">
        <v>4369193.45</v>
      </c>
      <c r="F20" s="70">
        <v>0</v>
      </c>
      <c r="G20" s="70">
        <v>83823.19</v>
      </c>
      <c r="H20" s="70">
        <f>+G20+E20</f>
        <v>4453016.6400000006</v>
      </c>
    </row>
    <row r="21" spans="2:8" ht="17" customHeight="1" x14ac:dyDescent="0.3">
      <c r="B21" s="71">
        <v>99812</v>
      </c>
      <c r="C21" s="61" t="s">
        <v>3347</v>
      </c>
      <c r="D21" s="61" t="s">
        <v>49</v>
      </c>
      <c r="E21" s="70">
        <v>265136.37</v>
      </c>
      <c r="G21" s="70">
        <f>+E21*16%</f>
        <v>42421.819199999998</v>
      </c>
      <c r="H21" s="70">
        <f>+G21+E21</f>
        <v>307558.18920000002</v>
      </c>
    </row>
  </sheetData>
  <mergeCells count="3">
    <mergeCell ref="C1:H1"/>
    <mergeCell ref="C2:H2"/>
    <mergeCell ref="B4:C4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890C5-6491-413A-B25A-13BBBDD70E70}">
  <dimension ref="A1:L37"/>
  <sheetViews>
    <sheetView showGridLines="0" zoomScale="85" zoomScaleNormal="85" workbookViewId="0">
      <pane ySplit="2" topLeftCell="A3" activePane="bottomLeft" state="frozen"/>
      <selection pane="bottomLeft" activeCell="F37" sqref="F37"/>
    </sheetView>
  </sheetViews>
  <sheetFormatPr defaultColWidth="8.7265625" defaultRowHeight="14.5" x14ac:dyDescent="0.35"/>
  <cols>
    <col min="1" max="1" width="13.81640625" style="35" customWidth="1"/>
    <col min="2" max="2" width="41.81640625" style="35" customWidth="1"/>
    <col min="3" max="3" width="9.453125" style="28" bestFit="1" customWidth="1"/>
    <col min="4" max="4" width="13.26953125" style="35" bestFit="1" customWidth="1"/>
    <col min="5" max="5" width="27.453125" style="35" bestFit="1" customWidth="1"/>
    <col min="6" max="6" width="30.453125" style="35" customWidth="1"/>
    <col min="7" max="7" width="18.7265625" style="35" bestFit="1" customWidth="1"/>
    <col min="8" max="8" width="36.453125" style="36" bestFit="1" customWidth="1"/>
    <col min="9" max="9" width="27.453125" style="37" bestFit="1" customWidth="1"/>
    <col min="10" max="10" width="19.81640625" style="37" customWidth="1"/>
    <col min="11" max="11" width="12.81640625" style="37" bestFit="1" customWidth="1"/>
    <col min="12" max="12" width="8.7265625" style="1"/>
    <col min="13" max="16384" width="8.7265625" style="35"/>
  </cols>
  <sheetData>
    <row r="1" spans="1:11" x14ac:dyDescent="0.35">
      <c r="G1" s="52"/>
      <c r="I1" s="53">
        <f>SUBTOTAL(9,I3:I9864)</f>
        <v>6527656.5634379322</v>
      </c>
      <c r="J1" s="53">
        <f>SUBTOTAL(9,J3:J9864)</f>
        <v>546.65</v>
      </c>
      <c r="K1" s="53">
        <f>SUBTOTAL(9,K3:K9864)</f>
        <v>330288.53935006895</v>
      </c>
    </row>
    <row r="2" spans="1:11" ht="32.5" customHeight="1" x14ac:dyDescent="0.35">
      <c r="A2" s="54" t="s">
        <v>17</v>
      </c>
      <c r="B2" s="54" t="s">
        <v>0</v>
      </c>
      <c r="C2" s="55" t="s">
        <v>18</v>
      </c>
      <c r="D2" s="54" t="s">
        <v>19</v>
      </c>
      <c r="E2" s="54" t="s">
        <v>20</v>
      </c>
      <c r="F2" s="54" t="s">
        <v>21</v>
      </c>
      <c r="G2" s="54" t="s">
        <v>22</v>
      </c>
      <c r="H2" s="54" t="s">
        <v>23</v>
      </c>
      <c r="I2" s="56" t="s">
        <v>24</v>
      </c>
      <c r="J2" s="56" t="s">
        <v>34</v>
      </c>
      <c r="K2" s="56" t="s">
        <v>14</v>
      </c>
    </row>
    <row r="3" spans="1:11" x14ac:dyDescent="0.35">
      <c r="A3" s="28">
        <v>21733</v>
      </c>
      <c r="B3" s="35" t="s">
        <v>40</v>
      </c>
      <c r="C3" s="28">
        <v>2020</v>
      </c>
      <c r="D3" s="35" t="s">
        <v>44</v>
      </c>
      <c r="E3" s="35" t="s">
        <v>45</v>
      </c>
      <c r="F3" s="35" t="s">
        <v>46</v>
      </c>
      <c r="G3" s="35" t="s">
        <v>47</v>
      </c>
      <c r="H3" s="36" t="s">
        <v>48</v>
      </c>
      <c r="I3" s="37">
        <v>2448.66</v>
      </c>
      <c r="J3" s="37">
        <v>0</v>
      </c>
      <c r="K3" s="37">
        <v>391.79</v>
      </c>
    </row>
    <row r="4" spans="1:11" x14ac:dyDescent="0.35">
      <c r="A4" s="28">
        <v>21733</v>
      </c>
      <c r="B4" s="35" t="s">
        <v>40</v>
      </c>
      <c r="C4" s="28">
        <v>2021</v>
      </c>
      <c r="D4" s="35" t="s">
        <v>44</v>
      </c>
      <c r="E4" s="35" t="s">
        <v>45</v>
      </c>
      <c r="F4" s="35" t="s">
        <v>46</v>
      </c>
      <c r="G4" s="35" t="s">
        <v>47</v>
      </c>
      <c r="H4" s="36" t="s">
        <v>48</v>
      </c>
      <c r="I4" s="37">
        <v>375161.21</v>
      </c>
      <c r="J4" s="37">
        <v>0</v>
      </c>
      <c r="K4" s="37">
        <v>60025.79</v>
      </c>
    </row>
    <row r="5" spans="1:11" x14ac:dyDescent="0.35">
      <c r="A5" s="28">
        <v>21733</v>
      </c>
      <c r="B5" s="35" t="s">
        <v>40</v>
      </c>
      <c r="C5" s="28">
        <v>2022</v>
      </c>
      <c r="D5" s="35" t="s">
        <v>44</v>
      </c>
      <c r="E5" s="35" t="s">
        <v>45</v>
      </c>
      <c r="F5" s="35" t="s">
        <v>46</v>
      </c>
      <c r="G5" s="35" t="s">
        <v>47</v>
      </c>
      <c r="H5" s="36" t="s">
        <v>48</v>
      </c>
      <c r="I5" s="37">
        <v>706849.69</v>
      </c>
      <c r="J5" s="37">
        <v>0</v>
      </c>
      <c r="K5" s="37">
        <v>113095.95</v>
      </c>
    </row>
    <row r="6" spans="1:11" x14ac:dyDescent="0.35">
      <c r="A6" s="28">
        <v>21733</v>
      </c>
      <c r="B6" s="35" t="s">
        <v>40</v>
      </c>
      <c r="C6" s="28">
        <v>2023</v>
      </c>
      <c r="D6" s="35" t="s">
        <v>44</v>
      </c>
      <c r="E6" s="35" t="s">
        <v>45</v>
      </c>
      <c r="F6" s="35" t="s">
        <v>46</v>
      </c>
      <c r="G6" s="35" t="s">
        <v>47</v>
      </c>
      <c r="H6" s="36" t="s">
        <v>48</v>
      </c>
      <c r="I6" s="37">
        <v>171071.64</v>
      </c>
      <c r="J6" s="37">
        <v>0</v>
      </c>
      <c r="K6" s="37">
        <v>27371.46</v>
      </c>
    </row>
    <row r="7" spans="1:11" x14ac:dyDescent="0.35">
      <c r="A7" s="28">
        <v>21733</v>
      </c>
      <c r="B7" s="35" t="s">
        <v>40</v>
      </c>
      <c r="C7" s="28">
        <v>2024</v>
      </c>
      <c r="D7" s="35" t="s">
        <v>44</v>
      </c>
      <c r="E7" s="35" t="s">
        <v>45</v>
      </c>
      <c r="F7" s="35" t="s">
        <v>46</v>
      </c>
      <c r="G7" s="35" t="s">
        <v>47</v>
      </c>
      <c r="H7" s="36" t="s">
        <v>48</v>
      </c>
      <c r="I7" s="37">
        <v>9620.59</v>
      </c>
      <c r="J7" s="37">
        <v>0</v>
      </c>
      <c r="K7" s="37">
        <v>1539.29</v>
      </c>
    </row>
    <row r="8" spans="1:11" x14ac:dyDescent="0.35">
      <c r="A8" s="28">
        <v>384255</v>
      </c>
      <c r="B8" s="35" t="s">
        <v>42</v>
      </c>
      <c r="C8" s="28">
        <v>2020</v>
      </c>
      <c r="D8" s="35" t="s">
        <v>44</v>
      </c>
      <c r="E8" s="35" t="s">
        <v>49</v>
      </c>
      <c r="F8" s="35" t="s">
        <v>43</v>
      </c>
      <c r="G8" s="35" t="s">
        <v>50</v>
      </c>
      <c r="H8" s="36" t="s">
        <v>51</v>
      </c>
      <c r="I8" s="37">
        <v>9388</v>
      </c>
      <c r="K8" s="37">
        <v>0</v>
      </c>
    </row>
    <row r="9" spans="1:11" x14ac:dyDescent="0.35">
      <c r="A9" s="28">
        <v>394213</v>
      </c>
      <c r="B9" s="35" t="s">
        <v>3247</v>
      </c>
      <c r="C9" s="28">
        <v>2021</v>
      </c>
      <c r="D9" s="35" t="s">
        <v>44</v>
      </c>
      <c r="E9" s="35" t="s">
        <v>45</v>
      </c>
      <c r="F9" s="35" t="s">
        <v>46</v>
      </c>
      <c r="G9" s="35" t="s">
        <v>3251</v>
      </c>
      <c r="H9" s="36" t="s">
        <v>3252</v>
      </c>
      <c r="I9" s="37">
        <v>9599.26</v>
      </c>
      <c r="J9" s="37">
        <v>0</v>
      </c>
      <c r="K9" s="37">
        <v>0</v>
      </c>
    </row>
    <row r="10" spans="1:11" x14ac:dyDescent="0.35">
      <c r="A10" s="28">
        <v>394213</v>
      </c>
      <c r="B10" s="35" t="s">
        <v>3247</v>
      </c>
      <c r="C10" s="28">
        <v>2022</v>
      </c>
      <c r="D10" s="35" t="s">
        <v>44</v>
      </c>
      <c r="E10" s="35" t="s">
        <v>49</v>
      </c>
      <c r="F10" s="35" t="s">
        <v>3249</v>
      </c>
      <c r="G10" s="35" t="s">
        <v>3251</v>
      </c>
      <c r="H10" s="36" t="s">
        <v>3252</v>
      </c>
      <c r="I10" s="37">
        <v>75520.5</v>
      </c>
      <c r="J10" s="37">
        <v>0</v>
      </c>
      <c r="K10" s="37">
        <v>0</v>
      </c>
    </row>
    <row r="11" spans="1:11" x14ac:dyDescent="0.35">
      <c r="A11" s="28">
        <v>394213</v>
      </c>
      <c r="B11" s="35" t="s">
        <v>3247</v>
      </c>
      <c r="C11" s="28">
        <v>2023</v>
      </c>
      <c r="D11" s="35" t="s">
        <v>44</v>
      </c>
      <c r="E11" s="35" t="s">
        <v>49</v>
      </c>
      <c r="F11" s="35" t="s">
        <v>3249</v>
      </c>
      <c r="G11" s="35" t="s">
        <v>3251</v>
      </c>
      <c r="H11" s="36" t="s">
        <v>3252</v>
      </c>
      <c r="I11" s="37">
        <v>8065.55</v>
      </c>
      <c r="J11" s="37">
        <v>0</v>
      </c>
      <c r="K11" s="37">
        <v>0</v>
      </c>
    </row>
    <row r="12" spans="1:11" x14ac:dyDescent="0.35">
      <c r="A12" s="28">
        <v>394213</v>
      </c>
      <c r="B12" s="35" t="s">
        <v>3247</v>
      </c>
      <c r="C12" s="28">
        <v>2024</v>
      </c>
      <c r="D12" s="35" t="s">
        <v>44</v>
      </c>
      <c r="E12" s="35" t="s">
        <v>49</v>
      </c>
      <c r="F12" s="35" t="s">
        <v>3249</v>
      </c>
      <c r="G12" s="35" t="s">
        <v>3251</v>
      </c>
      <c r="H12" s="36" t="s">
        <v>3252</v>
      </c>
      <c r="I12" s="37">
        <v>3549.77</v>
      </c>
      <c r="J12" s="37">
        <v>0</v>
      </c>
      <c r="K12" s="37">
        <v>0</v>
      </c>
    </row>
    <row r="13" spans="1:11" x14ac:dyDescent="0.35">
      <c r="A13" s="28">
        <v>394213</v>
      </c>
      <c r="B13" s="35" t="s">
        <v>3247</v>
      </c>
      <c r="C13" s="28">
        <v>2021</v>
      </c>
      <c r="D13" s="35" t="s">
        <v>44</v>
      </c>
      <c r="E13" s="35" t="s">
        <v>3289</v>
      </c>
      <c r="F13" s="35" t="s">
        <v>3250</v>
      </c>
      <c r="G13" s="35" t="s">
        <v>3251</v>
      </c>
      <c r="H13" s="36" t="s">
        <v>3252</v>
      </c>
      <c r="I13" s="37">
        <v>51846.400000000001</v>
      </c>
      <c r="J13" s="37">
        <v>0</v>
      </c>
      <c r="K13" s="37">
        <v>0</v>
      </c>
    </row>
    <row r="14" spans="1:11" x14ac:dyDescent="0.35">
      <c r="A14" s="28">
        <v>11784</v>
      </c>
      <c r="B14" s="35" t="s">
        <v>3260</v>
      </c>
      <c r="C14" s="28">
        <v>2024</v>
      </c>
      <c r="D14" s="35" t="s">
        <v>44</v>
      </c>
      <c r="E14" s="35" t="s">
        <v>49</v>
      </c>
      <c r="F14" s="35" t="s">
        <v>3263</v>
      </c>
      <c r="G14" s="35" t="s">
        <v>3261</v>
      </c>
      <c r="H14" s="36" t="s">
        <v>3262</v>
      </c>
      <c r="I14" s="57">
        <v>10120.313437930999</v>
      </c>
      <c r="J14" s="57"/>
      <c r="K14" s="57">
        <v>1619.25015006897</v>
      </c>
    </row>
    <row r="15" spans="1:11" x14ac:dyDescent="0.35">
      <c r="A15" s="28">
        <v>8557</v>
      </c>
      <c r="B15" s="35" t="s">
        <v>3264</v>
      </c>
      <c r="C15" s="28">
        <v>2021</v>
      </c>
      <c r="D15" s="35" t="s">
        <v>44</v>
      </c>
      <c r="E15" s="35" t="s">
        <v>45</v>
      </c>
      <c r="F15" s="35" t="s">
        <v>3265</v>
      </c>
      <c r="G15" s="35" t="s">
        <v>3266</v>
      </c>
      <c r="H15" s="36" t="s">
        <v>3267</v>
      </c>
      <c r="I15" s="37">
        <v>2027.71</v>
      </c>
      <c r="J15" s="37">
        <v>162.22</v>
      </c>
      <c r="K15" s="37">
        <v>0</v>
      </c>
    </row>
    <row r="16" spans="1:11" x14ac:dyDescent="0.35">
      <c r="A16" s="28">
        <v>8557</v>
      </c>
      <c r="B16" s="35" t="s">
        <v>3264</v>
      </c>
      <c r="C16" s="28">
        <v>2021</v>
      </c>
      <c r="D16" s="35" t="s">
        <v>44</v>
      </c>
      <c r="E16" s="35" t="s">
        <v>45</v>
      </c>
      <c r="F16" s="35" t="s">
        <v>46</v>
      </c>
      <c r="G16" s="35" t="s">
        <v>3266</v>
      </c>
      <c r="H16" s="36" t="s">
        <v>3267</v>
      </c>
      <c r="I16" s="37">
        <v>4805.3900000000003</v>
      </c>
      <c r="J16" s="37">
        <v>384.43</v>
      </c>
      <c r="K16" s="37">
        <v>0</v>
      </c>
    </row>
    <row r="17" spans="1:11" x14ac:dyDescent="0.35">
      <c r="A17" s="28">
        <v>303664</v>
      </c>
      <c r="B17" s="35" t="s">
        <v>3282</v>
      </c>
      <c r="C17" s="28">
        <v>2021</v>
      </c>
      <c r="D17" s="35" t="s">
        <v>44</v>
      </c>
      <c r="E17" s="29" t="s">
        <v>49</v>
      </c>
      <c r="F17" s="35" t="s">
        <v>3283</v>
      </c>
      <c r="G17" s="35" t="s">
        <v>3251</v>
      </c>
      <c r="H17" s="36" t="s">
        <v>3252</v>
      </c>
      <c r="I17" s="38">
        <v>17045.18</v>
      </c>
      <c r="J17" s="37">
        <v>0</v>
      </c>
      <c r="K17" s="37">
        <v>0</v>
      </c>
    </row>
    <row r="18" spans="1:11" x14ac:dyDescent="0.35">
      <c r="A18" s="28">
        <v>303664</v>
      </c>
      <c r="B18" s="35" t="s">
        <v>3282</v>
      </c>
      <c r="C18" s="28">
        <v>2023</v>
      </c>
      <c r="D18" s="35" t="s">
        <v>44</v>
      </c>
      <c r="E18" s="29" t="s">
        <v>49</v>
      </c>
      <c r="F18" s="35" t="s">
        <v>3283</v>
      </c>
      <c r="G18" s="35" t="s">
        <v>3251</v>
      </c>
      <c r="H18" s="36" t="s">
        <v>3252</v>
      </c>
      <c r="I18" s="38">
        <v>9731.39</v>
      </c>
      <c r="J18" s="37">
        <v>0</v>
      </c>
      <c r="K18" s="37">
        <v>0</v>
      </c>
    </row>
    <row r="19" spans="1:11" x14ac:dyDescent="0.35">
      <c r="A19" s="28">
        <v>22734</v>
      </c>
      <c r="B19" s="35" t="s">
        <v>3284</v>
      </c>
      <c r="C19" s="28">
        <v>2021</v>
      </c>
      <c r="D19" s="35" t="s">
        <v>44</v>
      </c>
      <c r="E19" s="29" t="s">
        <v>49</v>
      </c>
      <c r="F19" s="35" t="s">
        <v>3285</v>
      </c>
      <c r="G19" s="35" t="s">
        <v>3286</v>
      </c>
      <c r="H19" s="36" t="s">
        <v>3287</v>
      </c>
      <c r="I19" s="38">
        <v>54000</v>
      </c>
      <c r="J19" s="37">
        <v>0</v>
      </c>
      <c r="K19" s="37">
        <v>0</v>
      </c>
    </row>
    <row r="20" spans="1:11" x14ac:dyDescent="0.35">
      <c r="A20" s="28">
        <v>22734</v>
      </c>
      <c r="B20" s="35" t="s">
        <v>3284</v>
      </c>
      <c r="C20" s="28">
        <v>2022</v>
      </c>
      <c r="D20" s="35" t="s">
        <v>44</v>
      </c>
      <c r="E20" s="29" t="s">
        <v>49</v>
      </c>
      <c r="F20" s="35" t="s">
        <v>3285</v>
      </c>
      <c r="G20" s="35" t="s">
        <v>3286</v>
      </c>
      <c r="H20" s="36" t="s">
        <v>3287</v>
      </c>
      <c r="I20" s="38">
        <v>54000</v>
      </c>
      <c r="J20" s="37">
        <v>0</v>
      </c>
      <c r="K20" s="37">
        <v>0</v>
      </c>
    </row>
    <row r="21" spans="1:11" x14ac:dyDescent="0.35">
      <c r="A21" s="28">
        <v>22734</v>
      </c>
      <c r="B21" s="35" t="s">
        <v>3284</v>
      </c>
      <c r="C21" s="28">
        <v>2023</v>
      </c>
      <c r="D21" s="35" t="s">
        <v>44</v>
      </c>
      <c r="E21" s="29" t="s">
        <v>49</v>
      </c>
      <c r="F21" s="35" t="s">
        <v>3285</v>
      </c>
      <c r="G21" s="35" t="s">
        <v>3286</v>
      </c>
      <c r="H21" s="36" t="s">
        <v>3287</v>
      </c>
      <c r="I21" s="38">
        <v>54000</v>
      </c>
      <c r="J21" s="37">
        <v>0</v>
      </c>
      <c r="K21" s="37">
        <v>0</v>
      </c>
    </row>
    <row r="22" spans="1:11" x14ac:dyDescent="0.35">
      <c r="A22" s="28">
        <v>22734</v>
      </c>
      <c r="B22" s="35" t="s">
        <v>3284</v>
      </c>
      <c r="C22" s="28">
        <v>2024</v>
      </c>
      <c r="D22" s="35" t="s">
        <v>44</v>
      </c>
      <c r="E22" s="29" t="s">
        <v>49</v>
      </c>
      <c r="F22" s="35" t="s">
        <v>3285</v>
      </c>
      <c r="G22" s="35" t="s">
        <v>3286</v>
      </c>
      <c r="H22" s="36" t="s">
        <v>3287</v>
      </c>
      <c r="I22" s="38">
        <v>54000</v>
      </c>
      <c r="J22" s="37">
        <v>0</v>
      </c>
      <c r="K22" s="37">
        <v>0</v>
      </c>
    </row>
    <row r="23" spans="1:11" x14ac:dyDescent="0.35">
      <c r="A23" s="28">
        <v>303452</v>
      </c>
      <c r="B23" s="35" t="s">
        <v>3288</v>
      </c>
      <c r="C23" s="28">
        <v>2021</v>
      </c>
      <c r="D23" s="35" t="s">
        <v>44</v>
      </c>
      <c r="E23" s="35" t="s">
        <v>3289</v>
      </c>
      <c r="F23" s="35" t="s">
        <v>3250</v>
      </c>
      <c r="G23" s="35" t="s">
        <v>3290</v>
      </c>
      <c r="H23" s="36" t="s">
        <v>3291</v>
      </c>
      <c r="I23" s="26">
        <v>191615.99</v>
      </c>
      <c r="J23" s="37">
        <v>0</v>
      </c>
      <c r="K23" s="37">
        <v>0</v>
      </c>
    </row>
    <row r="24" spans="1:11" x14ac:dyDescent="0.35">
      <c r="A24" s="28">
        <v>303452</v>
      </c>
      <c r="B24" s="35" t="s">
        <v>3288</v>
      </c>
      <c r="C24" s="28">
        <v>2020</v>
      </c>
      <c r="D24" s="35" t="s">
        <v>44</v>
      </c>
      <c r="E24" s="35" t="s">
        <v>45</v>
      </c>
      <c r="F24" s="35" t="s">
        <v>46</v>
      </c>
      <c r="G24" s="35" t="s">
        <v>3290</v>
      </c>
      <c r="H24" s="36" t="s">
        <v>3291</v>
      </c>
      <c r="I24" s="37">
        <v>13561</v>
      </c>
      <c r="J24" s="37">
        <v>0</v>
      </c>
      <c r="K24" s="37">
        <v>0</v>
      </c>
    </row>
    <row r="25" spans="1:11" x14ac:dyDescent="0.35">
      <c r="A25" s="28">
        <v>303452</v>
      </c>
      <c r="B25" s="35" t="s">
        <v>3288</v>
      </c>
      <c r="C25" s="28">
        <v>2020</v>
      </c>
      <c r="D25" s="35" t="s">
        <v>44</v>
      </c>
      <c r="E25" s="35" t="s">
        <v>45</v>
      </c>
      <c r="F25" s="35" t="s">
        <v>3265</v>
      </c>
      <c r="G25" s="35" t="s">
        <v>3290</v>
      </c>
      <c r="H25" s="36" t="s">
        <v>3291</v>
      </c>
      <c r="I25" s="37">
        <v>3592</v>
      </c>
      <c r="J25" s="37">
        <v>0</v>
      </c>
      <c r="K25" s="37">
        <v>0</v>
      </c>
    </row>
    <row r="26" spans="1:11" x14ac:dyDescent="0.35">
      <c r="A26" s="28">
        <v>303452</v>
      </c>
      <c r="B26" s="35" t="s">
        <v>3288</v>
      </c>
      <c r="C26" s="28">
        <v>2021</v>
      </c>
      <c r="D26" s="35" t="s">
        <v>44</v>
      </c>
      <c r="E26" s="35" t="s">
        <v>45</v>
      </c>
      <c r="F26" s="35" t="s">
        <v>46</v>
      </c>
      <c r="G26" s="35" t="s">
        <v>3290</v>
      </c>
      <c r="H26" s="36" t="s">
        <v>3291</v>
      </c>
      <c r="I26" s="37">
        <v>1706.5</v>
      </c>
      <c r="J26" s="37">
        <v>0</v>
      </c>
      <c r="K26" s="37">
        <v>0</v>
      </c>
    </row>
    <row r="27" spans="1:11" x14ac:dyDescent="0.35">
      <c r="A27" s="28">
        <v>23081</v>
      </c>
      <c r="B27" s="35" t="s">
        <v>3343</v>
      </c>
      <c r="C27" s="28">
        <v>2024</v>
      </c>
      <c r="D27" s="35" t="s">
        <v>44</v>
      </c>
      <c r="E27" s="29" t="s">
        <v>49</v>
      </c>
      <c r="F27" s="35" t="s">
        <v>3344</v>
      </c>
      <c r="G27" s="35" t="s">
        <v>3290</v>
      </c>
      <c r="H27" s="36" t="s">
        <v>3291</v>
      </c>
      <c r="I27" s="37">
        <v>29854.84</v>
      </c>
      <c r="J27" s="37">
        <v>0</v>
      </c>
      <c r="K27" s="37">
        <v>0</v>
      </c>
    </row>
    <row r="28" spans="1:11" x14ac:dyDescent="0.35">
      <c r="A28" s="28">
        <v>23081</v>
      </c>
      <c r="B28" s="35" t="s">
        <v>3343</v>
      </c>
      <c r="C28" s="28">
        <v>2024</v>
      </c>
      <c r="D28" s="35" t="s">
        <v>44</v>
      </c>
      <c r="E28" s="35" t="s">
        <v>49</v>
      </c>
      <c r="F28" s="35" t="s">
        <v>3345</v>
      </c>
      <c r="G28" s="35" t="s">
        <v>3290</v>
      </c>
      <c r="H28" s="36" t="s">
        <v>3291</v>
      </c>
      <c r="I28" s="37">
        <v>2688077.43</v>
      </c>
      <c r="J28" s="37">
        <v>0</v>
      </c>
      <c r="K28" s="37">
        <v>0</v>
      </c>
    </row>
    <row r="29" spans="1:11" x14ac:dyDescent="0.35">
      <c r="A29" s="28">
        <v>23081</v>
      </c>
      <c r="B29" s="35" t="s">
        <v>3343</v>
      </c>
      <c r="C29" s="28">
        <v>2024</v>
      </c>
      <c r="D29" s="35" t="s">
        <v>44</v>
      </c>
      <c r="E29" s="35" t="s">
        <v>49</v>
      </c>
      <c r="F29" s="35" t="s">
        <v>3346</v>
      </c>
      <c r="G29" s="35" t="s">
        <v>3290</v>
      </c>
      <c r="H29" s="36" t="s">
        <v>3291</v>
      </c>
      <c r="I29" s="37">
        <v>1127366.25</v>
      </c>
      <c r="J29" s="37">
        <v>0</v>
      </c>
      <c r="K29" s="37">
        <v>0</v>
      </c>
    </row>
    <row r="30" spans="1:11" x14ac:dyDescent="0.35">
      <c r="A30" s="28">
        <v>23081</v>
      </c>
      <c r="B30" s="35" t="s">
        <v>3343</v>
      </c>
      <c r="C30" s="28">
        <v>2024</v>
      </c>
      <c r="D30" s="35" t="s">
        <v>44</v>
      </c>
      <c r="E30" s="35" t="s">
        <v>49</v>
      </c>
      <c r="F30" s="35" t="s">
        <v>3283</v>
      </c>
      <c r="G30" s="35" t="s">
        <v>3290</v>
      </c>
      <c r="H30" s="36" t="s">
        <v>3291</v>
      </c>
      <c r="I30" s="37">
        <v>523894.93</v>
      </c>
      <c r="J30" s="37">
        <v>0</v>
      </c>
      <c r="K30" s="37">
        <v>83823.19</v>
      </c>
    </row>
    <row r="31" spans="1:11" x14ac:dyDescent="0.35">
      <c r="A31" s="28">
        <v>99812</v>
      </c>
      <c r="B31" s="35" t="s">
        <v>3347</v>
      </c>
      <c r="C31" s="30">
        <v>2020</v>
      </c>
      <c r="D31" s="31" t="s">
        <v>3348</v>
      </c>
      <c r="E31" s="35" t="s">
        <v>49</v>
      </c>
      <c r="F31" s="35" t="s">
        <v>43</v>
      </c>
      <c r="G31" s="31" t="s">
        <v>3349</v>
      </c>
      <c r="H31" s="31" t="s">
        <v>3350</v>
      </c>
      <c r="I31" s="27">
        <v>780</v>
      </c>
      <c r="J31" s="37">
        <v>0</v>
      </c>
      <c r="K31" s="37">
        <f>+I31*16%</f>
        <v>124.8</v>
      </c>
    </row>
    <row r="32" spans="1:11" x14ac:dyDescent="0.35">
      <c r="A32" s="28">
        <v>99812</v>
      </c>
      <c r="B32" s="35" t="s">
        <v>3347</v>
      </c>
      <c r="C32" s="28">
        <v>2021</v>
      </c>
      <c r="D32" s="31" t="s">
        <v>3348</v>
      </c>
      <c r="E32" s="35" t="s">
        <v>49</v>
      </c>
      <c r="F32" s="31" t="s">
        <v>3351</v>
      </c>
      <c r="G32" s="31" t="s">
        <v>3352</v>
      </c>
      <c r="H32" s="31" t="s">
        <v>3350</v>
      </c>
      <c r="I32" s="27">
        <v>84735.44</v>
      </c>
      <c r="J32" s="37">
        <v>0</v>
      </c>
      <c r="K32" s="37">
        <f t="shared" ref="K32:K37" si="0">+I32*16%</f>
        <v>13557.670400000001</v>
      </c>
    </row>
    <row r="33" spans="1:11" x14ac:dyDescent="0.35">
      <c r="A33" s="28">
        <v>99812</v>
      </c>
      <c r="B33" s="35" t="s">
        <v>3347</v>
      </c>
      <c r="C33" s="28">
        <v>2022</v>
      </c>
      <c r="D33" s="31" t="s">
        <v>3348</v>
      </c>
      <c r="E33" s="35" t="s">
        <v>49</v>
      </c>
      <c r="F33" s="31" t="s">
        <v>3351</v>
      </c>
      <c r="G33" s="31" t="s">
        <v>3352</v>
      </c>
      <c r="H33" s="31" t="s">
        <v>3350</v>
      </c>
      <c r="I33" s="27">
        <v>8759.48</v>
      </c>
      <c r="J33" s="37">
        <v>0</v>
      </c>
      <c r="K33" s="37">
        <f t="shared" si="0"/>
        <v>1401.5167999999999</v>
      </c>
    </row>
    <row r="34" spans="1:11" x14ac:dyDescent="0.35">
      <c r="A34" s="28">
        <v>99812</v>
      </c>
      <c r="B34" s="35" t="s">
        <v>3347</v>
      </c>
      <c r="C34" s="28">
        <v>2023</v>
      </c>
      <c r="D34" s="31" t="s">
        <v>3348</v>
      </c>
      <c r="E34" s="35" t="s">
        <v>49</v>
      </c>
      <c r="F34" s="31" t="s">
        <v>3351</v>
      </c>
      <c r="G34" s="31" t="s">
        <v>3352</v>
      </c>
      <c r="H34" s="31" t="s">
        <v>3350</v>
      </c>
      <c r="I34" s="27">
        <v>150499.89000000001</v>
      </c>
      <c r="J34" s="37">
        <v>0</v>
      </c>
      <c r="K34" s="37">
        <f t="shared" si="0"/>
        <v>24079.982400000004</v>
      </c>
    </row>
    <row r="35" spans="1:11" x14ac:dyDescent="0.35">
      <c r="A35" s="28">
        <v>99812</v>
      </c>
      <c r="B35" s="35" t="s">
        <v>3347</v>
      </c>
      <c r="C35" s="28">
        <v>2020</v>
      </c>
      <c r="D35" s="35" t="s">
        <v>44</v>
      </c>
      <c r="E35" s="35" t="s">
        <v>49</v>
      </c>
      <c r="F35" s="31" t="s">
        <v>3353</v>
      </c>
      <c r="G35" s="31" t="s">
        <v>3352</v>
      </c>
      <c r="H35" s="31" t="s">
        <v>3350</v>
      </c>
      <c r="I35" s="27">
        <v>13341.28</v>
      </c>
      <c r="J35" s="37">
        <v>0</v>
      </c>
      <c r="K35" s="37">
        <f t="shared" si="0"/>
        <v>2134.6048000000001</v>
      </c>
    </row>
    <row r="36" spans="1:11" x14ac:dyDescent="0.35">
      <c r="A36" s="28">
        <v>99812</v>
      </c>
      <c r="B36" s="35" t="s">
        <v>3347</v>
      </c>
      <c r="C36" s="28">
        <v>2021</v>
      </c>
      <c r="D36" s="35" t="s">
        <v>44</v>
      </c>
      <c r="E36" s="35" t="s">
        <v>49</v>
      </c>
      <c r="F36" s="31" t="s">
        <v>3353</v>
      </c>
      <c r="G36" s="31" t="s">
        <v>3352</v>
      </c>
      <c r="H36" s="31" t="s">
        <v>3350</v>
      </c>
      <c r="I36" s="27">
        <v>6592.19</v>
      </c>
      <c r="J36" s="37">
        <v>0</v>
      </c>
      <c r="K36" s="37">
        <f t="shared" si="0"/>
        <v>1054.7503999999999</v>
      </c>
    </row>
    <row r="37" spans="1:11" x14ac:dyDescent="0.35">
      <c r="A37" s="28">
        <v>99812</v>
      </c>
      <c r="B37" s="35" t="s">
        <v>3347</v>
      </c>
      <c r="C37" s="28">
        <v>2022</v>
      </c>
      <c r="D37" s="35" t="s">
        <v>44</v>
      </c>
      <c r="E37" s="35" t="s">
        <v>49</v>
      </c>
      <c r="F37" s="31" t="s">
        <v>3353</v>
      </c>
      <c r="G37" s="31" t="s">
        <v>3352</v>
      </c>
      <c r="H37" s="31" t="s">
        <v>3350</v>
      </c>
      <c r="I37" s="27">
        <v>428.09</v>
      </c>
      <c r="J37" s="37">
        <v>0</v>
      </c>
      <c r="K37" s="37">
        <f t="shared" si="0"/>
        <v>68.494399999999999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E442-EA35-41DA-A0C3-149D8FEF8FD6}">
  <dimension ref="A2:R1759"/>
  <sheetViews>
    <sheetView showGridLines="0" zoomScale="85" zoomScaleNormal="85" workbookViewId="0">
      <pane ySplit="3" topLeftCell="A4" activePane="bottomLeft" state="frozen"/>
      <selection pane="bottomLeft" activeCell="M12" sqref="M12"/>
    </sheetView>
  </sheetViews>
  <sheetFormatPr defaultColWidth="14.1796875" defaultRowHeight="16" customHeight="1" x14ac:dyDescent="0.4"/>
  <cols>
    <col min="1" max="1" width="12.90625" style="72" bestFit="1" customWidth="1"/>
    <col min="2" max="2" width="20.26953125" style="72" bestFit="1" customWidth="1"/>
    <col min="3" max="3" width="20.54296875" style="72" bestFit="1" customWidth="1"/>
    <col min="4" max="4" width="14.26953125" style="72" bestFit="1" customWidth="1"/>
    <col min="5" max="5" width="10.453125" style="72" bestFit="1" customWidth="1"/>
    <col min="6" max="6" width="16.1796875" style="73" bestFit="1" customWidth="1"/>
    <col min="7" max="7" width="17.81640625" style="74" bestFit="1" customWidth="1"/>
    <col min="8" max="8" width="10.08984375" style="72" bestFit="1" customWidth="1"/>
    <col min="9" max="11" width="16.453125" style="75" bestFit="1" customWidth="1"/>
    <col min="12" max="12" width="21.90625" style="75" bestFit="1" customWidth="1"/>
    <col min="13" max="13" width="19.1796875" style="75" bestFit="1" customWidth="1"/>
    <col min="14" max="14" width="23" style="75" bestFit="1" customWidth="1"/>
    <col min="15" max="15" width="17.36328125" style="75" bestFit="1" customWidth="1"/>
    <col min="16" max="17" width="8.54296875" style="75" bestFit="1" customWidth="1"/>
    <col min="18" max="18" width="26.81640625" style="72" bestFit="1" customWidth="1"/>
    <col min="19" max="16384" width="14.1796875" style="72"/>
  </cols>
  <sheetData>
    <row r="2" spans="1:18" ht="16" customHeight="1" x14ac:dyDescent="0.4">
      <c r="N2" s="76">
        <f>SUBTOTAL(9,N3:N9610)</f>
        <v>243462.39</v>
      </c>
      <c r="O2" s="76">
        <f>SUBTOTAL(9,O3:O9610)</f>
        <v>243462.39</v>
      </c>
      <c r="P2" s="76">
        <f>SUBTOTAL(9,P3:P9610)</f>
        <v>0</v>
      </c>
      <c r="Q2" s="76">
        <f>SUBTOTAL(9,Q3:Q9610)</f>
        <v>0</v>
      </c>
    </row>
    <row r="3" spans="1:18" ht="38.5" customHeight="1" x14ac:dyDescent="0.4">
      <c r="A3" s="77" t="s">
        <v>0</v>
      </c>
      <c r="B3" s="78" t="s">
        <v>16</v>
      </c>
      <c r="C3" s="78" t="s">
        <v>1</v>
      </c>
      <c r="D3" s="79" t="s">
        <v>2</v>
      </c>
      <c r="E3" s="79" t="s">
        <v>3</v>
      </c>
      <c r="F3" s="80" t="s">
        <v>4</v>
      </c>
      <c r="G3" s="81" t="s">
        <v>5</v>
      </c>
      <c r="H3" s="77" t="s">
        <v>6</v>
      </c>
      <c r="I3" s="82" t="s">
        <v>7</v>
      </c>
      <c r="J3" s="82" t="s">
        <v>8</v>
      </c>
      <c r="K3" s="82" t="s">
        <v>9</v>
      </c>
      <c r="L3" s="78" t="s">
        <v>10</v>
      </c>
      <c r="M3" s="78" t="s">
        <v>11</v>
      </c>
      <c r="N3" s="82" t="s">
        <v>12</v>
      </c>
      <c r="O3" s="82" t="s">
        <v>13</v>
      </c>
      <c r="P3" s="82" t="s">
        <v>14</v>
      </c>
      <c r="Q3" s="82" t="s">
        <v>34</v>
      </c>
      <c r="R3" s="77" t="s">
        <v>15</v>
      </c>
    </row>
    <row r="4" spans="1:18" s="73" customFormat="1" ht="16" customHeight="1" x14ac:dyDescent="0.4">
      <c r="A4" s="72">
        <v>394213</v>
      </c>
      <c r="B4" s="72" t="s">
        <v>3255</v>
      </c>
      <c r="C4" s="72" t="s">
        <v>3256</v>
      </c>
      <c r="D4" s="73">
        <v>5521</v>
      </c>
      <c r="E4" s="73" t="s">
        <v>44</v>
      </c>
      <c r="F4" s="73" t="s">
        <v>3253</v>
      </c>
      <c r="G4" s="83">
        <v>44331</v>
      </c>
      <c r="H4" s="83" t="s">
        <v>3254</v>
      </c>
      <c r="I4" s="84">
        <v>51846.400000000001</v>
      </c>
      <c r="J4" s="84">
        <v>103692.8</v>
      </c>
      <c r="K4" s="84">
        <v>51846.400000000001</v>
      </c>
      <c r="L4" s="84">
        <f>K4</f>
        <v>51846.400000000001</v>
      </c>
      <c r="M4" s="84">
        <v>0</v>
      </c>
      <c r="N4" s="84">
        <f>L4</f>
        <v>51846.400000000001</v>
      </c>
      <c r="O4" s="84">
        <f>N4</f>
        <v>51846.400000000001</v>
      </c>
      <c r="P4" s="84">
        <v>0</v>
      </c>
      <c r="Q4" s="84">
        <v>0</v>
      </c>
      <c r="R4" s="73" t="s">
        <v>3250</v>
      </c>
    </row>
    <row r="5" spans="1:18" ht="16" customHeight="1" x14ac:dyDescent="0.4">
      <c r="A5" s="72">
        <v>303452</v>
      </c>
      <c r="B5" s="72">
        <v>1900485298</v>
      </c>
      <c r="C5" s="72">
        <v>1.10045558002137E+16</v>
      </c>
      <c r="D5" s="73">
        <v>5558</v>
      </c>
      <c r="E5" s="73" t="s">
        <v>44</v>
      </c>
      <c r="F5" s="73">
        <v>213783</v>
      </c>
      <c r="G5" s="83">
        <v>44329</v>
      </c>
      <c r="H5" s="73" t="s">
        <v>3292</v>
      </c>
      <c r="I5" s="75">
        <v>67259.27</v>
      </c>
      <c r="J5" s="75">
        <v>67259.27</v>
      </c>
      <c r="K5" s="75">
        <v>134518.54</v>
      </c>
      <c r="L5" s="75">
        <v>67259.27</v>
      </c>
      <c r="M5" s="75">
        <v>0</v>
      </c>
      <c r="N5" s="75">
        <v>67259.27</v>
      </c>
      <c r="O5" s="75">
        <f>N5</f>
        <v>67259.27</v>
      </c>
      <c r="P5" s="84">
        <v>0</v>
      </c>
      <c r="Q5" s="84">
        <v>0</v>
      </c>
      <c r="R5" s="73" t="s">
        <v>3250</v>
      </c>
    </row>
    <row r="6" spans="1:18" ht="16" customHeight="1" x14ac:dyDescent="0.4">
      <c r="A6" s="72">
        <v>303452</v>
      </c>
      <c r="B6" s="72">
        <v>1900485299</v>
      </c>
      <c r="C6" s="72">
        <v>1.10045558002141E+16</v>
      </c>
      <c r="D6" s="73">
        <v>5558</v>
      </c>
      <c r="E6" s="73" t="s">
        <v>44</v>
      </c>
      <c r="F6" s="73">
        <v>214140</v>
      </c>
      <c r="G6" s="83">
        <v>44333</v>
      </c>
      <c r="H6" s="73" t="s">
        <v>3293</v>
      </c>
      <c r="I6" s="75">
        <v>124356.72</v>
      </c>
      <c r="J6" s="75">
        <v>124356.72</v>
      </c>
      <c r="K6" s="75">
        <v>248713.44</v>
      </c>
      <c r="L6" s="75">
        <v>124356.72</v>
      </c>
      <c r="M6" s="75">
        <v>0</v>
      </c>
      <c r="N6" s="75">
        <v>124356.72</v>
      </c>
      <c r="O6" s="75">
        <f>N6</f>
        <v>124356.72</v>
      </c>
      <c r="P6" s="84">
        <v>0</v>
      </c>
      <c r="Q6" s="84">
        <v>0</v>
      </c>
      <c r="R6" s="73" t="s">
        <v>3250</v>
      </c>
    </row>
    <row r="1738" spans="6:11" ht="16" customHeight="1" x14ac:dyDescent="0.4">
      <c r="F1738" s="85"/>
      <c r="H1738" s="86"/>
      <c r="I1738" s="86"/>
      <c r="J1738" s="86"/>
      <c r="K1738" s="86"/>
    </row>
    <row r="1739" spans="6:11" ht="16" customHeight="1" x14ac:dyDescent="0.4">
      <c r="F1739" s="85"/>
      <c r="H1739" s="86"/>
      <c r="I1739" s="86"/>
      <c r="J1739" s="86"/>
      <c r="K1739" s="86"/>
    </row>
    <row r="1740" spans="6:11" ht="16" customHeight="1" x14ac:dyDescent="0.4">
      <c r="F1740" s="85"/>
      <c r="H1740" s="86"/>
      <c r="I1740" s="86"/>
      <c r="J1740" s="86"/>
      <c r="K1740" s="86"/>
    </row>
    <row r="1741" spans="6:11" ht="16" customHeight="1" x14ac:dyDescent="0.4">
      <c r="F1741" s="85"/>
      <c r="H1741" s="86"/>
      <c r="I1741" s="86"/>
      <c r="J1741" s="86"/>
      <c r="K1741" s="86"/>
    </row>
    <row r="1742" spans="6:11" ht="16" customHeight="1" x14ac:dyDescent="0.4">
      <c r="F1742" s="85"/>
      <c r="H1742" s="86"/>
      <c r="I1742" s="86"/>
      <c r="J1742" s="86"/>
      <c r="K1742" s="86"/>
    </row>
    <row r="1743" spans="6:11" ht="16" customHeight="1" x14ac:dyDescent="0.4">
      <c r="F1743" s="85"/>
      <c r="H1743" s="86"/>
      <c r="I1743" s="86"/>
      <c r="J1743" s="86"/>
      <c r="K1743" s="86"/>
    </row>
    <row r="1744" spans="6:11" ht="16" customHeight="1" x14ac:dyDescent="0.4">
      <c r="F1744" s="85"/>
      <c r="H1744" s="86"/>
      <c r="I1744" s="86"/>
      <c r="J1744" s="86"/>
      <c r="K1744" s="86"/>
    </row>
    <row r="1745" spans="6:11" ht="16" customHeight="1" x14ac:dyDescent="0.4">
      <c r="F1745" s="85"/>
      <c r="H1745" s="86"/>
      <c r="I1745" s="86"/>
      <c r="J1745" s="86"/>
      <c r="K1745" s="86"/>
    </row>
    <row r="1746" spans="6:11" ht="16" customHeight="1" x14ac:dyDescent="0.4">
      <c r="F1746" s="85"/>
      <c r="H1746" s="86"/>
      <c r="I1746" s="86"/>
      <c r="J1746" s="86"/>
      <c r="K1746" s="86"/>
    </row>
    <row r="1747" spans="6:11" ht="16" customHeight="1" x14ac:dyDescent="0.4">
      <c r="F1747" s="85"/>
      <c r="H1747" s="86"/>
      <c r="I1747" s="86"/>
      <c r="J1747" s="86"/>
      <c r="K1747" s="86"/>
    </row>
    <row r="1748" spans="6:11" ht="16" customHeight="1" x14ac:dyDescent="0.4">
      <c r="F1748" s="85"/>
      <c r="H1748" s="86"/>
      <c r="I1748" s="86"/>
      <c r="J1748" s="86"/>
      <c r="K1748" s="86"/>
    </row>
    <row r="1749" spans="6:11" ht="16" customHeight="1" x14ac:dyDescent="0.4">
      <c r="F1749" s="85"/>
      <c r="H1749" s="86"/>
      <c r="I1749" s="86"/>
      <c r="J1749" s="86"/>
      <c r="K1749" s="86"/>
    </row>
    <row r="1750" spans="6:11" ht="16" customHeight="1" x14ac:dyDescent="0.4">
      <c r="F1750" s="85"/>
      <c r="H1750" s="86"/>
      <c r="I1750" s="86"/>
      <c r="J1750" s="86"/>
      <c r="K1750" s="86"/>
    </row>
    <row r="1751" spans="6:11" ht="16" customHeight="1" x14ac:dyDescent="0.4">
      <c r="F1751" s="85"/>
      <c r="H1751" s="86"/>
      <c r="I1751" s="86"/>
      <c r="J1751" s="86"/>
      <c r="K1751" s="86"/>
    </row>
    <row r="1752" spans="6:11" ht="16" customHeight="1" x14ac:dyDescent="0.4">
      <c r="F1752" s="85"/>
      <c r="H1752" s="86"/>
      <c r="I1752" s="86"/>
      <c r="J1752" s="86"/>
      <c r="K1752" s="86"/>
    </row>
    <row r="1753" spans="6:11" ht="16" customHeight="1" x14ac:dyDescent="0.4">
      <c r="F1753" s="85"/>
      <c r="H1753" s="86"/>
      <c r="I1753" s="86"/>
      <c r="J1753" s="86"/>
      <c r="K1753" s="86"/>
    </row>
    <row r="1754" spans="6:11" ht="16" customHeight="1" x14ac:dyDescent="0.4">
      <c r="F1754" s="85"/>
      <c r="H1754" s="86"/>
      <c r="I1754" s="86"/>
      <c r="J1754" s="86"/>
      <c r="K1754" s="86"/>
    </row>
    <row r="1755" spans="6:11" ht="16" customHeight="1" x14ac:dyDescent="0.4">
      <c r="F1755" s="85"/>
      <c r="H1755" s="86"/>
      <c r="I1755" s="86"/>
      <c r="J1755" s="86"/>
      <c r="K1755" s="86"/>
    </row>
    <row r="1756" spans="6:11" ht="16" customHeight="1" x14ac:dyDescent="0.4">
      <c r="F1756" s="85"/>
      <c r="H1756" s="86"/>
      <c r="I1756" s="86"/>
      <c r="J1756" s="86"/>
      <c r="K1756" s="86"/>
    </row>
    <row r="1757" spans="6:11" ht="16" customHeight="1" x14ac:dyDescent="0.4">
      <c r="F1757" s="85"/>
      <c r="H1757" s="86"/>
      <c r="I1757" s="86"/>
      <c r="J1757" s="86"/>
      <c r="K1757" s="86"/>
    </row>
    <row r="1758" spans="6:11" ht="16" customHeight="1" x14ac:dyDescent="0.4">
      <c r="F1758" s="85"/>
      <c r="H1758" s="86"/>
      <c r="I1758" s="86"/>
      <c r="J1758" s="86"/>
      <c r="K1758" s="86"/>
    </row>
    <row r="1759" spans="6:11" ht="16" customHeight="1" x14ac:dyDescent="0.4">
      <c r="F1759" s="85"/>
      <c r="H1759" s="86"/>
      <c r="I1759" s="86"/>
      <c r="J1759" s="86"/>
      <c r="K1759" s="86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CFB6-CF8C-4787-9B3C-284CF66650F6}">
  <dimension ref="A1:M24"/>
  <sheetViews>
    <sheetView showGridLines="0" zoomScale="85" zoomScaleNormal="85" workbookViewId="0">
      <pane ySplit="2" topLeftCell="A3" activePane="bottomLeft" state="frozen"/>
      <selection pane="bottomLeft" activeCell="G42" sqref="G42"/>
    </sheetView>
  </sheetViews>
  <sheetFormatPr defaultColWidth="9.1796875" defaultRowHeight="14.5" x14ac:dyDescent="0.35"/>
  <cols>
    <col min="1" max="1" width="13.453125" style="29" bestFit="1" customWidth="1"/>
    <col min="2" max="2" width="38.36328125" style="29" bestFit="1" customWidth="1"/>
    <col min="3" max="3" width="4.90625" style="29" bestFit="1" customWidth="1"/>
    <col min="4" max="4" width="8.26953125" style="29" bestFit="1" customWidth="1"/>
    <col min="5" max="5" width="10.90625" style="29" bestFit="1" customWidth="1"/>
    <col min="6" max="6" width="27.26953125" style="29" bestFit="1" customWidth="1"/>
    <col min="7" max="7" width="10.1796875" style="29" bestFit="1" customWidth="1"/>
    <col min="8" max="8" width="26.26953125" style="29" bestFit="1" customWidth="1"/>
    <col min="9" max="9" width="20.7265625" style="23" bestFit="1" customWidth="1"/>
    <col min="10" max="10" width="5.81640625" style="23" bestFit="1" customWidth="1"/>
    <col min="11" max="11" width="12.1796875" style="23" bestFit="1" customWidth="1"/>
    <col min="12" max="12" width="13.81640625" style="23" bestFit="1" customWidth="1"/>
    <col min="13" max="13" width="12.7265625" style="29" bestFit="1" customWidth="1"/>
    <col min="14" max="16384" width="9.1796875" style="29"/>
  </cols>
  <sheetData>
    <row r="1" spans="1:13" x14ac:dyDescent="0.35">
      <c r="H1" s="32"/>
      <c r="I1" s="11">
        <f>SUBTOTAL(9,I3:I1452)</f>
        <v>4983750.5234379321</v>
      </c>
      <c r="J1" s="11">
        <f>SUBTOTAL(9,J3:J1452)</f>
        <v>0</v>
      </c>
      <c r="K1" s="11">
        <f>SUBTOTAL(9,K3:K1452)</f>
        <v>127864.25935006898</v>
      </c>
      <c r="L1" s="11">
        <f>SUBTOTAL(9,L3:L1452)</f>
        <v>5111614.7827879991</v>
      </c>
    </row>
    <row r="2" spans="1:13" s="28" customFormat="1" ht="33.65" customHeight="1" x14ac:dyDescent="0.35">
      <c r="A2" s="7" t="s">
        <v>17</v>
      </c>
      <c r="B2" s="7" t="s">
        <v>0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33" t="s">
        <v>24</v>
      </c>
      <c r="J2" s="33" t="s">
        <v>34</v>
      </c>
      <c r="K2" s="33" t="s">
        <v>14</v>
      </c>
      <c r="L2" s="34" t="s">
        <v>25</v>
      </c>
    </row>
    <row r="3" spans="1:13" s="40" customFormat="1" x14ac:dyDescent="0.35">
      <c r="A3" s="39">
        <v>384255</v>
      </c>
      <c r="B3" s="40" t="s">
        <v>42</v>
      </c>
      <c r="C3" s="41">
        <v>2020</v>
      </c>
      <c r="D3" s="40" t="s">
        <v>44</v>
      </c>
      <c r="E3" s="40" t="s">
        <v>49</v>
      </c>
      <c r="F3" s="40" t="s">
        <v>43</v>
      </c>
      <c r="G3" s="42" t="s">
        <v>50</v>
      </c>
      <c r="H3" s="43" t="s">
        <v>51</v>
      </c>
      <c r="I3" s="44">
        <v>9388</v>
      </c>
      <c r="J3" s="45">
        <v>0</v>
      </c>
      <c r="K3" s="45">
        <v>0</v>
      </c>
      <c r="L3" s="45">
        <v>9388</v>
      </c>
      <c r="M3" s="46"/>
    </row>
    <row r="4" spans="1:13" s="40" customFormat="1" x14ac:dyDescent="0.35">
      <c r="A4" s="39">
        <v>394213</v>
      </c>
      <c r="B4" s="42" t="s">
        <v>3247</v>
      </c>
      <c r="C4" s="47">
        <v>2022</v>
      </c>
      <c r="D4" s="42" t="s">
        <v>44</v>
      </c>
      <c r="E4" s="42" t="s">
        <v>49</v>
      </c>
      <c r="F4" s="42" t="s">
        <v>3249</v>
      </c>
      <c r="G4" s="42" t="s">
        <v>3251</v>
      </c>
      <c r="H4" s="43" t="s">
        <v>3252</v>
      </c>
      <c r="I4" s="44">
        <v>75520.5</v>
      </c>
      <c r="J4" s="44">
        <v>0</v>
      </c>
      <c r="K4" s="44">
        <v>0</v>
      </c>
      <c r="L4" s="44">
        <v>75520.5</v>
      </c>
      <c r="M4" s="46"/>
    </row>
    <row r="5" spans="1:13" s="40" customFormat="1" x14ac:dyDescent="0.35">
      <c r="A5" s="39">
        <v>394213</v>
      </c>
      <c r="B5" s="42" t="s">
        <v>3247</v>
      </c>
      <c r="C5" s="47">
        <v>2023</v>
      </c>
      <c r="D5" s="42" t="s">
        <v>44</v>
      </c>
      <c r="E5" s="42" t="s">
        <v>49</v>
      </c>
      <c r="F5" s="42" t="s">
        <v>3249</v>
      </c>
      <c r="G5" s="42" t="s">
        <v>3251</v>
      </c>
      <c r="H5" s="43" t="s">
        <v>3252</v>
      </c>
      <c r="I5" s="44">
        <v>8065.55</v>
      </c>
      <c r="J5" s="44">
        <v>0</v>
      </c>
      <c r="K5" s="44">
        <v>0</v>
      </c>
      <c r="L5" s="44">
        <v>8065.55</v>
      </c>
      <c r="M5" s="46"/>
    </row>
    <row r="6" spans="1:13" s="40" customFormat="1" x14ac:dyDescent="0.35">
      <c r="A6" s="39">
        <v>394213</v>
      </c>
      <c r="B6" s="42" t="s">
        <v>3247</v>
      </c>
      <c r="C6" s="47">
        <v>2024</v>
      </c>
      <c r="D6" s="42" t="s">
        <v>44</v>
      </c>
      <c r="E6" s="42" t="s">
        <v>49</v>
      </c>
      <c r="F6" s="42" t="s">
        <v>3249</v>
      </c>
      <c r="G6" s="42" t="s">
        <v>3251</v>
      </c>
      <c r="H6" s="43" t="s">
        <v>3252</v>
      </c>
      <c r="I6" s="44">
        <v>3549.77</v>
      </c>
      <c r="J6" s="44">
        <v>0</v>
      </c>
      <c r="K6" s="44">
        <v>0</v>
      </c>
      <c r="L6" s="44">
        <v>3549.77</v>
      </c>
      <c r="M6" s="46"/>
    </row>
    <row r="7" spans="1:13" s="40" customFormat="1" x14ac:dyDescent="0.35">
      <c r="A7" s="39">
        <v>11784</v>
      </c>
      <c r="B7" s="42" t="s">
        <v>3260</v>
      </c>
      <c r="C7" s="47">
        <v>2024</v>
      </c>
      <c r="D7" s="42" t="s">
        <v>44</v>
      </c>
      <c r="E7" s="42" t="s">
        <v>49</v>
      </c>
      <c r="F7" s="42" t="s">
        <v>3263</v>
      </c>
      <c r="G7" s="42" t="s">
        <v>3261</v>
      </c>
      <c r="H7" s="43" t="s">
        <v>3262</v>
      </c>
      <c r="I7" s="44">
        <v>10120.313437931038</v>
      </c>
      <c r="J7" s="44">
        <v>0</v>
      </c>
      <c r="K7" s="44">
        <v>1619.2501500689661</v>
      </c>
      <c r="L7" s="44">
        <f>I7+J7+K7</f>
        <v>11739.563588000005</v>
      </c>
      <c r="M7" s="46"/>
    </row>
    <row r="8" spans="1:13" s="40" customFormat="1" x14ac:dyDescent="0.35">
      <c r="A8" s="39">
        <v>303664</v>
      </c>
      <c r="B8" s="42" t="s">
        <v>3282</v>
      </c>
      <c r="C8" s="39">
        <v>2021</v>
      </c>
      <c r="D8" s="42" t="s">
        <v>44</v>
      </c>
      <c r="E8" s="40" t="s">
        <v>49</v>
      </c>
      <c r="F8" s="42" t="s">
        <v>3283</v>
      </c>
      <c r="G8" s="42" t="s">
        <v>3251</v>
      </c>
      <c r="H8" s="43" t="s">
        <v>3252</v>
      </c>
      <c r="I8" s="48">
        <v>17045.18</v>
      </c>
      <c r="J8" s="45">
        <v>0</v>
      </c>
      <c r="K8" s="45">
        <v>0</v>
      </c>
      <c r="L8" s="44">
        <f t="shared" ref="L8:L13" si="0">I8+J8+K8</f>
        <v>17045.18</v>
      </c>
      <c r="M8" s="46"/>
    </row>
    <row r="9" spans="1:13" s="40" customFormat="1" x14ac:dyDescent="0.35">
      <c r="A9" s="39">
        <v>303664</v>
      </c>
      <c r="B9" s="42" t="s">
        <v>3282</v>
      </c>
      <c r="C9" s="39">
        <v>2023</v>
      </c>
      <c r="D9" s="42" t="s">
        <v>44</v>
      </c>
      <c r="E9" s="40" t="s">
        <v>49</v>
      </c>
      <c r="F9" s="42" t="s">
        <v>3283</v>
      </c>
      <c r="G9" s="42" t="s">
        <v>3251</v>
      </c>
      <c r="H9" s="43" t="s">
        <v>3252</v>
      </c>
      <c r="I9" s="48">
        <v>9731.39</v>
      </c>
      <c r="J9" s="45">
        <v>0</v>
      </c>
      <c r="K9" s="45">
        <v>0</v>
      </c>
      <c r="L9" s="44">
        <f t="shared" si="0"/>
        <v>9731.39</v>
      </c>
      <c r="M9" s="46"/>
    </row>
    <row r="10" spans="1:13" s="40" customFormat="1" x14ac:dyDescent="0.35">
      <c r="A10" s="39">
        <v>22734</v>
      </c>
      <c r="B10" s="42" t="s">
        <v>3284</v>
      </c>
      <c r="C10" s="47">
        <v>2021</v>
      </c>
      <c r="D10" s="42" t="s">
        <v>44</v>
      </c>
      <c r="E10" s="40" t="s">
        <v>49</v>
      </c>
      <c r="F10" s="42" t="s">
        <v>3285</v>
      </c>
      <c r="G10" s="42" t="s">
        <v>3286</v>
      </c>
      <c r="H10" s="43" t="s">
        <v>3287</v>
      </c>
      <c r="I10" s="48">
        <v>54000</v>
      </c>
      <c r="J10" s="44">
        <v>0</v>
      </c>
      <c r="K10" s="44">
        <v>0</v>
      </c>
      <c r="L10" s="44">
        <f t="shared" si="0"/>
        <v>54000</v>
      </c>
      <c r="M10" s="46"/>
    </row>
    <row r="11" spans="1:13" s="40" customFormat="1" x14ac:dyDescent="0.35">
      <c r="A11" s="39">
        <v>22734</v>
      </c>
      <c r="B11" s="42" t="s">
        <v>3284</v>
      </c>
      <c r="C11" s="47">
        <v>2022</v>
      </c>
      <c r="D11" s="42" t="s">
        <v>44</v>
      </c>
      <c r="E11" s="40" t="s">
        <v>49</v>
      </c>
      <c r="F11" s="42" t="s">
        <v>3285</v>
      </c>
      <c r="G11" s="42" t="s">
        <v>3286</v>
      </c>
      <c r="H11" s="43" t="s">
        <v>3287</v>
      </c>
      <c r="I11" s="48">
        <v>54000</v>
      </c>
      <c r="J11" s="44">
        <v>0</v>
      </c>
      <c r="K11" s="44">
        <v>0</v>
      </c>
      <c r="L11" s="44">
        <f t="shared" si="0"/>
        <v>54000</v>
      </c>
      <c r="M11" s="46"/>
    </row>
    <row r="12" spans="1:13" s="40" customFormat="1" x14ac:dyDescent="0.35">
      <c r="A12" s="39">
        <v>22734</v>
      </c>
      <c r="B12" s="42" t="s">
        <v>3284</v>
      </c>
      <c r="C12" s="47">
        <v>2023</v>
      </c>
      <c r="D12" s="42" t="s">
        <v>44</v>
      </c>
      <c r="E12" s="40" t="s">
        <v>49</v>
      </c>
      <c r="F12" s="42" t="s">
        <v>3285</v>
      </c>
      <c r="G12" s="42" t="s">
        <v>3286</v>
      </c>
      <c r="H12" s="43" t="s">
        <v>3287</v>
      </c>
      <c r="I12" s="48">
        <v>54000</v>
      </c>
      <c r="J12" s="44">
        <v>0</v>
      </c>
      <c r="K12" s="44">
        <v>0</v>
      </c>
      <c r="L12" s="44">
        <f t="shared" si="0"/>
        <v>54000</v>
      </c>
      <c r="M12" s="46"/>
    </row>
    <row r="13" spans="1:13" s="40" customFormat="1" x14ac:dyDescent="0.35">
      <c r="A13" s="39">
        <v>22734</v>
      </c>
      <c r="B13" s="42" t="s">
        <v>3284</v>
      </c>
      <c r="C13" s="47">
        <v>2024</v>
      </c>
      <c r="D13" s="42" t="s">
        <v>44</v>
      </c>
      <c r="E13" s="40" t="s">
        <v>49</v>
      </c>
      <c r="F13" s="42" t="s">
        <v>3285</v>
      </c>
      <c r="G13" s="42" t="s">
        <v>3286</v>
      </c>
      <c r="H13" s="43" t="s">
        <v>3287</v>
      </c>
      <c r="I13" s="48">
        <v>54000</v>
      </c>
      <c r="J13" s="44">
        <v>0</v>
      </c>
      <c r="K13" s="44">
        <v>0</v>
      </c>
      <c r="L13" s="44">
        <f t="shared" si="0"/>
        <v>54000</v>
      </c>
      <c r="M13" s="46"/>
    </row>
    <row r="14" spans="1:13" s="40" customFormat="1" x14ac:dyDescent="0.35">
      <c r="A14" s="39">
        <v>23081</v>
      </c>
      <c r="B14" s="40" t="s">
        <v>3343</v>
      </c>
      <c r="C14" s="41">
        <v>2024</v>
      </c>
      <c r="D14" s="42" t="s">
        <v>44</v>
      </c>
      <c r="E14" s="40" t="s">
        <v>49</v>
      </c>
      <c r="F14" s="40" t="s">
        <v>3344</v>
      </c>
      <c r="G14" s="40" t="s">
        <v>3290</v>
      </c>
      <c r="H14" s="40" t="s">
        <v>3291</v>
      </c>
      <c r="I14" s="45">
        <v>29854.84</v>
      </c>
      <c r="J14" s="45">
        <v>0</v>
      </c>
      <c r="K14" s="45">
        <v>0</v>
      </c>
      <c r="L14" s="45">
        <f>+K14+J14+I14</f>
        <v>29854.84</v>
      </c>
      <c r="M14" s="46"/>
    </row>
    <row r="15" spans="1:13" s="40" customFormat="1" x14ac:dyDescent="0.35">
      <c r="A15" s="39">
        <v>23081</v>
      </c>
      <c r="B15" s="40" t="s">
        <v>3343</v>
      </c>
      <c r="C15" s="41">
        <v>2024</v>
      </c>
      <c r="D15" s="42" t="s">
        <v>44</v>
      </c>
      <c r="E15" s="40" t="s">
        <v>49</v>
      </c>
      <c r="F15" s="40" t="s">
        <v>3345</v>
      </c>
      <c r="G15" s="40" t="s">
        <v>3290</v>
      </c>
      <c r="H15" s="40" t="s">
        <v>3291</v>
      </c>
      <c r="I15" s="45">
        <v>2688077.43</v>
      </c>
      <c r="J15" s="45">
        <v>0</v>
      </c>
      <c r="K15" s="45">
        <v>0</v>
      </c>
      <c r="L15" s="45">
        <f t="shared" ref="L15:L24" si="1">+K15+J15+I15</f>
        <v>2688077.43</v>
      </c>
      <c r="M15" s="46"/>
    </row>
    <row r="16" spans="1:13" s="40" customFormat="1" x14ac:dyDescent="0.35">
      <c r="A16" s="39">
        <v>23081</v>
      </c>
      <c r="B16" s="40" t="s">
        <v>3343</v>
      </c>
      <c r="C16" s="41">
        <v>2024</v>
      </c>
      <c r="D16" s="42" t="s">
        <v>44</v>
      </c>
      <c r="E16" s="40" t="s">
        <v>49</v>
      </c>
      <c r="F16" s="40" t="s">
        <v>3346</v>
      </c>
      <c r="G16" s="40" t="s">
        <v>3290</v>
      </c>
      <c r="H16" s="40" t="s">
        <v>3291</v>
      </c>
      <c r="I16" s="45">
        <v>1127366.25</v>
      </c>
      <c r="J16" s="45">
        <v>0</v>
      </c>
      <c r="K16" s="45">
        <v>0</v>
      </c>
      <c r="L16" s="45">
        <f t="shared" si="1"/>
        <v>1127366.25</v>
      </c>
      <c r="M16" s="46"/>
    </row>
    <row r="17" spans="1:13" s="40" customFormat="1" x14ac:dyDescent="0.35">
      <c r="A17" s="39">
        <v>23081</v>
      </c>
      <c r="B17" s="40" t="s">
        <v>3343</v>
      </c>
      <c r="C17" s="41">
        <v>2024</v>
      </c>
      <c r="D17" s="42" t="s">
        <v>44</v>
      </c>
      <c r="E17" s="40" t="s">
        <v>49</v>
      </c>
      <c r="F17" s="40" t="s">
        <v>3283</v>
      </c>
      <c r="G17" s="40" t="s">
        <v>3290</v>
      </c>
      <c r="H17" s="40" t="s">
        <v>3291</v>
      </c>
      <c r="I17" s="45">
        <v>523894.93</v>
      </c>
      <c r="J17" s="45">
        <v>0</v>
      </c>
      <c r="K17" s="45">
        <v>83823.19</v>
      </c>
      <c r="L17" s="45">
        <f t="shared" si="1"/>
        <v>607718.12</v>
      </c>
      <c r="M17" s="46"/>
    </row>
    <row r="18" spans="1:13" s="40" customFormat="1" x14ac:dyDescent="0.35">
      <c r="A18" s="39">
        <v>99812</v>
      </c>
      <c r="B18" s="42" t="s">
        <v>3347</v>
      </c>
      <c r="C18" s="49">
        <v>2020</v>
      </c>
      <c r="D18" s="50" t="s">
        <v>3348</v>
      </c>
      <c r="E18" s="42" t="s">
        <v>49</v>
      </c>
      <c r="F18" s="42" t="s">
        <v>43</v>
      </c>
      <c r="G18" s="50" t="s">
        <v>3349</v>
      </c>
      <c r="H18" s="50" t="s">
        <v>3350</v>
      </c>
      <c r="I18" s="51">
        <v>780</v>
      </c>
      <c r="J18" s="44">
        <v>0</v>
      </c>
      <c r="K18" s="44">
        <f>+I18*16%</f>
        <v>124.8</v>
      </c>
      <c r="L18" s="45">
        <f t="shared" si="1"/>
        <v>904.8</v>
      </c>
      <c r="M18" s="46"/>
    </row>
    <row r="19" spans="1:13" s="40" customFormat="1" x14ac:dyDescent="0.35">
      <c r="A19" s="39">
        <v>99812</v>
      </c>
      <c r="B19" s="42" t="s">
        <v>3347</v>
      </c>
      <c r="C19" s="39">
        <v>2021</v>
      </c>
      <c r="D19" s="50" t="s">
        <v>3348</v>
      </c>
      <c r="E19" s="42" t="s">
        <v>49</v>
      </c>
      <c r="F19" s="50" t="s">
        <v>3351</v>
      </c>
      <c r="G19" s="50" t="s">
        <v>3352</v>
      </c>
      <c r="H19" s="50" t="s">
        <v>3350</v>
      </c>
      <c r="I19" s="51">
        <v>84735.44</v>
      </c>
      <c r="J19" s="44">
        <v>0</v>
      </c>
      <c r="K19" s="44">
        <f t="shared" ref="K19:K24" si="2">+I19*16%</f>
        <v>13557.670400000001</v>
      </c>
      <c r="L19" s="45">
        <f t="shared" si="1"/>
        <v>98293.110400000005</v>
      </c>
      <c r="M19" s="46"/>
    </row>
    <row r="20" spans="1:13" s="40" customFormat="1" x14ac:dyDescent="0.35">
      <c r="A20" s="39">
        <v>99812</v>
      </c>
      <c r="B20" s="42" t="s">
        <v>3347</v>
      </c>
      <c r="C20" s="39">
        <v>2022</v>
      </c>
      <c r="D20" s="50" t="s">
        <v>3348</v>
      </c>
      <c r="E20" s="42" t="s">
        <v>49</v>
      </c>
      <c r="F20" s="50" t="s">
        <v>3351</v>
      </c>
      <c r="G20" s="50" t="s">
        <v>3352</v>
      </c>
      <c r="H20" s="50" t="s">
        <v>3350</v>
      </c>
      <c r="I20" s="51">
        <v>8759.48</v>
      </c>
      <c r="J20" s="44">
        <v>0</v>
      </c>
      <c r="K20" s="44">
        <f t="shared" si="2"/>
        <v>1401.5167999999999</v>
      </c>
      <c r="L20" s="45">
        <f t="shared" si="1"/>
        <v>10160.996799999999</v>
      </c>
      <c r="M20" s="46"/>
    </row>
    <row r="21" spans="1:13" s="40" customFormat="1" x14ac:dyDescent="0.35">
      <c r="A21" s="39">
        <v>99812</v>
      </c>
      <c r="B21" s="42" t="s">
        <v>3347</v>
      </c>
      <c r="C21" s="39">
        <v>2023</v>
      </c>
      <c r="D21" s="50" t="s">
        <v>3348</v>
      </c>
      <c r="E21" s="42" t="s">
        <v>49</v>
      </c>
      <c r="F21" s="50" t="s">
        <v>3351</v>
      </c>
      <c r="G21" s="50" t="s">
        <v>3352</v>
      </c>
      <c r="H21" s="50" t="s">
        <v>3350</v>
      </c>
      <c r="I21" s="51">
        <v>150499.89000000001</v>
      </c>
      <c r="J21" s="44">
        <v>0</v>
      </c>
      <c r="K21" s="44">
        <f t="shared" si="2"/>
        <v>24079.982400000004</v>
      </c>
      <c r="L21" s="45">
        <f t="shared" si="1"/>
        <v>174579.87240000002</v>
      </c>
      <c r="M21" s="46"/>
    </row>
    <row r="22" spans="1:13" s="40" customFormat="1" x14ac:dyDescent="0.35">
      <c r="A22" s="39">
        <v>99812</v>
      </c>
      <c r="B22" s="42" t="s">
        <v>3347</v>
      </c>
      <c r="C22" s="39">
        <v>2020</v>
      </c>
      <c r="D22" s="42" t="s">
        <v>44</v>
      </c>
      <c r="E22" s="42" t="s">
        <v>49</v>
      </c>
      <c r="F22" s="50" t="s">
        <v>3353</v>
      </c>
      <c r="G22" s="50" t="s">
        <v>3352</v>
      </c>
      <c r="H22" s="50" t="s">
        <v>3350</v>
      </c>
      <c r="I22" s="51">
        <v>13341.28</v>
      </c>
      <c r="J22" s="44">
        <v>0</v>
      </c>
      <c r="K22" s="44">
        <f t="shared" si="2"/>
        <v>2134.6048000000001</v>
      </c>
      <c r="L22" s="45">
        <f t="shared" si="1"/>
        <v>15475.8848</v>
      </c>
      <c r="M22" s="46"/>
    </row>
    <row r="23" spans="1:13" s="40" customFormat="1" x14ac:dyDescent="0.35">
      <c r="A23" s="39">
        <v>99812</v>
      </c>
      <c r="B23" s="42" t="s">
        <v>3347</v>
      </c>
      <c r="C23" s="39">
        <v>2021</v>
      </c>
      <c r="D23" s="42" t="s">
        <v>44</v>
      </c>
      <c r="E23" s="42" t="s">
        <v>49</v>
      </c>
      <c r="F23" s="50" t="s">
        <v>3353</v>
      </c>
      <c r="G23" s="50" t="s">
        <v>3352</v>
      </c>
      <c r="H23" s="50" t="s">
        <v>3350</v>
      </c>
      <c r="I23" s="51">
        <v>6592.19</v>
      </c>
      <c r="J23" s="44">
        <v>0</v>
      </c>
      <c r="K23" s="44">
        <f t="shared" si="2"/>
        <v>1054.7503999999999</v>
      </c>
      <c r="L23" s="45">
        <f t="shared" si="1"/>
        <v>7646.9403999999995</v>
      </c>
      <c r="M23" s="46"/>
    </row>
    <row r="24" spans="1:13" s="40" customFormat="1" x14ac:dyDescent="0.35">
      <c r="A24" s="39">
        <v>99812</v>
      </c>
      <c r="B24" s="42" t="s">
        <v>3347</v>
      </c>
      <c r="C24" s="39">
        <v>2022</v>
      </c>
      <c r="D24" s="42" t="s">
        <v>44</v>
      </c>
      <c r="E24" s="42" t="s">
        <v>49</v>
      </c>
      <c r="F24" s="50" t="s">
        <v>3353</v>
      </c>
      <c r="G24" s="50" t="s">
        <v>3352</v>
      </c>
      <c r="H24" s="50" t="s">
        <v>3350</v>
      </c>
      <c r="I24" s="51">
        <v>428.09</v>
      </c>
      <c r="J24" s="44">
        <v>0</v>
      </c>
      <c r="K24" s="44">
        <f t="shared" si="2"/>
        <v>68.494399999999999</v>
      </c>
      <c r="L24" s="45">
        <f t="shared" si="1"/>
        <v>496.58439999999996</v>
      </c>
      <c r="M24" s="46"/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5340-5A3B-4B50-BF89-372332D79E4A}">
  <dimension ref="A1:Q1182"/>
  <sheetViews>
    <sheetView showGridLines="0" zoomScale="98" zoomScaleNormal="98" workbookViewId="0">
      <pane ySplit="2" topLeftCell="A1124" activePane="bottomLeft" state="frozen"/>
      <selection pane="bottomLeft" activeCell="F1131" sqref="F1131"/>
    </sheetView>
  </sheetViews>
  <sheetFormatPr defaultColWidth="8.7265625" defaultRowHeight="13" x14ac:dyDescent="0.3"/>
  <cols>
    <col min="1" max="1" width="9.453125" style="10" bestFit="1" customWidth="1"/>
    <col min="2" max="2" width="21.1796875" style="13" bestFit="1" customWidth="1"/>
    <col min="3" max="3" width="12.453125" style="13" bestFit="1" customWidth="1"/>
    <col min="4" max="4" width="12.453125" style="2" bestFit="1" customWidth="1"/>
    <col min="5" max="5" width="17.7265625" style="14" bestFit="1" customWidth="1"/>
    <col min="6" max="6" width="12.26953125" style="10" bestFit="1" customWidth="1"/>
    <col min="7" max="7" width="15.453125" style="25" bestFit="1" customWidth="1"/>
    <col min="8" max="8" width="11.26953125" style="10" bestFit="1" customWidth="1"/>
    <col min="9" max="9" width="12.81640625" style="10" bestFit="1" customWidth="1"/>
    <col min="10" max="10" width="18.453125" style="15" bestFit="1" customWidth="1"/>
    <col min="11" max="11" width="14.81640625" style="15" bestFit="1" customWidth="1"/>
    <col min="12" max="12" width="16.81640625" style="15" customWidth="1"/>
    <col min="13" max="13" width="14.26953125" style="15" bestFit="1" customWidth="1"/>
    <col min="14" max="14" width="13.81640625" style="15" bestFit="1" customWidth="1"/>
    <col min="15" max="15" width="12.26953125" style="15" bestFit="1" customWidth="1"/>
    <col min="16" max="16" width="22.453125" style="2" bestFit="1" customWidth="1"/>
    <col min="17" max="17" width="17.81640625" style="2" bestFit="1" customWidth="1"/>
    <col min="18" max="16384" width="8.7265625" style="2"/>
  </cols>
  <sheetData>
    <row r="1" spans="1:17" x14ac:dyDescent="0.3">
      <c r="L1" s="6">
        <f>SUBTOTAL(9,L3:L1481)</f>
        <v>1503414.5787999993</v>
      </c>
      <c r="M1" s="6">
        <f>SUBTOTAL(9,M3:M1481)</f>
        <v>1300443.6507407404</v>
      </c>
      <c r="N1" s="6">
        <f>SUBTOTAL(9,N3:N1481)</f>
        <v>546.64805925925714</v>
      </c>
      <c r="O1" s="6">
        <f>SUBTOTAL(9,O3:O1481)</f>
        <v>202424.27999999994</v>
      </c>
      <c r="P1" s="16"/>
    </row>
    <row r="2" spans="1:17" ht="33.65" customHeight="1" x14ac:dyDescent="0.3">
      <c r="A2" s="17" t="s">
        <v>0</v>
      </c>
      <c r="B2" s="18" t="s">
        <v>1</v>
      </c>
      <c r="C2" s="18" t="s">
        <v>26</v>
      </c>
      <c r="D2" s="17" t="s">
        <v>19</v>
      </c>
      <c r="E2" s="19" t="s">
        <v>27</v>
      </c>
      <c r="F2" s="17" t="s">
        <v>28</v>
      </c>
      <c r="G2" s="19" t="s">
        <v>29</v>
      </c>
      <c r="H2" s="17" t="s">
        <v>30</v>
      </c>
      <c r="I2" s="17" t="s">
        <v>6</v>
      </c>
      <c r="J2" s="20" t="s">
        <v>31</v>
      </c>
      <c r="K2" s="20" t="s">
        <v>32</v>
      </c>
      <c r="L2" s="21" t="s">
        <v>33</v>
      </c>
      <c r="M2" s="20" t="s">
        <v>13</v>
      </c>
      <c r="N2" s="24" t="s">
        <v>34</v>
      </c>
      <c r="O2" s="20" t="s">
        <v>14</v>
      </c>
      <c r="P2" s="22" t="s">
        <v>15</v>
      </c>
    </row>
    <row r="3" spans="1:17" x14ac:dyDescent="0.3">
      <c r="A3" s="10">
        <v>21733</v>
      </c>
      <c r="B3" s="2" t="s">
        <v>3354</v>
      </c>
      <c r="C3" s="13">
        <v>5537</v>
      </c>
      <c r="D3" s="2" t="s">
        <v>44</v>
      </c>
      <c r="E3" s="14">
        <v>44613</v>
      </c>
      <c r="F3" s="10" t="s">
        <v>52</v>
      </c>
      <c r="G3" s="25">
        <v>44617</v>
      </c>
      <c r="H3" s="10" t="s">
        <v>53</v>
      </c>
      <c r="I3" s="10" t="s">
        <v>54</v>
      </c>
      <c r="J3" s="15">
        <v>439015.23</v>
      </c>
      <c r="K3" s="15">
        <v>438915.19488000002</v>
      </c>
      <c r="L3" s="15">
        <v>100.04</v>
      </c>
      <c r="M3" s="15">
        <v>86.25</v>
      </c>
      <c r="N3" s="15">
        <v>0</v>
      </c>
      <c r="O3" s="15">
        <v>13.8</v>
      </c>
      <c r="P3" s="2" t="s">
        <v>55</v>
      </c>
      <c r="Q3" s="16"/>
    </row>
    <row r="4" spans="1:17" x14ac:dyDescent="0.3">
      <c r="A4" s="10">
        <v>21733</v>
      </c>
      <c r="B4" s="2" t="s">
        <v>3355</v>
      </c>
      <c r="C4" s="13">
        <v>5556</v>
      </c>
      <c r="D4" s="2" t="s">
        <v>44</v>
      </c>
      <c r="E4" s="14">
        <v>44617</v>
      </c>
      <c r="F4" s="10" t="s">
        <v>56</v>
      </c>
      <c r="G4" s="25">
        <v>44625</v>
      </c>
      <c r="H4" s="10" t="s">
        <v>57</v>
      </c>
      <c r="I4" s="10" t="s">
        <v>58</v>
      </c>
      <c r="J4" s="15">
        <v>542927.22</v>
      </c>
      <c r="K4" s="15">
        <v>542827.04831999983</v>
      </c>
      <c r="L4" s="15">
        <v>100.17</v>
      </c>
      <c r="M4" s="15">
        <v>86.35</v>
      </c>
      <c r="N4" s="15">
        <v>0</v>
      </c>
      <c r="O4" s="15">
        <v>13.82</v>
      </c>
      <c r="P4" s="2" t="s">
        <v>55</v>
      </c>
      <c r="Q4" s="16"/>
    </row>
    <row r="5" spans="1:17" x14ac:dyDescent="0.3">
      <c r="A5" s="10">
        <v>21733</v>
      </c>
      <c r="B5" s="2" t="s">
        <v>3356</v>
      </c>
      <c r="C5" s="13">
        <v>5548</v>
      </c>
      <c r="D5" s="2" t="s">
        <v>44</v>
      </c>
      <c r="E5" s="14">
        <v>44473</v>
      </c>
      <c r="F5" s="10" t="s">
        <v>59</v>
      </c>
      <c r="G5" s="25">
        <v>44478</v>
      </c>
      <c r="H5" s="10" t="s">
        <v>60</v>
      </c>
      <c r="I5" s="10" t="s">
        <v>61</v>
      </c>
      <c r="J5" s="15">
        <v>23703.200000000001</v>
      </c>
      <c r="K5" s="15">
        <v>23602.37616</v>
      </c>
      <c r="L5" s="15">
        <v>100.82</v>
      </c>
      <c r="M5" s="15">
        <v>86.92</v>
      </c>
      <c r="N5" s="15">
        <v>0</v>
      </c>
      <c r="O5" s="15">
        <v>13.91</v>
      </c>
      <c r="P5" s="2" t="s">
        <v>55</v>
      </c>
      <c r="Q5" s="16"/>
    </row>
    <row r="6" spans="1:17" x14ac:dyDescent="0.3">
      <c r="A6" s="10">
        <v>21733</v>
      </c>
      <c r="B6" s="2" t="s">
        <v>3357</v>
      </c>
      <c r="C6" s="13">
        <v>5557</v>
      </c>
      <c r="D6" s="2" t="s">
        <v>44</v>
      </c>
      <c r="E6" s="14">
        <v>44326</v>
      </c>
      <c r="F6" s="10" t="s">
        <v>62</v>
      </c>
      <c r="G6" s="25">
        <v>44330</v>
      </c>
      <c r="H6" s="10" t="s">
        <v>63</v>
      </c>
      <c r="I6" s="10" t="s">
        <v>64</v>
      </c>
      <c r="J6" s="15">
        <v>1859.21</v>
      </c>
      <c r="K6" s="15">
        <v>1757.8176000000001</v>
      </c>
      <c r="L6" s="15">
        <v>101.39</v>
      </c>
      <c r="M6" s="15">
        <v>87.41</v>
      </c>
      <c r="N6" s="15">
        <v>0</v>
      </c>
      <c r="O6" s="15">
        <v>13.99</v>
      </c>
      <c r="P6" s="2" t="s">
        <v>55</v>
      </c>
      <c r="Q6" s="16"/>
    </row>
    <row r="7" spans="1:17" x14ac:dyDescent="0.3">
      <c r="A7" s="10">
        <v>21733</v>
      </c>
      <c r="B7" s="2" t="s">
        <v>3358</v>
      </c>
      <c r="C7" s="13">
        <v>5681</v>
      </c>
      <c r="D7" s="2" t="s">
        <v>44</v>
      </c>
      <c r="E7" s="14">
        <v>44396</v>
      </c>
      <c r="F7" s="10" t="s">
        <v>65</v>
      </c>
      <c r="G7" s="25">
        <v>44401</v>
      </c>
      <c r="H7" s="10" t="s">
        <v>66</v>
      </c>
      <c r="I7" s="10" t="s">
        <v>67</v>
      </c>
      <c r="J7" s="15">
        <v>398153.94</v>
      </c>
      <c r="K7" s="15">
        <v>398052.53028000018</v>
      </c>
      <c r="L7" s="15">
        <v>101.41</v>
      </c>
      <c r="M7" s="15">
        <v>87.42</v>
      </c>
      <c r="N7" s="15">
        <v>0</v>
      </c>
      <c r="O7" s="15">
        <v>13.99</v>
      </c>
      <c r="P7" s="2" t="s">
        <v>55</v>
      </c>
      <c r="Q7" s="16"/>
    </row>
    <row r="8" spans="1:17" x14ac:dyDescent="0.3">
      <c r="A8" s="10">
        <v>21733</v>
      </c>
      <c r="B8" s="2" t="s">
        <v>3359</v>
      </c>
      <c r="C8" s="13">
        <v>5537</v>
      </c>
      <c r="D8" s="2" t="s">
        <v>44</v>
      </c>
      <c r="E8" s="14">
        <v>44578</v>
      </c>
      <c r="F8" s="10" t="s">
        <v>68</v>
      </c>
      <c r="G8" s="25">
        <v>44595</v>
      </c>
      <c r="H8" s="10" t="s">
        <v>69</v>
      </c>
      <c r="I8" s="10" t="s">
        <v>70</v>
      </c>
      <c r="J8" s="15">
        <v>417421.94</v>
      </c>
      <c r="K8" s="15">
        <v>417320.47015999991</v>
      </c>
      <c r="L8" s="15">
        <v>101.47</v>
      </c>
      <c r="M8" s="15">
        <v>87.47</v>
      </c>
      <c r="N8" s="15">
        <v>0</v>
      </c>
      <c r="O8" s="15">
        <v>14</v>
      </c>
      <c r="P8" s="2" t="s">
        <v>55</v>
      </c>
      <c r="Q8" s="16"/>
    </row>
    <row r="9" spans="1:17" x14ac:dyDescent="0.3">
      <c r="A9" s="10">
        <v>21733</v>
      </c>
      <c r="B9" s="2" t="s">
        <v>3360</v>
      </c>
      <c r="C9" s="13">
        <v>5681</v>
      </c>
      <c r="D9" s="2" t="s">
        <v>44</v>
      </c>
      <c r="E9" s="14">
        <v>45091</v>
      </c>
      <c r="F9" s="10" t="s">
        <v>71</v>
      </c>
      <c r="G9" s="25">
        <v>45102</v>
      </c>
      <c r="H9" s="10" t="s">
        <v>72</v>
      </c>
      <c r="I9" s="10" t="s">
        <v>73</v>
      </c>
      <c r="J9" s="15">
        <v>643749.02</v>
      </c>
      <c r="K9" s="15">
        <v>643647.43680000002</v>
      </c>
      <c r="L9" s="15">
        <v>101.58</v>
      </c>
      <c r="M9" s="15">
        <v>87.57</v>
      </c>
      <c r="N9" s="15">
        <v>0</v>
      </c>
      <c r="O9" s="15">
        <v>14.01</v>
      </c>
      <c r="P9" s="2" t="s">
        <v>55</v>
      </c>
      <c r="Q9" s="16"/>
    </row>
    <row r="10" spans="1:17" x14ac:dyDescent="0.3">
      <c r="A10" s="10">
        <v>21733</v>
      </c>
      <c r="B10" s="2" t="s">
        <v>3361</v>
      </c>
      <c r="C10" s="13">
        <v>5548</v>
      </c>
      <c r="D10" s="2" t="s">
        <v>44</v>
      </c>
      <c r="E10" s="14">
        <v>44669</v>
      </c>
      <c r="F10" s="10" t="s">
        <v>74</v>
      </c>
      <c r="G10" s="25">
        <v>44674</v>
      </c>
      <c r="H10" s="10" t="s">
        <v>75</v>
      </c>
      <c r="I10" s="10" t="s">
        <v>76</v>
      </c>
      <c r="J10" s="15">
        <v>203727.92</v>
      </c>
      <c r="K10" s="15">
        <v>203626.09607999999</v>
      </c>
      <c r="L10" s="15">
        <v>101.82</v>
      </c>
      <c r="M10" s="15">
        <v>87.78</v>
      </c>
      <c r="N10" s="15">
        <v>0</v>
      </c>
      <c r="O10" s="15">
        <v>14.04</v>
      </c>
      <c r="P10" s="2" t="s">
        <v>55</v>
      </c>
      <c r="Q10" s="16"/>
    </row>
    <row r="11" spans="1:17" x14ac:dyDescent="0.3">
      <c r="A11" s="10">
        <v>21733</v>
      </c>
      <c r="B11" s="2" t="s">
        <v>3362</v>
      </c>
      <c r="C11" s="13">
        <v>5681</v>
      </c>
      <c r="D11" s="2" t="s">
        <v>44</v>
      </c>
      <c r="E11" s="14">
        <v>44676</v>
      </c>
      <c r="F11" s="10" t="s">
        <v>77</v>
      </c>
      <c r="G11" s="25">
        <v>44681</v>
      </c>
      <c r="H11" s="10" t="s">
        <v>78</v>
      </c>
      <c r="I11" s="10" t="s">
        <v>79</v>
      </c>
      <c r="J11" s="15">
        <v>162846.71</v>
      </c>
      <c r="K11" s="15">
        <v>162744.56988</v>
      </c>
      <c r="L11" s="15">
        <v>102.14</v>
      </c>
      <c r="M11" s="15">
        <v>88.05</v>
      </c>
      <c r="N11" s="15">
        <v>0</v>
      </c>
      <c r="O11" s="15">
        <v>14.09</v>
      </c>
      <c r="P11" s="2" t="s">
        <v>55</v>
      </c>
      <c r="Q11" s="16"/>
    </row>
    <row r="12" spans="1:17" x14ac:dyDescent="0.3">
      <c r="A12" s="10">
        <v>21733</v>
      </c>
      <c r="B12" s="2" t="s">
        <v>3363</v>
      </c>
      <c r="C12" s="13">
        <v>5681</v>
      </c>
      <c r="D12" s="2" t="s">
        <v>44</v>
      </c>
      <c r="E12" s="14">
        <v>44494</v>
      </c>
      <c r="F12" s="10" t="s">
        <v>80</v>
      </c>
      <c r="G12" s="25">
        <v>44499</v>
      </c>
      <c r="H12" s="10" t="s">
        <v>81</v>
      </c>
      <c r="I12" s="10" t="s">
        <v>82</v>
      </c>
      <c r="J12" s="15">
        <v>19369.52</v>
      </c>
      <c r="K12" s="15">
        <v>19267.205599999998</v>
      </c>
      <c r="L12" s="15">
        <v>102.31</v>
      </c>
      <c r="M12" s="15">
        <v>88.2</v>
      </c>
      <c r="N12" s="15">
        <v>0</v>
      </c>
      <c r="O12" s="15">
        <v>14.11</v>
      </c>
      <c r="P12" s="2" t="s">
        <v>55</v>
      </c>
      <c r="Q12" s="16"/>
    </row>
    <row r="13" spans="1:17" x14ac:dyDescent="0.3">
      <c r="A13" s="10">
        <v>21733</v>
      </c>
      <c r="B13" s="2" t="s">
        <v>3364</v>
      </c>
      <c r="C13" s="13">
        <v>5681</v>
      </c>
      <c r="D13" s="2" t="s">
        <v>44</v>
      </c>
      <c r="E13" s="14">
        <v>44361</v>
      </c>
      <c r="F13" s="10" t="s">
        <v>83</v>
      </c>
      <c r="G13" s="25">
        <v>44366</v>
      </c>
      <c r="H13" s="10" t="s">
        <v>84</v>
      </c>
      <c r="I13" s="10" t="s">
        <v>85</v>
      </c>
      <c r="J13" s="15">
        <v>34154.82</v>
      </c>
      <c r="K13" s="15">
        <v>34052.502959999998</v>
      </c>
      <c r="L13" s="15">
        <v>102.32</v>
      </c>
      <c r="M13" s="15">
        <v>88.2</v>
      </c>
      <c r="N13" s="15">
        <v>0</v>
      </c>
      <c r="O13" s="15">
        <v>14.11</v>
      </c>
      <c r="P13" s="2" t="s">
        <v>55</v>
      </c>
      <c r="Q13" s="16"/>
    </row>
    <row r="14" spans="1:17" x14ac:dyDescent="0.3">
      <c r="A14" s="10">
        <v>21733</v>
      </c>
      <c r="B14" s="2" t="s">
        <v>3365</v>
      </c>
      <c r="C14" s="13">
        <v>5556</v>
      </c>
      <c r="D14" s="2" t="s">
        <v>44</v>
      </c>
      <c r="E14" s="14">
        <v>44895</v>
      </c>
      <c r="F14" s="10" t="s">
        <v>86</v>
      </c>
      <c r="G14" s="25">
        <v>44902</v>
      </c>
      <c r="H14" s="10" t="s">
        <v>87</v>
      </c>
      <c r="I14" s="10" t="s">
        <v>88</v>
      </c>
      <c r="J14" s="15">
        <v>725361.65</v>
      </c>
      <c r="K14" s="15">
        <v>725259.22752000007</v>
      </c>
      <c r="L14" s="15">
        <v>102.42</v>
      </c>
      <c r="M14" s="15">
        <v>88.3</v>
      </c>
      <c r="N14" s="15">
        <v>0</v>
      </c>
      <c r="O14" s="15">
        <v>14.13</v>
      </c>
      <c r="P14" s="2" t="s">
        <v>55</v>
      </c>
      <c r="Q14" s="16"/>
    </row>
    <row r="15" spans="1:17" x14ac:dyDescent="0.3">
      <c r="A15" s="10">
        <v>21733</v>
      </c>
      <c r="B15" s="2" t="s">
        <v>3366</v>
      </c>
      <c r="C15" s="13">
        <v>5549</v>
      </c>
      <c r="D15" s="2" t="s">
        <v>44</v>
      </c>
      <c r="E15" s="14">
        <v>44963</v>
      </c>
      <c r="F15" s="10" t="s">
        <v>89</v>
      </c>
      <c r="G15" s="25">
        <v>44970</v>
      </c>
      <c r="H15" s="10" t="s">
        <v>90</v>
      </c>
      <c r="I15" s="10" t="s">
        <v>91</v>
      </c>
      <c r="J15" s="15">
        <v>1242686.8600000001</v>
      </c>
      <c r="K15" s="15">
        <v>1242584.3498</v>
      </c>
      <c r="L15" s="15">
        <v>102.51</v>
      </c>
      <c r="M15" s="15">
        <v>88.37</v>
      </c>
      <c r="N15" s="15">
        <v>0</v>
      </c>
      <c r="O15" s="15">
        <v>14.14</v>
      </c>
      <c r="P15" s="2" t="s">
        <v>55</v>
      </c>
      <c r="Q15" s="16"/>
    </row>
    <row r="16" spans="1:17" x14ac:dyDescent="0.3">
      <c r="A16" s="10">
        <v>21733</v>
      </c>
      <c r="B16" s="2" t="s">
        <v>3367</v>
      </c>
      <c r="C16" s="13">
        <v>5557</v>
      </c>
      <c r="D16" s="2" t="s">
        <v>44</v>
      </c>
      <c r="E16" s="14">
        <v>44683</v>
      </c>
      <c r="F16" s="10" t="s">
        <v>92</v>
      </c>
      <c r="G16" s="25">
        <v>44687</v>
      </c>
      <c r="H16" s="10" t="s">
        <v>93</v>
      </c>
      <c r="I16" s="10" t="s">
        <v>94</v>
      </c>
      <c r="J16" s="15">
        <v>210316.01</v>
      </c>
      <c r="K16" s="15">
        <v>210212.69092000008</v>
      </c>
      <c r="L16" s="15">
        <v>103.32</v>
      </c>
      <c r="M16" s="15">
        <v>89.07</v>
      </c>
      <c r="N16" s="15">
        <v>0</v>
      </c>
      <c r="O16" s="15">
        <v>14.25</v>
      </c>
      <c r="P16" s="2" t="s">
        <v>55</v>
      </c>
      <c r="Q16" s="16"/>
    </row>
    <row r="17" spans="1:17" x14ac:dyDescent="0.3">
      <c r="A17" s="10">
        <v>21733</v>
      </c>
      <c r="B17" s="2" t="s">
        <v>3368</v>
      </c>
      <c r="C17" s="13">
        <v>5548</v>
      </c>
      <c r="D17" s="2" t="s">
        <v>44</v>
      </c>
      <c r="E17" s="14">
        <v>44312</v>
      </c>
      <c r="F17" s="10" t="s">
        <v>95</v>
      </c>
      <c r="G17" s="25">
        <v>44317</v>
      </c>
      <c r="H17" s="10" t="s">
        <v>96</v>
      </c>
      <c r="I17" s="10" t="s">
        <v>97</v>
      </c>
      <c r="J17" s="15">
        <v>47557.07</v>
      </c>
      <c r="K17" s="15">
        <v>47453.746320000006</v>
      </c>
      <c r="L17" s="15">
        <v>103.32</v>
      </c>
      <c r="M17" s="15">
        <v>89.07</v>
      </c>
      <c r="N17" s="15">
        <v>0</v>
      </c>
      <c r="O17" s="15">
        <v>14.25</v>
      </c>
      <c r="P17" s="2" t="s">
        <v>55</v>
      </c>
      <c r="Q17" s="16"/>
    </row>
    <row r="18" spans="1:17" x14ac:dyDescent="0.3">
      <c r="A18" s="10">
        <v>21733</v>
      </c>
      <c r="B18" s="2" t="s">
        <v>3369</v>
      </c>
      <c r="C18" s="13">
        <v>5681</v>
      </c>
      <c r="D18" s="2" t="s">
        <v>44</v>
      </c>
      <c r="E18" s="14">
        <v>44578</v>
      </c>
      <c r="F18" s="10" t="s">
        <v>98</v>
      </c>
      <c r="G18" s="25">
        <v>44592</v>
      </c>
      <c r="H18" s="10" t="s">
        <v>99</v>
      </c>
      <c r="I18" s="10" t="s">
        <v>100</v>
      </c>
      <c r="J18" s="15">
        <v>396122.46</v>
      </c>
      <c r="K18" s="15">
        <v>396018.75216000009</v>
      </c>
      <c r="L18" s="15">
        <v>103.71</v>
      </c>
      <c r="M18" s="15">
        <v>89.4</v>
      </c>
      <c r="N18" s="15">
        <v>0</v>
      </c>
      <c r="O18" s="15">
        <v>14.3</v>
      </c>
      <c r="P18" s="2" t="s">
        <v>55</v>
      </c>
      <c r="Q18" s="16"/>
    </row>
    <row r="19" spans="1:17" x14ac:dyDescent="0.3">
      <c r="A19" s="10">
        <v>21733</v>
      </c>
      <c r="B19" s="2" t="s">
        <v>3370</v>
      </c>
      <c r="C19" s="13">
        <v>5556</v>
      </c>
      <c r="D19" s="2" t="s">
        <v>44</v>
      </c>
      <c r="E19" s="14">
        <v>44818</v>
      </c>
      <c r="F19" s="10" t="s">
        <v>101</v>
      </c>
      <c r="G19" s="25">
        <v>44826</v>
      </c>
      <c r="H19" s="10" t="s">
        <v>102</v>
      </c>
      <c r="I19" s="10" t="s">
        <v>103</v>
      </c>
      <c r="J19" s="15">
        <v>647687.97</v>
      </c>
      <c r="K19" s="15">
        <v>647584.18448000005</v>
      </c>
      <c r="L19" s="15">
        <v>103.78</v>
      </c>
      <c r="M19" s="15">
        <v>89.47</v>
      </c>
      <c r="N19" s="15">
        <v>0</v>
      </c>
      <c r="O19" s="15">
        <v>14.32</v>
      </c>
      <c r="P19" s="2" t="s">
        <v>55</v>
      </c>
      <c r="Q19" s="16"/>
    </row>
    <row r="20" spans="1:17" x14ac:dyDescent="0.3">
      <c r="A20" s="10">
        <v>21733</v>
      </c>
      <c r="B20" s="2" t="s">
        <v>3371</v>
      </c>
      <c r="C20" s="13">
        <v>5537</v>
      </c>
      <c r="D20" s="2" t="s">
        <v>44</v>
      </c>
      <c r="E20" s="14">
        <v>44599</v>
      </c>
      <c r="F20" s="10" t="s">
        <v>104</v>
      </c>
      <c r="G20" s="25">
        <v>44604</v>
      </c>
      <c r="H20" s="10" t="s">
        <v>105</v>
      </c>
      <c r="I20" s="10" t="s">
        <v>106</v>
      </c>
      <c r="J20" s="15">
        <v>44765.4</v>
      </c>
      <c r="K20" s="15">
        <v>44661.53351999999</v>
      </c>
      <c r="L20" s="15">
        <v>103.87</v>
      </c>
      <c r="M20" s="15">
        <v>89.54</v>
      </c>
      <c r="N20" s="15">
        <v>0</v>
      </c>
      <c r="O20" s="15">
        <v>14.33</v>
      </c>
      <c r="P20" s="2" t="s">
        <v>55</v>
      </c>
      <c r="Q20" s="16"/>
    </row>
    <row r="21" spans="1:17" x14ac:dyDescent="0.3">
      <c r="A21" s="10">
        <v>21733</v>
      </c>
      <c r="B21" s="2" t="s">
        <v>3372</v>
      </c>
      <c r="C21" s="13">
        <v>5548</v>
      </c>
      <c r="D21" s="2" t="s">
        <v>44</v>
      </c>
      <c r="E21" s="14">
        <v>44333</v>
      </c>
      <c r="F21" s="10" t="s">
        <v>107</v>
      </c>
      <c r="G21" s="25">
        <v>44338</v>
      </c>
      <c r="H21" s="10" t="s">
        <v>108</v>
      </c>
      <c r="I21" s="10" t="s">
        <v>109</v>
      </c>
      <c r="J21" s="15">
        <v>16212.28</v>
      </c>
      <c r="K21" s="15">
        <v>16108.409599999999</v>
      </c>
      <c r="L21" s="15">
        <v>103.86</v>
      </c>
      <c r="M21" s="15">
        <v>89.54</v>
      </c>
      <c r="N21" s="15">
        <v>0</v>
      </c>
      <c r="O21" s="15">
        <v>14.33</v>
      </c>
      <c r="P21" s="2" t="s">
        <v>55</v>
      </c>
      <c r="Q21" s="16"/>
    </row>
    <row r="22" spans="1:17" x14ac:dyDescent="0.3">
      <c r="A22" s="10">
        <v>21733</v>
      </c>
      <c r="B22" s="2" t="s">
        <v>3373</v>
      </c>
      <c r="C22" s="13">
        <v>5548</v>
      </c>
      <c r="D22" s="2" t="s">
        <v>44</v>
      </c>
      <c r="E22" s="14">
        <v>44861</v>
      </c>
      <c r="F22" s="10" t="s">
        <v>110</v>
      </c>
      <c r="G22" s="25">
        <v>44877</v>
      </c>
      <c r="H22" s="10" t="s">
        <v>111</v>
      </c>
      <c r="I22" s="10" t="s">
        <v>112</v>
      </c>
      <c r="J22" s="15">
        <v>1417293.47</v>
      </c>
      <c r="K22" s="15">
        <v>1417189.284</v>
      </c>
      <c r="L22" s="15">
        <v>104.19</v>
      </c>
      <c r="M22" s="15">
        <v>89.83</v>
      </c>
      <c r="N22" s="15">
        <v>0</v>
      </c>
      <c r="O22" s="15">
        <v>14.37</v>
      </c>
      <c r="P22" s="2" t="s">
        <v>55</v>
      </c>
      <c r="Q22" s="16"/>
    </row>
    <row r="23" spans="1:17" x14ac:dyDescent="0.3">
      <c r="A23" s="10">
        <v>21733</v>
      </c>
      <c r="B23" s="2" t="s">
        <v>3374</v>
      </c>
      <c r="C23" s="13">
        <v>5549</v>
      </c>
      <c r="D23" s="2" t="s">
        <v>44</v>
      </c>
      <c r="E23" s="14">
        <v>44312</v>
      </c>
      <c r="F23" s="10" t="s">
        <v>113</v>
      </c>
      <c r="G23" s="25">
        <v>44316</v>
      </c>
      <c r="H23" s="10" t="s">
        <v>114</v>
      </c>
      <c r="I23" s="10" t="s">
        <v>115</v>
      </c>
      <c r="J23" s="15">
        <v>9689.93</v>
      </c>
      <c r="K23" s="15">
        <v>9585.126400000001</v>
      </c>
      <c r="L23" s="15">
        <v>104.8</v>
      </c>
      <c r="M23" s="15">
        <v>90.35</v>
      </c>
      <c r="N23" s="15">
        <v>0</v>
      </c>
      <c r="O23" s="15">
        <v>14.46</v>
      </c>
      <c r="P23" s="2" t="s">
        <v>55</v>
      </c>
      <c r="Q23" s="16"/>
    </row>
    <row r="24" spans="1:17" x14ac:dyDescent="0.3">
      <c r="A24" s="10">
        <v>21733</v>
      </c>
      <c r="B24" s="2" t="s">
        <v>3375</v>
      </c>
      <c r="C24" s="13">
        <v>5548</v>
      </c>
      <c r="D24" s="2" t="s">
        <v>44</v>
      </c>
      <c r="E24" s="14">
        <v>44406</v>
      </c>
      <c r="F24" s="10" t="s">
        <v>116</v>
      </c>
      <c r="G24" s="25">
        <v>44414</v>
      </c>
      <c r="H24" s="10" t="s">
        <v>117</v>
      </c>
      <c r="I24" s="10" t="s">
        <v>118</v>
      </c>
      <c r="J24" s="15">
        <v>20456.759999999998</v>
      </c>
      <c r="K24" s="15">
        <v>20351.819520000001</v>
      </c>
      <c r="L24" s="15">
        <v>104.92</v>
      </c>
      <c r="M24" s="15">
        <v>90.47</v>
      </c>
      <c r="N24" s="15">
        <v>0</v>
      </c>
      <c r="O24" s="15">
        <v>14.47</v>
      </c>
      <c r="P24" s="2" t="s">
        <v>55</v>
      </c>
      <c r="Q24" s="16"/>
    </row>
    <row r="25" spans="1:17" x14ac:dyDescent="0.3">
      <c r="A25" s="10">
        <v>21733</v>
      </c>
      <c r="B25" s="2" t="s">
        <v>3376</v>
      </c>
      <c r="C25" s="13">
        <v>5681</v>
      </c>
      <c r="D25" s="2" t="s">
        <v>44</v>
      </c>
      <c r="E25" s="14">
        <v>44900</v>
      </c>
      <c r="F25" s="10" t="s">
        <v>119</v>
      </c>
      <c r="G25" s="25">
        <v>44904</v>
      </c>
      <c r="H25" s="10" t="s">
        <v>120</v>
      </c>
      <c r="I25" s="10" t="s">
        <v>121</v>
      </c>
      <c r="J25" s="15">
        <v>900843.87</v>
      </c>
      <c r="K25" s="15">
        <v>900738.87248000014</v>
      </c>
      <c r="L25" s="15">
        <v>105</v>
      </c>
      <c r="M25" s="15">
        <v>90.52</v>
      </c>
      <c r="N25" s="15">
        <v>0</v>
      </c>
      <c r="O25" s="15">
        <v>14.48</v>
      </c>
      <c r="P25" s="2" t="s">
        <v>55</v>
      </c>
      <c r="Q25" s="16"/>
    </row>
    <row r="26" spans="1:17" x14ac:dyDescent="0.3">
      <c r="A26" s="10">
        <v>21733</v>
      </c>
      <c r="B26" s="2" t="s">
        <v>3377</v>
      </c>
      <c r="C26" s="13">
        <v>5557</v>
      </c>
      <c r="D26" s="2" t="s">
        <v>44</v>
      </c>
      <c r="E26" s="14">
        <v>44732</v>
      </c>
      <c r="F26" s="10" t="s">
        <v>122</v>
      </c>
      <c r="G26" s="25">
        <v>44743</v>
      </c>
      <c r="H26" s="10" t="s">
        <v>123</v>
      </c>
      <c r="I26" s="10" t="s">
        <v>124</v>
      </c>
      <c r="J26" s="15">
        <v>18376.66</v>
      </c>
      <c r="K26" s="15">
        <v>18271.169279999998</v>
      </c>
      <c r="L26" s="15">
        <v>105.49</v>
      </c>
      <c r="M26" s="15">
        <v>90.94</v>
      </c>
      <c r="N26" s="15">
        <v>0</v>
      </c>
      <c r="O26" s="15">
        <v>14.54</v>
      </c>
      <c r="P26" s="2" t="s">
        <v>55</v>
      </c>
      <c r="Q26" s="16"/>
    </row>
    <row r="27" spans="1:17" x14ac:dyDescent="0.3">
      <c r="A27" s="10">
        <v>21733</v>
      </c>
      <c r="B27" s="2" t="s">
        <v>3378</v>
      </c>
      <c r="C27" s="13">
        <v>5556</v>
      </c>
      <c r="D27" s="2" t="s">
        <v>44</v>
      </c>
      <c r="E27" s="14">
        <v>44643</v>
      </c>
      <c r="F27" s="10" t="s">
        <v>125</v>
      </c>
      <c r="G27" s="25">
        <v>44649</v>
      </c>
      <c r="H27" s="10" t="s">
        <v>126</v>
      </c>
      <c r="I27" s="10" t="s">
        <v>127</v>
      </c>
      <c r="J27" s="15">
        <v>266735.74</v>
      </c>
      <c r="K27" s="15">
        <v>266629.81176000001</v>
      </c>
      <c r="L27" s="15">
        <v>105.91</v>
      </c>
      <c r="M27" s="15">
        <v>91.32</v>
      </c>
      <c r="N27" s="15">
        <v>0</v>
      </c>
      <c r="O27" s="15">
        <v>14.61</v>
      </c>
      <c r="P27" s="2" t="s">
        <v>55</v>
      </c>
      <c r="Q27" s="16"/>
    </row>
    <row r="28" spans="1:17" x14ac:dyDescent="0.3">
      <c r="A28" s="10">
        <v>21733</v>
      </c>
      <c r="B28" s="2" t="s">
        <v>3379</v>
      </c>
      <c r="C28" s="13">
        <v>5681</v>
      </c>
      <c r="D28" s="2" t="s">
        <v>44</v>
      </c>
      <c r="E28" s="14">
        <v>44655</v>
      </c>
      <c r="F28" s="10" t="s">
        <v>128</v>
      </c>
      <c r="G28" s="25">
        <v>44659</v>
      </c>
      <c r="H28" s="10" t="s">
        <v>129</v>
      </c>
      <c r="I28" s="10" t="s">
        <v>130</v>
      </c>
      <c r="J28" s="15">
        <v>115305.81</v>
      </c>
      <c r="K28" s="15">
        <v>115199.76007999998</v>
      </c>
      <c r="L28" s="15">
        <v>106.05</v>
      </c>
      <c r="M28" s="15">
        <v>91.42</v>
      </c>
      <c r="N28" s="15">
        <v>0</v>
      </c>
      <c r="O28" s="15">
        <v>14.63</v>
      </c>
      <c r="P28" s="2" t="s">
        <v>55</v>
      </c>
      <c r="Q28" s="16"/>
    </row>
    <row r="29" spans="1:17" x14ac:dyDescent="0.3">
      <c r="A29" s="10">
        <v>21733</v>
      </c>
      <c r="B29" s="2" t="s">
        <v>3380</v>
      </c>
      <c r="C29" s="13">
        <v>5548</v>
      </c>
      <c r="D29" s="2" t="s">
        <v>44</v>
      </c>
      <c r="E29" s="14">
        <v>44347</v>
      </c>
      <c r="F29" s="10" t="s">
        <v>131</v>
      </c>
      <c r="G29" s="25">
        <v>44351</v>
      </c>
      <c r="H29" s="10" t="s">
        <v>132</v>
      </c>
      <c r="I29" s="10" t="s">
        <v>133</v>
      </c>
      <c r="J29" s="15">
        <v>386621.88</v>
      </c>
      <c r="K29" s="15">
        <v>386515.61456000002</v>
      </c>
      <c r="L29" s="15">
        <v>106.27</v>
      </c>
      <c r="M29" s="15">
        <v>91.61</v>
      </c>
      <c r="N29" s="15">
        <v>0</v>
      </c>
      <c r="O29" s="15">
        <v>14.66</v>
      </c>
      <c r="P29" s="2" t="s">
        <v>55</v>
      </c>
      <c r="Q29" s="16"/>
    </row>
    <row r="30" spans="1:17" x14ac:dyDescent="0.3">
      <c r="A30" s="10">
        <v>21733</v>
      </c>
      <c r="B30" s="2" t="s">
        <v>3381</v>
      </c>
      <c r="C30" s="13">
        <v>5537</v>
      </c>
      <c r="D30" s="2" t="s">
        <v>44</v>
      </c>
      <c r="E30" s="14">
        <v>44578</v>
      </c>
      <c r="F30" s="10" t="s">
        <v>134</v>
      </c>
      <c r="G30" s="25">
        <v>44582</v>
      </c>
      <c r="H30" s="10" t="s">
        <v>135</v>
      </c>
      <c r="I30" s="10" t="s">
        <v>136</v>
      </c>
      <c r="J30" s="15">
        <v>459381.07</v>
      </c>
      <c r="K30" s="15">
        <v>459274.49988000002</v>
      </c>
      <c r="L30" s="15">
        <v>106.57</v>
      </c>
      <c r="M30" s="15">
        <v>91.87</v>
      </c>
      <c r="N30" s="15">
        <v>0</v>
      </c>
      <c r="O30" s="15">
        <v>14.7</v>
      </c>
      <c r="P30" s="2" t="s">
        <v>55</v>
      </c>
      <c r="Q30" s="16"/>
    </row>
    <row r="31" spans="1:17" x14ac:dyDescent="0.3">
      <c r="A31" s="10">
        <v>21733</v>
      </c>
      <c r="B31" s="2" t="s">
        <v>3382</v>
      </c>
      <c r="C31" s="13">
        <v>5556</v>
      </c>
      <c r="D31" s="2" t="s">
        <v>44</v>
      </c>
      <c r="E31" s="14">
        <v>44377</v>
      </c>
      <c r="F31" s="10" t="s">
        <v>137</v>
      </c>
      <c r="G31" s="25">
        <v>44382</v>
      </c>
      <c r="H31" s="10" t="s">
        <v>138</v>
      </c>
      <c r="I31" s="10" t="s">
        <v>139</v>
      </c>
      <c r="J31" s="15">
        <v>119068.32</v>
      </c>
      <c r="K31" s="15">
        <v>118961.53800000002</v>
      </c>
      <c r="L31" s="15">
        <v>106.78</v>
      </c>
      <c r="M31" s="15">
        <v>92.05</v>
      </c>
      <c r="N31" s="15">
        <v>0</v>
      </c>
      <c r="O31" s="15">
        <v>14.73</v>
      </c>
      <c r="P31" s="2" t="s">
        <v>55</v>
      </c>
      <c r="Q31" s="16"/>
    </row>
    <row r="32" spans="1:17" x14ac:dyDescent="0.3">
      <c r="A32" s="10">
        <v>21733</v>
      </c>
      <c r="B32" s="2" t="s">
        <v>3383</v>
      </c>
      <c r="C32" s="13">
        <v>5557</v>
      </c>
      <c r="D32" s="2" t="s">
        <v>44</v>
      </c>
      <c r="E32" s="14">
        <v>44949</v>
      </c>
      <c r="F32" s="10" t="s">
        <v>140</v>
      </c>
      <c r="G32" s="25">
        <v>44954</v>
      </c>
      <c r="H32" s="10" t="s">
        <v>141</v>
      </c>
      <c r="I32" s="10" t="s">
        <v>142</v>
      </c>
      <c r="J32" s="15">
        <v>759571.92</v>
      </c>
      <c r="K32" s="15">
        <v>759464.68111999996</v>
      </c>
      <c r="L32" s="15">
        <v>107.24</v>
      </c>
      <c r="M32" s="15">
        <v>92.45</v>
      </c>
      <c r="N32" s="15">
        <v>0</v>
      </c>
      <c r="O32" s="15">
        <v>14.78</v>
      </c>
      <c r="P32" s="2" t="s">
        <v>55</v>
      </c>
      <c r="Q32" s="16"/>
    </row>
    <row r="33" spans="1:17" x14ac:dyDescent="0.3">
      <c r="A33" s="10">
        <v>21733</v>
      </c>
      <c r="B33" s="2" t="s">
        <v>3384</v>
      </c>
      <c r="C33" s="13">
        <v>5556</v>
      </c>
      <c r="D33" s="2" t="s">
        <v>44</v>
      </c>
      <c r="E33" s="14">
        <v>44825</v>
      </c>
      <c r="F33" s="10" t="s">
        <v>143</v>
      </c>
      <c r="G33" s="25">
        <v>44833</v>
      </c>
      <c r="H33" s="10" t="s">
        <v>144</v>
      </c>
      <c r="I33" s="10" t="s">
        <v>145</v>
      </c>
      <c r="J33" s="15">
        <v>732090.25</v>
      </c>
      <c r="K33" s="15">
        <v>731982.94944</v>
      </c>
      <c r="L33" s="15">
        <v>107.3</v>
      </c>
      <c r="M33" s="15">
        <v>92.5</v>
      </c>
      <c r="N33" s="15">
        <v>0</v>
      </c>
      <c r="O33" s="15">
        <v>14.8</v>
      </c>
      <c r="P33" s="2" t="s">
        <v>55</v>
      </c>
      <c r="Q33" s="16"/>
    </row>
    <row r="34" spans="1:17" x14ac:dyDescent="0.3">
      <c r="A34" s="10">
        <v>21733</v>
      </c>
      <c r="B34" s="2" t="s">
        <v>3385</v>
      </c>
      <c r="C34" s="13">
        <v>5548</v>
      </c>
      <c r="D34" s="2" t="s">
        <v>44</v>
      </c>
      <c r="E34" s="14">
        <v>44487</v>
      </c>
      <c r="F34" s="10" t="s">
        <v>146</v>
      </c>
      <c r="G34" s="25">
        <v>44491</v>
      </c>
      <c r="H34" s="10" t="s">
        <v>147</v>
      </c>
      <c r="I34" s="10" t="s">
        <v>148</v>
      </c>
      <c r="J34" s="15">
        <v>27691.63</v>
      </c>
      <c r="K34" s="15">
        <v>27584.31048</v>
      </c>
      <c r="L34" s="15">
        <v>107.32</v>
      </c>
      <c r="M34" s="15">
        <v>92.52</v>
      </c>
      <c r="N34" s="15">
        <v>0</v>
      </c>
      <c r="O34" s="15">
        <v>14.8</v>
      </c>
      <c r="P34" s="2" t="s">
        <v>55</v>
      </c>
      <c r="Q34" s="16"/>
    </row>
    <row r="35" spans="1:17" x14ac:dyDescent="0.3">
      <c r="A35" s="10">
        <v>21733</v>
      </c>
      <c r="B35" s="2" t="s">
        <v>3386</v>
      </c>
      <c r="C35" s="13">
        <v>5548</v>
      </c>
      <c r="D35" s="2" t="s">
        <v>44</v>
      </c>
      <c r="E35" s="14">
        <v>45054</v>
      </c>
      <c r="F35" s="10" t="s">
        <v>149</v>
      </c>
      <c r="G35" s="25">
        <v>45063</v>
      </c>
      <c r="H35" s="10" t="s">
        <v>150</v>
      </c>
      <c r="I35" s="10" t="s">
        <v>151</v>
      </c>
      <c r="J35" s="15">
        <v>1157229.44</v>
      </c>
      <c r="K35" s="15">
        <v>1157121.1363599997</v>
      </c>
      <c r="L35" s="15">
        <v>108.3</v>
      </c>
      <c r="M35" s="15">
        <v>93.37</v>
      </c>
      <c r="N35" s="15">
        <v>0</v>
      </c>
      <c r="O35" s="15">
        <v>14.94</v>
      </c>
      <c r="P35" s="2" t="s">
        <v>55</v>
      </c>
      <c r="Q35" s="16"/>
    </row>
    <row r="36" spans="1:17" x14ac:dyDescent="0.3">
      <c r="A36" s="10">
        <v>21733</v>
      </c>
      <c r="B36" s="2" t="s">
        <v>3387</v>
      </c>
      <c r="C36" s="13">
        <v>5681</v>
      </c>
      <c r="D36" s="2" t="s">
        <v>44</v>
      </c>
      <c r="E36" s="14">
        <v>44452</v>
      </c>
      <c r="F36" s="10" t="s">
        <v>152</v>
      </c>
      <c r="G36" s="25">
        <v>44459</v>
      </c>
      <c r="H36" s="10" t="s">
        <v>153</v>
      </c>
      <c r="I36" s="10" t="s">
        <v>154</v>
      </c>
      <c r="J36" s="15">
        <v>11093.08</v>
      </c>
      <c r="K36" s="15">
        <v>10984.550399999998</v>
      </c>
      <c r="L36" s="15">
        <v>108.53</v>
      </c>
      <c r="M36" s="15">
        <v>93.56</v>
      </c>
      <c r="N36" s="15">
        <v>0</v>
      </c>
      <c r="O36" s="15">
        <v>14.97</v>
      </c>
      <c r="P36" s="2" t="s">
        <v>55</v>
      </c>
      <c r="Q36" s="16"/>
    </row>
    <row r="37" spans="1:17" x14ac:dyDescent="0.3">
      <c r="A37" s="10">
        <v>21733</v>
      </c>
      <c r="B37" s="2" t="s">
        <v>3388</v>
      </c>
      <c r="C37" s="13">
        <v>5548</v>
      </c>
      <c r="D37" s="2" t="s">
        <v>44</v>
      </c>
      <c r="E37" s="14">
        <v>44726</v>
      </c>
      <c r="F37" s="10" t="s">
        <v>155</v>
      </c>
      <c r="G37" s="25">
        <v>44736</v>
      </c>
      <c r="H37" s="10" t="s">
        <v>156</v>
      </c>
      <c r="I37" s="10" t="s">
        <v>157</v>
      </c>
      <c r="J37" s="15">
        <v>1711593.3</v>
      </c>
      <c r="K37" s="15">
        <v>1711484.6178399997</v>
      </c>
      <c r="L37" s="15">
        <v>108.68</v>
      </c>
      <c r="M37" s="15">
        <v>93.69</v>
      </c>
      <c r="N37" s="15">
        <v>0</v>
      </c>
      <c r="O37" s="15">
        <v>14.99</v>
      </c>
      <c r="P37" s="2" t="s">
        <v>55</v>
      </c>
      <c r="Q37" s="16"/>
    </row>
    <row r="38" spans="1:17" x14ac:dyDescent="0.3">
      <c r="A38" s="10">
        <v>21733</v>
      </c>
      <c r="B38" s="2" t="s">
        <v>3389</v>
      </c>
      <c r="C38" s="13">
        <v>5556</v>
      </c>
      <c r="D38" s="2" t="s">
        <v>44</v>
      </c>
      <c r="E38" s="14">
        <v>44461</v>
      </c>
      <c r="F38" s="10" t="s">
        <v>158</v>
      </c>
      <c r="G38" s="25">
        <v>44467</v>
      </c>
      <c r="H38" s="10" t="s">
        <v>159</v>
      </c>
      <c r="I38" s="10" t="s">
        <v>160</v>
      </c>
      <c r="J38" s="15">
        <v>591189.04</v>
      </c>
      <c r="K38" s="15">
        <v>591080.21328000014</v>
      </c>
      <c r="L38" s="15">
        <v>108.82</v>
      </c>
      <c r="M38" s="15">
        <v>93.82</v>
      </c>
      <c r="N38" s="15">
        <v>0</v>
      </c>
      <c r="O38" s="15">
        <v>15.01</v>
      </c>
      <c r="P38" s="2" t="s">
        <v>55</v>
      </c>
      <c r="Q38" s="16"/>
    </row>
    <row r="39" spans="1:17" x14ac:dyDescent="0.3">
      <c r="A39" s="10">
        <v>21733</v>
      </c>
      <c r="B39" s="2" t="s">
        <v>3390</v>
      </c>
      <c r="C39" s="13">
        <v>5548</v>
      </c>
      <c r="D39" s="2" t="s">
        <v>44</v>
      </c>
      <c r="E39" s="14">
        <v>45008</v>
      </c>
      <c r="F39" s="10" t="s">
        <v>161</v>
      </c>
      <c r="G39" s="25">
        <v>45020</v>
      </c>
      <c r="H39" s="10" t="s">
        <v>162</v>
      </c>
      <c r="I39" s="10" t="s">
        <v>163</v>
      </c>
      <c r="J39" s="15">
        <v>960783.33</v>
      </c>
      <c r="K39" s="15">
        <v>960674.32319999998</v>
      </c>
      <c r="L39" s="15">
        <v>109.01</v>
      </c>
      <c r="M39" s="15">
        <v>93.97</v>
      </c>
      <c r="N39" s="15">
        <v>0</v>
      </c>
      <c r="O39" s="15">
        <v>15.04</v>
      </c>
      <c r="P39" s="2" t="s">
        <v>55</v>
      </c>
      <c r="Q39" s="16"/>
    </row>
    <row r="40" spans="1:17" x14ac:dyDescent="0.3">
      <c r="A40" s="10">
        <v>21733</v>
      </c>
      <c r="B40" s="2" t="s">
        <v>3391</v>
      </c>
      <c r="C40" s="13">
        <v>5557</v>
      </c>
      <c r="D40" s="2" t="s">
        <v>44</v>
      </c>
      <c r="E40" s="14">
        <v>44616</v>
      </c>
      <c r="F40" s="10" t="s">
        <v>164</v>
      </c>
      <c r="G40" s="25">
        <v>44625</v>
      </c>
      <c r="H40" s="10" t="s">
        <v>165</v>
      </c>
      <c r="I40" s="10" t="s">
        <v>166</v>
      </c>
      <c r="J40" s="15">
        <v>1051364.0900000001</v>
      </c>
      <c r="K40" s="15">
        <v>1051254.4079999998</v>
      </c>
      <c r="L40" s="15">
        <v>109.68</v>
      </c>
      <c r="M40" s="15">
        <v>94.55</v>
      </c>
      <c r="N40" s="15">
        <v>0</v>
      </c>
      <c r="O40" s="15">
        <v>15.13</v>
      </c>
      <c r="P40" s="2" t="s">
        <v>55</v>
      </c>
      <c r="Q40" s="16"/>
    </row>
    <row r="41" spans="1:17" x14ac:dyDescent="0.3">
      <c r="A41" s="10">
        <v>21733</v>
      </c>
      <c r="B41" s="2" t="s">
        <v>3392</v>
      </c>
      <c r="C41" s="13">
        <v>5549</v>
      </c>
      <c r="D41" s="2" t="s">
        <v>44</v>
      </c>
      <c r="E41" s="14">
        <v>44459</v>
      </c>
      <c r="F41" s="10" t="s">
        <v>167</v>
      </c>
      <c r="G41" s="25">
        <v>44463</v>
      </c>
      <c r="H41" s="10" t="s">
        <v>168</v>
      </c>
      <c r="I41" s="10" t="s">
        <v>169</v>
      </c>
      <c r="J41" s="15">
        <v>1099836.8500000001</v>
      </c>
      <c r="K41" s="15">
        <v>1099727.0635200001</v>
      </c>
      <c r="L41" s="15">
        <v>109.79</v>
      </c>
      <c r="M41" s="15">
        <v>94.64</v>
      </c>
      <c r="N41" s="15">
        <v>0</v>
      </c>
      <c r="O41" s="15">
        <v>15.14</v>
      </c>
      <c r="P41" s="2" t="s">
        <v>55</v>
      </c>
      <c r="Q41" s="16"/>
    </row>
    <row r="42" spans="1:17" x14ac:dyDescent="0.3">
      <c r="A42" s="10">
        <v>21733</v>
      </c>
      <c r="B42" s="2" t="s">
        <v>3393</v>
      </c>
      <c r="C42" s="13">
        <v>5537</v>
      </c>
      <c r="D42" s="2" t="s">
        <v>44</v>
      </c>
      <c r="E42" s="14">
        <v>44606</v>
      </c>
      <c r="F42" s="10" t="s">
        <v>170</v>
      </c>
      <c r="G42" s="25">
        <v>44610</v>
      </c>
      <c r="H42" s="10" t="s">
        <v>171</v>
      </c>
      <c r="I42" s="10" t="s">
        <v>172</v>
      </c>
      <c r="J42" s="15">
        <v>129053.12</v>
      </c>
      <c r="K42" s="15">
        <v>128943.12456000001</v>
      </c>
      <c r="L42" s="15">
        <v>110</v>
      </c>
      <c r="M42" s="15">
        <v>94.82</v>
      </c>
      <c r="N42" s="15">
        <v>0</v>
      </c>
      <c r="O42" s="15">
        <v>15.17</v>
      </c>
      <c r="P42" s="2" t="s">
        <v>55</v>
      </c>
      <c r="Q42" s="16"/>
    </row>
    <row r="43" spans="1:17" x14ac:dyDescent="0.3">
      <c r="A43" s="10">
        <v>21733</v>
      </c>
      <c r="B43" s="2" t="s">
        <v>3394</v>
      </c>
      <c r="C43" s="13">
        <v>5557</v>
      </c>
      <c r="D43" s="2" t="s">
        <v>44</v>
      </c>
      <c r="E43" s="14">
        <v>44999</v>
      </c>
      <c r="F43" s="10" t="s">
        <v>173</v>
      </c>
      <c r="G43" s="25">
        <v>45010</v>
      </c>
      <c r="H43" s="10" t="s">
        <v>174</v>
      </c>
      <c r="I43" s="10" t="s">
        <v>175</v>
      </c>
      <c r="J43" s="15">
        <v>571541.31999999995</v>
      </c>
      <c r="K43" s="15">
        <v>571431.31199999992</v>
      </c>
      <c r="L43" s="15">
        <v>110.01</v>
      </c>
      <c r="M43" s="15">
        <v>94.83</v>
      </c>
      <c r="N43" s="15">
        <v>0</v>
      </c>
      <c r="O43" s="15">
        <v>15.17</v>
      </c>
      <c r="P43" s="2" t="s">
        <v>55</v>
      </c>
      <c r="Q43" s="16"/>
    </row>
    <row r="44" spans="1:17" x14ac:dyDescent="0.3">
      <c r="A44" s="10">
        <v>21733</v>
      </c>
      <c r="B44" s="2" t="s">
        <v>3395</v>
      </c>
      <c r="C44" s="13">
        <v>5681</v>
      </c>
      <c r="D44" s="2" t="s">
        <v>44</v>
      </c>
      <c r="E44" s="14">
        <v>44886</v>
      </c>
      <c r="F44" s="10" t="s">
        <v>176</v>
      </c>
      <c r="G44" s="25">
        <v>44898</v>
      </c>
      <c r="H44" s="10" t="s">
        <v>177</v>
      </c>
      <c r="I44" s="10" t="s">
        <v>178</v>
      </c>
      <c r="J44" s="15">
        <v>481876.37</v>
      </c>
      <c r="K44" s="15">
        <v>481765.71087999997</v>
      </c>
      <c r="L44" s="15">
        <v>110.66</v>
      </c>
      <c r="M44" s="15">
        <v>95.4</v>
      </c>
      <c r="N44" s="15">
        <v>0</v>
      </c>
      <c r="O44" s="15">
        <v>15.26</v>
      </c>
      <c r="P44" s="2" t="s">
        <v>55</v>
      </c>
      <c r="Q44" s="16"/>
    </row>
    <row r="45" spans="1:17" x14ac:dyDescent="0.3">
      <c r="A45" s="10">
        <v>21733</v>
      </c>
      <c r="B45" s="2" t="s">
        <v>3396</v>
      </c>
      <c r="C45" s="13">
        <v>5548</v>
      </c>
      <c r="D45" s="2" t="s">
        <v>44</v>
      </c>
      <c r="E45" s="14">
        <v>44592</v>
      </c>
      <c r="F45" s="10" t="s">
        <v>179</v>
      </c>
      <c r="G45" s="25">
        <v>44596</v>
      </c>
      <c r="H45" s="10" t="s">
        <v>180</v>
      </c>
      <c r="I45" s="10" t="s">
        <v>181</v>
      </c>
      <c r="J45" s="15">
        <v>12813.8</v>
      </c>
      <c r="K45" s="15">
        <v>12702.983680000001</v>
      </c>
      <c r="L45" s="15">
        <v>110.82</v>
      </c>
      <c r="M45" s="15">
        <v>95.53</v>
      </c>
      <c r="N45" s="15">
        <v>0</v>
      </c>
      <c r="O45" s="15">
        <v>15.29</v>
      </c>
      <c r="P45" s="2" t="s">
        <v>55</v>
      </c>
      <c r="Q45" s="16"/>
    </row>
    <row r="46" spans="1:17" x14ac:dyDescent="0.3">
      <c r="A46" s="10">
        <v>21733</v>
      </c>
      <c r="B46" s="2" t="s">
        <v>3397</v>
      </c>
      <c r="C46" s="13">
        <v>5557</v>
      </c>
      <c r="D46" s="2" t="s">
        <v>44</v>
      </c>
      <c r="E46" s="14">
        <v>44886</v>
      </c>
      <c r="F46" s="10" t="s">
        <v>182</v>
      </c>
      <c r="G46" s="25">
        <v>44891</v>
      </c>
      <c r="H46" s="10" t="s">
        <v>183</v>
      </c>
      <c r="I46" s="10" t="s">
        <v>184</v>
      </c>
      <c r="J46" s="15">
        <v>950340.87</v>
      </c>
      <c r="K46" s="15">
        <v>950229.82588000013</v>
      </c>
      <c r="L46" s="15">
        <v>111.04</v>
      </c>
      <c r="M46" s="15">
        <v>95.73</v>
      </c>
      <c r="N46" s="15">
        <v>0</v>
      </c>
      <c r="O46" s="15">
        <v>15.32</v>
      </c>
      <c r="P46" s="2" t="s">
        <v>55</v>
      </c>
      <c r="Q46" s="16"/>
    </row>
    <row r="47" spans="1:17" x14ac:dyDescent="0.3">
      <c r="A47" s="10">
        <v>21733</v>
      </c>
      <c r="B47" s="2" t="s">
        <v>3398</v>
      </c>
      <c r="C47" s="13">
        <v>5556</v>
      </c>
      <c r="D47" s="2" t="s">
        <v>44</v>
      </c>
      <c r="E47" s="14">
        <v>44629</v>
      </c>
      <c r="F47" s="10" t="s">
        <v>185</v>
      </c>
      <c r="G47" s="25">
        <v>44635</v>
      </c>
      <c r="H47" s="10" t="s">
        <v>186</v>
      </c>
      <c r="I47" s="10" t="s">
        <v>187</v>
      </c>
      <c r="J47" s="15">
        <v>9556.2999999999993</v>
      </c>
      <c r="K47" s="15">
        <v>9445.0795999999991</v>
      </c>
      <c r="L47" s="15">
        <v>111.22</v>
      </c>
      <c r="M47" s="15">
        <v>95.88</v>
      </c>
      <c r="N47" s="15">
        <v>0</v>
      </c>
      <c r="O47" s="15">
        <v>15.34</v>
      </c>
      <c r="P47" s="2" t="s">
        <v>55</v>
      </c>
      <c r="Q47" s="16"/>
    </row>
    <row r="48" spans="1:17" x14ac:dyDescent="0.3">
      <c r="A48" s="10">
        <v>21733</v>
      </c>
      <c r="B48" s="2" t="s">
        <v>3399</v>
      </c>
      <c r="C48" s="13">
        <v>5548</v>
      </c>
      <c r="D48" s="2" t="s">
        <v>44</v>
      </c>
      <c r="E48" s="14">
        <v>44403</v>
      </c>
      <c r="F48" s="10" t="s">
        <v>188</v>
      </c>
      <c r="G48" s="25">
        <v>44407</v>
      </c>
      <c r="H48" s="10" t="s">
        <v>189</v>
      </c>
      <c r="I48" s="10" t="s">
        <v>190</v>
      </c>
      <c r="J48" s="15">
        <v>25038.01</v>
      </c>
      <c r="K48" s="15">
        <v>24926.4048</v>
      </c>
      <c r="L48" s="15">
        <v>111.61</v>
      </c>
      <c r="M48" s="15">
        <v>96.21</v>
      </c>
      <c r="N48" s="15">
        <v>0</v>
      </c>
      <c r="O48" s="15">
        <v>15.39</v>
      </c>
      <c r="P48" s="2" t="s">
        <v>55</v>
      </c>
      <c r="Q48" s="16"/>
    </row>
    <row r="49" spans="1:17" x14ac:dyDescent="0.3">
      <c r="A49" s="10">
        <v>21733</v>
      </c>
      <c r="B49" s="2" t="s">
        <v>3400</v>
      </c>
      <c r="C49" s="13">
        <v>5537</v>
      </c>
      <c r="D49" s="2" t="s">
        <v>44</v>
      </c>
      <c r="E49" s="14">
        <v>44424</v>
      </c>
      <c r="F49" s="10" t="s">
        <v>191</v>
      </c>
      <c r="G49" s="25">
        <v>44428</v>
      </c>
      <c r="H49" s="10" t="s">
        <v>192</v>
      </c>
      <c r="I49" s="10" t="s">
        <v>193</v>
      </c>
      <c r="J49" s="15">
        <v>262909.78999999998</v>
      </c>
      <c r="K49" s="15">
        <v>262797.52904000011</v>
      </c>
      <c r="L49" s="15">
        <v>112.26</v>
      </c>
      <c r="M49" s="15">
        <v>96.78</v>
      </c>
      <c r="N49" s="15">
        <v>0</v>
      </c>
      <c r="O49" s="15">
        <v>15.48</v>
      </c>
      <c r="P49" s="2" t="s">
        <v>55</v>
      </c>
      <c r="Q49" s="16"/>
    </row>
    <row r="50" spans="1:17" x14ac:dyDescent="0.3">
      <c r="A50" s="10">
        <v>21733</v>
      </c>
      <c r="B50" s="2" t="s">
        <v>3401</v>
      </c>
      <c r="C50" s="13">
        <v>5557</v>
      </c>
      <c r="D50" s="2" t="s">
        <v>44</v>
      </c>
      <c r="E50" s="14">
        <v>44473</v>
      </c>
      <c r="F50" s="10" t="s">
        <v>194</v>
      </c>
      <c r="G50" s="25">
        <v>44477</v>
      </c>
      <c r="H50" s="10" t="s">
        <v>195</v>
      </c>
      <c r="I50" s="10" t="s">
        <v>196</v>
      </c>
      <c r="J50" s="15">
        <v>59931.24</v>
      </c>
      <c r="K50" s="15">
        <v>59818.957720000006</v>
      </c>
      <c r="L50" s="15">
        <v>112.28</v>
      </c>
      <c r="M50" s="15">
        <v>96.8</v>
      </c>
      <c r="N50" s="15">
        <v>0</v>
      </c>
      <c r="O50" s="15">
        <v>15.49</v>
      </c>
      <c r="P50" s="2" t="s">
        <v>55</v>
      </c>
      <c r="Q50" s="16"/>
    </row>
    <row r="51" spans="1:17" x14ac:dyDescent="0.3">
      <c r="A51" s="10">
        <v>21733</v>
      </c>
      <c r="B51" s="2" t="s">
        <v>3402</v>
      </c>
      <c r="C51" s="13">
        <v>5537</v>
      </c>
      <c r="D51" s="2" t="s">
        <v>44</v>
      </c>
      <c r="E51" s="14">
        <v>44333</v>
      </c>
      <c r="F51" s="10" t="s">
        <v>197</v>
      </c>
      <c r="G51" s="25">
        <v>44339</v>
      </c>
      <c r="H51" s="10" t="s">
        <v>198</v>
      </c>
      <c r="I51" s="10" t="s">
        <v>199</v>
      </c>
      <c r="J51" s="15">
        <v>18101.919999999998</v>
      </c>
      <c r="K51" s="15">
        <v>17989.2336</v>
      </c>
      <c r="L51" s="15">
        <v>112.69</v>
      </c>
      <c r="M51" s="15">
        <v>97.14</v>
      </c>
      <c r="N51" s="15">
        <v>0</v>
      </c>
      <c r="O51" s="15">
        <v>15.54</v>
      </c>
      <c r="P51" s="2" t="s">
        <v>55</v>
      </c>
      <c r="Q51" s="16"/>
    </row>
    <row r="52" spans="1:17" x14ac:dyDescent="0.3">
      <c r="A52" s="10">
        <v>21733</v>
      </c>
      <c r="B52" s="2" t="s">
        <v>3403</v>
      </c>
      <c r="C52" s="13">
        <v>5556</v>
      </c>
      <c r="D52" s="2" t="s">
        <v>44</v>
      </c>
      <c r="E52" s="14">
        <v>44951</v>
      </c>
      <c r="F52" s="10" t="s">
        <v>200</v>
      </c>
      <c r="G52" s="25">
        <v>44959</v>
      </c>
      <c r="H52" s="10" t="s">
        <v>201</v>
      </c>
      <c r="I52" s="10" t="s">
        <v>202</v>
      </c>
      <c r="J52" s="15">
        <v>919801.71</v>
      </c>
      <c r="K52" s="15">
        <v>919688.9201600001</v>
      </c>
      <c r="L52" s="15">
        <v>112.79</v>
      </c>
      <c r="M52" s="15">
        <v>97.23</v>
      </c>
      <c r="N52" s="15">
        <v>0</v>
      </c>
      <c r="O52" s="15">
        <v>15.56</v>
      </c>
      <c r="P52" s="2" t="s">
        <v>55</v>
      </c>
      <c r="Q52" s="16"/>
    </row>
    <row r="53" spans="1:17" x14ac:dyDescent="0.3">
      <c r="A53" s="10">
        <v>21733</v>
      </c>
      <c r="B53" s="2" t="s">
        <v>3404</v>
      </c>
      <c r="C53" s="13">
        <v>5548</v>
      </c>
      <c r="D53" s="2" t="s">
        <v>44</v>
      </c>
      <c r="E53" s="14">
        <v>44616</v>
      </c>
      <c r="F53" s="10" t="s">
        <v>203</v>
      </c>
      <c r="G53" s="25">
        <v>44624</v>
      </c>
      <c r="H53" s="10" t="s">
        <v>204</v>
      </c>
      <c r="I53" s="10" t="s">
        <v>205</v>
      </c>
      <c r="J53" s="15">
        <v>1190852.3700000001</v>
      </c>
      <c r="K53" s="15">
        <v>1190739.4547999999</v>
      </c>
      <c r="L53" s="15">
        <v>112.92</v>
      </c>
      <c r="M53" s="15">
        <v>97.34</v>
      </c>
      <c r="N53" s="15">
        <v>0</v>
      </c>
      <c r="O53" s="15">
        <v>15.57</v>
      </c>
      <c r="P53" s="2" t="s">
        <v>55</v>
      </c>
      <c r="Q53" s="16"/>
    </row>
    <row r="54" spans="1:17" x14ac:dyDescent="0.3">
      <c r="A54" s="10">
        <v>21733</v>
      </c>
      <c r="B54" s="2" t="s">
        <v>3405</v>
      </c>
      <c r="C54" s="13">
        <v>5548</v>
      </c>
      <c r="D54" s="2" t="s">
        <v>44</v>
      </c>
      <c r="E54" s="14">
        <v>44480</v>
      </c>
      <c r="F54" s="10" t="s">
        <v>206</v>
      </c>
      <c r="G54" s="25">
        <v>44484</v>
      </c>
      <c r="H54" s="10" t="s">
        <v>207</v>
      </c>
      <c r="I54" s="10" t="s">
        <v>208</v>
      </c>
      <c r="J54" s="15">
        <v>45226.53</v>
      </c>
      <c r="K54" s="15">
        <v>45113.488080000003</v>
      </c>
      <c r="L54" s="15">
        <v>113.04</v>
      </c>
      <c r="M54" s="15">
        <v>97.45</v>
      </c>
      <c r="N54" s="15">
        <v>0</v>
      </c>
      <c r="O54" s="15">
        <v>15.59</v>
      </c>
      <c r="P54" s="2" t="s">
        <v>55</v>
      </c>
      <c r="Q54" s="16"/>
    </row>
    <row r="55" spans="1:17" x14ac:dyDescent="0.3">
      <c r="A55" s="10">
        <v>21733</v>
      </c>
      <c r="B55" s="2" t="s">
        <v>3406</v>
      </c>
      <c r="C55" s="13">
        <v>5548</v>
      </c>
      <c r="D55" s="2" t="s">
        <v>44</v>
      </c>
      <c r="E55" s="14">
        <v>44879</v>
      </c>
      <c r="F55" s="10" t="s">
        <v>209</v>
      </c>
      <c r="G55" s="25">
        <v>44883</v>
      </c>
      <c r="H55" s="10" t="s">
        <v>210</v>
      </c>
      <c r="I55" s="10" t="s">
        <v>211</v>
      </c>
      <c r="J55" s="15">
        <v>933384.81</v>
      </c>
      <c r="K55" s="15">
        <v>933271.0771199998</v>
      </c>
      <c r="L55" s="15">
        <v>113.73</v>
      </c>
      <c r="M55" s="15">
        <v>98.05</v>
      </c>
      <c r="N55" s="15">
        <v>0</v>
      </c>
      <c r="O55" s="15">
        <v>15.69</v>
      </c>
      <c r="P55" s="2" t="s">
        <v>55</v>
      </c>
      <c r="Q55" s="16"/>
    </row>
    <row r="56" spans="1:17" x14ac:dyDescent="0.3">
      <c r="A56" s="10">
        <v>21733</v>
      </c>
      <c r="B56" s="2" t="s">
        <v>3407</v>
      </c>
      <c r="C56" s="13">
        <v>5548</v>
      </c>
      <c r="D56" s="2" t="s">
        <v>44</v>
      </c>
      <c r="E56" s="14">
        <v>45061</v>
      </c>
      <c r="F56" s="10" t="s">
        <v>212</v>
      </c>
      <c r="G56" s="25">
        <v>45069</v>
      </c>
      <c r="H56" s="10" t="s">
        <v>213</v>
      </c>
      <c r="I56" s="10" t="s">
        <v>214</v>
      </c>
      <c r="J56" s="15">
        <v>1207444.3700000001</v>
      </c>
      <c r="K56" s="15">
        <v>1207330.2469200001</v>
      </c>
      <c r="L56" s="15">
        <v>114.12</v>
      </c>
      <c r="M56" s="15">
        <v>98.38</v>
      </c>
      <c r="N56" s="15">
        <v>0</v>
      </c>
      <c r="O56" s="15">
        <v>15.74</v>
      </c>
      <c r="P56" s="2" t="s">
        <v>55</v>
      </c>
      <c r="Q56" s="16"/>
    </row>
    <row r="57" spans="1:17" x14ac:dyDescent="0.3">
      <c r="A57" s="10">
        <v>21733</v>
      </c>
      <c r="B57" s="2" t="s">
        <v>3408</v>
      </c>
      <c r="C57" s="13">
        <v>5557</v>
      </c>
      <c r="D57" s="2" t="s">
        <v>44</v>
      </c>
      <c r="E57" s="14">
        <v>44698</v>
      </c>
      <c r="F57" s="10" t="s">
        <v>215</v>
      </c>
      <c r="G57" s="25">
        <v>44708</v>
      </c>
      <c r="H57" s="10" t="s">
        <v>216</v>
      </c>
      <c r="I57" s="10" t="s">
        <v>217</v>
      </c>
      <c r="J57" s="15">
        <v>848352.58</v>
      </c>
      <c r="K57" s="15">
        <v>848237.86640000017</v>
      </c>
      <c r="L57" s="15">
        <v>114.71</v>
      </c>
      <c r="M57" s="15">
        <v>98.89</v>
      </c>
      <c r="N57" s="15">
        <v>0</v>
      </c>
      <c r="O57" s="15">
        <v>15.82</v>
      </c>
      <c r="P57" s="2" t="s">
        <v>55</v>
      </c>
      <c r="Q57" s="16"/>
    </row>
    <row r="58" spans="1:17" x14ac:dyDescent="0.3">
      <c r="A58" s="10">
        <v>21733</v>
      </c>
      <c r="B58" s="2" t="s">
        <v>3409</v>
      </c>
      <c r="C58" s="13">
        <v>5554</v>
      </c>
      <c r="D58" s="2" t="s">
        <v>44</v>
      </c>
      <c r="E58" s="14">
        <v>43857</v>
      </c>
      <c r="F58" s="10" t="s">
        <v>218</v>
      </c>
      <c r="G58" s="25">
        <v>43862</v>
      </c>
      <c r="H58" s="10" t="s">
        <v>219</v>
      </c>
      <c r="I58" s="10" t="s">
        <v>220</v>
      </c>
      <c r="J58" s="15">
        <v>104117.8</v>
      </c>
      <c r="K58" s="15">
        <v>104001.51216000001</v>
      </c>
      <c r="L58" s="15">
        <v>116.29</v>
      </c>
      <c r="M58" s="15">
        <v>100.25</v>
      </c>
      <c r="N58" s="15">
        <v>0</v>
      </c>
      <c r="O58" s="15">
        <v>16.04</v>
      </c>
      <c r="P58" s="2" t="s">
        <v>55</v>
      </c>
      <c r="Q58" s="16"/>
    </row>
    <row r="59" spans="1:17" x14ac:dyDescent="0.3">
      <c r="A59" s="10">
        <v>21733</v>
      </c>
      <c r="B59" s="2" t="s">
        <v>3410</v>
      </c>
      <c r="C59" s="13">
        <v>5556</v>
      </c>
      <c r="D59" s="2" t="s">
        <v>44</v>
      </c>
      <c r="E59" s="14">
        <v>44958</v>
      </c>
      <c r="F59" s="10" t="s">
        <v>221</v>
      </c>
      <c r="G59" s="25">
        <v>44970</v>
      </c>
      <c r="H59" s="10" t="s">
        <v>222</v>
      </c>
      <c r="I59" s="10" t="s">
        <v>223</v>
      </c>
      <c r="J59" s="15">
        <v>698324.04</v>
      </c>
      <c r="K59" s="15">
        <v>698206.74224000005</v>
      </c>
      <c r="L59" s="15">
        <v>117.3</v>
      </c>
      <c r="M59" s="15">
        <v>101.12</v>
      </c>
      <c r="N59" s="15">
        <v>0</v>
      </c>
      <c r="O59" s="15">
        <v>16.18</v>
      </c>
      <c r="P59" s="2" t="s">
        <v>55</v>
      </c>
      <c r="Q59" s="16"/>
    </row>
    <row r="60" spans="1:17" x14ac:dyDescent="0.3">
      <c r="A60" s="10">
        <v>21733</v>
      </c>
      <c r="B60" s="2" t="s">
        <v>3411</v>
      </c>
      <c r="C60" s="13">
        <v>5557</v>
      </c>
      <c r="D60" s="2" t="s">
        <v>44</v>
      </c>
      <c r="E60" s="14">
        <v>45012</v>
      </c>
      <c r="F60" s="10" t="s">
        <v>224</v>
      </c>
      <c r="G60" s="25">
        <v>45017</v>
      </c>
      <c r="H60" s="10" t="s">
        <v>225</v>
      </c>
      <c r="I60" s="10" t="s">
        <v>226</v>
      </c>
      <c r="J60" s="15">
        <v>309368.99</v>
      </c>
      <c r="K60" s="15">
        <v>309251.30200000008</v>
      </c>
      <c r="L60" s="15">
        <v>117.69</v>
      </c>
      <c r="M60" s="15">
        <v>101.46</v>
      </c>
      <c r="N60" s="15">
        <v>0</v>
      </c>
      <c r="O60" s="15">
        <v>16.23</v>
      </c>
      <c r="P60" s="2" t="s">
        <v>55</v>
      </c>
      <c r="Q60" s="16"/>
    </row>
    <row r="61" spans="1:17" x14ac:dyDescent="0.3">
      <c r="A61" s="10">
        <v>21733</v>
      </c>
      <c r="B61" s="2" t="s">
        <v>3412</v>
      </c>
      <c r="C61" s="13">
        <v>5549</v>
      </c>
      <c r="D61" s="2" t="s">
        <v>44</v>
      </c>
      <c r="E61" s="14">
        <v>44795</v>
      </c>
      <c r="F61" s="10" t="s">
        <v>227</v>
      </c>
      <c r="G61" s="25">
        <v>44804</v>
      </c>
      <c r="H61" s="10" t="s">
        <v>228</v>
      </c>
      <c r="I61" s="10" t="s">
        <v>229</v>
      </c>
      <c r="J61" s="15">
        <v>818876.07</v>
      </c>
      <c r="K61" s="15">
        <v>818757.76792000001</v>
      </c>
      <c r="L61" s="15">
        <v>118.3</v>
      </c>
      <c r="M61" s="15">
        <v>101.98</v>
      </c>
      <c r="N61" s="15">
        <v>0</v>
      </c>
      <c r="O61" s="15">
        <v>16.32</v>
      </c>
      <c r="P61" s="2" t="s">
        <v>55</v>
      </c>
      <c r="Q61" s="16"/>
    </row>
    <row r="62" spans="1:17" x14ac:dyDescent="0.3">
      <c r="A62" s="10">
        <v>21733</v>
      </c>
      <c r="B62" s="2" t="s">
        <v>3413</v>
      </c>
      <c r="C62" s="13">
        <v>5556</v>
      </c>
      <c r="D62" s="2" t="s">
        <v>44</v>
      </c>
      <c r="E62" s="14">
        <v>44874</v>
      </c>
      <c r="F62" s="10" t="s">
        <v>230</v>
      </c>
      <c r="G62" s="25">
        <v>44881</v>
      </c>
      <c r="H62" s="10" t="s">
        <v>231</v>
      </c>
      <c r="I62" s="10" t="s">
        <v>232</v>
      </c>
      <c r="J62" s="15">
        <v>624664.55000000005</v>
      </c>
      <c r="K62" s="15">
        <v>624546.16455999983</v>
      </c>
      <c r="L62" s="15">
        <v>118.39</v>
      </c>
      <c r="M62" s="15">
        <v>102.06</v>
      </c>
      <c r="N62" s="15">
        <v>0</v>
      </c>
      <c r="O62" s="15">
        <v>16.329999999999998</v>
      </c>
      <c r="P62" s="2" t="s">
        <v>55</v>
      </c>
      <c r="Q62" s="16"/>
    </row>
    <row r="63" spans="1:17" x14ac:dyDescent="0.3">
      <c r="A63" s="10">
        <v>21733</v>
      </c>
      <c r="B63" s="2" t="s">
        <v>3414</v>
      </c>
      <c r="C63" s="13">
        <v>5557</v>
      </c>
      <c r="D63" s="2" t="s">
        <v>44</v>
      </c>
      <c r="E63" s="14">
        <v>45010</v>
      </c>
      <c r="F63" s="10" t="s">
        <v>233</v>
      </c>
      <c r="G63" s="25">
        <v>45017</v>
      </c>
      <c r="H63" s="10" t="s">
        <v>234</v>
      </c>
      <c r="I63" s="10" t="s">
        <v>235</v>
      </c>
      <c r="J63" s="15">
        <v>345332.62</v>
      </c>
      <c r="K63" s="15">
        <v>345214.10687999998</v>
      </c>
      <c r="L63" s="15">
        <v>118.51</v>
      </c>
      <c r="M63" s="15">
        <v>102.17</v>
      </c>
      <c r="N63" s="15">
        <v>0</v>
      </c>
      <c r="O63" s="15">
        <v>16.350000000000001</v>
      </c>
      <c r="P63" s="2" t="s">
        <v>55</v>
      </c>
      <c r="Q63" s="16"/>
    </row>
    <row r="64" spans="1:17" x14ac:dyDescent="0.3">
      <c r="A64" s="10">
        <v>21733</v>
      </c>
      <c r="B64" s="2" t="s">
        <v>3415</v>
      </c>
      <c r="C64" s="13">
        <v>5548</v>
      </c>
      <c r="D64" s="2" t="s">
        <v>44</v>
      </c>
      <c r="E64" s="14">
        <v>44396</v>
      </c>
      <c r="F64" s="10" t="s">
        <v>236</v>
      </c>
      <c r="G64" s="25">
        <v>44400</v>
      </c>
      <c r="H64" s="10" t="s">
        <v>237</v>
      </c>
      <c r="I64" s="10" t="s">
        <v>238</v>
      </c>
      <c r="J64" s="15">
        <v>820401.03</v>
      </c>
      <c r="K64" s="15">
        <v>820281.46736000001</v>
      </c>
      <c r="L64" s="15">
        <v>119.56</v>
      </c>
      <c r="M64" s="15">
        <v>103.07</v>
      </c>
      <c r="N64" s="15">
        <v>0</v>
      </c>
      <c r="O64" s="15">
        <v>16.489999999999998</v>
      </c>
      <c r="P64" s="2" t="s">
        <v>55</v>
      </c>
      <c r="Q64" s="16"/>
    </row>
    <row r="65" spans="1:17" x14ac:dyDescent="0.3">
      <c r="A65" s="10">
        <v>21733</v>
      </c>
      <c r="B65" s="2" t="s">
        <v>3416</v>
      </c>
      <c r="C65" s="13">
        <v>5681</v>
      </c>
      <c r="D65" s="2" t="s">
        <v>44</v>
      </c>
      <c r="E65" s="14">
        <v>44648</v>
      </c>
      <c r="F65" s="10" t="s">
        <v>239</v>
      </c>
      <c r="G65" s="25">
        <v>44653</v>
      </c>
      <c r="H65" s="10" t="s">
        <v>240</v>
      </c>
      <c r="I65" s="10" t="s">
        <v>241</v>
      </c>
      <c r="J65" s="15">
        <v>731273.18</v>
      </c>
      <c r="K65" s="15">
        <v>731153.04135999992</v>
      </c>
      <c r="L65" s="15">
        <v>120.14</v>
      </c>
      <c r="M65" s="15">
        <v>103.57</v>
      </c>
      <c r="N65" s="15">
        <v>0</v>
      </c>
      <c r="O65" s="15">
        <v>16.57</v>
      </c>
      <c r="P65" s="2" t="s">
        <v>55</v>
      </c>
      <c r="Q65" s="16"/>
    </row>
    <row r="66" spans="1:17" x14ac:dyDescent="0.3">
      <c r="A66" s="10">
        <v>21733</v>
      </c>
      <c r="B66" s="2" t="s">
        <v>3417</v>
      </c>
      <c r="C66" s="13">
        <v>5548</v>
      </c>
      <c r="D66" s="2" t="s">
        <v>44</v>
      </c>
      <c r="E66" s="14">
        <v>44567</v>
      </c>
      <c r="F66" s="10" t="s">
        <v>242</v>
      </c>
      <c r="G66" s="25">
        <v>44582</v>
      </c>
      <c r="H66" s="10" t="s">
        <v>243</v>
      </c>
      <c r="I66" s="10" t="s">
        <v>244</v>
      </c>
      <c r="J66" s="15">
        <v>1263109.31</v>
      </c>
      <c r="K66" s="15">
        <v>1262989.1001199996</v>
      </c>
      <c r="L66" s="15">
        <v>120.21</v>
      </c>
      <c r="M66" s="15">
        <v>103.63</v>
      </c>
      <c r="N66" s="15">
        <v>0</v>
      </c>
      <c r="O66" s="15">
        <v>16.579999999999998</v>
      </c>
      <c r="P66" s="2" t="s">
        <v>55</v>
      </c>
      <c r="Q66" s="16"/>
    </row>
    <row r="67" spans="1:17" x14ac:dyDescent="0.3">
      <c r="A67" s="10">
        <v>21733</v>
      </c>
      <c r="B67" s="2" t="s">
        <v>3418</v>
      </c>
      <c r="C67" s="13">
        <v>5548</v>
      </c>
      <c r="D67" s="2" t="s">
        <v>44</v>
      </c>
      <c r="E67" s="14">
        <v>44459</v>
      </c>
      <c r="F67" s="10" t="s">
        <v>245</v>
      </c>
      <c r="G67" s="25">
        <v>44463</v>
      </c>
      <c r="H67" s="10" t="s">
        <v>246</v>
      </c>
      <c r="I67" s="10" t="s">
        <v>247</v>
      </c>
      <c r="J67" s="15">
        <v>38856.589999999997</v>
      </c>
      <c r="K67" s="15">
        <v>38735.302319999995</v>
      </c>
      <c r="L67" s="15">
        <v>121.29</v>
      </c>
      <c r="M67" s="15">
        <v>104.56</v>
      </c>
      <c r="N67" s="15">
        <v>0</v>
      </c>
      <c r="O67" s="15">
        <v>16.73</v>
      </c>
      <c r="P67" s="2" t="s">
        <v>55</v>
      </c>
      <c r="Q67" s="16"/>
    </row>
    <row r="68" spans="1:17" x14ac:dyDescent="0.3">
      <c r="A68" s="10">
        <v>21733</v>
      </c>
      <c r="B68" s="2" t="s">
        <v>3419</v>
      </c>
      <c r="C68" s="13">
        <v>5681</v>
      </c>
      <c r="D68" s="2" t="s">
        <v>44</v>
      </c>
      <c r="E68" s="14">
        <v>44879</v>
      </c>
      <c r="F68" s="10" t="s">
        <v>248</v>
      </c>
      <c r="G68" s="25">
        <v>44884</v>
      </c>
      <c r="H68" s="10" t="s">
        <v>249</v>
      </c>
      <c r="I68" s="10" t="s">
        <v>250</v>
      </c>
      <c r="J68" s="15">
        <v>268188.90000000002</v>
      </c>
      <c r="K68" s="15">
        <v>268067.35103999998</v>
      </c>
      <c r="L68" s="15">
        <v>121.55</v>
      </c>
      <c r="M68" s="15">
        <v>104.78</v>
      </c>
      <c r="N68" s="15">
        <v>0</v>
      </c>
      <c r="O68" s="15">
        <v>16.77</v>
      </c>
      <c r="P68" s="2" t="s">
        <v>55</v>
      </c>
      <c r="Q68" s="16"/>
    </row>
    <row r="69" spans="1:17" x14ac:dyDescent="0.3">
      <c r="A69" s="10">
        <v>21733</v>
      </c>
      <c r="B69" s="2" t="s">
        <v>3420</v>
      </c>
      <c r="C69" s="13">
        <v>5548</v>
      </c>
      <c r="D69" s="2" t="s">
        <v>44</v>
      </c>
      <c r="E69" s="14">
        <v>44284</v>
      </c>
      <c r="F69" s="10" t="s">
        <v>251</v>
      </c>
      <c r="G69" s="25">
        <v>44293</v>
      </c>
      <c r="H69" s="10" t="s">
        <v>252</v>
      </c>
      <c r="I69" s="10" t="s">
        <v>253</v>
      </c>
      <c r="J69" s="15">
        <v>15032.6</v>
      </c>
      <c r="K69" s="15">
        <v>14910.9184</v>
      </c>
      <c r="L69" s="15">
        <v>121.68</v>
      </c>
      <c r="M69" s="15">
        <v>104.9</v>
      </c>
      <c r="N69" s="15">
        <v>0</v>
      </c>
      <c r="O69" s="15">
        <v>16.78</v>
      </c>
      <c r="P69" s="2" t="s">
        <v>55</v>
      </c>
      <c r="Q69" s="16"/>
    </row>
    <row r="70" spans="1:17" x14ac:dyDescent="0.3">
      <c r="A70" s="10">
        <v>21733</v>
      </c>
      <c r="B70" s="2" t="s">
        <v>3421</v>
      </c>
      <c r="C70" s="13">
        <v>5548</v>
      </c>
      <c r="D70" s="2" t="s">
        <v>44</v>
      </c>
      <c r="E70" s="14">
        <v>44809</v>
      </c>
      <c r="F70" s="10" t="s">
        <v>254</v>
      </c>
      <c r="G70" s="25">
        <v>44813</v>
      </c>
      <c r="H70" s="10" t="s">
        <v>255</v>
      </c>
      <c r="I70" s="10" t="s">
        <v>256</v>
      </c>
      <c r="J70" s="15">
        <v>815402.19</v>
      </c>
      <c r="K70" s="15">
        <v>815280.00672000006</v>
      </c>
      <c r="L70" s="15">
        <v>122.18</v>
      </c>
      <c r="M70" s="15">
        <v>105.33</v>
      </c>
      <c r="N70" s="15">
        <v>0</v>
      </c>
      <c r="O70" s="15">
        <v>16.850000000000001</v>
      </c>
      <c r="P70" s="2" t="s">
        <v>55</v>
      </c>
      <c r="Q70" s="16"/>
    </row>
    <row r="71" spans="1:17" x14ac:dyDescent="0.3">
      <c r="A71" s="10">
        <v>21733</v>
      </c>
      <c r="B71" s="2" t="s">
        <v>3422</v>
      </c>
      <c r="C71" s="13">
        <v>5548</v>
      </c>
      <c r="D71" s="2" t="s">
        <v>44</v>
      </c>
      <c r="E71" s="14">
        <v>44564</v>
      </c>
      <c r="F71" s="10" t="s">
        <v>257</v>
      </c>
      <c r="G71" s="25">
        <v>44569</v>
      </c>
      <c r="H71" s="10" t="s">
        <v>258</v>
      </c>
      <c r="I71" s="10" t="s">
        <v>259</v>
      </c>
      <c r="J71" s="15">
        <v>12295.23</v>
      </c>
      <c r="K71" s="15">
        <v>12171.9264</v>
      </c>
      <c r="L71" s="15">
        <v>123.3</v>
      </c>
      <c r="M71" s="15">
        <v>106.3</v>
      </c>
      <c r="N71" s="15">
        <v>0</v>
      </c>
      <c r="O71" s="15">
        <v>17.010000000000002</v>
      </c>
      <c r="P71" s="2" t="s">
        <v>55</v>
      </c>
      <c r="Q71" s="16"/>
    </row>
    <row r="72" spans="1:17" x14ac:dyDescent="0.3">
      <c r="A72" s="10">
        <v>21733</v>
      </c>
      <c r="B72" s="2" t="s">
        <v>3423</v>
      </c>
      <c r="C72" s="13">
        <v>5549</v>
      </c>
      <c r="D72" s="2" t="s">
        <v>44</v>
      </c>
      <c r="E72" s="14">
        <v>44726</v>
      </c>
      <c r="F72" s="10" t="s">
        <v>260</v>
      </c>
      <c r="G72" s="25">
        <v>44735</v>
      </c>
      <c r="H72" s="10" t="s">
        <v>261</v>
      </c>
      <c r="I72" s="10" t="s">
        <v>262</v>
      </c>
      <c r="J72" s="15">
        <v>1509798.7</v>
      </c>
      <c r="K72" s="15">
        <v>1509675.2488000004</v>
      </c>
      <c r="L72" s="15">
        <v>123.45</v>
      </c>
      <c r="M72" s="15">
        <v>106.42</v>
      </c>
      <c r="N72" s="15">
        <v>0</v>
      </c>
      <c r="O72" s="15">
        <v>17.03</v>
      </c>
      <c r="P72" s="2" t="s">
        <v>55</v>
      </c>
      <c r="Q72" s="16"/>
    </row>
    <row r="73" spans="1:17" x14ac:dyDescent="0.3">
      <c r="A73" s="10">
        <v>21733</v>
      </c>
      <c r="B73" s="2" t="s">
        <v>3424</v>
      </c>
      <c r="C73" s="13">
        <v>5549</v>
      </c>
      <c r="D73" s="2" t="s">
        <v>44</v>
      </c>
      <c r="E73" s="14">
        <v>45027</v>
      </c>
      <c r="F73" s="10" t="s">
        <v>263</v>
      </c>
      <c r="G73" s="25">
        <v>45038</v>
      </c>
      <c r="H73" s="10" t="s">
        <v>264</v>
      </c>
      <c r="I73" s="10" t="s">
        <v>265</v>
      </c>
      <c r="J73" s="15">
        <v>204566.27</v>
      </c>
      <c r="K73" s="15">
        <v>204442.65835999991</v>
      </c>
      <c r="L73" s="15">
        <v>123.61</v>
      </c>
      <c r="M73" s="15">
        <v>106.56</v>
      </c>
      <c r="N73" s="15">
        <v>0</v>
      </c>
      <c r="O73" s="15">
        <v>17.05</v>
      </c>
      <c r="P73" s="2" t="s">
        <v>55</v>
      </c>
      <c r="Q73" s="16"/>
    </row>
    <row r="74" spans="1:17" x14ac:dyDescent="0.3">
      <c r="A74" s="10">
        <v>21733</v>
      </c>
      <c r="B74" s="2" t="s">
        <v>3425</v>
      </c>
      <c r="C74" s="13">
        <v>5681</v>
      </c>
      <c r="D74" s="2" t="s">
        <v>44</v>
      </c>
      <c r="E74" s="14">
        <v>44480</v>
      </c>
      <c r="F74" s="10" t="s">
        <v>266</v>
      </c>
      <c r="G74" s="25">
        <v>44485</v>
      </c>
      <c r="H74" s="10" t="s">
        <v>267</v>
      </c>
      <c r="I74" s="10" t="s">
        <v>268</v>
      </c>
      <c r="J74" s="15">
        <v>26451.11</v>
      </c>
      <c r="K74" s="15">
        <v>26326.464479999999</v>
      </c>
      <c r="L74" s="15">
        <v>124.65</v>
      </c>
      <c r="M74" s="15">
        <v>107.45</v>
      </c>
      <c r="N74" s="15">
        <v>0</v>
      </c>
      <c r="O74" s="15">
        <v>17.190000000000001</v>
      </c>
      <c r="P74" s="2" t="s">
        <v>55</v>
      </c>
      <c r="Q74" s="16"/>
    </row>
    <row r="75" spans="1:17" x14ac:dyDescent="0.3">
      <c r="A75" s="10">
        <v>21733</v>
      </c>
      <c r="B75" s="2" t="s">
        <v>3426</v>
      </c>
      <c r="C75" s="13">
        <v>5557</v>
      </c>
      <c r="D75" s="2" t="s">
        <v>44</v>
      </c>
      <c r="E75" s="14">
        <v>44326</v>
      </c>
      <c r="F75" s="10" t="s">
        <v>269</v>
      </c>
      <c r="G75" s="25">
        <v>44331</v>
      </c>
      <c r="H75" s="10" t="s">
        <v>270</v>
      </c>
      <c r="I75" s="10" t="s">
        <v>271</v>
      </c>
      <c r="J75" s="15">
        <v>36548.53</v>
      </c>
      <c r="K75" s="15">
        <v>36423.856160000018</v>
      </c>
      <c r="L75" s="15">
        <v>124.67</v>
      </c>
      <c r="M75" s="15">
        <v>107.48</v>
      </c>
      <c r="N75" s="15">
        <v>0</v>
      </c>
      <c r="O75" s="15">
        <v>17.2</v>
      </c>
      <c r="P75" s="2" t="s">
        <v>55</v>
      </c>
      <c r="Q75" s="16"/>
    </row>
    <row r="76" spans="1:17" x14ac:dyDescent="0.3">
      <c r="A76" s="10">
        <v>21733</v>
      </c>
      <c r="B76" s="2" t="s">
        <v>3427</v>
      </c>
      <c r="C76" s="13">
        <v>5549</v>
      </c>
      <c r="D76" s="2" t="s">
        <v>44</v>
      </c>
      <c r="E76" s="14">
        <v>44893</v>
      </c>
      <c r="F76" s="10" t="s">
        <v>272</v>
      </c>
      <c r="G76" s="25">
        <v>44898</v>
      </c>
      <c r="H76" s="10" t="s">
        <v>273</v>
      </c>
      <c r="I76" s="10" t="s">
        <v>274</v>
      </c>
      <c r="J76" s="15">
        <v>906571.79</v>
      </c>
      <c r="K76" s="15">
        <v>906447.0747199998</v>
      </c>
      <c r="L76" s="15">
        <v>124.72</v>
      </c>
      <c r="M76" s="15">
        <v>107.51</v>
      </c>
      <c r="N76" s="15">
        <v>0</v>
      </c>
      <c r="O76" s="15">
        <v>17.2</v>
      </c>
      <c r="P76" s="2" t="s">
        <v>55</v>
      </c>
      <c r="Q76" s="16"/>
    </row>
    <row r="77" spans="1:17" x14ac:dyDescent="0.3">
      <c r="A77" s="10">
        <v>21733</v>
      </c>
      <c r="B77" s="2" t="s">
        <v>3428</v>
      </c>
      <c r="C77" s="13">
        <v>5557</v>
      </c>
      <c r="D77" s="2" t="s">
        <v>44</v>
      </c>
      <c r="E77" s="14">
        <v>44809</v>
      </c>
      <c r="F77" s="10" t="s">
        <v>275</v>
      </c>
      <c r="G77" s="25">
        <v>44814</v>
      </c>
      <c r="H77" s="10" t="s">
        <v>276</v>
      </c>
      <c r="I77" s="10" t="s">
        <v>277</v>
      </c>
      <c r="J77" s="15">
        <v>101731.93</v>
      </c>
      <c r="K77" s="15">
        <v>101606.80816</v>
      </c>
      <c r="L77" s="15">
        <v>125.12</v>
      </c>
      <c r="M77" s="15">
        <v>107.86</v>
      </c>
      <c r="N77" s="15">
        <v>0</v>
      </c>
      <c r="O77" s="15">
        <v>17.260000000000002</v>
      </c>
      <c r="P77" s="2" t="s">
        <v>55</v>
      </c>
      <c r="Q77" s="16"/>
    </row>
    <row r="78" spans="1:17" x14ac:dyDescent="0.3">
      <c r="A78" s="10">
        <v>21733</v>
      </c>
      <c r="B78" s="2" t="s">
        <v>3429</v>
      </c>
      <c r="C78" s="13">
        <v>5548</v>
      </c>
      <c r="D78" s="2" t="s">
        <v>44</v>
      </c>
      <c r="E78" s="14">
        <v>44592</v>
      </c>
      <c r="F78" s="10" t="s">
        <v>278</v>
      </c>
      <c r="G78" s="25">
        <v>44596</v>
      </c>
      <c r="H78" s="10" t="s">
        <v>279</v>
      </c>
      <c r="I78" s="10" t="s">
        <v>280</v>
      </c>
      <c r="J78" s="15">
        <v>12522.39</v>
      </c>
      <c r="K78" s="15">
        <v>12396.790079999999</v>
      </c>
      <c r="L78" s="15">
        <v>125.6</v>
      </c>
      <c r="M78" s="15">
        <v>108.28</v>
      </c>
      <c r="N78" s="15">
        <v>0</v>
      </c>
      <c r="O78" s="15">
        <v>17.32</v>
      </c>
      <c r="P78" s="2" t="s">
        <v>55</v>
      </c>
      <c r="Q78" s="16"/>
    </row>
    <row r="79" spans="1:17" x14ac:dyDescent="0.3">
      <c r="A79" s="10">
        <v>21733</v>
      </c>
      <c r="B79" s="2" t="s">
        <v>3430</v>
      </c>
      <c r="C79" s="13">
        <v>5537</v>
      </c>
      <c r="D79" s="2" t="s">
        <v>44</v>
      </c>
      <c r="E79" s="14">
        <v>44333</v>
      </c>
      <c r="F79" s="10" t="s">
        <v>281</v>
      </c>
      <c r="G79" s="25">
        <v>44338</v>
      </c>
      <c r="H79" s="10" t="s">
        <v>282</v>
      </c>
      <c r="I79" s="10" t="s">
        <v>283</v>
      </c>
      <c r="J79" s="15">
        <v>7694.35</v>
      </c>
      <c r="K79" s="15">
        <v>7568.6659200000004</v>
      </c>
      <c r="L79" s="15">
        <v>125.68</v>
      </c>
      <c r="M79" s="15">
        <v>108.35</v>
      </c>
      <c r="N79" s="15">
        <v>0</v>
      </c>
      <c r="O79" s="15">
        <v>17.34</v>
      </c>
      <c r="P79" s="2" t="s">
        <v>55</v>
      </c>
      <c r="Q79" s="16"/>
    </row>
    <row r="80" spans="1:17" x14ac:dyDescent="0.3">
      <c r="A80" s="10">
        <v>21733</v>
      </c>
      <c r="B80" s="2" t="s">
        <v>3431</v>
      </c>
      <c r="C80" s="13">
        <v>5548</v>
      </c>
      <c r="D80" s="2" t="s">
        <v>44</v>
      </c>
      <c r="E80" s="14">
        <v>44305</v>
      </c>
      <c r="F80" s="10" t="s">
        <v>284</v>
      </c>
      <c r="G80" s="25">
        <v>44309</v>
      </c>
      <c r="H80" s="10" t="s">
        <v>285</v>
      </c>
      <c r="I80" s="10" t="s">
        <v>286</v>
      </c>
      <c r="J80" s="15">
        <v>95974.22</v>
      </c>
      <c r="K80" s="15">
        <v>95848.012520000018</v>
      </c>
      <c r="L80" s="15">
        <v>126.21</v>
      </c>
      <c r="M80" s="15">
        <v>108.8</v>
      </c>
      <c r="N80" s="15">
        <v>0</v>
      </c>
      <c r="O80" s="15">
        <v>17.41</v>
      </c>
      <c r="P80" s="2" t="s">
        <v>55</v>
      </c>
      <c r="Q80" s="16"/>
    </row>
    <row r="81" spans="1:17" x14ac:dyDescent="0.3">
      <c r="A81" s="10">
        <v>21733</v>
      </c>
      <c r="B81" s="2" t="s">
        <v>3432</v>
      </c>
      <c r="C81" s="13">
        <v>5537</v>
      </c>
      <c r="D81" s="2" t="s">
        <v>44</v>
      </c>
      <c r="E81" s="14">
        <v>44571</v>
      </c>
      <c r="F81" s="10" t="s">
        <v>287</v>
      </c>
      <c r="G81" s="25">
        <v>44576</v>
      </c>
      <c r="H81" s="10" t="s">
        <v>288</v>
      </c>
      <c r="I81" s="10" t="s">
        <v>289</v>
      </c>
      <c r="J81" s="15">
        <v>12659.4</v>
      </c>
      <c r="K81" s="15">
        <v>12532.440479999999</v>
      </c>
      <c r="L81" s="15">
        <v>126.96</v>
      </c>
      <c r="M81" s="15">
        <v>109.45</v>
      </c>
      <c r="N81" s="15">
        <v>0</v>
      </c>
      <c r="O81" s="15">
        <v>17.510000000000002</v>
      </c>
      <c r="P81" s="2" t="s">
        <v>55</v>
      </c>
      <c r="Q81" s="16"/>
    </row>
    <row r="82" spans="1:17" x14ac:dyDescent="0.3">
      <c r="A82" s="10">
        <v>21733</v>
      </c>
      <c r="B82" s="2" t="s">
        <v>3433</v>
      </c>
      <c r="C82" s="13">
        <v>5548</v>
      </c>
      <c r="D82" s="2" t="s">
        <v>44</v>
      </c>
      <c r="E82" s="14">
        <v>44643</v>
      </c>
      <c r="F82" s="10" t="s">
        <v>290</v>
      </c>
      <c r="G82" s="25">
        <v>44650</v>
      </c>
      <c r="H82" s="10" t="s">
        <v>291</v>
      </c>
      <c r="I82" s="10" t="s">
        <v>292</v>
      </c>
      <c r="J82" s="15">
        <v>256589.33</v>
      </c>
      <c r="K82" s="15">
        <v>256462.08000000002</v>
      </c>
      <c r="L82" s="15">
        <v>127.25</v>
      </c>
      <c r="M82" s="15">
        <v>109.7</v>
      </c>
      <c r="N82" s="15">
        <v>0</v>
      </c>
      <c r="O82" s="15">
        <v>17.55</v>
      </c>
      <c r="P82" s="2" t="s">
        <v>55</v>
      </c>
      <c r="Q82" s="16"/>
    </row>
    <row r="83" spans="1:17" x14ac:dyDescent="0.3">
      <c r="A83" s="10">
        <v>21733</v>
      </c>
      <c r="B83" s="2" t="s">
        <v>3434</v>
      </c>
      <c r="C83" s="13">
        <v>5556</v>
      </c>
      <c r="D83" s="2" t="s">
        <v>44</v>
      </c>
      <c r="E83" s="14">
        <v>44615</v>
      </c>
      <c r="F83" s="10" t="s">
        <v>293</v>
      </c>
      <c r="G83" s="25">
        <v>44621</v>
      </c>
      <c r="H83" s="10" t="s">
        <v>294</v>
      </c>
      <c r="I83" s="10" t="s">
        <v>295</v>
      </c>
      <c r="J83" s="15">
        <v>64559.59</v>
      </c>
      <c r="K83" s="15">
        <v>64432.222040000001</v>
      </c>
      <c r="L83" s="15">
        <v>127.37</v>
      </c>
      <c r="M83" s="15">
        <v>109.8</v>
      </c>
      <c r="N83" s="15">
        <v>0</v>
      </c>
      <c r="O83" s="15">
        <v>17.57</v>
      </c>
      <c r="P83" s="2" t="s">
        <v>55</v>
      </c>
      <c r="Q83" s="16"/>
    </row>
    <row r="84" spans="1:17" x14ac:dyDescent="0.3">
      <c r="A84" s="10">
        <v>21733</v>
      </c>
      <c r="B84" s="2" t="s">
        <v>3435</v>
      </c>
      <c r="C84" s="13">
        <v>5548</v>
      </c>
      <c r="D84" s="2" t="s">
        <v>44</v>
      </c>
      <c r="E84" s="14">
        <v>44788</v>
      </c>
      <c r="F84" s="10" t="s">
        <v>296</v>
      </c>
      <c r="G84" s="25">
        <v>44792</v>
      </c>
      <c r="H84" s="10" t="s">
        <v>297</v>
      </c>
      <c r="I84" s="10" t="s">
        <v>298</v>
      </c>
      <c r="J84" s="15">
        <v>766268.66</v>
      </c>
      <c r="K84" s="15">
        <v>766141.28035999998</v>
      </c>
      <c r="L84" s="15">
        <v>127.38</v>
      </c>
      <c r="M84" s="15">
        <v>109.81</v>
      </c>
      <c r="N84" s="15">
        <v>0</v>
      </c>
      <c r="O84" s="15">
        <v>17.57</v>
      </c>
      <c r="P84" s="2" t="s">
        <v>55</v>
      </c>
      <c r="Q84" s="16"/>
    </row>
    <row r="85" spans="1:17" x14ac:dyDescent="0.3">
      <c r="A85" s="10">
        <v>21733</v>
      </c>
      <c r="B85" s="2" t="s">
        <v>3436</v>
      </c>
      <c r="C85" s="13">
        <v>5681</v>
      </c>
      <c r="D85" s="2" t="s">
        <v>44</v>
      </c>
      <c r="E85" s="14">
        <v>44571</v>
      </c>
      <c r="F85" s="10" t="s">
        <v>299</v>
      </c>
      <c r="G85" s="25">
        <v>44577</v>
      </c>
      <c r="H85" s="10" t="s">
        <v>300</v>
      </c>
      <c r="I85" s="10" t="s">
        <v>301</v>
      </c>
      <c r="J85" s="15">
        <v>12749.53</v>
      </c>
      <c r="K85" s="15">
        <v>12621.653760000001</v>
      </c>
      <c r="L85" s="15">
        <v>127.88</v>
      </c>
      <c r="M85" s="15">
        <v>110.24</v>
      </c>
      <c r="N85" s="15">
        <v>0</v>
      </c>
      <c r="O85" s="15">
        <v>17.64</v>
      </c>
      <c r="P85" s="2" t="s">
        <v>55</v>
      </c>
      <c r="Q85" s="16"/>
    </row>
    <row r="86" spans="1:17" x14ac:dyDescent="0.3">
      <c r="A86" s="10">
        <v>21733</v>
      </c>
      <c r="B86" s="2" t="s">
        <v>3437</v>
      </c>
      <c r="C86" s="13">
        <v>5556</v>
      </c>
      <c r="D86" s="2" t="s">
        <v>44</v>
      </c>
      <c r="E86" s="14">
        <v>44489</v>
      </c>
      <c r="F86" s="10" t="s">
        <v>302</v>
      </c>
      <c r="G86" s="25">
        <v>44495</v>
      </c>
      <c r="H86" s="10" t="s">
        <v>303</v>
      </c>
      <c r="I86" s="10" t="s">
        <v>304</v>
      </c>
      <c r="J86" s="15">
        <v>9433.1</v>
      </c>
      <c r="K86" s="15">
        <v>9305.1024000000016</v>
      </c>
      <c r="L86" s="15">
        <v>128</v>
      </c>
      <c r="M86" s="15">
        <v>110.34</v>
      </c>
      <c r="N86" s="15">
        <v>0</v>
      </c>
      <c r="O86" s="15">
        <v>17.649999999999999</v>
      </c>
      <c r="P86" s="2" t="s">
        <v>55</v>
      </c>
      <c r="Q86" s="16"/>
    </row>
    <row r="87" spans="1:17" x14ac:dyDescent="0.3">
      <c r="A87" s="10">
        <v>21733</v>
      </c>
      <c r="B87" s="2" t="s">
        <v>3438</v>
      </c>
      <c r="C87" s="13">
        <v>5681</v>
      </c>
      <c r="D87" s="2" t="s">
        <v>44</v>
      </c>
      <c r="E87" s="14">
        <v>44883</v>
      </c>
      <c r="F87" s="10" t="s">
        <v>305</v>
      </c>
      <c r="G87" s="25">
        <v>44899</v>
      </c>
      <c r="H87" s="10" t="s">
        <v>306</v>
      </c>
      <c r="I87" s="10" t="s">
        <v>307</v>
      </c>
      <c r="J87" s="15">
        <v>596945.22</v>
      </c>
      <c r="K87" s="15">
        <v>596817.21600000001</v>
      </c>
      <c r="L87" s="15">
        <v>128</v>
      </c>
      <c r="M87" s="15">
        <v>110.35</v>
      </c>
      <c r="N87" s="15">
        <v>0</v>
      </c>
      <c r="O87" s="15">
        <v>17.66</v>
      </c>
      <c r="P87" s="2" t="s">
        <v>55</v>
      </c>
      <c r="Q87" s="16"/>
    </row>
    <row r="88" spans="1:17" x14ac:dyDescent="0.3">
      <c r="A88" s="10">
        <v>21733</v>
      </c>
      <c r="B88" s="2" t="s">
        <v>3439</v>
      </c>
      <c r="C88" s="13">
        <v>5556</v>
      </c>
      <c r="D88" s="2" t="s">
        <v>44</v>
      </c>
      <c r="E88" s="14">
        <v>45027</v>
      </c>
      <c r="F88" s="10" t="s">
        <v>308</v>
      </c>
      <c r="G88" s="25">
        <v>45036</v>
      </c>
      <c r="H88" s="10" t="s">
        <v>309</v>
      </c>
      <c r="I88" s="10" t="s">
        <v>310</v>
      </c>
      <c r="J88" s="15">
        <v>194520.93</v>
      </c>
      <c r="K88" s="15">
        <v>194392.8</v>
      </c>
      <c r="L88" s="15">
        <v>128.13</v>
      </c>
      <c r="M88" s="15">
        <v>110.46</v>
      </c>
      <c r="N88" s="15">
        <v>0</v>
      </c>
      <c r="O88" s="15">
        <v>17.670000000000002</v>
      </c>
      <c r="P88" s="2" t="s">
        <v>55</v>
      </c>
      <c r="Q88" s="16"/>
    </row>
    <row r="89" spans="1:17" x14ac:dyDescent="0.3">
      <c r="A89" s="10">
        <v>21733</v>
      </c>
      <c r="B89" s="2" t="s">
        <v>3440</v>
      </c>
      <c r="C89" s="13">
        <v>5681</v>
      </c>
      <c r="D89" s="2" t="s">
        <v>44</v>
      </c>
      <c r="E89" s="14">
        <v>44858</v>
      </c>
      <c r="F89" s="10" t="s">
        <v>311</v>
      </c>
      <c r="G89" s="25">
        <v>44862</v>
      </c>
      <c r="H89" s="10" t="s">
        <v>312</v>
      </c>
      <c r="I89" s="10" t="s">
        <v>313</v>
      </c>
      <c r="J89" s="15">
        <v>440983.44</v>
      </c>
      <c r="K89" s="15">
        <v>440854.91904000007</v>
      </c>
      <c r="L89" s="15">
        <v>128.52000000000001</v>
      </c>
      <c r="M89" s="15">
        <v>110.79</v>
      </c>
      <c r="N89" s="15">
        <v>0</v>
      </c>
      <c r="O89" s="15">
        <v>17.73</v>
      </c>
      <c r="P89" s="2" t="s">
        <v>55</v>
      </c>
      <c r="Q89" s="16"/>
    </row>
    <row r="90" spans="1:17" x14ac:dyDescent="0.3">
      <c r="A90" s="10">
        <v>21733</v>
      </c>
      <c r="B90" s="2" t="s">
        <v>3441</v>
      </c>
      <c r="C90" s="13">
        <v>5537</v>
      </c>
      <c r="D90" s="2" t="s">
        <v>44</v>
      </c>
      <c r="E90" s="14">
        <v>44978</v>
      </c>
      <c r="F90" s="10" t="s">
        <v>314</v>
      </c>
      <c r="G90" s="25">
        <v>44989</v>
      </c>
      <c r="H90" s="10" t="s">
        <v>315</v>
      </c>
      <c r="I90" s="10" t="s">
        <v>316</v>
      </c>
      <c r="J90" s="15">
        <v>402857.8</v>
      </c>
      <c r="K90" s="15">
        <v>402729.26399999997</v>
      </c>
      <c r="L90" s="15">
        <v>128.54</v>
      </c>
      <c r="M90" s="15">
        <v>110.81</v>
      </c>
      <c r="N90" s="15">
        <v>0</v>
      </c>
      <c r="O90" s="15">
        <v>17.73</v>
      </c>
      <c r="P90" s="2" t="s">
        <v>55</v>
      </c>
      <c r="Q90" s="16"/>
    </row>
    <row r="91" spans="1:17" x14ac:dyDescent="0.3">
      <c r="A91" s="10">
        <v>21733</v>
      </c>
      <c r="B91" s="2" t="s">
        <v>3442</v>
      </c>
      <c r="C91" s="13">
        <v>5548</v>
      </c>
      <c r="D91" s="2" t="s">
        <v>44</v>
      </c>
      <c r="E91" s="14">
        <v>43969</v>
      </c>
      <c r="F91" s="10" t="s">
        <v>317</v>
      </c>
      <c r="G91" s="25">
        <v>43975</v>
      </c>
      <c r="H91" s="10" t="s">
        <v>318</v>
      </c>
      <c r="I91" s="10" t="s">
        <v>319</v>
      </c>
      <c r="J91" s="15">
        <v>699005.37</v>
      </c>
      <c r="K91" s="15">
        <v>698876.40560000006</v>
      </c>
      <c r="L91" s="15">
        <v>128.96</v>
      </c>
      <c r="M91" s="15">
        <v>111.18</v>
      </c>
      <c r="N91" s="15">
        <v>0</v>
      </c>
      <c r="O91" s="15">
        <v>17.79</v>
      </c>
      <c r="P91" s="2" t="s">
        <v>55</v>
      </c>
      <c r="Q91" s="16"/>
    </row>
    <row r="92" spans="1:17" x14ac:dyDescent="0.3">
      <c r="A92" s="10">
        <v>21733</v>
      </c>
      <c r="B92" s="2" t="s">
        <v>3443</v>
      </c>
      <c r="C92" s="13">
        <v>5548</v>
      </c>
      <c r="D92" s="2" t="s">
        <v>44</v>
      </c>
      <c r="E92" s="14">
        <v>44613</v>
      </c>
      <c r="F92" s="10" t="s">
        <v>320</v>
      </c>
      <c r="G92" s="25">
        <v>44617</v>
      </c>
      <c r="H92" s="10" t="s">
        <v>321</v>
      </c>
      <c r="I92" s="10" t="s">
        <v>322</v>
      </c>
      <c r="J92" s="15">
        <v>852276.91</v>
      </c>
      <c r="K92" s="15">
        <v>852147.83200000005</v>
      </c>
      <c r="L92" s="15">
        <v>129.08000000000001</v>
      </c>
      <c r="M92" s="15">
        <v>111.27</v>
      </c>
      <c r="N92" s="15">
        <v>0</v>
      </c>
      <c r="O92" s="15">
        <v>17.8</v>
      </c>
      <c r="P92" s="2" t="s">
        <v>55</v>
      </c>
      <c r="Q92" s="16"/>
    </row>
    <row r="93" spans="1:17" x14ac:dyDescent="0.3">
      <c r="A93" s="10">
        <v>21733</v>
      </c>
      <c r="B93" s="2" t="s">
        <v>3444</v>
      </c>
      <c r="C93" s="13">
        <v>5549</v>
      </c>
      <c r="D93" s="2" t="s">
        <v>44</v>
      </c>
      <c r="E93" s="14">
        <v>44643</v>
      </c>
      <c r="F93" s="10" t="s">
        <v>323</v>
      </c>
      <c r="G93" s="25">
        <v>44653</v>
      </c>
      <c r="H93" s="10" t="s">
        <v>324</v>
      </c>
      <c r="I93" s="10" t="s">
        <v>325</v>
      </c>
      <c r="J93" s="15">
        <v>260410.91</v>
      </c>
      <c r="K93" s="15">
        <v>260281.728</v>
      </c>
      <c r="L93" s="15">
        <v>129.18</v>
      </c>
      <c r="M93" s="15">
        <v>111.36</v>
      </c>
      <c r="N93" s="15">
        <v>0</v>
      </c>
      <c r="O93" s="15">
        <v>17.82</v>
      </c>
      <c r="P93" s="2" t="s">
        <v>55</v>
      </c>
      <c r="Q93" s="16"/>
    </row>
    <row r="94" spans="1:17" x14ac:dyDescent="0.3">
      <c r="A94" s="10">
        <v>21733</v>
      </c>
      <c r="B94" s="2" t="s">
        <v>3445</v>
      </c>
      <c r="C94" s="13">
        <v>5681</v>
      </c>
      <c r="D94" s="2" t="s">
        <v>44</v>
      </c>
      <c r="E94" s="14">
        <v>44613</v>
      </c>
      <c r="F94" s="10" t="s">
        <v>326</v>
      </c>
      <c r="G94" s="25">
        <v>44619</v>
      </c>
      <c r="H94" s="10" t="s">
        <v>327</v>
      </c>
      <c r="I94" s="10" t="s">
        <v>328</v>
      </c>
      <c r="J94" s="15">
        <v>12925.03</v>
      </c>
      <c r="K94" s="15">
        <v>12795.7744</v>
      </c>
      <c r="L94" s="15">
        <v>129.26</v>
      </c>
      <c r="M94" s="15">
        <v>111.43</v>
      </c>
      <c r="N94" s="15">
        <v>0</v>
      </c>
      <c r="O94" s="15">
        <v>17.829999999999998</v>
      </c>
      <c r="P94" s="2" t="s">
        <v>55</v>
      </c>
      <c r="Q94" s="16"/>
    </row>
    <row r="95" spans="1:17" x14ac:dyDescent="0.3">
      <c r="A95" s="10">
        <v>21733</v>
      </c>
      <c r="B95" s="2" t="s">
        <v>3446</v>
      </c>
      <c r="C95" s="13">
        <v>5681</v>
      </c>
      <c r="D95" s="2" t="s">
        <v>44</v>
      </c>
      <c r="E95" s="14">
        <v>44907</v>
      </c>
      <c r="F95" s="10" t="s">
        <v>329</v>
      </c>
      <c r="G95" s="25">
        <v>44912</v>
      </c>
      <c r="H95" s="10" t="s">
        <v>330</v>
      </c>
      <c r="I95" s="10" t="s">
        <v>331</v>
      </c>
      <c r="J95" s="15">
        <v>183223.67999999999</v>
      </c>
      <c r="K95" s="15">
        <v>183093.65064000004</v>
      </c>
      <c r="L95" s="15">
        <v>130.03</v>
      </c>
      <c r="M95" s="15">
        <v>112.09</v>
      </c>
      <c r="N95" s="15">
        <v>0</v>
      </c>
      <c r="O95" s="15">
        <v>17.940000000000001</v>
      </c>
      <c r="P95" s="2" t="s">
        <v>55</v>
      </c>
      <c r="Q95" s="16"/>
    </row>
    <row r="96" spans="1:17" x14ac:dyDescent="0.3">
      <c r="A96" s="10">
        <v>21733</v>
      </c>
      <c r="B96" s="2" t="s">
        <v>3447</v>
      </c>
      <c r="C96" s="13">
        <v>5556</v>
      </c>
      <c r="D96" s="2" t="s">
        <v>44</v>
      </c>
      <c r="E96" s="14">
        <v>44860</v>
      </c>
      <c r="F96" s="10" t="s">
        <v>332</v>
      </c>
      <c r="G96" s="25">
        <v>44868</v>
      </c>
      <c r="H96" s="10" t="s">
        <v>333</v>
      </c>
      <c r="I96" s="10" t="s">
        <v>334</v>
      </c>
      <c r="J96" s="15">
        <v>852663.45</v>
      </c>
      <c r="K96" s="15">
        <v>852531.98919999984</v>
      </c>
      <c r="L96" s="15">
        <v>131.46</v>
      </c>
      <c r="M96" s="15">
        <v>113.33</v>
      </c>
      <c r="N96" s="15">
        <v>0</v>
      </c>
      <c r="O96" s="15">
        <v>18.13</v>
      </c>
      <c r="P96" s="2" t="s">
        <v>55</v>
      </c>
      <c r="Q96" s="16"/>
    </row>
    <row r="97" spans="1:17" x14ac:dyDescent="0.3">
      <c r="A97" s="10">
        <v>21733</v>
      </c>
      <c r="B97" s="2" t="s">
        <v>3448</v>
      </c>
      <c r="C97" s="13">
        <v>5548</v>
      </c>
      <c r="D97" s="2" t="s">
        <v>44</v>
      </c>
      <c r="E97" s="14">
        <v>44606</v>
      </c>
      <c r="F97" s="10" t="s">
        <v>335</v>
      </c>
      <c r="G97" s="25">
        <v>44610</v>
      </c>
      <c r="H97" s="10" t="s">
        <v>336</v>
      </c>
      <c r="I97" s="10" t="s">
        <v>337</v>
      </c>
      <c r="J97" s="15">
        <v>1129695.0900000001</v>
      </c>
      <c r="K97" s="15">
        <v>1129563.6230399995</v>
      </c>
      <c r="L97" s="15">
        <v>131.47</v>
      </c>
      <c r="M97" s="15">
        <v>113.33</v>
      </c>
      <c r="N97" s="15">
        <v>0</v>
      </c>
      <c r="O97" s="15">
        <v>18.13</v>
      </c>
      <c r="P97" s="2" t="s">
        <v>55</v>
      </c>
      <c r="Q97" s="16"/>
    </row>
    <row r="98" spans="1:17" x14ac:dyDescent="0.3">
      <c r="A98" s="10">
        <v>21733</v>
      </c>
      <c r="B98" s="2" t="s">
        <v>3449</v>
      </c>
      <c r="C98" s="13">
        <v>5548</v>
      </c>
      <c r="D98" s="2" t="s">
        <v>44</v>
      </c>
      <c r="E98" s="14">
        <v>44298</v>
      </c>
      <c r="F98" s="10" t="s">
        <v>338</v>
      </c>
      <c r="G98" s="25">
        <v>44302</v>
      </c>
      <c r="H98" s="10" t="s">
        <v>339</v>
      </c>
      <c r="I98" s="10" t="s">
        <v>340</v>
      </c>
      <c r="J98" s="15">
        <v>15494.3</v>
      </c>
      <c r="K98" s="15">
        <v>15362.2976</v>
      </c>
      <c r="L98" s="15">
        <v>132</v>
      </c>
      <c r="M98" s="15">
        <v>113.8</v>
      </c>
      <c r="N98" s="15">
        <v>0</v>
      </c>
      <c r="O98" s="15">
        <v>18.21</v>
      </c>
      <c r="P98" s="2" t="s">
        <v>55</v>
      </c>
      <c r="Q98" s="16"/>
    </row>
    <row r="99" spans="1:17" x14ac:dyDescent="0.3">
      <c r="A99" s="10">
        <v>21733</v>
      </c>
      <c r="B99" s="2" t="s">
        <v>3450</v>
      </c>
      <c r="C99" s="13">
        <v>5549</v>
      </c>
      <c r="D99" s="2" t="s">
        <v>44</v>
      </c>
      <c r="E99" s="14">
        <v>44872</v>
      </c>
      <c r="F99" s="10" t="s">
        <v>341</v>
      </c>
      <c r="G99" s="25">
        <v>44877</v>
      </c>
      <c r="H99" s="10" t="s">
        <v>342</v>
      </c>
      <c r="I99" s="10" t="s">
        <v>343</v>
      </c>
      <c r="J99" s="15">
        <v>1296392.55</v>
      </c>
      <c r="K99" s="15">
        <v>1296260.4254399999</v>
      </c>
      <c r="L99" s="15">
        <v>132.12</v>
      </c>
      <c r="M99" s="15">
        <v>113.9</v>
      </c>
      <c r="N99" s="15">
        <v>0</v>
      </c>
      <c r="O99" s="15">
        <v>18.22</v>
      </c>
      <c r="P99" s="2" t="s">
        <v>55</v>
      </c>
      <c r="Q99" s="16"/>
    </row>
    <row r="100" spans="1:17" x14ac:dyDescent="0.3">
      <c r="A100" s="10">
        <v>21733</v>
      </c>
      <c r="B100" s="2" t="s">
        <v>3451</v>
      </c>
      <c r="C100" s="13">
        <v>5681</v>
      </c>
      <c r="D100" s="2" t="s">
        <v>44</v>
      </c>
      <c r="E100" s="14">
        <v>44564</v>
      </c>
      <c r="F100" s="10" t="s">
        <v>344</v>
      </c>
      <c r="G100" s="25">
        <v>44569</v>
      </c>
      <c r="H100" s="10" t="s">
        <v>345</v>
      </c>
      <c r="I100" s="10" t="s">
        <v>346</v>
      </c>
      <c r="J100" s="15">
        <v>13262.77</v>
      </c>
      <c r="K100" s="15">
        <v>13130.153679999999</v>
      </c>
      <c r="L100" s="15">
        <v>132.62</v>
      </c>
      <c r="M100" s="15">
        <v>114.32</v>
      </c>
      <c r="N100" s="15">
        <v>0</v>
      </c>
      <c r="O100" s="15">
        <v>18.29</v>
      </c>
      <c r="P100" s="2" t="s">
        <v>55</v>
      </c>
      <c r="Q100" s="16"/>
    </row>
    <row r="101" spans="1:17" x14ac:dyDescent="0.3">
      <c r="A101" s="10">
        <v>21733</v>
      </c>
      <c r="B101" s="2" t="s">
        <v>3452</v>
      </c>
      <c r="C101" s="13">
        <v>5681</v>
      </c>
      <c r="D101" s="2" t="s">
        <v>44</v>
      </c>
      <c r="E101" s="14">
        <v>44403</v>
      </c>
      <c r="F101" s="10" t="s">
        <v>347</v>
      </c>
      <c r="G101" s="25">
        <v>44408</v>
      </c>
      <c r="H101" s="10" t="s">
        <v>348</v>
      </c>
      <c r="I101" s="10" t="s">
        <v>349</v>
      </c>
      <c r="J101" s="15">
        <v>95636.47</v>
      </c>
      <c r="K101" s="15">
        <v>95503.817319999987</v>
      </c>
      <c r="L101" s="15">
        <v>132.65</v>
      </c>
      <c r="M101" s="15">
        <v>114.36</v>
      </c>
      <c r="N101" s="15">
        <v>0</v>
      </c>
      <c r="O101" s="15">
        <v>18.3</v>
      </c>
      <c r="P101" s="2" t="s">
        <v>55</v>
      </c>
      <c r="Q101" s="16"/>
    </row>
    <row r="102" spans="1:17" x14ac:dyDescent="0.3">
      <c r="A102" s="10">
        <v>21733</v>
      </c>
      <c r="B102" s="2" t="s">
        <v>3453</v>
      </c>
      <c r="C102" s="13">
        <v>5548</v>
      </c>
      <c r="D102" s="2" t="s">
        <v>44</v>
      </c>
      <c r="E102" s="14">
        <v>44578</v>
      </c>
      <c r="F102" s="10" t="s">
        <v>350</v>
      </c>
      <c r="G102" s="25">
        <v>44582</v>
      </c>
      <c r="H102" s="10" t="s">
        <v>351</v>
      </c>
      <c r="I102" s="10" t="s">
        <v>352</v>
      </c>
      <c r="J102" s="15">
        <v>13250.74</v>
      </c>
      <c r="K102" s="15">
        <v>13117.818240000001</v>
      </c>
      <c r="L102" s="15">
        <v>132.91999999999999</v>
      </c>
      <c r="M102" s="15">
        <v>114.59</v>
      </c>
      <c r="N102" s="15">
        <v>0</v>
      </c>
      <c r="O102" s="15">
        <v>18.329999999999998</v>
      </c>
      <c r="P102" s="2" t="s">
        <v>55</v>
      </c>
      <c r="Q102" s="16"/>
    </row>
    <row r="103" spans="1:17" x14ac:dyDescent="0.3">
      <c r="A103" s="10">
        <v>21733</v>
      </c>
      <c r="B103" s="2" t="s">
        <v>3454</v>
      </c>
      <c r="C103" s="13">
        <v>5556</v>
      </c>
      <c r="D103" s="2" t="s">
        <v>44</v>
      </c>
      <c r="E103" s="14">
        <v>44333</v>
      </c>
      <c r="F103" s="10" t="s">
        <v>353</v>
      </c>
      <c r="G103" s="25">
        <v>44341</v>
      </c>
      <c r="H103" s="10" t="s">
        <v>354</v>
      </c>
      <c r="I103" s="10" t="s">
        <v>355</v>
      </c>
      <c r="J103" s="15">
        <v>20101.39</v>
      </c>
      <c r="K103" s="15">
        <v>19968.240000000002</v>
      </c>
      <c r="L103" s="15">
        <v>133.15</v>
      </c>
      <c r="M103" s="15">
        <v>114.78</v>
      </c>
      <c r="N103" s="15">
        <v>0</v>
      </c>
      <c r="O103" s="15">
        <v>18.37</v>
      </c>
      <c r="P103" s="2" t="s">
        <v>55</v>
      </c>
      <c r="Q103" s="16"/>
    </row>
    <row r="104" spans="1:17" x14ac:dyDescent="0.3">
      <c r="A104" s="10">
        <v>21733</v>
      </c>
      <c r="B104" s="2" t="s">
        <v>3455</v>
      </c>
      <c r="C104" s="13">
        <v>5681</v>
      </c>
      <c r="D104" s="2" t="s">
        <v>44</v>
      </c>
      <c r="E104" s="14">
        <v>44564</v>
      </c>
      <c r="F104" s="10" t="s">
        <v>356</v>
      </c>
      <c r="G104" s="25">
        <v>44569</v>
      </c>
      <c r="H104" s="10" t="s">
        <v>357</v>
      </c>
      <c r="I104" s="10" t="s">
        <v>358</v>
      </c>
      <c r="J104" s="15">
        <v>482045.23</v>
      </c>
      <c r="K104" s="15">
        <v>481911.69803999993</v>
      </c>
      <c r="L104" s="15">
        <v>133.53</v>
      </c>
      <c r="M104" s="15">
        <v>115.11</v>
      </c>
      <c r="N104" s="15">
        <v>0</v>
      </c>
      <c r="O104" s="15">
        <v>18.420000000000002</v>
      </c>
      <c r="P104" s="2" t="s">
        <v>55</v>
      </c>
      <c r="Q104" s="16"/>
    </row>
    <row r="105" spans="1:17" x14ac:dyDescent="0.3">
      <c r="A105" s="10">
        <v>21733</v>
      </c>
      <c r="B105" s="2" t="s">
        <v>3456</v>
      </c>
      <c r="C105" s="13">
        <v>5549</v>
      </c>
      <c r="D105" s="2" t="s">
        <v>44</v>
      </c>
      <c r="E105" s="14">
        <v>44844</v>
      </c>
      <c r="F105" s="10" t="s">
        <v>359</v>
      </c>
      <c r="G105" s="25">
        <v>44861</v>
      </c>
      <c r="H105" s="10" t="s">
        <v>360</v>
      </c>
      <c r="I105" s="10" t="s">
        <v>361</v>
      </c>
      <c r="J105" s="15">
        <v>723583.64</v>
      </c>
      <c r="K105" s="15">
        <v>723450.00335999986</v>
      </c>
      <c r="L105" s="15">
        <v>133.63999999999999</v>
      </c>
      <c r="M105" s="15">
        <v>115.2</v>
      </c>
      <c r="N105" s="15">
        <v>0</v>
      </c>
      <c r="O105" s="15">
        <v>18.43</v>
      </c>
      <c r="P105" s="2" t="s">
        <v>55</v>
      </c>
      <c r="Q105" s="16"/>
    </row>
    <row r="106" spans="1:17" x14ac:dyDescent="0.3">
      <c r="A106" s="10">
        <v>21733</v>
      </c>
      <c r="B106" s="2" t="s">
        <v>3457</v>
      </c>
      <c r="C106" s="13">
        <v>5548</v>
      </c>
      <c r="D106" s="2" t="s">
        <v>44</v>
      </c>
      <c r="E106" s="14">
        <v>44466</v>
      </c>
      <c r="F106" s="10" t="s">
        <v>362</v>
      </c>
      <c r="G106" s="25">
        <v>44470</v>
      </c>
      <c r="H106" s="10" t="s">
        <v>363</v>
      </c>
      <c r="I106" s="10" t="s">
        <v>364</v>
      </c>
      <c r="J106" s="15">
        <v>24238.42</v>
      </c>
      <c r="K106" s="15">
        <v>24104.7304</v>
      </c>
      <c r="L106" s="15">
        <v>133.69</v>
      </c>
      <c r="M106" s="15">
        <v>115.25</v>
      </c>
      <c r="N106" s="15">
        <v>0</v>
      </c>
      <c r="O106" s="15">
        <v>18.440000000000001</v>
      </c>
      <c r="P106" s="2" t="s">
        <v>55</v>
      </c>
      <c r="Q106" s="16"/>
    </row>
    <row r="107" spans="1:17" x14ac:dyDescent="0.3">
      <c r="A107" s="10">
        <v>21733</v>
      </c>
      <c r="B107" s="2" t="s">
        <v>3458</v>
      </c>
      <c r="C107" s="13">
        <v>5549</v>
      </c>
      <c r="D107" s="2" t="s">
        <v>44</v>
      </c>
      <c r="E107" s="14">
        <v>44620</v>
      </c>
      <c r="F107" s="10" t="s">
        <v>365</v>
      </c>
      <c r="G107" s="25">
        <v>44625</v>
      </c>
      <c r="H107" s="10" t="s">
        <v>366</v>
      </c>
      <c r="I107" s="10" t="s">
        <v>367</v>
      </c>
      <c r="J107" s="15">
        <v>975793.9</v>
      </c>
      <c r="K107" s="15">
        <v>975660.11264000006</v>
      </c>
      <c r="L107" s="15">
        <v>133.79</v>
      </c>
      <c r="M107" s="15">
        <v>115.33</v>
      </c>
      <c r="N107" s="15">
        <v>0</v>
      </c>
      <c r="O107" s="15">
        <v>18.45</v>
      </c>
      <c r="P107" s="2" t="s">
        <v>55</v>
      </c>
      <c r="Q107" s="16"/>
    </row>
    <row r="108" spans="1:17" x14ac:dyDescent="0.3">
      <c r="A108" s="10">
        <v>21733</v>
      </c>
      <c r="B108" s="2" t="s">
        <v>3459</v>
      </c>
      <c r="C108" s="13">
        <v>5681</v>
      </c>
      <c r="D108" s="2" t="s">
        <v>44</v>
      </c>
      <c r="E108" s="14">
        <v>45010</v>
      </c>
      <c r="F108" s="10" t="s">
        <v>368</v>
      </c>
      <c r="G108" s="25">
        <v>45023</v>
      </c>
      <c r="H108" s="10" t="s">
        <v>369</v>
      </c>
      <c r="I108" s="10" t="s">
        <v>370</v>
      </c>
      <c r="J108" s="15">
        <v>392927.11</v>
      </c>
      <c r="K108" s="15">
        <v>392792.75040000002</v>
      </c>
      <c r="L108" s="15">
        <v>134.36000000000001</v>
      </c>
      <c r="M108" s="15">
        <v>115.83</v>
      </c>
      <c r="N108" s="15">
        <v>0</v>
      </c>
      <c r="O108" s="15">
        <v>18.53</v>
      </c>
      <c r="P108" s="2" t="s">
        <v>55</v>
      </c>
      <c r="Q108" s="16"/>
    </row>
    <row r="109" spans="1:17" x14ac:dyDescent="0.3">
      <c r="A109" s="10">
        <v>21733</v>
      </c>
      <c r="B109" s="2" t="s">
        <v>3460</v>
      </c>
      <c r="C109" s="13">
        <v>5548</v>
      </c>
      <c r="D109" s="2" t="s">
        <v>44</v>
      </c>
      <c r="E109" s="14">
        <v>44585</v>
      </c>
      <c r="F109" s="10" t="s">
        <v>371</v>
      </c>
      <c r="G109" s="25">
        <v>44589</v>
      </c>
      <c r="H109" s="10" t="s">
        <v>372</v>
      </c>
      <c r="I109" s="10" t="s">
        <v>373</v>
      </c>
      <c r="J109" s="15">
        <v>841832.08</v>
      </c>
      <c r="K109" s="15">
        <v>841697.55903999985</v>
      </c>
      <c r="L109" s="15">
        <v>134.52000000000001</v>
      </c>
      <c r="M109" s="15">
        <v>115.97</v>
      </c>
      <c r="N109" s="15">
        <v>0</v>
      </c>
      <c r="O109" s="15">
        <v>18.55</v>
      </c>
      <c r="P109" s="2" t="s">
        <v>55</v>
      </c>
      <c r="Q109" s="16"/>
    </row>
    <row r="110" spans="1:17" x14ac:dyDescent="0.3">
      <c r="A110" s="10">
        <v>21733</v>
      </c>
      <c r="B110" s="2" t="s">
        <v>3461</v>
      </c>
      <c r="C110" s="13">
        <v>5556</v>
      </c>
      <c r="D110" s="2" t="s">
        <v>44</v>
      </c>
      <c r="E110" s="14">
        <v>44861</v>
      </c>
      <c r="F110" s="10" t="s">
        <v>374</v>
      </c>
      <c r="G110" s="25">
        <v>44881</v>
      </c>
      <c r="H110" s="10" t="s">
        <v>375</v>
      </c>
      <c r="I110" s="10" t="s">
        <v>376</v>
      </c>
      <c r="J110" s="15">
        <v>924212.68</v>
      </c>
      <c r="K110" s="15">
        <v>924077.80799999996</v>
      </c>
      <c r="L110" s="15">
        <v>134.87</v>
      </c>
      <c r="M110" s="15">
        <v>116.27</v>
      </c>
      <c r="N110" s="15">
        <v>0</v>
      </c>
      <c r="O110" s="15">
        <v>18.600000000000001</v>
      </c>
      <c r="P110" s="2" t="s">
        <v>55</v>
      </c>
      <c r="Q110" s="16"/>
    </row>
    <row r="111" spans="1:17" x14ac:dyDescent="0.3">
      <c r="A111" s="10">
        <v>21733</v>
      </c>
      <c r="B111" s="2" t="s">
        <v>3462</v>
      </c>
      <c r="C111" s="13">
        <v>5681</v>
      </c>
      <c r="D111" s="2" t="s">
        <v>44</v>
      </c>
      <c r="E111" s="14">
        <v>44501</v>
      </c>
      <c r="F111" s="10" t="s">
        <v>377</v>
      </c>
      <c r="G111" s="25">
        <v>44506</v>
      </c>
      <c r="H111" s="10" t="s">
        <v>378</v>
      </c>
      <c r="I111" s="10" t="s">
        <v>379</v>
      </c>
      <c r="J111" s="15">
        <v>2074.08</v>
      </c>
      <c r="K111" s="15">
        <v>1938.2208000000001</v>
      </c>
      <c r="L111" s="15">
        <v>135.86000000000001</v>
      </c>
      <c r="M111" s="15">
        <v>117.12</v>
      </c>
      <c r="N111" s="15">
        <v>0</v>
      </c>
      <c r="O111" s="15">
        <v>18.739999999999998</v>
      </c>
      <c r="P111" s="2" t="s">
        <v>55</v>
      </c>
      <c r="Q111" s="16"/>
    </row>
    <row r="112" spans="1:17" x14ac:dyDescent="0.3">
      <c r="A112" s="10">
        <v>21733</v>
      </c>
      <c r="B112" s="2" t="s">
        <v>3463</v>
      </c>
      <c r="C112" s="13">
        <v>5681</v>
      </c>
      <c r="D112" s="2" t="s">
        <v>44</v>
      </c>
      <c r="E112" s="14">
        <v>44501</v>
      </c>
      <c r="F112" s="10" t="s">
        <v>380</v>
      </c>
      <c r="G112" s="25">
        <v>44506</v>
      </c>
      <c r="H112" s="10" t="s">
        <v>381</v>
      </c>
      <c r="I112" s="10" t="s">
        <v>382</v>
      </c>
      <c r="J112" s="15">
        <v>2074.08</v>
      </c>
      <c r="K112" s="15">
        <v>1938.2208000000001</v>
      </c>
      <c r="L112" s="15">
        <v>135.86000000000001</v>
      </c>
      <c r="M112" s="15">
        <v>117.12</v>
      </c>
      <c r="N112" s="15">
        <v>0</v>
      </c>
      <c r="O112" s="15">
        <v>18.739999999999998</v>
      </c>
      <c r="P112" s="2" t="s">
        <v>55</v>
      </c>
      <c r="Q112" s="16"/>
    </row>
    <row r="113" spans="1:17" x14ac:dyDescent="0.3">
      <c r="A113" s="10">
        <v>21733</v>
      </c>
      <c r="B113" s="2" t="s">
        <v>3464</v>
      </c>
      <c r="C113" s="13">
        <v>5548</v>
      </c>
      <c r="D113" s="2" t="s">
        <v>44</v>
      </c>
      <c r="E113" s="14">
        <v>44900</v>
      </c>
      <c r="F113" s="10" t="s">
        <v>383</v>
      </c>
      <c r="G113" s="25">
        <v>44905</v>
      </c>
      <c r="H113" s="10" t="s">
        <v>384</v>
      </c>
      <c r="I113" s="10" t="s">
        <v>385</v>
      </c>
      <c r="J113" s="15">
        <v>1262876.3700000001</v>
      </c>
      <c r="K113" s="15">
        <v>1262740.0075200002</v>
      </c>
      <c r="L113" s="15">
        <v>136.36000000000001</v>
      </c>
      <c r="M113" s="15">
        <v>117.55</v>
      </c>
      <c r="N113" s="15">
        <v>0</v>
      </c>
      <c r="O113" s="15">
        <v>18.809999999999999</v>
      </c>
      <c r="P113" s="2" t="s">
        <v>55</v>
      </c>
      <c r="Q113" s="16"/>
    </row>
    <row r="114" spans="1:17" x14ac:dyDescent="0.3">
      <c r="A114" s="10">
        <v>21733</v>
      </c>
      <c r="B114" s="2" t="s">
        <v>3465</v>
      </c>
      <c r="C114" s="13">
        <v>5556</v>
      </c>
      <c r="D114" s="2" t="s">
        <v>44</v>
      </c>
      <c r="E114" s="14">
        <v>44622</v>
      </c>
      <c r="F114" s="10" t="s">
        <v>386</v>
      </c>
      <c r="G114" s="25">
        <v>44628</v>
      </c>
      <c r="H114" s="10" t="s">
        <v>387</v>
      </c>
      <c r="I114" s="10" t="s">
        <v>388</v>
      </c>
      <c r="J114" s="15">
        <v>64261.56</v>
      </c>
      <c r="K114" s="15">
        <v>64124.848719999995</v>
      </c>
      <c r="L114" s="15">
        <v>136.71</v>
      </c>
      <c r="M114" s="15">
        <v>117.85</v>
      </c>
      <c r="N114" s="15">
        <v>0</v>
      </c>
      <c r="O114" s="15">
        <v>18.86</v>
      </c>
      <c r="P114" s="2" t="s">
        <v>55</v>
      </c>
      <c r="Q114" s="16"/>
    </row>
    <row r="115" spans="1:17" x14ac:dyDescent="0.3">
      <c r="A115" s="10">
        <v>21733</v>
      </c>
      <c r="B115" s="2" t="s">
        <v>3466</v>
      </c>
      <c r="C115" s="13">
        <v>5548</v>
      </c>
      <c r="D115" s="2" t="s">
        <v>44</v>
      </c>
      <c r="E115" s="14">
        <v>44726</v>
      </c>
      <c r="F115" s="10" t="s">
        <v>155</v>
      </c>
      <c r="G115" s="25">
        <v>44735</v>
      </c>
      <c r="H115" s="10" t="s">
        <v>389</v>
      </c>
      <c r="I115" s="10" t="s">
        <v>390</v>
      </c>
      <c r="J115" s="15">
        <v>1503336.44</v>
      </c>
      <c r="K115" s="15">
        <v>1503198.8713599998</v>
      </c>
      <c r="L115" s="15">
        <v>137.57</v>
      </c>
      <c r="M115" s="15">
        <v>118.59</v>
      </c>
      <c r="N115" s="15">
        <v>0</v>
      </c>
      <c r="O115" s="15">
        <v>18.97</v>
      </c>
      <c r="P115" s="2" t="s">
        <v>55</v>
      </c>
      <c r="Q115" s="16"/>
    </row>
    <row r="116" spans="1:17" x14ac:dyDescent="0.3">
      <c r="A116" s="10">
        <v>21733</v>
      </c>
      <c r="B116" s="2" t="s">
        <v>3467</v>
      </c>
      <c r="C116" s="13">
        <v>5549</v>
      </c>
      <c r="D116" s="2" t="s">
        <v>44</v>
      </c>
      <c r="E116" s="14">
        <v>44879</v>
      </c>
      <c r="F116" s="10" t="s">
        <v>391</v>
      </c>
      <c r="G116" s="25">
        <v>44884</v>
      </c>
      <c r="H116" s="10" t="s">
        <v>392</v>
      </c>
      <c r="I116" s="10" t="s">
        <v>393</v>
      </c>
      <c r="J116" s="15">
        <v>1030246.23</v>
      </c>
      <c r="K116" s="15">
        <v>1030108.3991200004</v>
      </c>
      <c r="L116" s="15">
        <v>137.83000000000001</v>
      </c>
      <c r="M116" s="15">
        <v>118.82</v>
      </c>
      <c r="N116" s="15">
        <v>0</v>
      </c>
      <c r="O116" s="15">
        <v>19.010000000000002</v>
      </c>
      <c r="P116" s="2" t="s">
        <v>55</v>
      </c>
      <c r="Q116" s="16"/>
    </row>
    <row r="117" spans="1:17" x14ac:dyDescent="0.3">
      <c r="A117" s="10">
        <v>21733</v>
      </c>
      <c r="B117" s="2" t="s">
        <v>3468</v>
      </c>
      <c r="C117" s="13">
        <v>5557</v>
      </c>
      <c r="D117" s="2" t="s">
        <v>44</v>
      </c>
      <c r="E117" s="14">
        <v>44750</v>
      </c>
      <c r="F117" s="10" t="s">
        <v>394</v>
      </c>
      <c r="G117" s="25">
        <v>44757</v>
      </c>
      <c r="H117" s="10" t="s">
        <v>395</v>
      </c>
      <c r="I117" s="10" t="s">
        <v>396</v>
      </c>
      <c r="J117" s="15">
        <v>655953.43999999994</v>
      </c>
      <c r="K117" s="15">
        <v>655815.50968000013</v>
      </c>
      <c r="L117" s="15">
        <v>137.93</v>
      </c>
      <c r="M117" s="15">
        <v>118.91</v>
      </c>
      <c r="N117" s="15">
        <v>0</v>
      </c>
      <c r="O117" s="15">
        <v>19.02</v>
      </c>
      <c r="P117" s="2" t="s">
        <v>55</v>
      </c>
      <c r="Q117" s="16"/>
    </row>
    <row r="118" spans="1:17" x14ac:dyDescent="0.3">
      <c r="A118" s="10">
        <v>21733</v>
      </c>
      <c r="B118" s="2" t="s">
        <v>3469</v>
      </c>
      <c r="C118" s="13">
        <v>5556</v>
      </c>
      <c r="D118" s="2" t="s">
        <v>44</v>
      </c>
      <c r="E118" s="14">
        <v>44981</v>
      </c>
      <c r="F118" s="10" t="s">
        <v>397</v>
      </c>
      <c r="G118" s="25">
        <v>44992</v>
      </c>
      <c r="H118" s="10" t="s">
        <v>398</v>
      </c>
      <c r="I118" s="10" t="s">
        <v>399</v>
      </c>
      <c r="J118" s="15">
        <v>327009.93</v>
      </c>
      <c r="K118" s="15">
        <v>326871.9804</v>
      </c>
      <c r="L118" s="15">
        <v>137.94999999999999</v>
      </c>
      <c r="M118" s="15">
        <v>118.92</v>
      </c>
      <c r="N118" s="15">
        <v>0</v>
      </c>
      <c r="O118" s="15">
        <v>19.03</v>
      </c>
      <c r="P118" s="2" t="s">
        <v>55</v>
      </c>
      <c r="Q118" s="16"/>
    </row>
    <row r="119" spans="1:17" x14ac:dyDescent="0.3">
      <c r="A119" s="10">
        <v>21733</v>
      </c>
      <c r="B119" s="2" t="s">
        <v>3470</v>
      </c>
      <c r="C119" s="13">
        <v>5556</v>
      </c>
      <c r="D119" s="2" t="s">
        <v>44</v>
      </c>
      <c r="E119" s="14">
        <v>45000</v>
      </c>
      <c r="F119" s="10" t="s">
        <v>400</v>
      </c>
      <c r="G119" s="25">
        <v>45009</v>
      </c>
      <c r="H119" s="10" t="s">
        <v>401</v>
      </c>
      <c r="I119" s="10" t="s">
        <v>402</v>
      </c>
      <c r="J119" s="15">
        <v>1008785.58</v>
      </c>
      <c r="K119" s="15">
        <v>1008647.2298399998</v>
      </c>
      <c r="L119" s="15">
        <v>138.35</v>
      </c>
      <c r="M119" s="15">
        <v>119.27</v>
      </c>
      <c r="N119" s="15">
        <v>0</v>
      </c>
      <c r="O119" s="15">
        <v>19.079999999999998</v>
      </c>
      <c r="P119" s="2" t="s">
        <v>55</v>
      </c>
      <c r="Q119" s="16"/>
    </row>
    <row r="120" spans="1:17" x14ac:dyDescent="0.3">
      <c r="A120" s="10">
        <v>21733</v>
      </c>
      <c r="B120" s="2" t="s">
        <v>3471</v>
      </c>
      <c r="C120" s="13">
        <v>5556</v>
      </c>
      <c r="D120" s="2" t="s">
        <v>44</v>
      </c>
      <c r="E120" s="14">
        <v>44622</v>
      </c>
      <c r="F120" s="10" t="s">
        <v>403</v>
      </c>
      <c r="G120" s="25">
        <v>44629</v>
      </c>
      <c r="H120" s="10" t="s">
        <v>404</v>
      </c>
      <c r="I120" s="10" t="s">
        <v>405</v>
      </c>
      <c r="J120" s="15">
        <v>896297.62</v>
      </c>
      <c r="K120" s="15">
        <v>896159.00688</v>
      </c>
      <c r="L120" s="15">
        <v>138.61000000000001</v>
      </c>
      <c r="M120" s="15">
        <v>119.49</v>
      </c>
      <c r="N120" s="15">
        <v>0</v>
      </c>
      <c r="O120" s="15">
        <v>19.12</v>
      </c>
      <c r="P120" s="2" t="s">
        <v>55</v>
      </c>
      <c r="Q120" s="16"/>
    </row>
    <row r="121" spans="1:17" x14ac:dyDescent="0.3">
      <c r="A121" s="10">
        <v>21733</v>
      </c>
      <c r="B121" s="2" t="s">
        <v>3472</v>
      </c>
      <c r="C121" s="13">
        <v>5549</v>
      </c>
      <c r="D121" s="2" t="s">
        <v>44</v>
      </c>
      <c r="E121" s="14">
        <v>44333</v>
      </c>
      <c r="F121" s="10" t="s">
        <v>406</v>
      </c>
      <c r="G121" s="25">
        <v>44337</v>
      </c>
      <c r="H121" s="10" t="s">
        <v>407</v>
      </c>
      <c r="I121" s="10" t="s">
        <v>408</v>
      </c>
      <c r="J121" s="15">
        <v>22205.64</v>
      </c>
      <c r="K121" s="15">
        <v>22066.912</v>
      </c>
      <c r="L121" s="15">
        <v>138.72999999999999</v>
      </c>
      <c r="M121" s="15">
        <v>119.59</v>
      </c>
      <c r="N121" s="15">
        <v>0</v>
      </c>
      <c r="O121" s="15">
        <v>19.13</v>
      </c>
      <c r="P121" s="2" t="s">
        <v>55</v>
      </c>
      <c r="Q121" s="16"/>
    </row>
    <row r="122" spans="1:17" x14ac:dyDescent="0.3">
      <c r="A122" s="10">
        <v>21733</v>
      </c>
      <c r="B122" s="2" t="s">
        <v>3473</v>
      </c>
      <c r="C122" s="13">
        <v>5549</v>
      </c>
      <c r="D122" s="2" t="s">
        <v>44</v>
      </c>
      <c r="E122" s="14">
        <v>44375</v>
      </c>
      <c r="F122" s="10" t="s">
        <v>409</v>
      </c>
      <c r="G122" s="25">
        <v>44379</v>
      </c>
      <c r="H122" s="10" t="s">
        <v>410</v>
      </c>
      <c r="I122" s="10" t="s">
        <v>411</v>
      </c>
      <c r="J122" s="15">
        <v>814700.99</v>
      </c>
      <c r="K122" s="15">
        <v>814561.98875999998</v>
      </c>
      <c r="L122" s="15">
        <v>139</v>
      </c>
      <c r="M122" s="15">
        <v>119.83</v>
      </c>
      <c r="N122" s="15">
        <v>0</v>
      </c>
      <c r="O122" s="15">
        <v>19.170000000000002</v>
      </c>
      <c r="P122" s="2" t="s">
        <v>55</v>
      </c>
      <c r="Q122" s="16"/>
    </row>
    <row r="123" spans="1:17" x14ac:dyDescent="0.3">
      <c r="A123" s="10">
        <v>21733</v>
      </c>
      <c r="B123" s="2" t="s">
        <v>3474</v>
      </c>
      <c r="C123" s="13">
        <v>5556</v>
      </c>
      <c r="D123" s="2" t="s">
        <v>44</v>
      </c>
      <c r="E123" s="14">
        <v>44832</v>
      </c>
      <c r="F123" s="10" t="s">
        <v>412</v>
      </c>
      <c r="G123" s="25">
        <v>44839</v>
      </c>
      <c r="H123" s="10" t="s">
        <v>413</v>
      </c>
      <c r="I123" s="10" t="s">
        <v>414</v>
      </c>
      <c r="J123" s="15">
        <v>875378.31</v>
      </c>
      <c r="K123" s="15">
        <v>875239.28616000002</v>
      </c>
      <c r="L123" s="15">
        <v>139.02000000000001</v>
      </c>
      <c r="M123" s="15">
        <v>119.85</v>
      </c>
      <c r="N123" s="15">
        <v>0</v>
      </c>
      <c r="O123" s="15">
        <v>19.18</v>
      </c>
      <c r="P123" s="2" t="s">
        <v>55</v>
      </c>
      <c r="Q123" s="16"/>
    </row>
    <row r="124" spans="1:17" x14ac:dyDescent="0.3">
      <c r="A124" s="10">
        <v>21733</v>
      </c>
      <c r="B124" s="2" t="s">
        <v>3475</v>
      </c>
      <c r="C124" s="13">
        <v>5557</v>
      </c>
      <c r="D124" s="2" t="s">
        <v>44</v>
      </c>
      <c r="E124" s="14">
        <v>44305</v>
      </c>
      <c r="F124" s="10" t="s">
        <v>415</v>
      </c>
      <c r="G124" s="25">
        <v>44315</v>
      </c>
      <c r="H124" s="10" t="s">
        <v>416</v>
      </c>
      <c r="I124" s="10" t="s">
        <v>417</v>
      </c>
      <c r="J124" s="15">
        <v>7712.61</v>
      </c>
      <c r="K124" s="15">
        <v>7572.7584000000006</v>
      </c>
      <c r="L124" s="15">
        <v>139.85</v>
      </c>
      <c r="M124" s="15">
        <v>120.56</v>
      </c>
      <c r="N124" s="15">
        <v>0</v>
      </c>
      <c r="O124" s="15">
        <v>19.29</v>
      </c>
      <c r="P124" s="2" t="s">
        <v>55</v>
      </c>
      <c r="Q124" s="16"/>
    </row>
    <row r="125" spans="1:17" x14ac:dyDescent="0.3">
      <c r="A125" s="10">
        <v>21733</v>
      </c>
      <c r="B125" s="2" t="s">
        <v>3476</v>
      </c>
      <c r="C125" s="13">
        <v>5681</v>
      </c>
      <c r="D125" s="2" t="s">
        <v>44</v>
      </c>
      <c r="E125" s="14">
        <v>44606</v>
      </c>
      <c r="F125" s="10" t="s">
        <v>418</v>
      </c>
      <c r="G125" s="25">
        <v>44613</v>
      </c>
      <c r="H125" s="10" t="s">
        <v>419</v>
      </c>
      <c r="I125" s="10" t="s">
        <v>420</v>
      </c>
      <c r="J125" s="15">
        <v>29724.81</v>
      </c>
      <c r="K125" s="15">
        <v>29583.5844</v>
      </c>
      <c r="L125" s="15">
        <v>141.22999999999999</v>
      </c>
      <c r="M125" s="15">
        <v>121.75</v>
      </c>
      <c r="N125" s="15">
        <v>0</v>
      </c>
      <c r="O125" s="15">
        <v>19.48</v>
      </c>
      <c r="P125" s="2" t="s">
        <v>55</v>
      </c>
      <c r="Q125" s="16"/>
    </row>
    <row r="126" spans="1:17" x14ac:dyDescent="0.3">
      <c r="A126" s="10">
        <v>21733</v>
      </c>
      <c r="B126" s="2" t="s">
        <v>3477</v>
      </c>
      <c r="C126" s="13">
        <v>5681</v>
      </c>
      <c r="D126" s="2" t="s">
        <v>44</v>
      </c>
      <c r="E126" s="14">
        <v>44818</v>
      </c>
      <c r="F126" s="10" t="s">
        <v>421</v>
      </c>
      <c r="G126" s="25">
        <v>44828</v>
      </c>
      <c r="H126" s="10" t="s">
        <v>422</v>
      </c>
      <c r="I126" s="10" t="s">
        <v>423</v>
      </c>
      <c r="J126" s="15">
        <v>420639.94</v>
      </c>
      <c r="K126" s="15">
        <v>420498.68455999997</v>
      </c>
      <c r="L126" s="15">
        <v>141.26</v>
      </c>
      <c r="M126" s="15">
        <v>121.77</v>
      </c>
      <c r="N126" s="15">
        <v>0</v>
      </c>
      <c r="O126" s="15">
        <v>19.48</v>
      </c>
      <c r="P126" s="2" t="s">
        <v>55</v>
      </c>
      <c r="Q126" s="16"/>
    </row>
    <row r="127" spans="1:17" x14ac:dyDescent="0.3">
      <c r="A127" s="10">
        <v>21733</v>
      </c>
      <c r="B127" s="2" t="s">
        <v>3478</v>
      </c>
      <c r="C127" s="13">
        <v>5556</v>
      </c>
      <c r="D127" s="2" t="s">
        <v>44</v>
      </c>
      <c r="E127" s="14">
        <v>44883</v>
      </c>
      <c r="F127" s="10" t="s">
        <v>424</v>
      </c>
      <c r="G127" s="25">
        <v>44897</v>
      </c>
      <c r="H127" s="10" t="s">
        <v>425</v>
      </c>
      <c r="I127" s="10" t="s">
        <v>426</v>
      </c>
      <c r="J127" s="15">
        <v>874666.04</v>
      </c>
      <c r="K127" s="15">
        <v>874524.348</v>
      </c>
      <c r="L127" s="15">
        <v>141.69</v>
      </c>
      <c r="M127" s="15">
        <v>122.15</v>
      </c>
      <c r="N127" s="15">
        <v>0</v>
      </c>
      <c r="O127" s="15">
        <v>19.54</v>
      </c>
      <c r="P127" s="2" t="s">
        <v>55</v>
      </c>
      <c r="Q127" s="16"/>
    </row>
    <row r="128" spans="1:17" x14ac:dyDescent="0.3">
      <c r="A128" s="10">
        <v>21733</v>
      </c>
      <c r="B128" s="2" t="s">
        <v>3479</v>
      </c>
      <c r="C128" s="13">
        <v>5548</v>
      </c>
      <c r="D128" s="2" t="s">
        <v>44</v>
      </c>
      <c r="E128" s="14">
        <v>44571</v>
      </c>
      <c r="F128" s="10" t="s">
        <v>427</v>
      </c>
      <c r="G128" s="25">
        <v>44576</v>
      </c>
      <c r="H128" s="10" t="s">
        <v>428</v>
      </c>
      <c r="I128" s="10" t="s">
        <v>429</v>
      </c>
      <c r="J128" s="15">
        <v>14212.71</v>
      </c>
      <c r="K128" s="15">
        <v>14070.591199999999</v>
      </c>
      <c r="L128" s="15">
        <v>142.12</v>
      </c>
      <c r="M128" s="15">
        <v>122.52</v>
      </c>
      <c r="N128" s="15">
        <v>0</v>
      </c>
      <c r="O128" s="15">
        <v>19.600000000000001</v>
      </c>
      <c r="P128" s="2" t="s">
        <v>55</v>
      </c>
      <c r="Q128" s="16"/>
    </row>
    <row r="129" spans="1:17" x14ac:dyDescent="0.3">
      <c r="A129" s="10">
        <v>21733</v>
      </c>
      <c r="B129" s="2" t="s">
        <v>3480</v>
      </c>
      <c r="C129" s="13">
        <v>5557</v>
      </c>
      <c r="D129" s="2" t="s">
        <v>44</v>
      </c>
      <c r="E129" s="14">
        <v>44465</v>
      </c>
      <c r="F129" s="10" t="s">
        <v>430</v>
      </c>
      <c r="G129" s="25">
        <v>44470</v>
      </c>
      <c r="H129" s="10" t="s">
        <v>431</v>
      </c>
      <c r="I129" s="10" t="s">
        <v>432</v>
      </c>
      <c r="J129" s="15">
        <v>51627.51</v>
      </c>
      <c r="K129" s="15">
        <v>51484.470240000002</v>
      </c>
      <c r="L129" s="15">
        <v>143.04</v>
      </c>
      <c r="M129" s="15">
        <v>123.31</v>
      </c>
      <c r="N129" s="15">
        <v>0</v>
      </c>
      <c r="O129" s="15">
        <v>19.73</v>
      </c>
      <c r="P129" s="2" t="s">
        <v>55</v>
      </c>
      <c r="Q129" s="16"/>
    </row>
    <row r="130" spans="1:17" x14ac:dyDescent="0.3">
      <c r="A130" s="10">
        <v>21733</v>
      </c>
      <c r="B130" s="2" t="s">
        <v>3481</v>
      </c>
      <c r="C130" s="13">
        <v>5556</v>
      </c>
      <c r="D130" s="2" t="s">
        <v>44</v>
      </c>
      <c r="E130" s="14">
        <v>45094</v>
      </c>
      <c r="F130" s="10" t="s">
        <v>433</v>
      </c>
      <c r="G130" s="25">
        <v>45110</v>
      </c>
      <c r="H130" s="10" t="s">
        <v>434</v>
      </c>
      <c r="I130" s="10" t="s">
        <v>435</v>
      </c>
      <c r="J130" s="15">
        <v>498996.54</v>
      </c>
      <c r="K130" s="15">
        <v>498853.2672</v>
      </c>
      <c r="L130" s="15">
        <v>143.27000000000001</v>
      </c>
      <c r="M130" s="15">
        <v>123.51</v>
      </c>
      <c r="N130" s="15">
        <v>0</v>
      </c>
      <c r="O130" s="15">
        <v>19.760000000000002</v>
      </c>
      <c r="P130" s="2" t="s">
        <v>55</v>
      </c>
      <c r="Q130" s="16"/>
    </row>
    <row r="131" spans="1:17" x14ac:dyDescent="0.3">
      <c r="A131" s="10">
        <v>21733</v>
      </c>
      <c r="B131" s="2" t="s">
        <v>3482</v>
      </c>
      <c r="C131" s="13">
        <v>5556</v>
      </c>
      <c r="D131" s="2" t="s">
        <v>44</v>
      </c>
      <c r="E131" s="14">
        <v>44648</v>
      </c>
      <c r="F131" s="10" t="s">
        <v>436</v>
      </c>
      <c r="G131" s="25">
        <v>44655</v>
      </c>
      <c r="H131" s="10" t="s">
        <v>437</v>
      </c>
      <c r="I131" s="10" t="s">
        <v>438</v>
      </c>
      <c r="J131" s="15">
        <v>2468.6999999999998</v>
      </c>
      <c r="K131" s="15">
        <v>2325.0344</v>
      </c>
      <c r="L131" s="15">
        <v>143.66999999999999</v>
      </c>
      <c r="M131" s="15">
        <v>123.85</v>
      </c>
      <c r="N131" s="15">
        <v>0</v>
      </c>
      <c r="O131" s="15">
        <v>19.82</v>
      </c>
      <c r="P131" s="2" t="s">
        <v>55</v>
      </c>
      <c r="Q131" s="16"/>
    </row>
    <row r="132" spans="1:17" x14ac:dyDescent="0.3">
      <c r="A132" s="10">
        <v>21733</v>
      </c>
      <c r="B132" s="2" t="s">
        <v>3483</v>
      </c>
      <c r="C132" s="13">
        <v>5556</v>
      </c>
      <c r="D132" s="2" t="s">
        <v>44</v>
      </c>
      <c r="E132" s="14">
        <v>44804</v>
      </c>
      <c r="F132" s="10" t="s">
        <v>439</v>
      </c>
      <c r="G132" s="25">
        <v>44812</v>
      </c>
      <c r="H132" s="10" t="s">
        <v>440</v>
      </c>
      <c r="I132" s="10" t="s">
        <v>441</v>
      </c>
      <c r="J132" s="15">
        <v>79928.39</v>
      </c>
      <c r="K132" s="15">
        <v>79784.670080000011</v>
      </c>
      <c r="L132" s="15">
        <v>143.72</v>
      </c>
      <c r="M132" s="15">
        <v>123.9</v>
      </c>
      <c r="N132" s="15">
        <v>0</v>
      </c>
      <c r="O132" s="15">
        <v>19.82</v>
      </c>
      <c r="P132" s="2" t="s">
        <v>55</v>
      </c>
      <c r="Q132" s="16"/>
    </row>
    <row r="133" spans="1:17" x14ac:dyDescent="0.3">
      <c r="A133" s="10">
        <v>21733</v>
      </c>
      <c r="B133" s="2" t="s">
        <v>3484</v>
      </c>
      <c r="C133" s="13">
        <v>5557</v>
      </c>
      <c r="D133" s="2" t="s">
        <v>44</v>
      </c>
      <c r="E133" s="14">
        <v>44978</v>
      </c>
      <c r="F133" s="10" t="s">
        <v>442</v>
      </c>
      <c r="G133" s="25">
        <v>44988</v>
      </c>
      <c r="H133" s="10" t="s">
        <v>443</v>
      </c>
      <c r="I133" s="10" t="s">
        <v>444</v>
      </c>
      <c r="J133" s="15">
        <v>450817.05</v>
      </c>
      <c r="K133" s="15">
        <v>450673.22400000005</v>
      </c>
      <c r="L133" s="15">
        <v>143.83000000000001</v>
      </c>
      <c r="M133" s="15">
        <v>123.99</v>
      </c>
      <c r="N133" s="15">
        <v>0</v>
      </c>
      <c r="O133" s="15">
        <v>19.84</v>
      </c>
      <c r="P133" s="2" t="s">
        <v>55</v>
      </c>
      <c r="Q133" s="16"/>
    </row>
    <row r="134" spans="1:17" x14ac:dyDescent="0.3">
      <c r="A134" s="10">
        <v>21733</v>
      </c>
      <c r="B134" s="2" t="s">
        <v>3485</v>
      </c>
      <c r="C134" s="13">
        <v>5556</v>
      </c>
      <c r="D134" s="2" t="s">
        <v>44</v>
      </c>
      <c r="E134" s="14">
        <v>44342</v>
      </c>
      <c r="F134" s="10" t="s">
        <v>445</v>
      </c>
      <c r="G134" s="25">
        <v>44348</v>
      </c>
      <c r="H134" s="10" t="s">
        <v>446</v>
      </c>
      <c r="I134" s="10" t="s">
        <v>447</v>
      </c>
      <c r="J134" s="15">
        <v>10958.55</v>
      </c>
      <c r="K134" s="15">
        <v>10814.086079999999</v>
      </c>
      <c r="L134" s="15">
        <v>144.46</v>
      </c>
      <c r="M134" s="15">
        <v>124.54</v>
      </c>
      <c r="N134" s="15">
        <v>0</v>
      </c>
      <c r="O134" s="15">
        <v>19.93</v>
      </c>
      <c r="P134" s="2" t="s">
        <v>55</v>
      </c>
      <c r="Q134" s="16"/>
    </row>
    <row r="135" spans="1:17" x14ac:dyDescent="0.3">
      <c r="A135" s="10">
        <v>21733</v>
      </c>
      <c r="B135" s="2" t="s">
        <v>3486</v>
      </c>
      <c r="C135" s="13">
        <v>5548</v>
      </c>
      <c r="D135" s="2" t="s">
        <v>44</v>
      </c>
      <c r="E135" s="14">
        <v>44599</v>
      </c>
      <c r="F135" s="10" t="s">
        <v>448</v>
      </c>
      <c r="G135" s="25">
        <v>44603</v>
      </c>
      <c r="H135" s="10" t="s">
        <v>449</v>
      </c>
      <c r="I135" s="10" t="s">
        <v>450</v>
      </c>
      <c r="J135" s="15">
        <v>14433.36</v>
      </c>
      <c r="K135" s="15">
        <v>14288.573759999999</v>
      </c>
      <c r="L135" s="15">
        <v>144.79</v>
      </c>
      <c r="M135" s="15">
        <v>124.82</v>
      </c>
      <c r="N135" s="15">
        <v>0</v>
      </c>
      <c r="O135" s="15">
        <v>19.97</v>
      </c>
      <c r="P135" s="2" t="s">
        <v>55</v>
      </c>
      <c r="Q135" s="16"/>
    </row>
    <row r="136" spans="1:17" x14ac:dyDescent="0.3">
      <c r="A136" s="10">
        <v>21733</v>
      </c>
      <c r="B136" s="2" t="s">
        <v>3487</v>
      </c>
      <c r="C136" s="13">
        <v>5557</v>
      </c>
      <c r="D136" s="2" t="s">
        <v>44</v>
      </c>
      <c r="E136" s="14">
        <v>44298</v>
      </c>
      <c r="F136" s="10" t="s">
        <v>451</v>
      </c>
      <c r="G136" s="25">
        <v>44302</v>
      </c>
      <c r="H136" s="10" t="s">
        <v>452</v>
      </c>
      <c r="I136" s="10" t="s">
        <v>453</v>
      </c>
      <c r="J136" s="15">
        <v>7732.1</v>
      </c>
      <c r="K136" s="15">
        <v>7587.1423999999997</v>
      </c>
      <c r="L136" s="15">
        <v>144.96</v>
      </c>
      <c r="M136" s="15">
        <v>124.96</v>
      </c>
      <c r="N136" s="15">
        <v>0</v>
      </c>
      <c r="O136" s="15">
        <v>19.989999999999998</v>
      </c>
      <c r="P136" s="2" t="s">
        <v>55</v>
      </c>
      <c r="Q136" s="16"/>
    </row>
    <row r="137" spans="1:17" x14ac:dyDescent="0.3">
      <c r="A137" s="10">
        <v>21733</v>
      </c>
      <c r="B137" s="2" t="s">
        <v>3488</v>
      </c>
      <c r="C137" s="13">
        <v>5549</v>
      </c>
      <c r="D137" s="2" t="s">
        <v>44</v>
      </c>
      <c r="E137" s="14">
        <v>44326</v>
      </c>
      <c r="F137" s="10" t="s">
        <v>454</v>
      </c>
      <c r="G137" s="25">
        <v>44330</v>
      </c>
      <c r="H137" s="10" t="s">
        <v>455</v>
      </c>
      <c r="I137" s="10" t="s">
        <v>456</v>
      </c>
      <c r="J137" s="15">
        <v>148285.97</v>
      </c>
      <c r="K137" s="15">
        <v>148140.97144000002</v>
      </c>
      <c r="L137" s="15">
        <v>145</v>
      </c>
      <c r="M137" s="15">
        <v>125</v>
      </c>
      <c r="N137" s="15">
        <v>0</v>
      </c>
      <c r="O137" s="15">
        <v>20</v>
      </c>
      <c r="P137" s="2" t="s">
        <v>55</v>
      </c>
      <c r="Q137" s="16"/>
    </row>
    <row r="138" spans="1:17" x14ac:dyDescent="0.3">
      <c r="A138" s="10">
        <v>21733</v>
      </c>
      <c r="B138" s="2" t="s">
        <v>3489</v>
      </c>
      <c r="C138" s="13">
        <v>5556</v>
      </c>
      <c r="D138" s="2" t="s">
        <v>44</v>
      </c>
      <c r="E138" s="14">
        <v>44972</v>
      </c>
      <c r="F138" s="10" t="s">
        <v>457</v>
      </c>
      <c r="G138" s="25">
        <v>44980</v>
      </c>
      <c r="H138" s="10" t="s">
        <v>458</v>
      </c>
      <c r="I138" s="10" t="s">
        <v>459</v>
      </c>
      <c r="J138" s="15">
        <v>1183834.2</v>
      </c>
      <c r="K138" s="15">
        <v>1183689.0281600002</v>
      </c>
      <c r="L138" s="15">
        <v>145.16999999999999</v>
      </c>
      <c r="M138" s="15">
        <v>125.15</v>
      </c>
      <c r="N138" s="15">
        <v>0</v>
      </c>
      <c r="O138" s="15">
        <v>20.02</v>
      </c>
      <c r="P138" s="2" t="s">
        <v>55</v>
      </c>
      <c r="Q138" s="16"/>
    </row>
    <row r="139" spans="1:17" x14ac:dyDescent="0.3">
      <c r="A139" s="10">
        <v>21733</v>
      </c>
      <c r="B139" s="2" t="s">
        <v>3490</v>
      </c>
      <c r="C139" s="13">
        <v>5548</v>
      </c>
      <c r="D139" s="2" t="s">
        <v>44</v>
      </c>
      <c r="E139" s="14">
        <v>44627</v>
      </c>
      <c r="F139" s="10" t="s">
        <v>460</v>
      </c>
      <c r="G139" s="25">
        <v>44632</v>
      </c>
      <c r="H139" s="10" t="s">
        <v>461</v>
      </c>
      <c r="I139" s="10" t="s">
        <v>462</v>
      </c>
      <c r="J139" s="15">
        <v>1159616.45</v>
      </c>
      <c r="K139" s="15">
        <v>1159470.51104</v>
      </c>
      <c r="L139" s="15">
        <v>145.94</v>
      </c>
      <c r="M139" s="15">
        <v>125.81</v>
      </c>
      <c r="N139" s="15">
        <v>0</v>
      </c>
      <c r="O139" s="15">
        <v>20.13</v>
      </c>
      <c r="P139" s="2" t="s">
        <v>55</v>
      </c>
      <c r="Q139" s="16"/>
    </row>
    <row r="140" spans="1:17" x14ac:dyDescent="0.3">
      <c r="A140" s="10">
        <v>21733</v>
      </c>
      <c r="B140" s="2" t="s">
        <v>3491</v>
      </c>
      <c r="C140" s="13">
        <v>5557</v>
      </c>
      <c r="D140" s="2" t="s">
        <v>44</v>
      </c>
      <c r="E140" s="14">
        <v>44861</v>
      </c>
      <c r="F140" s="10" t="s">
        <v>463</v>
      </c>
      <c r="G140" s="25">
        <v>44877</v>
      </c>
      <c r="H140" s="10" t="s">
        <v>464</v>
      </c>
      <c r="I140" s="10" t="s">
        <v>465</v>
      </c>
      <c r="J140" s="15">
        <v>1001230.42</v>
      </c>
      <c r="K140" s="15">
        <v>1001084.2920000002</v>
      </c>
      <c r="L140" s="15">
        <v>146.13</v>
      </c>
      <c r="M140" s="15">
        <v>125.97</v>
      </c>
      <c r="N140" s="15">
        <v>0</v>
      </c>
      <c r="O140" s="15">
        <v>20.16</v>
      </c>
      <c r="P140" s="2" t="s">
        <v>55</v>
      </c>
      <c r="Q140" s="16"/>
    </row>
    <row r="141" spans="1:17" x14ac:dyDescent="0.3">
      <c r="A141" s="10">
        <v>21733</v>
      </c>
      <c r="B141" s="2" t="s">
        <v>3492</v>
      </c>
      <c r="C141" s="13">
        <v>5681</v>
      </c>
      <c r="D141" s="2" t="s">
        <v>44</v>
      </c>
      <c r="E141" s="14">
        <v>44851</v>
      </c>
      <c r="F141" s="10" t="s">
        <v>466</v>
      </c>
      <c r="G141" s="25">
        <v>44856</v>
      </c>
      <c r="H141" s="10" t="s">
        <v>467</v>
      </c>
      <c r="I141" s="10" t="s">
        <v>468</v>
      </c>
      <c r="J141" s="15">
        <v>861182.37</v>
      </c>
      <c r="K141" s="15">
        <v>861035.94919999992</v>
      </c>
      <c r="L141" s="15">
        <v>146.41999999999999</v>
      </c>
      <c r="M141" s="15">
        <v>126.22</v>
      </c>
      <c r="N141" s="15">
        <v>0</v>
      </c>
      <c r="O141" s="15">
        <v>20.2</v>
      </c>
      <c r="P141" s="2" t="s">
        <v>55</v>
      </c>
      <c r="Q141" s="16"/>
    </row>
    <row r="142" spans="1:17" x14ac:dyDescent="0.3">
      <c r="A142" s="10">
        <v>21733</v>
      </c>
      <c r="B142" s="2" t="s">
        <v>3493</v>
      </c>
      <c r="C142" s="13">
        <v>5548</v>
      </c>
      <c r="D142" s="2" t="s">
        <v>44</v>
      </c>
      <c r="E142" s="14">
        <v>44631</v>
      </c>
      <c r="F142" s="10" t="s">
        <v>469</v>
      </c>
      <c r="G142" s="25">
        <v>44638</v>
      </c>
      <c r="H142" s="10" t="s">
        <v>470</v>
      </c>
      <c r="I142" s="10" t="s">
        <v>471</v>
      </c>
      <c r="J142" s="15">
        <v>46531.53</v>
      </c>
      <c r="K142" s="15">
        <v>46384.815600000002</v>
      </c>
      <c r="L142" s="15">
        <v>146.71</v>
      </c>
      <c r="M142" s="15">
        <v>126.48</v>
      </c>
      <c r="N142" s="15">
        <v>0</v>
      </c>
      <c r="O142" s="15">
        <v>20.239999999999998</v>
      </c>
      <c r="P142" s="2" t="s">
        <v>55</v>
      </c>
      <c r="Q142" s="16"/>
    </row>
    <row r="143" spans="1:17" x14ac:dyDescent="0.3">
      <c r="A143" s="10">
        <v>21733</v>
      </c>
      <c r="B143" s="2" t="s">
        <v>3494</v>
      </c>
      <c r="C143" s="13">
        <v>5548</v>
      </c>
      <c r="D143" s="2" t="s">
        <v>44</v>
      </c>
      <c r="E143" s="14">
        <v>44501</v>
      </c>
      <c r="F143" s="10" t="s">
        <v>472</v>
      </c>
      <c r="G143" s="25">
        <v>44505</v>
      </c>
      <c r="H143" s="10" t="s">
        <v>473</v>
      </c>
      <c r="I143" s="10" t="s">
        <v>474</v>
      </c>
      <c r="J143" s="15">
        <v>3311.13</v>
      </c>
      <c r="K143" s="15">
        <v>3162.9023999999999</v>
      </c>
      <c r="L143" s="15">
        <v>148.22999999999999</v>
      </c>
      <c r="M143" s="15">
        <v>127.78</v>
      </c>
      <c r="N143" s="15">
        <v>0</v>
      </c>
      <c r="O143" s="15">
        <v>20.45</v>
      </c>
      <c r="P143" s="2" t="s">
        <v>55</v>
      </c>
      <c r="Q143" s="16"/>
    </row>
    <row r="144" spans="1:17" x14ac:dyDescent="0.3">
      <c r="A144" s="10">
        <v>21733</v>
      </c>
      <c r="B144" s="2" t="s">
        <v>3495</v>
      </c>
      <c r="C144" s="13">
        <v>5556</v>
      </c>
      <c r="D144" s="2" t="s">
        <v>44</v>
      </c>
      <c r="E144" s="14">
        <v>44811</v>
      </c>
      <c r="F144" s="10" t="s">
        <v>475</v>
      </c>
      <c r="G144" s="25">
        <v>44819</v>
      </c>
      <c r="H144" s="10" t="s">
        <v>476</v>
      </c>
      <c r="I144" s="10" t="s">
        <v>477</v>
      </c>
      <c r="J144" s="15">
        <v>347927.44</v>
      </c>
      <c r="K144" s="15">
        <v>347779.15687999997</v>
      </c>
      <c r="L144" s="15">
        <v>148.28</v>
      </c>
      <c r="M144" s="15">
        <v>127.83</v>
      </c>
      <c r="N144" s="15">
        <v>0</v>
      </c>
      <c r="O144" s="15">
        <v>20.45</v>
      </c>
      <c r="P144" s="2" t="s">
        <v>55</v>
      </c>
      <c r="Q144" s="16"/>
    </row>
    <row r="145" spans="1:17" x14ac:dyDescent="0.3">
      <c r="A145" s="10">
        <v>21733</v>
      </c>
      <c r="B145" s="2" t="s">
        <v>3496</v>
      </c>
      <c r="C145" s="13">
        <v>5681</v>
      </c>
      <c r="D145" s="2" t="s">
        <v>44</v>
      </c>
      <c r="E145" s="14">
        <v>45026</v>
      </c>
      <c r="F145" s="10" t="s">
        <v>478</v>
      </c>
      <c r="G145" s="25">
        <v>45031</v>
      </c>
      <c r="H145" s="10" t="s">
        <v>479</v>
      </c>
      <c r="I145" s="10" t="s">
        <v>480</v>
      </c>
      <c r="J145" s="15">
        <v>926997.8</v>
      </c>
      <c r="K145" s="15">
        <v>926848.84152000013</v>
      </c>
      <c r="L145" s="15">
        <v>148.96</v>
      </c>
      <c r="M145" s="15">
        <v>128.41</v>
      </c>
      <c r="N145" s="15">
        <v>0</v>
      </c>
      <c r="O145" s="15">
        <v>20.55</v>
      </c>
      <c r="P145" s="2" t="s">
        <v>55</v>
      </c>
      <c r="Q145" s="16"/>
    </row>
    <row r="146" spans="1:17" x14ac:dyDescent="0.3">
      <c r="A146" s="10">
        <v>21733</v>
      </c>
      <c r="B146" s="2" t="s">
        <v>3497</v>
      </c>
      <c r="C146" s="13">
        <v>5548</v>
      </c>
      <c r="D146" s="2" t="s">
        <v>44</v>
      </c>
      <c r="E146" s="14">
        <v>44781</v>
      </c>
      <c r="F146" s="10" t="s">
        <v>481</v>
      </c>
      <c r="G146" s="25">
        <v>44785</v>
      </c>
      <c r="H146" s="10" t="s">
        <v>482</v>
      </c>
      <c r="I146" s="10" t="s">
        <v>483</v>
      </c>
      <c r="J146" s="15">
        <v>797805.06</v>
      </c>
      <c r="K146" s="15">
        <v>797655.9132800001</v>
      </c>
      <c r="L146" s="15">
        <v>149.15</v>
      </c>
      <c r="M146" s="15">
        <v>128.57</v>
      </c>
      <c r="N146" s="15">
        <v>0</v>
      </c>
      <c r="O146" s="15">
        <v>20.57</v>
      </c>
      <c r="P146" s="2" t="s">
        <v>55</v>
      </c>
      <c r="Q146" s="16"/>
    </row>
    <row r="147" spans="1:17" x14ac:dyDescent="0.3">
      <c r="A147" s="10">
        <v>21733</v>
      </c>
      <c r="B147" s="2" t="s">
        <v>3498</v>
      </c>
      <c r="C147" s="13">
        <v>5537</v>
      </c>
      <c r="D147" s="2" t="s">
        <v>44</v>
      </c>
      <c r="E147" s="14">
        <v>44641</v>
      </c>
      <c r="F147" s="10" t="s">
        <v>484</v>
      </c>
      <c r="G147" s="25">
        <v>44646</v>
      </c>
      <c r="H147" s="10" t="s">
        <v>485</v>
      </c>
      <c r="I147" s="10" t="s">
        <v>486</v>
      </c>
      <c r="J147" s="15">
        <v>464887.58</v>
      </c>
      <c r="K147" s="15">
        <v>464737.97112000006</v>
      </c>
      <c r="L147" s="15">
        <v>149.61000000000001</v>
      </c>
      <c r="M147" s="15">
        <v>128.97</v>
      </c>
      <c r="N147" s="15">
        <v>0</v>
      </c>
      <c r="O147" s="15">
        <v>20.64</v>
      </c>
      <c r="P147" s="2" t="s">
        <v>55</v>
      </c>
      <c r="Q147" s="16"/>
    </row>
    <row r="148" spans="1:17" x14ac:dyDescent="0.3">
      <c r="A148" s="10">
        <v>21733</v>
      </c>
      <c r="B148" s="2" t="s">
        <v>3499</v>
      </c>
      <c r="C148" s="13">
        <v>5537</v>
      </c>
      <c r="D148" s="2" t="s">
        <v>44</v>
      </c>
      <c r="E148" s="14">
        <v>44354</v>
      </c>
      <c r="F148" s="10" t="s">
        <v>487</v>
      </c>
      <c r="G148" s="25">
        <v>44359</v>
      </c>
      <c r="H148" s="10" t="s">
        <v>488</v>
      </c>
      <c r="I148" s="10" t="s">
        <v>489</v>
      </c>
      <c r="J148" s="15">
        <v>27691.91</v>
      </c>
      <c r="K148" s="15">
        <v>27541.339440000003</v>
      </c>
      <c r="L148" s="15">
        <v>150.57</v>
      </c>
      <c r="M148" s="15">
        <v>129.80000000000001</v>
      </c>
      <c r="N148" s="15">
        <v>0</v>
      </c>
      <c r="O148" s="15">
        <v>20.77</v>
      </c>
      <c r="P148" s="2" t="s">
        <v>55</v>
      </c>
      <c r="Q148" s="16"/>
    </row>
    <row r="149" spans="1:17" x14ac:dyDescent="0.3">
      <c r="A149" s="10">
        <v>21733</v>
      </c>
      <c r="B149" s="2" t="s">
        <v>3500</v>
      </c>
      <c r="C149" s="13">
        <v>5557</v>
      </c>
      <c r="D149" s="2" t="s">
        <v>44</v>
      </c>
      <c r="E149" s="14">
        <v>44620</v>
      </c>
      <c r="F149" s="10" t="s">
        <v>490</v>
      </c>
      <c r="G149" s="25">
        <v>44625</v>
      </c>
      <c r="H149" s="10" t="s">
        <v>491</v>
      </c>
      <c r="I149" s="10" t="s">
        <v>492</v>
      </c>
      <c r="J149" s="15">
        <v>15028.31</v>
      </c>
      <c r="K149" s="15">
        <v>14877.61248</v>
      </c>
      <c r="L149" s="15">
        <v>150.69999999999999</v>
      </c>
      <c r="M149" s="15">
        <v>129.91</v>
      </c>
      <c r="N149" s="15">
        <v>0</v>
      </c>
      <c r="O149" s="15">
        <v>20.79</v>
      </c>
      <c r="P149" s="2" t="s">
        <v>55</v>
      </c>
      <c r="Q149" s="16"/>
    </row>
    <row r="150" spans="1:17" x14ac:dyDescent="0.3">
      <c r="A150" s="10">
        <v>21733</v>
      </c>
      <c r="B150" s="2" t="s">
        <v>3501</v>
      </c>
      <c r="C150" s="13">
        <v>5548</v>
      </c>
      <c r="D150" s="2" t="s">
        <v>44</v>
      </c>
      <c r="E150" s="14">
        <v>44872</v>
      </c>
      <c r="F150" s="10" t="s">
        <v>493</v>
      </c>
      <c r="G150" s="25">
        <v>44876</v>
      </c>
      <c r="H150" s="10" t="s">
        <v>494</v>
      </c>
      <c r="I150" s="10" t="s">
        <v>495</v>
      </c>
      <c r="J150" s="15">
        <v>898612.63</v>
      </c>
      <c r="K150" s="15">
        <v>898461.34472000017</v>
      </c>
      <c r="L150" s="15">
        <v>151.29</v>
      </c>
      <c r="M150" s="15">
        <v>130.41999999999999</v>
      </c>
      <c r="N150" s="15">
        <v>0</v>
      </c>
      <c r="O150" s="15">
        <v>20.87</v>
      </c>
      <c r="P150" s="2" t="s">
        <v>55</v>
      </c>
      <c r="Q150" s="16"/>
    </row>
    <row r="151" spans="1:17" x14ac:dyDescent="0.3">
      <c r="A151" s="10">
        <v>21733</v>
      </c>
      <c r="B151" s="2" t="s">
        <v>3502</v>
      </c>
      <c r="C151" s="13">
        <v>5548</v>
      </c>
      <c r="D151" s="2" t="s">
        <v>44</v>
      </c>
      <c r="E151" s="14">
        <v>44606</v>
      </c>
      <c r="F151" s="10" t="s">
        <v>496</v>
      </c>
      <c r="G151" s="25">
        <v>44610</v>
      </c>
      <c r="H151" s="10" t="s">
        <v>497</v>
      </c>
      <c r="I151" s="10" t="s">
        <v>498</v>
      </c>
      <c r="J151" s="15">
        <v>15118.44</v>
      </c>
      <c r="K151" s="15">
        <v>14966.82576</v>
      </c>
      <c r="L151" s="15">
        <v>151.61000000000001</v>
      </c>
      <c r="M151" s="15">
        <v>130.69999999999999</v>
      </c>
      <c r="N151" s="15">
        <v>0</v>
      </c>
      <c r="O151" s="15">
        <v>20.91</v>
      </c>
      <c r="P151" s="2" t="s">
        <v>55</v>
      </c>
      <c r="Q151" s="16"/>
    </row>
    <row r="152" spans="1:17" x14ac:dyDescent="0.3">
      <c r="A152" s="10">
        <v>21733</v>
      </c>
      <c r="B152" s="2" t="s">
        <v>3503</v>
      </c>
      <c r="C152" s="13">
        <v>5556</v>
      </c>
      <c r="D152" s="2" t="s">
        <v>44</v>
      </c>
      <c r="E152" s="14">
        <v>44377</v>
      </c>
      <c r="F152" s="10" t="s">
        <v>499</v>
      </c>
      <c r="G152" s="25">
        <v>44382</v>
      </c>
      <c r="H152" s="10" t="s">
        <v>500</v>
      </c>
      <c r="I152" s="10" t="s">
        <v>501</v>
      </c>
      <c r="J152" s="15">
        <v>9410.75</v>
      </c>
      <c r="K152" s="15">
        <v>9258.7070400000011</v>
      </c>
      <c r="L152" s="15">
        <v>152.04</v>
      </c>
      <c r="M152" s="15">
        <v>131.07</v>
      </c>
      <c r="N152" s="15">
        <v>0</v>
      </c>
      <c r="O152" s="15">
        <v>20.97</v>
      </c>
      <c r="P152" s="2" t="s">
        <v>55</v>
      </c>
      <c r="Q152" s="16"/>
    </row>
    <row r="153" spans="1:17" x14ac:dyDescent="0.3">
      <c r="A153" s="10">
        <v>21733</v>
      </c>
      <c r="B153" s="2" t="s">
        <v>3504</v>
      </c>
      <c r="C153" s="13">
        <v>5548</v>
      </c>
      <c r="D153" s="2" t="s">
        <v>44</v>
      </c>
      <c r="E153" s="14">
        <v>44305</v>
      </c>
      <c r="F153" s="10" t="s">
        <v>502</v>
      </c>
      <c r="G153" s="25">
        <v>44309</v>
      </c>
      <c r="H153" s="10" t="s">
        <v>503</v>
      </c>
      <c r="I153" s="10" t="s">
        <v>504</v>
      </c>
      <c r="J153" s="15">
        <v>15360.87</v>
      </c>
      <c r="K153" s="15">
        <v>15208.528</v>
      </c>
      <c r="L153" s="15">
        <v>152.34</v>
      </c>
      <c r="M153" s="15">
        <v>131.33000000000001</v>
      </c>
      <c r="N153" s="15">
        <v>0</v>
      </c>
      <c r="O153" s="15">
        <v>21.01</v>
      </c>
      <c r="P153" s="2" t="s">
        <v>55</v>
      </c>
      <c r="Q153" s="16"/>
    </row>
    <row r="154" spans="1:17" x14ac:dyDescent="0.3">
      <c r="A154" s="10">
        <v>21733</v>
      </c>
      <c r="B154" s="2" t="s">
        <v>3505</v>
      </c>
      <c r="C154" s="13">
        <v>5548</v>
      </c>
      <c r="D154" s="2" t="s">
        <v>44</v>
      </c>
      <c r="E154" s="14">
        <v>44718</v>
      </c>
      <c r="F154" s="10" t="s">
        <v>505</v>
      </c>
      <c r="G154" s="25">
        <v>44723</v>
      </c>
      <c r="H154" s="10" t="s">
        <v>506</v>
      </c>
      <c r="I154" s="10" t="s">
        <v>507</v>
      </c>
      <c r="J154" s="15">
        <v>1154388.02</v>
      </c>
      <c r="K154" s="15">
        <v>1154235.6398399998</v>
      </c>
      <c r="L154" s="15">
        <v>152.38</v>
      </c>
      <c r="M154" s="15">
        <v>131.36000000000001</v>
      </c>
      <c r="N154" s="15">
        <v>0</v>
      </c>
      <c r="O154" s="15">
        <v>21.02</v>
      </c>
      <c r="P154" s="2" t="s">
        <v>55</v>
      </c>
      <c r="Q154" s="16"/>
    </row>
    <row r="155" spans="1:17" x14ac:dyDescent="0.3">
      <c r="A155" s="10">
        <v>21733</v>
      </c>
      <c r="B155" s="2" t="s">
        <v>3506</v>
      </c>
      <c r="C155" s="13">
        <v>5549</v>
      </c>
      <c r="D155" s="2" t="s">
        <v>44</v>
      </c>
      <c r="E155" s="14">
        <v>44431</v>
      </c>
      <c r="F155" s="10" t="s">
        <v>508</v>
      </c>
      <c r="G155" s="25">
        <v>44435</v>
      </c>
      <c r="H155" s="10" t="s">
        <v>509</v>
      </c>
      <c r="I155" s="10" t="s">
        <v>510</v>
      </c>
      <c r="J155" s="15">
        <v>20773.52</v>
      </c>
      <c r="K155" s="15">
        <v>20621.134400000003</v>
      </c>
      <c r="L155" s="15">
        <v>152.38999999999999</v>
      </c>
      <c r="M155" s="15">
        <v>131.37</v>
      </c>
      <c r="N155" s="15">
        <v>0</v>
      </c>
      <c r="O155" s="15">
        <v>21.02</v>
      </c>
      <c r="P155" s="2" t="s">
        <v>55</v>
      </c>
      <c r="Q155" s="16"/>
    </row>
    <row r="156" spans="1:17" x14ac:dyDescent="0.3">
      <c r="A156" s="10">
        <v>21733</v>
      </c>
      <c r="B156" s="2" t="s">
        <v>3507</v>
      </c>
      <c r="C156" s="13">
        <v>5556</v>
      </c>
      <c r="D156" s="2" t="s">
        <v>44</v>
      </c>
      <c r="E156" s="14">
        <v>45035</v>
      </c>
      <c r="F156" s="10" t="s">
        <v>511</v>
      </c>
      <c r="G156" s="25">
        <v>45042</v>
      </c>
      <c r="H156" s="10" t="s">
        <v>512</v>
      </c>
      <c r="I156" s="10" t="s">
        <v>513</v>
      </c>
      <c r="J156" s="15">
        <v>771763.65</v>
      </c>
      <c r="K156" s="15">
        <v>771611.25108000019</v>
      </c>
      <c r="L156" s="15">
        <v>152.4</v>
      </c>
      <c r="M156" s="15">
        <v>131.38</v>
      </c>
      <c r="N156" s="15">
        <v>0</v>
      </c>
      <c r="O156" s="15">
        <v>21.02</v>
      </c>
      <c r="P156" s="2" t="s">
        <v>55</v>
      </c>
      <c r="Q156" s="16"/>
    </row>
    <row r="157" spans="1:17" x14ac:dyDescent="0.3">
      <c r="A157" s="10">
        <v>21733</v>
      </c>
      <c r="B157" s="2" t="s">
        <v>3508</v>
      </c>
      <c r="C157" s="13">
        <v>5549</v>
      </c>
      <c r="D157" s="2" t="s">
        <v>44</v>
      </c>
      <c r="E157" s="14">
        <v>44818</v>
      </c>
      <c r="F157" s="10" t="s">
        <v>514</v>
      </c>
      <c r="G157" s="25">
        <v>44831</v>
      </c>
      <c r="H157" s="10" t="s">
        <v>515</v>
      </c>
      <c r="I157" s="10" t="s">
        <v>516</v>
      </c>
      <c r="J157" s="15">
        <v>564206.81000000006</v>
      </c>
      <c r="K157" s="15">
        <v>564053.82336000004</v>
      </c>
      <c r="L157" s="15">
        <v>152.99</v>
      </c>
      <c r="M157" s="15">
        <v>131.88999999999999</v>
      </c>
      <c r="N157" s="15">
        <v>0</v>
      </c>
      <c r="O157" s="15">
        <v>21.1</v>
      </c>
      <c r="P157" s="2" t="s">
        <v>55</v>
      </c>
      <c r="Q157" s="16"/>
    </row>
    <row r="158" spans="1:17" x14ac:dyDescent="0.3">
      <c r="A158" s="10">
        <v>21733</v>
      </c>
      <c r="B158" s="2" t="s">
        <v>3509</v>
      </c>
      <c r="C158" s="13">
        <v>5549</v>
      </c>
      <c r="D158" s="2" t="s">
        <v>44</v>
      </c>
      <c r="E158" s="14">
        <v>44704</v>
      </c>
      <c r="F158" s="10" t="s">
        <v>517</v>
      </c>
      <c r="G158" s="25">
        <v>44709</v>
      </c>
      <c r="H158" s="10" t="s">
        <v>518</v>
      </c>
      <c r="I158" s="10" t="s">
        <v>519</v>
      </c>
      <c r="J158" s="15">
        <v>96547.36</v>
      </c>
      <c r="K158" s="15">
        <v>96393.345920000007</v>
      </c>
      <c r="L158" s="15">
        <v>154.01</v>
      </c>
      <c r="M158" s="15">
        <v>132.77000000000001</v>
      </c>
      <c r="N158" s="15">
        <v>0</v>
      </c>
      <c r="O158" s="15">
        <v>21.24</v>
      </c>
      <c r="P158" s="2" t="s">
        <v>55</v>
      </c>
      <c r="Q158" s="16"/>
    </row>
    <row r="159" spans="1:17" x14ac:dyDescent="0.3">
      <c r="A159" s="10">
        <v>21733</v>
      </c>
      <c r="B159" s="2" t="s">
        <v>3510</v>
      </c>
      <c r="C159" s="13">
        <v>5549</v>
      </c>
      <c r="D159" s="2" t="s">
        <v>44</v>
      </c>
      <c r="E159" s="14">
        <v>44648</v>
      </c>
      <c r="F159" s="10" t="s">
        <v>520</v>
      </c>
      <c r="G159" s="25">
        <v>44653</v>
      </c>
      <c r="H159" s="10" t="s">
        <v>521</v>
      </c>
      <c r="I159" s="10" t="s">
        <v>522</v>
      </c>
      <c r="J159" s="15">
        <v>710154.25</v>
      </c>
      <c r="K159" s="15">
        <v>710000.11424000002</v>
      </c>
      <c r="L159" s="15">
        <v>154.13999999999999</v>
      </c>
      <c r="M159" s="15">
        <v>132.88</v>
      </c>
      <c r="N159" s="15">
        <v>0</v>
      </c>
      <c r="O159" s="15">
        <v>21.26</v>
      </c>
      <c r="P159" s="2" t="s">
        <v>55</v>
      </c>
      <c r="Q159" s="16"/>
    </row>
    <row r="160" spans="1:17" x14ac:dyDescent="0.3">
      <c r="A160" s="10">
        <v>21733</v>
      </c>
      <c r="B160" s="2" t="s">
        <v>3511</v>
      </c>
      <c r="C160" s="13">
        <v>5549</v>
      </c>
      <c r="D160" s="2" t="s">
        <v>44</v>
      </c>
      <c r="E160" s="14">
        <v>44466</v>
      </c>
      <c r="F160" s="10" t="s">
        <v>523</v>
      </c>
      <c r="G160" s="25">
        <v>44470</v>
      </c>
      <c r="H160" s="10" t="s">
        <v>524</v>
      </c>
      <c r="I160" s="10" t="s">
        <v>525</v>
      </c>
      <c r="J160" s="15">
        <v>15963.9</v>
      </c>
      <c r="K160" s="15">
        <v>15808.039199999999</v>
      </c>
      <c r="L160" s="15">
        <v>155.86000000000001</v>
      </c>
      <c r="M160" s="15">
        <v>134.36000000000001</v>
      </c>
      <c r="N160" s="15">
        <v>0</v>
      </c>
      <c r="O160" s="15">
        <v>21.5</v>
      </c>
      <c r="P160" s="2" t="s">
        <v>55</v>
      </c>
      <c r="Q160" s="16"/>
    </row>
    <row r="161" spans="1:17" x14ac:dyDescent="0.3">
      <c r="A161" s="10">
        <v>21733</v>
      </c>
      <c r="B161" s="2" t="s">
        <v>3512</v>
      </c>
      <c r="C161" s="13">
        <v>5537</v>
      </c>
      <c r="D161" s="2" t="s">
        <v>44</v>
      </c>
      <c r="E161" s="14">
        <v>44592</v>
      </c>
      <c r="F161" s="10" t="s">
        <v>526</v>
      </c>
      <c r="G161" s="25">
        <v>44596</v>
      </c>
      <c r="H161" s="10" t="s">
        <v>527</v>
      </c>
      <c r="I161" s="10" t="s">
        <v>528</v>
      </c>
      <c r="J161" s="15">
        <v>55064.480000000003</v>
      </c>
      <c r="K161" s="15">
        <v>54908.428320000006</v>
      </c>
      <c r="L161" s="15">
        <v>156.05000000000001</v>
      </c>
      <c r="M161" s="15">
        <v>134.53</v>
      </c>
      <c r="N161" s="15">
        <v>0</v>
      </c>
      <c r="O161" s="15">
        <v>21.52</v>
      </c>
      <c r="P161" s="2" t="s">
        <v>55</v>
      </c>
      <c r="Q161" s="16"/>
    </row>
    <row r="162" spans="1:17" x14ac:dyDescent="0.3">
      <c r="A162" s="10">
        <v>21733</v>
      </c>
      <c r="B162" s="2" t="s">
        <v>3513</v>
      </c>
      <c r="C162" s="13">
        <v>5681</v>
      </c>
      <c r="D162" s="2" t="s">
        <v>44</v>
      </c>
      <c r="E162" s="14">
        <v>45094</v>
      </c>
      <c r="F162" s="10" t="s">
        <v>529</v>
      </c>
      <c r="G162" s="25">
        <v>45110</v>
      </c>
      <c r="H162" s="10" t="s">
        <v>530</v>
      </c>
      <c r="I162" s="10" t="s">
        <v>531</v>
      </c>
      <c r="J162" s="15">
        <v>604288.09</v>
      </c>
      <c r="K162" s="15">
        <v>604131.89760000003</v>
      </c>
      <c r="L162" s="15">
        <v>156.19</v>
      </c>
      <c r="M162" s="15">
        <v>134.65</v>
      </c>
      <c r="N162" s="15">
        <v>0</v>
      </c>
      <c r="O162" s="15">
        <v>21.54</v>
      </c>
      <c r="P162" s="2" t="s">
        <v>55</v>
      </c>
      <c r="Q162" s="16"/>
    </row>
    <row r="163" spans="1:17" x14ac:dyDescent="0.3">
      <c r="A163" s="10">
        <v>21733</v>
      </c>
      <c r="B163" s="2" t="s">
        <v>3514</v>
      </c>
      <c r="C163" s="13">
        <v>5549</v>
      </c>
      <c r="D163" s="2" t="s">
        <v>44</v>
      </c>
      <c r="E163" s="14">
        <v>44781</v>
      </c>
      <c r="F163" s="10" t="s">
        <v>532</v>
      </c>
      <c r="G163" s="25">
        <v>44786</v>
      </c>
      <c r="H163" s="10" t="s">
        <v>533</v>
      </c>
      <c r="I163" s="10" t="s">
        <v>534</v>
      </c>
      <c r="J163" s="15">
        <v>969120.08</v>
      </c>
      <c r="K163" s="15">
        <v>968963.62056000018</v>
      </c>
      <c r="L163" s="15">
        <v>156.46</v>
      </c>
      <c r="M163" s="15">
        <v>134.88</v>
      </c>
      <c r="N163" s="15">
        <v>0</v>
      </c>
      <c r="O163" s="15">
        <v>21.58</v>
      </c>
      <c r="P163" s="2" t="s">
        <v>55</v>
      </c>
      <c r="Q163" s="16"/>
    </row>
    <row r="164" spans="1:17" x14ac:dyDescent="0.3">
      <c r="A164" s="10">
        <v>21733</v>
      </c>
      <c r="B164" s="2" t="s">
        <v>3515</v>
      </c>
      <c r="C164" s="13">
        <v>5556</v>
      </c>
      <c r="D164" s="2" t="s">
        <v>44</v>
      </c>
      <c r="E164" s="14">
        <v>44993</v>
      </c>
      <c r="F164" s="10" t="s">
        <v>535</v>
      </c>
      <c r="G164" s="25">
        <v>44999</v>
      </c>
      <c r="H164" s="10" t="s">
        <v>536</v>
      </c>
      <c r="I164" s="10" t="s">
        <v>537</v>
      </c>
      <c r="J164" s="15">
        <v>1016300.53</v>
      </c>
      <c r="K164" s="15">
        <v>1016144.0442000004</v>
      </c>
      <c r="L164" s="15">
        <v>156.49</v>
      </c>
      <c r="M164" s="15">
        <v>134.9</v>
      </c>
      <c r="N164" s="15">
        <v>0</v>
      </c>
      <c r="O164" s="15">
        <v>21.58</v>
      </c>
      <c r="P164" s="2" t="s">
        <v>55</v>
      </c>
      <c r="Q164" s="16"/>
    </row>
    <row r="165" spans="1:17" x14ac:dyDescent="0.3">
      <c r="A165" s="10">
        <v>21733</v>
      </c>
      <c r="B165" s="2" t="s">
        <v>3516</v>
      </c>
      <c r="C165" s="13">
        <v>5681</v>
      </c>
      <c r="D165" s="2" t="s">
        <v>44</v>
      </c>
      <c r="E165" s="14">
        <v>44809</v>
      </c>
      <c r="F165" s="10" t="s">
        <v>538</v>
      </c>
      <c r="G165" s="25">
        <v>44814</v>
      </c>
      <c r="H165" s="10" t="s">
        <v>539</v>
      </c>
      <c r="I165" s="10" t="s">
        <v>540</v>
      </c>
      <c r="J165" s="15">
        <v>551522.73</v>
      </c>
      <c r="K165" s="15">
        <v>551366.12847999996</v>
      </c>
      <c r="L165" s="15">
        <v>156.6</v>
      </c>
      <c r="M165" s="15">
        <v>135</v>
      </c>
      <c r="N165" s="15">
        <v>0</v>
      </c>
      <c r="O165" s="15">
        <v>21.6</v>
      </c>
      <c r="P165" s="2" t="s">
        <v>55</v>
      </c>
      <c r="Q165" s="16"/>
    </row>
    <row r="166" spans="1:17" x14ac:dyDescent="0.3">
      <c r="A166" s="10">
        <v>21733</v>
      </c>
      <c r="B166" s="2" t="s">
        <v>3517</v>
      </c>
      <c r="C166" s="13">
        <v>5537</v>
      </c>
      <c r="D166" s="2" t="s">
        <v>44</v>
      </c>
      <c r="E166" s="14">
        <v>44333</v>
      </c>
      <c r="F166" s="10" t="s">
        <v>541</v>
      </c>
      <c r="G166" s="25">
        <v>44339</v>
      </c>
      <c r="H166" s="10" t="s">
        <v>542</v>
      </c>
      <c r="I166" s="10" t="s">
        <v>543</v>
      </c>
      <c r="J166" s="15">
        <v>25284.880000000001</v>
      </c>
      <c r="K166" s="15">
        <v>25126.783200000002</v>
      </c>
      <c r="L166" s="15">
        <v>158.1</v>
      </c>
      <c r="M166" s="15">
        <v>136.29</v>
      </c>
      <c r="N166" s="15">
        <v>0</v>
      </c>
      <c r="O166" s="15">
        <v>21.81</v>
      </c>
      <c r="P166" s="2" t="s">
        <v>55</v>
      </c>
      <c r="Q166" s="16"/>
    </row>
    <row r="167" spans="1:17" x14ac:dyDescent="0.3">
      <c r="A167" s="10">
        <v>21733</v>
      </c>
      <c r="B167" s="2" t="s">
        <v>3518</v>
      </c>
      <c r="C167" s="13">
        <v>5556</v>
      </c>
      <c r="D167" s="2" t="s">
        <v>44</v>
      </c>
      <c r="E167" s="14">
        <v>45049</v>
      </c>
      <c r="F167" s="10" t="s">
        <v>544</v>
      </c>
      <c r="G167" s="25">
        <v>45058</v>
      </c>
      <c r="H167" s="10" t="s">
        <v>545</v>
      </c>
      <c r="I167" s="10" t="s">
        <v>546</v>
      </c>
      <c r="J167" s="15">
        <v>699201.06</v>
      </c>
      <c r="K167" s="15">
        <v>699042.95607999992</v>
      </c>
      <c r="L167" s="15">
        <v>158.1</v>
      </c>
      <c r="M167" s="15">
        <v>136.30000000000001</v>
      </c>
      <c r="N167" s="15">
        <v>0</v>
      </c>
      <c r="O167" s="15">
        <v>21.81</v>
      </c>
      <c r="P167" s="2" t="s">
        <v>55</v>
      </c>
      <c r="Q167" s="16"/>
    </row>
    <row r="168" spans="1:17" x14ac:dyDescent="0.3">
      <c r="A168" s="10">
        <v>21733</v>
      </c>
      <c r="B168" s="2" t="s">
        <v>3519</v>
      </c>
      <c r="C168" s="13">
        <v>5556</v>
      </c>
      <c r="D168" s="2" t="s">
        <v>44</v>
      </c>
      <c r="E168" s="14">
        <v>45007</v>
      </c>
      <c r="F168" s="10" t="s">
        <v>547</v>
      </c>
      <c r="G168" s="25">
        <v>45016</v>
      </c>
      <c r="H168" s="10" t="s">
        <v>548</v>
      </c>
      <c r="I168" s="10" t="s">
        <v>549</v>
      </c>
      <c r="J168" s="15">
        <v>722544.74</v>
      </c>
      <c r="K168" s="15">
        <v>722386.56640000024</v>
      </c>
      <c r="L168" s="15">
        <v>158.16999999999999</v>
      </c>
      <c r="M168" s="15">
        <v>136.36000000000001</v>
      </c>
      <c r="N168" s="15">
        <v>0</v>
      </c>
      <c r="O168" s="15">
        <v>21.82</v>
      </c>
      <c r="P168" s="2" t="s">
        <v>55</v>
      </c>
      <c r="Q168" s="16"/>
    </row>
    <row r="169" spans="1:17" x14ac:dyDescent="0.3">
      <c r="A169" s="10">
        <v>21733</v>
      </c>
      <c r="B169" s="2" t="s">
        <v>3520</v>
      </c>
      <c r="C169" s="13">
        <v>5537</v>
      </c>
      <c r="D169" s="2" t="s">
        <v>44</v>
      </c>
      <c r="E169" s="14">
        <v>44585</v>
      </c>
      <c r="F169" s="10" t="s">
        <v>550</v>
      </c>
      <c r="G169" s="25">
        <v>44590</v>
      </c>
      <c r="H169" s="10" t="s">
        <v>551</v>
      </c>
      <c r="I169" s="10" t="s">
        <v>552</v>
      </c>
      <c r="J169" s="15">
        <v>410385.5</v>
      </c>
      <c r="K169" s="15">
        <v>410227.25576000003</v>
      </c>
      <c r="L169" s="15">
        <v>158.24</v>
      </c>
      <c r="M169" s="15">
        <v>136.41999999999999</v>
      </c>
      <c r="N169" s="15">
        <v>0</v>
      </c>
      <c r="O169" s="15">
        <v>21.83</v>
      </c>
      <c r="P169" s="2" t="s">
        <v>55</v>
      </c>
      <c r="Q169" s="16"/>
    </row>
    <row r="170" spans="1:17" x14ac:dyDescent="0.3">
      <c r="A170" s="10">
        <v>21733</v>
      </c>
      <c r="B170" s="2" t="s">
        <v>3521</v>
      </c>
      <c r="C170" s="13">
        <v>5537</v>
      </c>
      <c r="D170" s="2" t="s">
        <v>44</v>
      </c>
      <c r="E170" s="14">
        <v>44522</v>
      </c>
      <c r="F170" s="10" t="s">
        <v>553</v>
      </c>
      <c r="G170" s="25">
        <v>44526</v>
      </c>
      <c r="H170" s="10" t="s">
        <v>554</v>
      </c>
      <c r="I170" s="10" t="s">
        <v>555</v>
      </c>
      <c r="J170" s="15">
        <v>571688.24</v>
      </c>
      <c r="K170" s="15">
        <v>571529.18583999993</v>
      </c>
      <c r="L170" s="15">
        <v>159.05000000000001</v>
      </c>
      <c r="M170" s="15">
        <v>137.12</v>
      </c>
      <c r="N170" s="15">
        <v>0</v>
      </c>
      <c r="O170" s="15">
        <v>21.94</v>
      </c>
      <c r="P170" s="2" t="s">
        <v>55</v>
      </c>
      <c r="Q170" s="16"/>
    </row>
    <row r="171" spans="1:17" x14ac:dyDescent="0.3">
      <c r="A171" s="10">
        <v>21733</v>
      </c>
      <c r="B171" s="2" t="s">
        <v>3522</v>
      </c>
      <c r="C171" s="13">
        <v>5557</v>
      </c>
      <c r="D171" s="2" t="s">
        <v>44</v>
      </c>
      <c r="E171" s="14">
        <v>45094</v>
      </c>
      <c r="F171" s="10" t="s">
        <v>556</v>
      </c>
      <c r="G171" s="25">
        <v>45112</v>
      </c>
      <c r="H171" s="10" t="s">
        <v>557</v>
      </c>
      <c r="I171" s="10" t="s">
        <v>558</v>
      </c>
      <c r="J171" s="15">
        <v>562890.9</v>
      </c>
      <c r="K171" s="15">
        <v>562731.59039999987</v>
      </c>
      <c r="L171" s="15">
        <v>159.31</v>
      </c>
      <c r="M171" s="15">
        <v>137.34</v>
      </c>
      <c r="N171" s="15">
        <v>0</v>
      </c>
      <c r="O171" s="15">
        <v>21.97</v>
      </c>
      <c r="P171" s="2" t="s">
        <v>55</v>
      </c>
      <c r="Q171" s="16"/>
    </row>
    <row r="172" spans="1:17" x14ac:dyDescent="0.3">
      <c r="A172" s="10">
        <v>21733</v>
      </c>
      <c r="B172" s="2" t="s">
        <v>3523</v>
      </c>
      <c r="C172" s="13">
        <v>5681</v>
      </c>
      <c r="D172" s="2" t="s">
        <v>44</v>
      </c>
      <c r="E172" s="14">
        <v>44830</v>
      </c>
      <c r="F172" s="10" t="s">
        <v>559</v>
      </c>
      <c r="G172" s="25">
        <v>44834</v>
      </c>
      <c r="H172" s="10" t="s">
        <v>560</v>
      </c>
      <c r="I172" s="10" t="s">
        <v>561</v>
      </c>
      <c r="J172" s="15">
        <v>482578.05</v>
      </c>
      <c r="K172" s="15">
        <v>482418.10647999996</v>
      </c>
      <c r="L172" s="15">
        <v>159.94</v>
      </c>
      <c r="M172" s="15">
        <v>137.88</v>
      </c>
      <c r="N172" s="15">
        <v>0</v>
      </c>
      <c r="O172" s="15">
        <v>22.06</v>
      </c>
      <c r="P172" s="2" t="s">
        <v>55</v>
      </c>
      <c r="Q172" s="16"/>
    </row>
    <row r="173" spans="1:17" x14ac:dyDescent="0.3">
      <c r="A173" s="10">
        <v>21733</v>
      </c>
      <c r="B173" s="2" t="s">
        <v>3524</v>
      </c>
      <c r="C173" s="13">
        <v>5548</v>
      </c>
      <c r="D173" s="2" t="s">
        <v>44</v>
      </c>
      <c r="E173" s="14">
        <v>44620</v>
      </c>
      <c r="F173" s="10" t="s">
        <v>562</v>
      </c>
      <c r="G173" s="25">
        <v>44624</v>
      </c>
      <c r="H173" s="10" t="s">
        <v>563</v>
      </c>
      <c r="I173" s="10" t="s">
        <v>564</v>
      </c>
      <c r="J173" s="15">
        <v>1069132.3</v>
      </c>
      <c r="K173" s="15">
        <v>1068972.29904</v>
      </c>
      <c r="L173" s="15">
        <v>160</v>
      </c>
      <c r="M173" s="15">
        <v>137.93</v>
      </c>
      <c r="N173" s="15">
        <v>0</v>
      </c>
      <c r="O173" s="15">
        <v>22.07</v>
      </c>
      <c r="P173" s="2" t="s">
        <v>55</v>
      </c>
      <c r="Q173" s="16"/>
    </row>
    <row r="174" spans="1:17" x14ac:dyDescent="0.3">
      <c r="A174" s="10">
        <v>21733</v>
      </c>
      <c r="B174" s="2" t="s">
        <v>3525</v>
      </c>
      <c r="C174" s="13">
        <v>5548</v>
      </c>
      <c r="D174" s="2" t="s">
        <v>44</v>
      </c>
      <c r="E174" s="14">
        <v>44291</v>
      </c>
      <c r="F174" s="10" t="s">
        <v>565</v>
      </c>
      <c r="G174" s="25">
        <v>44296</v>
      </c>
      <c r="H174" s="10" t="s">
        <v>566</v>
      </c>
      <c r="I174" s="10" t="s">
        <v>567</v>
      </c>
      <c r="J174" s="15">
        <v>22653.26</v>
      </c>
      <c r="K174" s="15">
        <v>22493.140080000001</v>
      </c>
      <c r="L174" s="15">
        <v>160.12</v>
      </c>
      <c r="M174" s="15">
        <v>138.03</v>
      </c>
      <c r="N174" s="15">
        <v>0</v>
      </c>
      <c r="O174" s="15">
        <v>22.09</v>
      </c>
      <c r="P174" s="2" t="s">
        <v>55</v>
      </c>
      <c r="Q174" s="16"/>
    </row>
    <row r="175" spans="1:17" x14ac:dyDescent="0.3">
      <c r="A175" s="10">
        <v>21733</v>
      </c>
      <c r="B175" s="2" t="s">
        <v>3526</v>
      </c>
      <c r="C175" s="13">
        <v>5556</v>
      </c>
      <c r="D175" s="2" t="s">
        <v>44</v>
      </c>
      <c r="E175" s="14">
        <v>44867</v>
      </c>
      <c r="F175" s="10" t="s">
        <v>568</v>
      </c>
      <c r="G175" s="25">
        <v>44874</v>
      </c>
      <c r="H175" s="10" t="s">
        <v>569</v>
      </c>
      <c r="I175" s="10" t="s">
        <v>570</v>
      </c>
      <c r="J175" s="15">
        <v>102636.59</v>
      </c>
      <c r="K175" s="15">
        <v>102475.58319999999</v>
      </c>
      <c r="L175" s="15">
        <v>161.01</v>
      </c>
      <c r="M175" s="15">
        <v>138.80000000000001</v>
      </c>
      <c r="N175" s="15">
        <v>0</v>
      </c>
      <c r="O175" s="15">
        <v>22.21</v>
      </c>
      <c r="P175" s="2" t="s">
        <v>55</v>
      </c>
      <c r="Q175" s="16"/>
    </row>
    <row r="176" spans="1:17" x14ac:dyDescent="0.3">
      <c r="A176" s="10">
        <v>21733</v>
      </c>
      <c r="B176" s="2" t="s">
        <v>3527</v>
      </c>
      <c r="C176" s="13">
        <v>5537</v>
      </c>
      <c r="D176" s="2" t="s">
        <v>44</v>
      </c>
      <c r="E176" s="14">
        <v>45040</v>
      </c>
      <c r="F176" s="10" t="s">
        <v>571</v>
      </c>
      <c r="G176" s="25">
        <v>45049</v>
      </c>
      <c r="H176" s="10" t="s">
        <v>572</v>
      </c>
      <c r="I176" s="10" t="s">
        <v>573</v>
      </c>
      <c r="J176" s="15">
        <v>704965.07</v>
      </c>
      <c r="K176" s="15">
        <v>704803.61468000012</v>
      </c>
      <c r="L176" s="15">
        <v>161.46</v>
      </c>
      <c r="M176" s="15">
        <v>139.19</v>
      </c>
      <c r="N176" s="15">
        <v>0</v>
      </c>
      <c r="O176" s="15">
        <v>22.27</v>
      </c>
      <c r="P176" s="2" t="s">
        <v>55</v>
      </c>
      <c r="Q176" s="16"/>
    </row>
    <row r="177" spans="1:17" x14ac:dyDescent="0.3">
      <c r="A177" s="10">
        <v>21733</v>
      </c>
      <c r="B177" s="2" t="s">
        <v>3528</v>
      </c>
      <c r="C177" s="13">
        <v>5537</v>
      </c>
      <c r="D177" s="2" t="s">
        <v>44</v>
      </c>
      <c r="E177" s="14">
        <v>44396</v>
      </c>
      <c r="F177" s="10" t="s">
        <v>574</v>
      </c>
      <c r="G177" s="25">
        <v>44400</v>
      </c>
      <c r="H177" s="10" t="s">
        <v>575</v>
      </c>
      <c r="I177" s="10" t="s">
        <v>576</v>
      </c>
      <c r="J177" s="15">
        <v>118138.44</v>
      </c>
      <c r="K177" s="15">
        <v>117975.80132000001</v>
      </c>
      <c r="L177" s="15">
        <v>162.63999999999999</v>
      </c>
      <c r="M177" s="15">
        <v>140.21</v>
      </c>
      <c r="N177" s="15">
        <v>0</v>
      </c>
      <c r="O177" s="15">
        <v>22.43</v>
      </c>
      <c r="P177" s="2" t="s">
        <v>55</v>
      </c>
      <c r="Q177" s="16"/>
    </row>
    <row r="178" spans="1:17" x14ac:dyDescent="0.3">
      <c r="A178" s="10">
        <v>21733</v>
      </c>
      <c r="B178" s="2" t="s">
        <v>3529</v>
      </c>
      <c r="C178" s="13">
        <v>5548</v>
      </c>
      <c r="D178" s="2" t="s">
        <v>44</v>
      </c>
      <c r="E178" s="14">
        <v>44952</v>
      </c>
      <c r="F178" s="10" t="s">
        <v>577</v>
      </c>
      <c r="G178" s="25">
        <v>44958</v>
      </c>
      <c r="H178" s="10" t="s">
        <v>578</v>
      </c>
      <c r="I178" s="10" t="s">
        <v>579</v>
      </c>
      <c r="J178" s="15">
        <v>326705.08</v>
      </c>
      <c r="K178" s="15">
        <v>326542.20979999995</v>
      </c>
      <c r="L178" s="15">
        <v>162.87</v>
      </c>
      <c r="M178" s="15">
        <v>140.41</v>
      </c>
      <c r="N178" s="15">
        <v>0</v>
      </c>
      <c r="O178" s="15">
        <v>22.46</v>
      </c>
      <c r="P178" s="2" t="s">
        <v>55</v>
      </c>
      <c r="Q178" s="16"/>
    </row>
    <row r="179" spans="1:17" x14ac:dyDescent="0.3">
      <c r="A179" s="10">
        <v>21733</v>
      </c>
      <c r="B179" s="2" t="s">
        <v>3530</v>
      </c>
      <c r="C179" s="13">
        <v>5681</v>
      </c>
      <c r="D179" s="2" t="s">
        <v>44</v>
      </c>
      <c r="E179" s="14">
        <v>44760</v>
      </c>
      <c r="F179" s="10" t="s">
        <v>580</v>
      </c>
      <c r="G179" s="25">
        <v>44765</v>
      </c>
      <c r="H179" s="10" t="s">
        <v>581</v>
      </c>
      <c r="I179" s="10" t="s">
        <v>582</v>
      </c>
      <c r="J179" s="15">
        <v>346447.13</v>
      </c>
      <c r="K179" s="15">
        <v>346283.32991999987</v>
      </c>
      <c r="L179" s="15">
        <v>163.80000000000001</v>
      </c>
      <c r="M179" s="15">
        <v>141.21</v>
      </c>
      <c r="N179" s="15">
        <v>0</v>
      </c>
      <c r="O179" s="15">
        <v>22.59</v>
      </c>
      <c r="P179" s="2" t="s">
        <v>55</v>
      </c>
      <c r="Q179" s="16"/>
    </row>
    <row r="180" spans="1:17" x14ac:dyDescent="0.3">
      <c r="A180" s="10">
        <v>21733</v>
      </c>
      <c r="B180" s="2" t="s">
        <v>3531</v>
      </c>
      <c r="C180" s="13">
        <v>5549</v>
      </c>
      <c r="D180" s="2" t="s">
        <v>44</v>
      </c>
      <c r="E180" s="14">
        <v>44886</v>
      </c>
      <c r="F180" s="10" t="s">
        <v>583</v>
      </c>
      <c r="G180" s="25">
        <v>44891</v>
      </c>
      <c r="H180" s="10" t="s">
        <v>584</v>
      </c>
      <c r="I180" s="10" t="s">
        <v>585</v>
      </c>
      <c r="J180" s="15">
        <v>588802.43999999994</v>
      </c>
      <c r="K180" s="15">
        <v>588638.27639999997</v>
      </c>
      <c r="L180" s="15">
        <v>164.16</v>
      </c>
      <c r="M180" s="15">
        <v>141.52000000000001</v>
      </c>
      <c r="N180" s="15">
        <v>0</v>
      </c>
      <c r="O180" s="15">
        <v>22.64</v>
      </c>
      <c r="P180" s="2" t="s">
        <v>55</v>
      </c>
      <c r="Q180" s="16"/>
    </row>
    <row r="181" spans="1:17" x14ac:dyDescent="0.3">
      <c r="A181" s="10">
        <v>21733</v>
      </c>
      <c r="B181" s="2" t="s">
        <v>3532</v>
      </c>
      <c r="C181" s="13">
        <v>5556</v>
      </c>
      <c r="D181" s="2" t="s">
        <v>44</v>
      </c>
      <c r="E181" s="14">
        <v>44895</v>
      </c>
      <c r="F181" s="10" t="s">
        <v>586</v>
      </c>
      <c r="G181" s="25">
        <v>44902</v>
      </c>
      <c r="H181" s="10" t="s">
        <v>587</v>
      </c>
      <c r="I181" s="10" t="s">
        <v>588</v>
      </c>
      <c r="J181" s="15">
        <v>159954.25</v>
      </c>
      <c r="K181" s="15">
        <v>159789.13927999997</v>
      </c>
      <c r="L181" s="15">
        <v>165.11</v>
      </c>
      <c r="M181" s="15">
        <v>142.34</v>
      </c>
      <c r="N181" s="15">
        <v>0</v>
      </c>
      <c r="O181" s="15">
        <v>22.77</v>
      </c>
      <c r="P181" s="2" t="s">
        <v>55</v>
      </c>
      <c r="Q181" s="16"/>
    </row>
    <row r="182" spans="1:17" x14ac:dyDescent="0.3">
      <c r="A182" s="10">
        <v>21733</v>
      </c>
      <c r="B182" s="2" t="s">
        <v>3533</v>
      </c>
      <c r="C182" s="13">
        <v>5556</v>
      </c>
      <c r="D182" s="2" t="s">
        <v>44</v>
      </c>
      <c r="E182" s="14">
        <v>44643</v>
      </c>
      <c r="F182" s="10" t="s">
        <v>589</v>
      </c>
      <c r="G182" s="25">
        <v>44649</v>
      </c>
      <c r="H182" s="10" t="s">
        <v>590</v>
      </c>
      <c r="I182" s="10" t="s">
        <v>591</v>
      </c>
      <c r="J182" s="15">
        <v>127366.12</v>
      </c>
      <c r="K182" s="15">
        <v>127200.78716000001</v>
      </c>
      <c r="L182" s="15">
        <v>165.33</v>
      </c>
      <c r="M182" s="15">
        <v>142.53</v>
      </c>
      <c r="N182" s="15">
        <v>0</v>
      </c>
      <c r="O182" s="15">
        <v>22.8</v>
      </c>
      <c r="P182" s="2" t="s">
        <v>55</v>
      </c>
      <c r="Q182" s="16"/>
    </row>
    <row r="183" spans="1:17" x14ac:dyDescent="0.3">
      <c r="A183" s="10">
        <v>21733</v>
      </c>
      <c r="B183" s="2" t="s">
        <v>3534</v>
      </c>
      <c r="C183" s="13">
        <v>5681</v>
      </c>
      <c r="D183" s="2" t="s">
        <v>44</v>
      </c>
      <c r="E183" s="14">
        <v>44893</v>
      </c>
      <c r="F183" s="10" t="s">
        <v>592</v>
      </c>
      <c r="G183" s="25">
        <v>44898</v>
      </c>
      <c r="H183" s="10" t="s">
        <v>593</v>
      </c>
      <c r="I183" s="10" t="s">
        <v>594</v>
      </c>
      <c r="J183" s="15">
        <v>47114.96</v>
      </c>
      <c r="K183" s="15">
        <v>46949.153280000006</v>
      </c>
      <c r="L183" s="15">
        <v>165.81</v>
      </c>
      <c r="M183" s="15">
        <v>142.94</v>
      </c>
      <c r="N183" s="15">
        <v>0</v>
      </c>
      <c r="O183" s="15">
        <v>22.87</v>
      </c>
      <c r="P183" s="2" t="s">
        <v>55</v>
      </c>
      <c r="Q183" s="16"/>
    </row>
    <row r="184" spans="1:17" x14ac:dyDescent="0.3">
      <c r="A184" s="10">
        <v>21733</v>
      </c>
      <c r="B184" s="2" t="s">
        <v>3535</v>
      </c>
      <c r="C184" s="13">
        <v>5681</v>
      </c>
      <c r="D184" s="2" t="s">
        <v>44</v>
      </c>
      <c r="E184" s="14">
        <v>44305</v>
      </c>
      <c r="F184" s="10" t="s">
        <v>595</v>
      </c>
      <c r="G184" s="25">
        <v>44310</v>
      </c>
      <c r="H184" s="10" t="s">
        <v>596</v>
      </c>
      <c r="I184" s="10" t="s">
        <v>597</v>
      </c>
      <c r="J184" s="15">
        <v>16284.76</v>
      </c>
      <c r="K184" s="15">
        <v>16117.713960000001</v>
      </c>
      <c r="L184" s="15">
        <v>167.05</v>
      </c>
      <c r="M184" s="15">
        <v>144.01</v>
      </c>
      <c r="N184" s="15">
        <v>0</v>
      </c>
      <c r="O184" s="15">
        <v>23.04</v>
      </c>
      <c r="P184" s="2" t="s">
        <v>55</v>
      </c>
      <c r="Q184" s="16"/>
    </row>
    <row r="185" spans="1:17" x14ac:dyDescent="0.3">
      <c r="A185" s="10">
        <v>21733</v>
      </c>
      <c r="B185" s="2" t="s">
        <v>3536</v>
      </c>
      <c r="C185" s="13">
        <v>5537</v>
      </c>
      <c r="D185" s="2" t="s">
        <v>44</v>
      </c>
      <c r="E185" s="14">
        <v>44326</v>
      </c>
      <c r="F185" s="10" t="s">
        <v>598</v>
      </c>
      <c r="G185" s="25">
        <v>44330</v>
      </c>
      <c r="H185" s="10" t="s">
        <v>599</v>
      </c>
      <c r="I185" s="10" t="s">
        <v>600</v>
      </c>
      <c r="J185" s="15">
        <v>84836.78</v>
      </c>
      <c r="K185" s="15">
        <v>84669.611040000003</v>
      </c>
      <c r="L185" s="15">
        <v>167.17</v>
      </c>
      <c r="M185" s="15">
        <v>144.11000000000001</v>
      </c>
      <c r="N185" s="15">
        <v>0</v>
      </c>
      <c r="O185" s="15">
        <v>23.06</v>
      </c>
      <c r="P185" s="2" t="s">
        <v>55</v>
      </c>
      <c r="Q185" s="16"/>
    </row>
    <row r="186" spans="1:17" x14ac:dyDescent="0.3">
      <c r="A186" s="10">
        <v>21733</v>
      </c>
      <c r="B186" s="2" t="s">
        <v>3537</v>
      </c>
      <c r="C186" s="13">
        <v>5537</v>
      </c>
      <c r="D186" s="2" t="s">
        <v>44</v>
      </c>
      <c r="E186" s="14">
        <v>44981</v>
      </c>
      <c r="F186" s="10" t="s">
        <v>601</v>
      </c>
      <c r="G186" s="25">
        <v>44989</v>
      </c>
      <c r="H186" s="10" t="s">
        <v>602</v>
      </c>
      <c r="I186" s="10" t="s">
        <v>603</v>
      </c>
      <c r="J186" s="15">
        <v>271445.12</v>
      </c>
      <c r="K186" s="15">
        <v>271277.43180000002</v>
      </c>
      <c r="L186" s="15">
        <v>167.69</v>
      </c>
      <c r="M186" s="15">
        <v>144.56</v>
      </c>
      <c r="N186" s="15">
        <v>0</v>
      </c>
      <c r="O186" s="15">
        <v>23.13</v>
      </c>
      <c r="P186" s="2" t="s">
        <v>55</v>
      </c>
      <c r="Q186" s="16"/>
    </row>
    <row r="187" spans="1:17" x14ac:dyDescent="0.3">
      <c r="A187" s="10">
        <v>21733</v>
      </c>
      <c r="B187" s="2" t="s">
        <v>3538</v>
      </c>
      <c r="C187" s="13">
        <v>5548</v>
      </c>
      <c r="D187" s="2" t="s">
        <v>44</v>
      </c>
      <c r="E187" s="14">
        <v>44991</v>
      </c>
      <c r="F187" s="10" t="s">
        <v>604</v>
      </c>
      <c r="G187" s="25">
        <v>44996</v>
      </c>
      <c r="H187" s="10" t="s">
        <v>605</v>
      </c>
      <c r="I187" s="10" t="s">
        <v>606</v>
      </c>
      <c r="J187" s="15">
        <v>692238.35</v>
      </c>
      <c r="K187" s="15">
        <v>692070.51623999991</v>
      </c>
      <c r="L187" s="15">
        <v>167.83</v>
      </c>
      <c r="M187" s="15">
        <v>144.68</v>
      </c>
      <c r="N187" s="15">
        <v>0</v>
      </c>
      <c r="O187" s="15">
        <v>23.15</v>
      </c>
      <c r="P187" s="2" t="s">
        <v>55</v>
      </c>
      <c r="Q187" s="16"/>
    </row>
    <row r="188" spans="1:17" x14ac:dyDescent="0.3">
      <c r="A188" s="10">
        <v>21733</v>
      </c>
      <c r="B188" s="2" t="s">
        <v>3539</v>
      </c>
      <c r="C188" s="13">
        <v>5681</v>
      </c>
      <c r="D188" s="2" t="s">
        <v>44</v>
      </c>
      <c r="E188" s="14">
        <v>44522</v>
      </c>
      <c r="F188" s="10" t="s">
        <v>607</v>
      </c>
      <c r="G188" s="25">
        <v>44527</v>
      </c>
      <c r="H188" s="10" t="s">
        <v>608</v>
      </c>
      <c r="I188" s="10" t="s">
        <v>609</v>
      </c>
      <c r="J188" s="15">
        <v>106774.22</v>
      </c>
      <c r="K188" s="15">
        <v>106603.88400000001</v>
      </c>
      <c r="L188" s="15">
        <v>170.34</v>
      </c>
      <c r="M188" s="15">
        <v>146.84</v>
      </c>
      <c r="N188" s="15">
        <v>0</v>
      </c>
      <c r="O188" s="15">
        <v>23.49</v>
      </c>
      <c r="P188" s="2" t="s">
        <v>55</v>
      </c>
      <c r="Q188" s="16"/>
    </row>
    <row r="189" spans="1:17" x14ac:dyDescent="0.3">
      <c r="A189" s="10">
        <v>21733</v>
      </c>
      <c r="B189" s="2" t="s">
        <v>3540</v>
      </c>
      <c r="C189" s="13">
        <v>5557</v>
      </c>
      <c r="D189" s="2" t="s">
        <v>44</v>
      </c>
      <c r="E189" s="14">
        <v>45061</v>
      </c>
      <c r="F189" s="10" t="s">
        <v>610</v>
      </c>
      <c r="G189" s="25">
        <v>45068</v>
      </c>
      <c r="H189" s="10" t="s">
        <v>611</v>
      </c>
      <c r="I189" s="10" t="s">
        <v>612</v>
      </c>
      <c r="J189" s="15">
        <v>464685.76</v>
      </c>
      <c r="K189" s="15">
        <v>464514.7163599999</v>
      </c>
      <c r="L189" s="15">
        <v>171.04</v>
      </c>
      <c r="M189" s="15">
        <v>147.44999999999999</v>
      </c>
      <c r="N189" s="15">
        <v>0</v>
      </c>
      <c r="O189" s="15">
        <v>23.59</v>
      </c>
      <c r="P189" s="2" t="s">
        <v>55</v>
      </c>
      <c r="Q189" s="16"/>
    </row>
    <row r="190" spans="1:17" x14ac:dyDescent="0.3">
      <c r="A190" s="10">
        <v>21733</v>
      </c>
      <c r="B190" s="2" t="s">
        <v>3541</v>
      </c>
      <c r="C190" s="13">
        <v>5681</v>
      </c>
      <c r="D190" s="2" t="s">
        <v>44</v>
      </c>
      <c r="E190" s="14">
        <v>44459</v>
      </c>
      <c r="F190" s="10" t="s">
        <v>613</v>
      </c>
      <c r="G190" s="25">
        <v>44464</v>
      </c>
      <c r="H190" s="10" t="s">
        <v>614</v>
      </c>
      <c r="I190" s="10" t="s">
        <v>615</v>
      </c>
      <c r="J190" s="15">
        <v>17368.740000000002</v>
      </c>
      <c r="K190" s="15">
        <v>17197.533600000002</v>
      </c>
      <c r="L190" s="15">
        <v>171.21</v>
      </c>
      <c r="M190" s="15">
        <v>147.59</v>
      </c>
      <c r="N190" s="15">
        <v>0</v>
      </c>
      <c r="O190" s="15">
        <v>23.61</v>
      </c>
      <c r="P190" s="2" t="s">
        <v>55</v>
      </c>
      <c r="Q190" s="16"/>
    </row>
    <row r="191" spans="1:17" x14ac:dyDescent="0.3">
      <c r="A191" s="10">
        <v>21733</v>
      </c>
      <c r="B191" s="2" t="s">
        <v>3542</v>
      </c>
      <c r="C191" s="13">
        <v>5556</v>
      </c>
      <c r="D191" s="2" t="s">
        <v>44</v>
      </c>
      <c r="E191" s="14">
        <v>44853</v>
      </c>
      <c r="F191" s="10" t="s">
        <v>616</v>
      </c>
      <c r="G191" s="25">
        <v>44861</v>
      </c>
      <c r="H191" s="10" t="s">
        <v>617</v>
      </c>
      <c r="I191" s="10" t="s">
        <v>618</v>
      </c>
      <c r="J191" s="15">
        <v>974497.34</v>
      </c>
      <c r="K191" s="15">
        <v>974326.06740000017</v>
      </c>
      <c r="L191" s="15">
        <v>171.27</v>
      </c>
      <c r="M191" s="15">
        <v>147.65</v>
      </c>
      <c r="N191" s="15">
        <v>0</v>
      </c>
      <c r="O191" s="15">
        <v>23.62</v>
      </c>
      <c r="P191" s="2" t="s">
        <v>55</v>
      </c>
      <c r="Q191" s="16"/>
    </row>
    <row r="192" spans="1:17" x14ac:dyDescent="0.3">
      <c r="A192" s="10">
        <v>21733</v>
      </c>
      <c r="B192" s="2" t="s">
        <v>3543</v>
      </c>
      <c r="C192" s="13">
        <v>5549</v>
      </c>
      <c r="D192" s="2" t="s">
        <v>44</v>
      </c>
      <c r="E192" s="14">
        <v>44697</v>
      </c>
      <c r="F192" s="10" t="s">
        <v>619</v>
      </c>
      <c r="G192" s="25">
        <v>44702</v>
      </c>
      <c r="H192" s="10" t="s">
        <v>620</v>
      </c>
      <c r="I192" s="10" t="s">
        <v>621</v>
      </c>
      <c r="J192" s="15">
        <v>258123.14</v>
      </c>
      <c r="K192" s="15">
        <v>257951.80304000003</v>
      </c>
      <c r="L192" s="15">
        <v>171.34</v>
      </c>
      <c r="M192" s="15">
        <v>147.69999999999999</v>
      </c>
      <c r="N192" s="15">
        <v>0</v>
      </c>
      <c r="O192" s="15">
        <v>23.63</v>
      </c>
      <c r="P192" s="2" t="s">
        <v>55</v>
      </c>
      <c r="Q192" s="16"/>
    </row>
    <row r="193" spans="1:17" x14ac:dyDescent="0.3">
      <c r="A193" s="10">
        <v>21733</v>
      </c>
      <c r="B193" s="2" t="s">
        <v>3544</v>
      </c>
      <c r="C193" s="13">
        <v>5681</v>
      </c>
      <c r="D193" s="2" t="s">
        <v>44</v>
      </c>
      <c r="E193" s="14">
        <v>44326</v>
      </c>
      <c r="F193" s="10" t="s">
        <v>622</v>
      </c>
      <c r="G193" s="25">
        <v>44331</v>
      </c>
      <c r="H193" s="10" t="s">
        <v>623</v>
      </c>
      <c r="I193" s="10" t="s">
        <v>624</v>
      </c>
      <c r="J193" s="15">
        <v>79672.509999999995</v>
      </c>
      <c r="K193" s="15">
        <v>79500.989759999997</v>
      </c>
      <c r="L193" s="15">
        <v>171.52</v>
      </c>
      <c r="M193" s="15">
        <v>147.86000000000001</v>
      </c>
      <c r="N193" s="15">
        <v>0</v>
      </c>
      <c r="O193" s="15">
        <v>23.66</v>
      </c>
      <c r="P193" s="2" t="s">
        <v>55</v>
      </c>
      <c r="Q193" s="16"/>
    </row>
    <row r="194" spans="1:17" x14ac:dyDescent="0.3">
      <c r="A194" s="10">
        <v>21733</v>
      </c>
      <c r="B194" s="2" t="s">
        <v>3545</v>
      </c>
      <c r="C194" s="13">
        <v>5548</v>
      </c>
      <c r="D194" s="2" t="s">
        <v>44</v>
      </c>
      <c r="E194" s="14">
        <v>44308</v>
      </c>
      <c r="F194" s="10" t="s">
        <v>625</v>
      </c>
      <c r="G194" s="25">
        <v>44317</v>
      </c>
      <c r="H194" s="10" t="s">
        <v>626</v>
      </c>
      <c r="I194" s="10" t="s">
        <v>627</v>
      </c>
      <c r="J194" s="15">
        <v>752400.98</v>
      </c>
      <c r="K194" s="15">
        <v>752228.96883999999</v>
      </c>
      <c r="L194" s="15">
        <v>172.01</v>
      </c>
      <c r="M194" s="15">
        <v>148.29</v>
      </c>
      <c r="N194" s="15">
        <v>0</v>
      </c>
      <c r="O194" s="15">
        <v>23.73</v>
      </c>
      <c r="P194" s="2" t="s">
        <v>55</v>
      </c>
      <c r="Q194" s="16"/>
    </row>
    <row r="195" spans="1:17" x14ac:dyDescent="0.3">
      <c r="A195" s="10">
        <v>21733</v>
      </c>
      <c r="B195" s="2" t="s">
        <v>3546</v>
      </c>
      <c r="C195" s="13">
        <v>5548</v>
      </c>
      <c r="D195" s="2" t="s">
        <v>44</v>
      </c>
      <c r="E195" s="14">
        <v>44600</v>
      </c>
      <c r="F195" s="10" t="s">
        <v>628</v>
      </c>
      <c r="G195" s="25">
        <v>44609</v>
      </c>
      <c r="H195" s="10" t="s">
        <v>629</v>
      </c>
      <c r="I195" s="10" t="s">
        <v>630</v>
      </c>
      <c r="J195" s="15">
        <v>604054.48</v>
      </c>
      <c r="K195" s="15">
        <v>603882.42800000007</v>
      </c>
      <c r="L195" s="15">
        <v>172.05</v>
      </c>
      <c r="M195" s="15">
        <v>148.32</v>
      </c>
      <c r="N195" s="15">
        <v>0</v>
      </c>
      <c r="O195" s="15">
        <v>23.73</v>
      </c>
      <c r="P195" s="2" t="s">
        <v>55</v>
      </c>
      <c r="Q195" s="16"/>
    </row>
    <row r="196" spans="1:17" x14ac:dyDescent="0.3">
      <c r="A196" s="10">
        <v>21733</v>
      </c>
      <c r="B196" s="2" t="s">
        <v>3547</v>
      </c>
      <c r="C196" s="13">
        <v>5537</v>
      </c>
      <c r="D196" s="2" t="s">
        <v>44</v>
      </c>
      <c r="E196" s="14">
        <v>44883</v>
      </c>
      <c r="F196" s="10" t="s">
        <v>631</v>
      </c>
      <c r="G196" s="25">
        <v>44894</v>
      </c>
      <c r="H196" s="10" t="s">
        <v>632</v>
      </c>
      <c r="I196" s="10" t="s">
        <v>633</v>
      </c>
      <c r="J196" s="15">
        <v>1041722.52</v>
      </c>
      <c r="K196" s="15">
        <v>1041549.732</v>
      </c>
      <c r="L196" s="15">
        <v>172.79</v>
      </c>
      <c r="M196" s="15">
        <v>148.96</v>
      </c>
      <c r="N196" s="15">
        <v>0</v>
      </c>
      <c r="O196" s="15">
        <v>23.83</v>
      </c>
      <c r="P196" s="2" t="s">
        <v>55</v>
      </c>
      <c r="Q196" s="16"/>
    </row>
    <row r="197" spans="1:17" x14ac:dyDescent="0.3">
      <c r="A197" s="10">
        <v>21733</v>
      </c>
      <c r="B197" s="2" t="s">
        <v>3548</v>
      </c>
      <c r="C197" s="13">
        <v>5557</v>
      </c>
      <c r="D197" s="2" t="s">
        <v>44</v>
      </c>
      <c r="E197" s="14">
        <v>44830</v>
      </c>
      <c r="F197" s="10" t="s">
        <v>634</v>
      </c>
      <c r="G197" s="25">
        <v>44838</v>
      </c>
      <c r="H197" s="10" t="s">
        <v>635</v>
      </c>
      <c r="I197" s="10" t="s">
        <v>636</v>
      </c>
      <c r="J197" s="15">
        <v>574538.62</v>
      </c>
      <c r="K197" s="15">
        <v>574365.3406</v>
      </c>
      <c r="L197" s="15">
        <v>173.28</v>
      </c>
      <c r="M197" s="15">
        <v>149.38</v>
      </c>
      <c r="N197" s="15">
        <v>0</v>
      </c>
      <c r="O197" s="15">
        <v>23.9</v>
      </c>
      <c r="P197" s="2" t="s">
        <v>55</v>
      </c>
      <c r="Q197" s="16"/>
    </row>
    <row r="198" spans="1:17" x14ac:dyDescent="0.3">
      <c r="A198" s="10">
        <v>21733</v>
      </c>
      <c r="B198" s="2" t="s">
        <v>3549</v>
      </c>
      <c r="C198" s="13">
        <v>5548</v>
      </c>
      <c r="D198" s="2" t="s">
        <v>44</v>
      </c>
      <c r="E198" s="14">
        <v>44291</v>
      </c>
      <c r="F198" s="10" t="s">
        <v>637</v>
      </c>
      <c r="G198" s="25">
        <v>44296</v>
      </c>
      <c r="H198" s="10" t="s">
        <v>638</v>
      </c>
      <c r="I198" s="10" t="s">
        <v>639</v>
      </c>
      <c r="J198" s="15">
        <v>297634.24</v>
      </c>
      <c r="K198" s="15">
        <v>297460.95180000004</v>
      </c>
      <c r="L198" s="15">
        <v>173.29</v>
      </c>
      <c r="M198" s="15">
        <v>149.38999999999999</v>
      </c>
      <c r="N198" s="15">
        <v>0</v>
      </c>
      <c r="O198" s="15">
        <v>23.9</v>
      </c>
      <c r="P198" s="2" t="s">
        <v>55</v>
      </c>
      <c r="Q198" s="16"/>
    </row>
    <row r="199" spans="1:17" x14ac:dyDescent="0.3">
      <c r="A199" s="10">
        <v>21733</v>
      </c>
      <c r="B199" s="2" t="s">
        <v>3550</v>
      </c>
      <c r="C199" s="13">
        <v>5548</v>
      </c>
      <c r="D199" s="2" t="s">
        <v>44</v>
      </c>
      <c r="E199" s="14">
        <v>44368</v>
      </c>
      <c r="F199" s="10" t="s">
        <v>640</v>
      </c>
      <c r="G199" s="25">
        <v>44374</v>
      </c>
      <c r="H199" s="10" t="s">
        <v>641</v>
      </c>
      <c r="I199" s="10" t="s">
        <v>642</v>
      </c>
      <c r="J199" s="15">
        <v>130478.96</v>
      </c>
      <c r="K199" s="15">
        <v>130305.0272</v>
      </c>
      <c r="L199" s="15">
        <v>173.93</v>
      </c>
      <c r="M199" s="15">
        <v>149.94</v>
      </c>
      <c r="N199" s="15">
        <v>0</v>
      </c>
      <c r="O199" s="15">
        <v>23.99</v>
      </c>
      <c r="P199" s="2" t="s">
        <v>55</v>
      </c>
      <c r="Q199" s="16"/>
    </row>
    <row r="200" spans="1:17" x14ac:dyDescent="0.3">
      <c r="A200" s="10">
        <v>21733</v>
      </c>
      <c r="B200" s="2" t="s">
        <v>3551</v>
      </c>
      <c r="C200" s="13">
        <v>5548</v>
      </c>
      <c r="D200" s="2" t="s">
        <v>44</v>
      </c>
      <c r="E200" s="14">
        <v>44347</v>
      </c>
      <c r="F200" s="10" t="s">
        <v>643</v>
      </c>
      <c r="G200" s="25">
        <v>44351</v>
      </c>
      <c r="H200" s="10" t="s">
        <v>644</v>
      </c>
      <c r="I200" s="10" t="s">
        <v>645</v>
      </c>
      <c r="J200" s="15">
        <v>42522.71</v>
      </c>
      <c r="K200" s="15">
        <v>42348.59792</v>
      </c>
      <c r="L200" s="15">
        <v>174.11</v>
      </c>
      <c r="M200" s="15">
        <v>150.1</v>
      </c>
      <c r="N200" s="15">
        <v>0</v>
      </c>
      <c r="O200" s="15">
        <v>24.02</v>
      </c>
      <c r="P200" s="2" t="s">
        <v>55</v>
      </c>
      <c r="Q200" s="16"/>
    </row>
    <row r="201" spans="1:17" x14ac:dyDescent="0.3">
      <c r="A201" s="10">
        <v>21733</v>
      </c>
      <c r="B201" s="2" t="s">
        <v>3552</v>
      </c>
      <c r="C201" s="13">
        <v>5549</v>
      </c>
      <c r="D201" s="2" t="s">
        <v>44</v>
      </c>
      <c r="E201" s="14">
        <v>44952</v>
      </c>
      <c r="F201" s="10" t="s">
        <v>646</v>
      </c>
      <c r="G201" s="25">
        <v>44961</v>
      </c>
      <c r="H201" s="10" t="s">
        <v>647</v>
      </c>
      <c r="I201" s="10" t="s">
        <v>648</v>
      </c>
      <c r="J201" s="15">
        <v>446420.14</v>
      </c>
      <c r="K201" s="15">
        <v>446245.71859999996</v>
      </c>
      <c r="L201" s="15">
        <v>174.42</v>
      </c>
      <c r="M201" s="15">
        <v>150.36000000000001</v>
      </c>
      <c r="N201" s="15">
        <v>0</v>
      </c>
      <c r="O201" s="15">
        <v>24.06</v>
      </c>
      <c r="P201" s="2" t="s">
        <v>55</v>
      </c>
      <c r="Q201" s="16"/>
    </row>
    <row r="202" spans="1:17" x14ac:dyDescent="0.3">
      <c r="A202" s="10">
        <v>21733</v>
      </c>
      <c r="B202" s="2" t="s">
        <v>3553</v>
      </c>
      <c r="C202" s="13">
        <v>5548</v>
      </c>
      <c r="D202" s="2" t="s">
        <v>44</v>
      </c>
      <c r="E202" s="14">
        <v>44536</v>
      </c>
      <c r="F202" s="10" t="s">
        <v>649</v>
      </c>
      <c r="G202" s="25">
        <v>44540</v>
      </c>
      <c r="H202" s="10" t="s">
        <v>650</v>
      </c>
      <c r="I202" s="10" t="s">
        <v>651</v>
      </c>
      <c r="J202" s="15">
        <v>86004.42</v>
      </c>
      <c r="K202" s="15">
        <v>85829.898720000012</v>
      </c>
      <c r="L202" s="15">
        <v>174.52</v>
      </c>
      <c r="M202" s="15">
        <v>150.44999999999999</v>
      </c>
      <c r="N202" s="15">
        <v>0</v>
      </c>
      <c r="O202" s="15">
        <v>24.07</v>
      </c>
      <c r="P202" s="2" t="s">
        <v>55</v>
      </c>
      <c r="Q202" s="16"/>
    </row>
    <row r="203" spans="1:17" x14ac:dyDescent="0.3">
      <c r="A203" s="10">
        <v>21733</v>
      </c>
      <c r="B203" s="2" t="s">
        <v>3554</v>
      </c>
      <c r="C203" s="13">
        <v>5557</v>
      </c>
      <c r="D203" s="2" t="s">
        <v>44</v>
      </c>
      <c r="E203" s="14">
        <v>44963</v>
      </c>
      <c r="F203" s="10" t="s">
        <v>652</v>
      </c>
      <c r="G203" s="25">
        <v>44971</v>
      </c>
      <c r="H203" s="10" t="s">
        <v>653</v>
      </c>
      <c r="I203" s="10" t="s">
        <v>654</v>
      </c>
      <c r="J203" s="15">
        <v>942389.64</v>
      </c>
      <c r="K203" s="15">
        <v>942214.57271999994</v>
      </c>
      <c r="L203" s="15">
        <v>175.07</v>
      </c>
      <c r="M203" s="15">
        <v>150.91999999999999</v>
      </c>
      <c r="N203" s="15">
        <v>0</v>
      </c>
      <c r="O203" s="15">
        <v>24.15</v>
      </c>
      <c r="P203" s="2" t="s">
        <v>55</v>
      </c>
      <c r="Q203" s="16"/>
    </row>
    <row r="204" spans="1:17" x14ac:dyDescent="0.3">
      <c r="A204" s="10">
        <v>21733</v>
      </c>
      <c r="B204" s="2" t="s">
        <v>3555</v>
      </c>
      <c r="C204" s="13">
        <v>5548</v>
      </c>
      <c r="D204" s="2" t="s">
        <v>44</v>
      </c>
      <c r="E204" s="14">
        <v>44893</v>
      </c>
      <c r="F204" s="10" t="s">
        <v>655</v>
      </c>
      <c r="G204" s="25">
        <v>44897</v>
      </c>
      <c r="H204" s="10" t="s">
        <v>656</v>
      </c>
      <c r="I204" s="10" t="s">
        <v>657</v>
      </c>
      <c r="J204" s="15">
        <v>890731.78</v>
      </c>
      <c r="K204" s="15">
        <v>890556.45395999996</v>
      </c>
      <c r="L204" s="15">
        <v>175.33</v>
      </c>
      <c r="M204" s="15">
        <v>151.13999999999999</v>
      </c>
      <c r="N204" s="15">
        <v>0</v>
      </c>
      <c r="O204" s="15">
        <v>24.18</v>
      </c>
      <c r="P204" s="2" t="s">
        <v>55</v>
      </c>
      <c r="Q204" s="16"/>
    </row>
    <row r="205" spans="1:17" x14ac:dyDescent="0.3">
      <c r="A205" s="10">
        <v>21733</v>
      </c>
      <c r="B205" s="2" t="s">
        <v>3556</v>
      </c>
      <c r="C205" s="13">
        <v>5548</v>
      </c>
      <c r="D205" s="2" t="s">
        <v>44</v>
      </c>
      <c r="E205" s="14">
        <v>44726</v>
      </c>
      <c r="F205" s="10" t="s">
        <v>155</v>
      </c>
      <c r="G205" s="25">
        <v>44737</v>
      </c>
      <c r="H205" s="10" t="s">
        <v>658</v>
      </c>
      <c r="I205" s="10" t="s">
        <v>659</v>
      </c>
      <c r="J205" s="15">
        <v>1736803.28</v>
      </c>
      <c r="K205" s="15">
        <v>1736627.9310400002</v>
      </c>
      <c r="L205" s="15">
        <v>175.35</v>
      </c>
      <c r="M205" s="15">
        <v>151.16</v>
      </c>
      <c r="N205" s="15">
        <v>0</v>
      </c>
      <c r="O205" s="15">
        <v>24.19</v>
      </c>
      <c r="P205" s="2" t="s">
        <v>55</v>
      </c>
      <c r="Q205" s="16"/>
    </row>
    <row r="206" spans="1:17" x14ac:dyDescent="0.3">
      <c r="A206" s="10">
        <v>21733</v>
      </c>
      <c r="B206" s="2" t="s">
        <v>3557</v>
      </c>
      <c r="C206" s="13">
        <v>5548</v>
      </c>
      <c r="D206" s="2" t="s">
        <v>44</v>
      </c>
      <c r="E206" s="14">
        <v>44970</v>
      </c>
      <c r="F206" s="10" t="s">
        <v>660</v>
      </c>
      <c r="G206" s="25">
        <v>44974</v>
      </c>
      <c r="H206" s="10" t="s">
        <v>661</v>
      </c>
      <c r="I206" s="10" t="s">
        <v>662</v>
      </c>
      <c r="J206" s="15">
        <v>478656.81</v>
      </c>
      <c r="K206" s="15">
        <v>478481.19871999999</v>
      </c>
      <c r="L206" s="15">
        <v>175.61</v>
      </c>
      <c r="M206" s="15">
        <v>151.38999999999999</v>
      </c>
      <c r="N206" s="15">
        <v>0</v>
      </c>
      <c r="O206" s="15">
        <v>24.22</v>
      </c>
      <c r="P206" s="2" t="s">
        <v>55</v>
      </c>
      <c r="Q206" s="16"/>
    </row>
    <row r="207" spans="1:17" x14ac:dyDescent="0.3">
      <c r="A207" s="10">
        <v>21733</v>
      </c>
      <c r="B207" s="2" t="s">
        <v>3558</v>
      </c>
      <c r="C207" s="13">
        <v>5557</v>
      </c>
      <c r="D207" s="2" t="s">
        <v>44</v>
      </c>
      <c r="E207" s="14">
        <v>44767</v>
      </c>
      <c r="F207" s="10" t="s">
        <v>663</v>
      </c>
      <c r="G207" s="25">
        <v>44772</v>
      </c>
      <c r="H207" s="10" t="s">
        <v>664</v>
      </c>
      <c r="I207" s="10" t="s">
        <v>665</v>
      </c>
      <c r="J207" s="15">
        <v>497176.96</v>
      </c>
      <c r="K207" s="15">
        <v>497001.08824000019</v>
      </c>
      <c r="L207" s="15">
        <v>175.87</v>
      </c>
      <c r="M207" s="15">
        <v>151.61000000000001</v>
      </c>
      <c r="N207" s="15">
        <v>0</v>
      </c>
      <c r="O207" s="15">
        <v>24.26</v>
      </c>
      <c r="P207" s="2" t="s">
        <v>55</v>
      </c>
      <c r="Q207" s="16"/>
    </row>
    <row r="208" spans="1:17" x14ac:dyDescent="0.3">
      <c r="A208" s="10">
        <v>21733</v>
      </c>
      <c r="B208" s="2" t="s">
        <v>3559</v>
      </c>
      <c r="C208" s="13">
        <v>5537</v>
      </c>
      <c r="D208" s="2" t="s">
        <v>44</v>
      </c>
      <c r="E208" s="14">
        <v>44347</v>
      </c>
      <c r="F208" s="10" t="s">
        <v>666</v>
      </c>
      <c r="G208" s="25">
        <v>44353</v>
      </c>
      <c r="H208" s="10" t="s">
        <v>667</v>
      </c>
      <c r="I208" s="10" t="s">
        <v>668</v>
      </c>
      <c r="J208" s="15">
        <v>4166.75</v>
      </c>
      <c r="K208" s="15">
        <v>3989.8223200000002</v>
      </c>
      <c r="L208" s="15">
        <v>176.93</v>
      </c>
      <c r="M208" s="15">
        <v>152.52000000000001</v>
      </c>
      <c r="N208" s="15">
        <v>0</v>
      </c>
      <c r="O208" s="15">
        <v>24.4</v>
      </c>
      <c r="P208" s="2" t="s">
        <v>55</v>
      </c>
      <c r="Q208" s="16"/>
    </row>
    <row r="209" spans="1:17" x14ac:dyDescent="0.3">
      <c r="A209" s="10">
        <v>21733</v>
      </c>
      <c r="B209" s="2" t="s">
        <v>3560</v>
      </c>
      <c r="C209" s="13">
        <v>5537</v>
      </c>
      <c r="D209" s="2" t="s">
        <v>44</v>
      </c>
      <c r="E209" s="14">
        <v>44690</v>
      </c>
      <c r="F209" s="10" t="s">
        <v>669</v>
      </c>
      <c r="G209" s="25">
        <v>44695</v>
      </c>
      <c r="H209" s="10" t="s">
        <v>670</v>
      </c>
      <c r="I209" s="10" t="s">
        <v>671</v>
      </c>
      <c r="J209" s="15">
        <v>906962.52</v>
      </c>
      <c r="K209" s="15">
        <v>906783.88535999996</v>
      </c>
      <c r="L209" s="15">
        <v>178.63</v>
      </c>
      <c r="M209" s="15">
        <v>154</v>
      </c>
      <c r="N209" s="15">
        <v>0</v>
      </c>
      <c r="O209" s="15">
        <v>24.64</v>
      </c>
      <c r="P209" s="2" t="s">
        <v>55</v>
      </c>
      <c r="Q209" s="16"/>
    </row>
    <row r="210" spans="1:17" x14ac:dyDescent="0.3">
      <c r="A210" s="10">
        <v>21733</v>
      </c>
      <c r="B210" s="2" t="s">
        <v>3561</v>
      </c>
      <c r="C210" s="13">
        <v>5557</v>
      </c>
      <c r="D210" s="2" t="s">
        <v>44</v>
      </c>
      <c r="E210" s="14">
        <v>44627</v>
      </c>
      <c r="F210" s="10" t="s">
        <v>672</v>
      </c>
      <c r="G210" s="25">
        <v>44632</v>
      </c>
      <c r="H210" s="10" t="s">
        <v>673</v>
      </c>
      <c r="I210" s="10" t="s">
        <v>674</v>
      </c>
      <c r="J210" s="15">
        <v>1137066.27</v>
      </c>
      <c r="K210" s="15">
        <v>1136887.3294400002</v>
      </c>
      <c r="L210" s="15">
        <v>178.94</v>
      </c>
      <c r="M210" s="15">
        <v>154.26</v>
      </c>
      <c r="N210" s="15">
        <v>0</v>
      </c>
      <c r="O210" s="15">
        <v>24.68</v>
      </c>
      <c r="P210" s="2" t="s">
        <v>55</v>
      </c>
      <c r="Q210" s="16"/>
    </row>
    <row r="211" spans="1:17" x14ac:dyDescent="0.3">
      <c r="A211" s="10">
        <v>21733</v>
      </c>
      <c r="B211" s="2" t="s">
        <v>3562</v>
      </c>
      <c r="C211" s="13">
        <v>5537</v>
      </c>
      <c r="D211" s="2" t="s">
        <v>44</v>
      </c>
      <c r="E211" s="14">
        <v>44333</v>
      </c>
      <c r="F211" s="10" t="s">
        <v>675</v>
      </c>
      <c r="G211" s="25">
        <v>44338</v>
      </c>
      <c r="H211" s="10" t="s">
        <v>676</v>
      </c>
      <c r="I211" s="10" t="s">
        <v>677</v>
      </c>
      <c r="J211" s="15">
        <v>29286.75</v>
      </c>
      <c r="K211" s="15">
        <v>29107.520399999994</v>
      </c>
      <c r="L211" s="15">
        <v>179.23</v>
      </c>
      <c r="M211" s="15">
        <v>154.51</v>
      </c>
      <c r="N211" s="15">
        <v>0</v>
      </c>
      <c r="O211" s="15">
        <v>24.72</v>
      </c>
      <c r="P211" s="2" t="s">
        <v>55</v>
      </c>
      <c r="Q211" s="16"/>
    </row>
    <row r="212" spans="1:17" x14ac:dyDescent="0.3">
      <c r="A212" s="10">
        <v>21733</v>
      </c>
      <c r="B212" s="2" t="s">
        <v>3563</v>
      </c>
      <c r="C212" s="13">
        <v>5681</v>
      </c>
      <c r="D212" s="2" t="s">
        <v>44</v>
      </c>
      <c r="E212" s="14">
        <v>44981</v>
      </c>
      <c r="F212" s="10" t="s">
        <v>678</v>
      </c>
      <c r="G212" s="25">
        <v>44989</v>
      </c>
      <c r="H212" s="10" t="s">
        <v>679</v>
      </c>
      <c r="I212" s="10" t="s">
        <v>680</v>
      </c>
      <c r="J212" s="15">
        <v>286792.37</v>
      </c>
      <c r="K212" s="15">
        <v>286612.66080000001</v>
      </c>
      <c r="L212" s="15">
        <v>179.71</v>
      </c>
      <c r="M212" s="15">
        <v>154.91999999999999</v>
      </c>
      <c r="N212" s="15">
        <v>0</v>
      </c>
      <c r="O212" s="15">
        <v>24.79</v>
      </c>
      <c r="P212" s="2" t="s">
        <v>55</v>
      </c>
      <c r="Q212" s="16"/>
    </row>
    <row r="213" spans="1:17" x14ac:dyDescent="0.3">
      <c r="A213" s="10">
        <v>21733</v>
      </c>
      <c r="B213" s="2" t="s">
        <v>3564</v>
      </c>
      <c r="C213" s="13">
        <v>5681</v>
      </c>
      <c r="D213" s="2" t="s">
        <v>44</v>
      </c>
      <c r="E213" s="14">
        <v>44459</v>
      </c>
      <c r="F213" s="10" t="s">
        <v>681</v>
      </c>
      <c r="G213" s="25">
        <v>44464</v>
      </c>
      <c r="H213" s="10" t="s">
        <v>682</v>
      </c>
      <c r="I213" s="10" t="s">
        <v>683</v>
      </c>
      <c r="J213" s="15">
        <v>34703.33</v>
      </c>
      <c r="K213" s="15">
        <v>34522.254240000002</v>
      </c>
      <c r="L213" s="15">
        <v>181.08</v>
      </c>
      <c r="M213" s="15">
        <v>156.1</v>
      </c>
      <c r="N213" s="15">
        <v>0</v>
      </c>
      <c r="O213" s="15">
        <v>24.98</v>
      </c>
      <c r="P213" s="2" t="s">
        <v>55</v>
      </c>
      <c r="Q213" s="16"/>
    </row>
    <row r="214" spans="1:17" x14ac:dyDescent="0.3">
      <c r="A214" s="10">
        <v>21733</v>
      </c>
      <c r="B214" s="2" t="s">
        <v>3565</v>
      </c>
      <c r="C214" s="13">
        <v>5549</v>
      </c>
      <c r="D214" s="2" t="s">
        <v>44</v>
      </c>
      <c r="E214" s="14">
        <v>44809</v>
      </c>
      <c r="F214" s="10" t="s">
        <v>684</v>
      </c>
      <c r="G214" s="25">
        <v>44815</v>
      </c>
      <c r="H214" s="10" t="s">
        <v>685</v>
      </c>
      <c r="I214" s="10" t="s">
        <v>686</v>
      </c>
      <c r="J214" s="15">
        <v>1393509.4</v>
      </c>
      <c r="K214" s="15">
        <v>1393328.1582400005</v>
      </c>
      <c r="L214" s="15">
        <v>181.24</v>
      </c>
      <c r="M214" s="15">
        <v>156.24</v>
      </c>
      <c r="N214" s="15">
        <v>0</v>
      </c>
      <c r="O214" s="15">
        <v>25</v>
      </c>
      <c r="P214" s="2" t="s">
        <v>55</v>
      </c>
      <c r="Q214" s="16"/>
    </row>
    <row r="215" spans="1:17" x14ac:dyDescent="0.3">
      <c r="A215" s="10">
        <v>21733</v>
      </c>
      <c r="B215" s="2" t="s">
        <v>3566</v>
      </c>
      <c r="C215" s="13">
        <v>5681</v>
      </c>
      <c r="D215" s="2" t="s">
        <v>44</v>
      </c>
      <c r="E215" s="14">
        <v>44592</v>
      </c>
      <c r="F215" s="10" t="s">
        <v>687</v>
      </c>
      <c r="G215" s="25">
        <v>44596</v>
      </c>
      <c r="H215" s="10" t="s">
        <v>688</v>
      </c>
      <c r="I215" s="10" t="s">
        <v>689</v>
      </c>
      <c r="J215" s="15">
        <v>82862.41</v>
      </c>
      <c r="K215" s="15">
        <v>82680.619359999997</v>
      </c>
      <c r="L215" s="15">
        <v>181.79</v>
      </c>
      <c r="M215" s="15">
        <v>156.72</v>
      </c>
      <c r="N215" s="15">
        <v>0</v>
      </c>
      <c r="O215" s="15">
        <v>25.07</v>
      </c>
      <c r="P215" s="2" t="s">
        <v>55</v>
      </c>
      <c r="Q215" s="16"/>
    </row>
    <row r="216" spans="1:17" x14ac:dyDescent="0.3">
      <c r="A216" s="10">
        <v>21733</v>
      </c>
      <c r="B216" s="2" t="s">
        <v>3567</v>
      </c>
      <c r="C216" s="13">
        <v>5557</v>
      </c>
      <c r="D216" s="2" t="s">
        <v>44</v>
      </c>
      <c r="E216" s="14">
        <v>44459</v>
      </c>
      <c r="F216" s="10" t="s">
        <v>690</v>
      </c>
      <c r="G216" s="25">
        <v>44463</v>
      </c>
      <c r="H216" s="10" t="s">
        <v>691</v>
      </c>
      <c r="I216" s="10" t="s">
        <v>692</v>
      </c>
      <c r="J216" s="15">
        <v>18894.169999999998</v>
      </c>
      <c r="K216" s="15">
        <v>18707.644800000002</v>
      </c>
      <c r="L216" s="15">
        <v>186.53</v>
      </c>
      <c r="M216" s="15">
        <v>160.80000000000001</v>
      </c>
      <c r="N216" s="15">
        <v>0</v>
      </c>
      <c r="O216" s="15">
        <v>25.73</v>
      </c>
      <c r="P216" s="2" t="s">
        <v>55</v>
      </c>
      <c r="Q216" s="16"/>
    </row>
    <row r="217" spans="1:17" x14ac:dyDescent="0.3">
      <c r="A217" s="10">
        <v>21733</v>
      </c>
      <c r="B217" s="2" t="s">
        <v>3568</v>
      </c>
      <c r="C217" s="13">
        <v>5549</v>
      </c>
      <c r="D217" s="2" t="s">
        <v>44</v>
      </c>
      <c r="E217" s="14">
        <v>45005</v>
      </c>
      <c r="F217" s="10" t="s">
        <v>693</v>
      </c>
      <c r="G217" s="25">
        <v>45027</v>
      </c>
      <c r="H217" s="10" t="s">
        <v>694</v>
      </c>
      <c r="I217" s="10" t="s">
        <v>695</v>
      </c>
      <c r="J217" s="15">
        <v>893548.63</v>
      </c>
      <c r="K217" s="15">
        <v>893360.89896000002</v>
      </c>
      <c r="L217" s="15">
        <v>187.73</v>
      </c>
      <c r="M217" s="15">
        <v>161.84</v>
      </c>
      <c r="N217" s="15">
        <v>0</v>
      </c>
      <c r="O217" s="15">
        <v>25.89</v>
      </c>
      <c r="P217" s="2" t="s">
        <v>55</v>
      </c>
      <c r="Q217" s="16"/>
    </row>
    <row r="218" spans="1:17" x14ac:dyDescent="0.3">
      <c r="A218" s="10">
        <v>21733</v>
      </c>
      <c r="B218" s="2" t="s">
        <v>3569</v>
      </c>
      <c r="C218" s="13">
        <v>5557</v>
      </c>
      <c r="D218" s="2" t="s">
        <v>44</v>
      </c>
      <c r="E218" s="14">
        <v>45005</v>
      </c>
      <c r="F218" s="10" t="s">
        <v>696</v>
      </c>
      <c r="G218" s="25">
        <v>45014</v>
      </c>
      <c r="H218" s="10" t="s">
        <v>697</v>
      </c>
      <c r="I218" s="10" t="s">
        <v>698</v>
      </c>
      <c r="J218" s="15">
        <v>405069.61</v>
      </c>
      <c r="K218" s="15">
        <v>404881.17768000008</v>
      </c>
      <c r="L218" s="15">
        <v>188.43</v>
      </c>
      <c r="M218" s="15">
        <v>162.44</v>
      </c>
      <c r="N218" s="15">
        <v>0</v>
      </c>
      <c r="O218" s="15">
        <v>25.99</v>
      </c>
      <c r="P218" s="2" t="s">
        <v>55</v>
      </c>
      <c r="Q218" s="16"/>
    </row>
    <row r="219" spans="1:17" x14ac:dyDescent="0.3">
      <c r="A219" s="10">
        <v>21733</v>
      </c>
      <c r="B219" s="2" t="s">
        <v>3570</v>
      </c>
      <c r="C219" s="13">
        <v>5537</v>
      </c>
      <c r="D219" s="2" t="s">
        <v>44</v>
      </c>
      <c r="E219" s="14">
        <v>44501</v>
      </c>
      <c r="F219" s="10" t="s">
        <v>699</v>
      </c>
      <c r="G219" s="25">
        <v>44506</v>
      </c>
      <c r="H219" s="10" t="s">
        <v>700</v>
      </c>
      <c r="I219" s="10" t="s">
        <v>701</v>
      </c>
      <c r="J219" s="15">
        <v>5769.66</v>
      </c>
      <c r="K219" s="15">
        <v>5580.8760000000002</v>
      </c>
      <c r="L219" s="15">
        <v>188.78</v>
      </c>
      <c r="M219" s="15">
        <v>162.74</v>
      </c>
      <c r="N219" s="15">
        <v>0</v>
      </c>
      <c r="O219" s="15">
        <v>26.04</v>
      </c>
      <c r="P219" s="2" t="s">
        <v>55</v>
      </c>
      <c r="Q219" s="16"/>
    </row>
    <row r="220" spans="1:17" x14ac:dyDescent="0.3">
      <c r="A220" s="10">
        <v>21733</v>
      </c>
      <c r="B220" s="2" t="s">
        <v>3571</v>
      </c>
      <c r="C220" s="13">
        <v>5557</v>
      </c>
      <c r="D220" s="2" t="s">
        <v>44</v>
      </c>
      <c r="E220" s="14">
        <v>44620</v>
      </c>
      <c r="F220" s="10" t="s">
        <v>702</v>
      </c>
      <c r="G220" s="25">
        <v>44625</v>
      </c>
      <c r="H220" s="10" t="s">
        <v>703</v>
      </c>
      <c r="I220" s="10" t="s">
        <v>704</v>
      </c>
      <c r="J220" s="15">
        <v>75845.75</v>
      </c>
      <c r="K220" s="15">
        <v>75656.148879999979</v>
      </c>
      <c r="L220" s="15">
        <v>189.6</v>
      </c>
      <c r="M220" s="15">
        <v>163.44999999999999</v>
      </c>
      <c r="N220" s="15">
        <v>0</v>
      </c>
      <c r="O220" s="15">
        <v>26.15</v>
      </c>
      <c r="P220" s="2" t="s">
        <v>55</v>
      </c>
      <c r="Q220" s="16"/>
    </row>
    <row r="221" spans="1:17" x14ac:dyDescent="0.3">
      <c r="A221" s="10">
        <v>21733</v>
      </c>
      <c r="B221" s="2" t="s">
        <v>3572</v>
      </c>
      <c r="C221" s="13">
        <v>5549</v>
      </c>
      <c r="D221" s="2" t="s">
        <v>44</v>
      </c>
      <c r="E221" s="14">
        <v>44333</v>
      </c>
      <c r="F221" s="10" t="s">
        <v>705</v>
      </c>
      <c r="G221" s="25">
        <v>44337</v>
      </c>
      <c r="H221" s="10" t="s">
        <v>706</v>
      </c>
      <c r="I221" s="10" t="s">
        <v>707</v>
      </c>
      <c r="J221" s="15">
        <v>30554.2</v>
      </c>
      <c r="K221" s="15">
        <v>30363.9512</v>
      </c>
      <c r="L221" s="15">
        <v>190.25</v>
      </c>
      <c r="M221" s="15">
        <v>164.01</v>
      </c>
      <c r="N221" s="15">
        <v>0</v>
      </c>
      <c r="O221" s="15">
        <v>26.24</v>
      </c>
      <c r="P221" s="2" t="s">
        <v>55</v>
      </c>
      <c r="Q221" s="16"/>
    </row>
    <row r="222" spans="1:17" x14ac:dyDescent="0.3">
      <c r="A222" s="10">
        <v>21733</v>
      </c>
      <c r="B222" s="2" t="s">
        <v>3573</v>
      </c>
      <c r="C222" s="13">
        <v>5549</v>
      </c>
      <c r="D222" s="2" t="s">
        <v>44</v>
      </c>
      <c r="E222" s="14">
        <v>44340</v>
      </c>
      <c r="F222" s="10" t="s">
        <v>708</v>
      </c>
      <c r="G222" s="25">
        <v>44350</v>
      </c>
      <c r="H222" s="10" t="s">
        <v>709</v>
      </c>
      <c r="I222" s="10" t="s">
        <v>710</v>
      </c>
      <c r="J222" s="15">
        <v>760224.37</v>
      </c>
      <c r="K222" s="15">
        <v>760033.64372000005</v>
      </c>
      <c r="L222" s="15">
        <v>190.73</v>
      </c>
      <c r="M222" s="15">
        <v>164.42</v>
      </c>
      <c r="N222" s="15">
        <v>0</v>
      </c>
      <c r="O222" s="15">
        <v>26.31</v>
      </c>
      <c r="P222" s="2" t="s">
        <v>55</v>
      </c>
      <c r="Q222" s="16"/>
    </row>
    <row r="223" spans="1:17" x14ac:dyDescent="0.3">
      <c r="A223" s="10">
        <v>21733</v>
      </c>
      <c r="B223" s="2" t="s">
        <v>3574</v>
      </c>
      <c r="C223" s="13">
        <v>5548</v>
      </c>
      <c r="D223" s="2" t="s">
        <v>44</v>
      </c>
      <c r="E223" s="14">
        <v>44599</v>
      </c>
      <c r="F223" s="10" t="s">
        <v>711</v>
      </c>
      <c r="G223" s="25">
        <v>44603</v>
      </c>
      <c r="H223" s="10" t="s">
        <v>712</v>
      </c>
      <c r="I223" s="10" t="s">
        <v>713</v>
      </c>
      <c r="J223" s="15">
        <v>23264.47</v>
      </c>
      <c r="K223" s="15">
        <v>23073.360480000003</v>
      </c>
      <c r="L223" s="15">
        <v>191.11</v>
      </c>
      <c r="M223" s="15">
        <v>164.75</v>
      </c>
      <c r="N223" s="15">
        <v>0</v>
      </c>
      <c r="O223" s="15">
        <v>26.36</v>
      </c>
      <c r="P223" s="2" t="s">
        <v>55</v>
      </c>
      <c r="Q223" s="16"/>
    </row>
    <row r="224" spans="1:17" x14ac:dyDescent="0.3">
      <c r="A224" s="10">
        <v>21733</v>
      </c>
      <c r="B224" s="2" t="s">
        <v>3575</v>
      </c>
      <c r="C224" s="13">
        <v>5548</v>
      </c>
      <c r="D224" s="2" t="s">
        <v>44</v>
      </c>
      <c r="E224" s="14">
        <v>44480</v>
      </c>
      <c r="F224" s="10" t="s">
        <v>714</v>
      </c>
      <c r="G224" s="25">
        <v>44484</v>
      </c>
      <c r="H224" s="10" t="s">
        <v>715</v>
      </c>
      <c r="I224" s="10" t="s">
        <v>716</v>
      </c>
      <c r="J224" s="15">
        <v>19442.84</v>
      </c>
      <c r="K224" s="15">
        <v>19251.220800000003</v>
      </c>
      <c r="L224" s="15">
        <v>191.62</v>
      </c>
      <c r="M224" s="15">
        <v>165.19</v>
      </c>
      <c r="N224" s="15">
        <v>0</v>
      </c>
      <c r="O224" s="15">
        <v>26.43</v>
      </c>
      <c r="P224" s="2" t="s">
        <v>55</v>
      </c>
      <c r="Q224" s="16"/>
    </row>
    <row r="225" spans="1:17" x14ac:dyDescent="0.3">
      <c r="A225" s="10">
        <v>21733</v>
      </c>
      <c r="B225" s="2" t="s">
        <v>3576</v>
      </c>
      <c r="C225" s="13">
        <v>5556</v>
      </c>
      <c r="D225" s="2" t="s">
        <v>44</v>
      </c>
      <c r="E225" s="14">
        <v>44398</v>
      </c>
      <c r="F225" s="10" t="s">
        <v>717</v>
      </c>
      <c r="G225" s="25">
        <v>44404</v>
      </c>
      <c r="H225" s="10" t="s">
        <v>718</v>
      </c>
      <c r="I225" s="10" t="s">
        <v>719</v>
      </c>
      <c r="J225" s="15">
        <v>13984.07</v>
      </c>
      <c r="K225" s="15">
        <v>13792.284000000003</v>
      </c>
      <c r="L225" s="15">
        <v>191.79</v>
      </c>
      <c r="M225" s="15">
        <v>165.33</v>
      </c>
      <c r="N225" s="15">
        <v>0</v>
      </c>
      <c r="O225" s="15">
        <v>26.45</v>
      </c>
      <c r="P225" s="2" t="s">
        <v>55</v>
      </c>
      <c r="Q225" s="16"/>
    </row>
    <row r="226" spans="1:17" x14ac:dyDescent="0.3">
      <c r="A226" s="10">
        <v>21733</v>
      </c>
      <c r="B226" s="2" t="s">
        <v>3577</v>
      </c>
      <c r="C226" s="13">
        <v>5557</v>
      </c>
      <c r="D226" s="2" t="s">
        <v>44</v>
      </c>
      <c r="E226" s="14">
        <v>44851</v>
      </c>
      <c r="F226" s="10" t="s">
        <v>720</v>
      </c>
      <c r="G226" s="25">
        <v>44856</v>
      </c>
      <c r="H226" s="10" t="s">
        <v>721</v>
      </c>
      <c r="I226" s="10" t="s">
        <v>722</v>
      </c>
      <c r="J226" s="15">
        <v>1010597.21</v>
      </c>
      <c r="K226" s="15">
        <v>1010404.2609600002</v>
      </c>
      <c r="L226" s="15">
        <v>192.95</v>
      </c>
      <c r="M226" s="15">
        <v>166.34</v>
      </c>
      <c r="N226" s="15">
        <v>0</v>
      </c>
      <c r="O226" s="15">
        <v>26.61</v>
      </c>
      <c r="P226" s="2" t="s">
        <v>55</v>
      </c>
      <c r="Q226" s="16"/>
    </row>
    <row r="227" spans="1:17" x14ac:dyDescent="0.3">
      <c r="A227" s="10">
        <v>21733</v>
      </c>
      <c r="B227" s="2" t="s">
        <v>3578</v>
      </c>
      <c r="C227" s="13">
        <v>5548</v>
      </c>
      <c r="D227" s="2" t="s">
        <v>44</v>
      </c>
      <c r="E227" s="14">
        <v>44648</v>
      </c>
      <c r="F227" s="10" t="s">
        <v>723</v>
      </c>
      <c r="G227" s="25">
        <v>44651</v>
      </c>
      <c r="H227" s="10" t="s">
        <v>724</v>
      </c>
      <c r="I227" s="10" t="s">
        <v>725</v>
      </c>
      <c r="J227" s="15">
        <v>1127093.74</v>
      </c>
      <c r="K227" s="15">
        <v>1126900.2955199999</v>
      </c>
      <c r="L227" s="15">
        <v>193.44</v>
      </c>
      <c r="M227" s="15">
        <v>166.76</v>
      </c>
      <c r="N227" s="15">
        <v>0</v>
      </c>
      <c r="O227" s="15">
        <v>26.68</v>
      </c>
      <c r="P227" s="2" t="s">
        <v>55</v>
      </c>
      <c r="Q227" s="16"/>
    </row>
    <row r="228" spans="1:17" x14ac:dyDescent="0.3">
      <c r="A228" s="10">
        <v>21733</v>
      </c>
      <c r="B228" s="2" t="s">
        <v>3579</v>
      </c>
      <c r="C228" s="13">
        <v>5537</v>
      </c>
      <c r="D228" s="2" t="s">
        <v>44</v>
      </c>
      <c r="E228" s="14">
        <v>44333</v>
      </c>
      <c r="F228" s="10" t="s">
        <v>726</v>
      </c>
      <c r="G228" s="25">
        <v>44338</v>
      </c>
      <c r="H228" s="10" t="s">
        <v>727</v>
      </c>
      <c r="I228" s="10" t="s">
        <v>728</v>
      </c>
      <c r="J228" s="15">
        <v>5139.33</v>
      </c>
      <c r="K228" s="15">
        <v>4945.0336000000007</v>
      </c>
      <c r="L228" s="15">
        <v>194.3</v>
      </c>
      <c r="M228" s="15">
        <v>167.5</v>
      </c>
      <c r="N228" s="15">
        <v>0</v>
      </c>
      <c r="O228" s="15">
        <v>26.8</v>
      </c>
      <c r="P228" s="2" t="s">
        <v>55</v>
      </c>
      <c r="Q228" s="16"/>
    </row>
    <row r="229" spans="1:17" x14ac:dyDescent="0.3">
      <c r="A229" s="10">
        <v>21733</v>
      </c>
      <c r="B229" s="2" t="s">
        <v>3580</v>
      </c>
      <c r="C229" s="13">
        <v>5549</v>
      </c>
      <c r="D229" s="2" t="s">
        <v>44</v>
      </c>
      <c r="E229" s="14">
        <v>44774</v>
      </c>
      <c r="F229" s="10" t="s">
        <v>729</v>
      </c>
      <c r="G229" s="25">
        <v>44779</v>
      </c>
      <c r="H229" s="10" t="s">
        <v>730</v>
      </c>
      <c r="I229" s="10" t="s">
        <v>731</v>
      </c>
      <c r="J229" s="15">
        <v>276404.28000000003</v>
      </c>
      <c r="K229" s="15">
        <v>276209.83764000004</v>
      </c>
      <c r="L229" s="15">
        <v>194.44</v>
      </c>
      <c r="M229" s="15">
        <v>167.62</v>
      </c>
      <c r="N229" s="15">
        <v>0</v>
      </c>
      <c r="O229" s="15">
        <v>26.82</v>
      </c>
      <c r="P229" s="2" t="s">
        <v>55</v>
      </c>
      <c r="Q229" s="16"/>
    </row>
    <row r="230" spans="1:17" x14ac:dyDescent="0.3">
      <c r="A230" s="10">
        <v>21733</v>
      </c>
      <c r="B230" s="2" t="s">
        <v>3581</v>
      </c>
      <c r="C230" s="13">
        <v>5681</v>
      </c>
      <c r="D230" s="2" t="s">
        <v>44</v>
      </c>
      <c r="E230" s="14">
        <v>45012</v>
      </c>
      <c r="F230" s="10" t="s">
        <v>732</v>
      </c>
      <c r="G230" s="25">
        <v>45019</v>
      </c>
      <c r="H230" s="10" t="s">
        <v>733</v>
      </c>
      <c r="I230" s="10" t="s">
        <v>734</v>
      </c>
      <c r="J230" s="15">
        <v>830994.6</v>
      </c>
      <c r="K230" s="15">
        <v>830799.36600000004</v>
      </c>
      <c r="L230" s="15">
        <v>195.23</v>
      </c>
      <c r="M230" s="15">
        <v>168.31</v>
      </c>
      <c r="N230" s="15">
        <v>0</v>
      </c>
      <c r="O230" s="15">
        <v>26.93</v>
      </c>
      <c r="P230" s="2" t="s">
        <v>55</v>
      </c>
      <c r="Q230" s="16"/>
    </row>
    <row r="231" spans="1:17" x14ac:dyDescent="0.3">
      <c r="A231" s="10">
        <v>21733</v>
      </c>
      <c r="B231" s="2" t="s">
        <v>3582</v>
      </c>
      <c r="C231" s="13">
        <v>5549</v>
      </c>
      <c r="D231" s="2" t="s">
        <v>44</v>
      </c>
      <c r="E231" s="14">
        <v>44333</v>
      </c>
      <c r="F231" s="10" t="s">
        <v>735</v>
      </c>
      <c r="G231" s="25">
        <v>44337</v>
      </c>
      <c r="H231" s="10" t="s">
        <v>736</v>
      </c>
      <c r="I231" s="10" t="s">
        <v>737</v>
      </c>
      <c r="J231" s="15">
        <v>30626.78</v>
      </c>
      <c r="K231" s="15">
        <v>30431.3472</v>
      </c>
      <c r="L231" s="15">
        <v>195.43</v>
      </c>
      <c r="M231" s="15">
        <v>168.48</v>
      </c>
      <c r="N231" s="15">
        <v>0</v>
      </c>
      <c r="O231" s="15">
        <v>26.96</v>
      </c>
      <c r="P231" s="2" t="s">
        <v>55</v>
      </c>
      <c r="Q231" s="16"/>
    </row>
    <row r="232" spans="1:17" x14ac:dyDescent="0.3">
      <c r="A232" s="10">
        <v>21733</v>
      </c>
      <c r="B232" s="2" t="s">
        <v>3583</v>
      </c>
      <c r="C232" s="13">
        <v>5557</v>
      </c>
      <c r="D232" s="2" t="s">
        <v>44</v>
      </c>
      <c r="E232" s="14">
        <v>44883</v>
      </c>
      <c r="F232" s="10" t="s">
        <v>738</v>
      </c>
      <c r="G232" s="25">
        <v>44891</v>
      </c>
      <c r="H232" s="10" t="s">
        <v>739</v>
      </c>
      <c r="I232" s="10" t="s">
        <v>740</v>
      </c>
      <c r="J232" s="15">
        <v>1196710.6499999999</v>
      </c>
      <c r="K232" s="15">
        <v>1196514.828</v>
      </c>
      <c r="L232" s="15">
        <v>195.82</v>
      </c>
      <c r="M232" s="15">
        <v>168.81</v>
      </c>
      <c r="N232" s="15">
        <v>0</v>
      </c>
      <c r="O232" s="15">
        <v>27.01</v>
      </c>
      <c r="P232" s="2" t="s">
        <v>55</v>
      </c>
      <c r="Q232" s="16"/>
    </row>
    <row r="233" spans="1:17" x14ac:dyDescent="0.3">
      <c r="A233" s="10">
        <v>21733</v>
      </c>
      <c r="B233" s="2" t="s">
        <v>3584</v>
      </c>
      <c r="C233" s="13">
        <v>5549</v>
      </c>
      <c r="D233" s="2" t="s">
        <v>44</v>
      </c>
      <c r="E233" s="14">
        <v>44631</v>
      </c>
      <c r="F233" s="10" t="s">
        <v>741</v>
      </c>
      <c r="G233" s="25">
        <v>44638</v>
      </c>
      <c r="H233" s="10" t="s">
        <v>742</v>
      </c>
      <c r="I233" s="10" t="s">
        <v>743</v>
      </c>
      <c r="J233" s="15">
        <v>3771.51</v>
      </c>
      <c r="K233" s="15">
        <v>3575.0735999999997</v>
      </c>
      <c r="L233" s="15">
        <v>196.44</v>
      </c>
      <c r="M233" s="15">
        <v>169.34</v>
      </c>
      <c r="N233" s="15">
        <v>0</v>
      </c>
      <c r="O233" s="15">
        <v>27.09</v>
      </c>
      <c r="P233" s="2" t="s">
        <v>55</v>
      </c>
      <c r="Q233" s="16"/>
    </row>
    <row r="234" spans="1:17" x14ac:dyDescent="0.3">
      <c r="A234" s="10">
        <v>21733</v>
      </c>
      <c r="B234" s="2" t="s">
        <v>3585</v>
      </c>
      <c r="C234" s="13">
        <v>5548</v>
      </c>
      <c r="D234" s="2" t="s">
        <v>44</v>
      </c>
      <c r="E234" s="14">
        <v>44865</v>
      </c>
      <c r="F234" s="10" t="s">
        <v>744</v>
      </c>
      <c r="G234" s="25">
        <v>44872</v>
      </c>
      <c r="H234" s="10" t="s">
        <v>745</v>
      </c>
      <c r="I234" s="10" t="s">
        <v>746</v>
      </c>
      <c r="J234" s="15">
        <v>1248887.1599999999</v>
      </c>
      <c r="K234" s="15">
        <v>1248690.1408799998</v>
      </c>
      <c r="L234" s="15">
        <v>197.02</v>
      </c>
      <c r="M234" s="15">
        <v>169.84</v>
      </c>
      <c r="N234" s="15">
        <v>0</v>
      </c>
      <c r="O234" s="15">
        <v>27.18</v>
      </c>
      <c r="P234" s="2" t="s">
        <v>55</v>
      </c>
      <c r="Q234" s="16"/>
    </row>
    <row r="235" spans="1:17" x14ac:dyDescent="0.3">
      <c r="A235" s="10">
        <v>21733</v>
      </c>
      <c r="B235" s="2" t="s">
        <v>3586</v>
      </c>
      <c r="C235" s="13">
        <v>5681</v>
      </c>
      <c r="D235" s="2" t="s">
        <v>44</v>
      </c>
      <c r="E235" s="14">
        <v>44501</v>
      </c>
      <c r="F235" s="10" t="s">
        <v>747</v>
      </c>
      <c r="G235" s="25">
        <v>44506</v>
      </c>
      <c r="H235" s="10" t="s">
        <v>748</v>
      </c>
      <c r="I235" s="10" t="s">
        <v>749</v>
      </c>
      <c r="J235" s="15">
        <v>6043.91</v>
      </c>
      <c r="K235" s="15">
        <v>5846.4696000000004</v>
      </c>
      <c r="L235" s="15">
        <v>197.44</v>
      </c>
      <c r="M235" s="15">
        <v>170.21</v>
      </c>
      <c r="N235" s="15">
        <v>0</v>
      </c>
      <c r="O235" s="15">
        <v>27.23</v>
      </c>
      <c r="P235" s="2" t="s">
        <v>55</v>
      </c>
      <c r="Q235" s="16"/>
    </row>
    <row r="236" spans="1:17" x14ac:dyDescent="0.3">
      <c r="A236" s="10">
        <v>21733</v>
      </c>
      <c r="B236" s="2" t="s">
        <v>3587</v>
      </c>
      <c r="C236" s="13">
        <v>5681</v>
      </c>
      <c r="D236" s="2" t="s">
        <v>44</v>
      </c>
      <c r="E236" s="14">
        <v>44977</v>
      </c>
      <c r="F236" s="10" t="s">
        <v>750</v>
      </c>
      <c r="G236" s="25">
        <v>44983</v>
      </c>
      <c r="H236" s="10" t="s">
        <v>751</v>
      </c>
      <c r="I236" s="10" t="s">
        <v>752</v>
      </c>
      <c r="J236" s="15">
        <v>1035386.07</v>
      </c>
      <c r="K236" s="15">
        <v>1035186.8605600001</v>
      </c>
      <c r="L236" s="15">
        <v>199.21</v>
      </c>
      <c r="M236" s="15">
        <v>171.73</v>
      </c>
      <c r="N236" s="15">
        <v>0</v>
      </c>
      <c r="O236" s="15">
        <v>27.48</v>
      </c>
      <c r="P236" s="2" t="s">
        <v>55</v>
      </c>
      <c r="Q236" s="16"/>
    </row>
    <row r="237" spans="1:17" x14ac:dyDescent="0.3">
      <c r="A237" s="10">
        <v>21733</v>
      </c>
      <c r="B237" s="2" t="s">
        <v>3588</v>
      </c>
      <c r="C237" s="13">
        <v>5556</v>
      </c>
      <c r="D237" s="2" t="s">
        <v>44</v>
      </c>
      <c r="E237" s="14">
        <v>45028</v>
      </c>
      <c r="F237" s="10" t="s">
        <v>753</v>
      </c>
      <c r="G237" s="25">
        <v>45036</v>
      </c>
      <c r="H237" s="10" t="s">
        <v>754</v>
      </c>
      <c r="I237" s="10" t="s">
        <v>755</v>
      </c>
      <c r="J237" s="15">
        <v>979891.66</v>
      </c>
      <c r="K237" s="15">
        <v>979692.20652000001</v>
      </c>
      <c r="L237" s="15">
        <v>199.45</v>
      </c>
      <c r="M237" s="15">
        <v>171.94</v>
      </c>
      <c r="N237" s="15">
        <v>0</v>
      </c>
      <c r="O237" s="15">
        <v>27.51</v>
      </c>
      <c r="P237" s="2" t="s">
        <v>55</v>
      </c>
      <c r="Q237" s="16"/>
    </row>
    <row r="238" spans="1:17" x14ac:dyDescent="0.3">
      <c r="A238" s="10">
        <v>21733</v>
      </c>
      <c r="B238" s="2" t="s">
        <v>3589</v>
      </c>
      <c r="C238" s="13">
        <v>5681</v>
      </c>
      <c r="D238" s="2" t="s">
        <v>44</v>
      </c>
      <c r="E238" s="14">
        <v>44634</v>
      </c>
      <c r="F238" s="10" t="s">
        <v>756</v>
      </c>
      <c r="G238" s="25">
        <v>44639</v>
      </c>
      <c r="H238" s="10" t="s">
        <v>757</v>
      </c>
      <c r="I238" s="10" t="s">
        <v>758</v>
      </c>
      <c r="J238" s="15">
        <v>240634.38</v>
      </c>
      <c r="K238" s="15">
        <v>240434.58271999992</v>
      </c>
      <c r="L238" s="15">
        <v>199.8</v>
      </c>
      <c r="M238" s="15">
        <v>172.24</v>
      </c>
      <c r="N238" s="15">
        <v>0</v>
      </c>
      <c r="O238" s="15">
        <v>27.56</v>
      </c>
      <c r="P238" s="2" t="s">
        <v>55</v>
      </c>
      <c r="Q238" s="16"/>
    </row>
    <row r="239" spans="1:17" x14ac:dyDescent="0.3">
      <c r="A239" s="10">
        <v>21733</v>
      </c>
      <c r="B239" s="2" t="s">
        <v>3590</v>
      </c>
      <c r="C239" s="13">
        <v>5681</v>
      </c>
      <c r="D239" s="2" t="s">
        <v>44</v>
      </c>
      <c r="E239" s="14">
        <v>44823</v>
      </c>
      <c r="F239" s="10" t="s">
        <v>759</v>
      </c>
      <c r="G239" s="25">
        <v>44828</v>
      </c>
      <c r="H239" s="10" t="s">
        <v>760</v>
      </c>
      <c r="I239" s="10" t="s">
        <v>761</v>
      </c>
      <c r="J239" s="15">
        <v>371295.24</v>
      </c>
      <c r="K239" s="15">
        <v>371094.21843999997</v>
      </c>
      <c r="L239" s="15">
        <v>201.02</v>
      </c>
      <c r="M239" s="15">
        <v>173.29</v>
      </c>
      <c r="N239" s="15">
        <v>0</v>
      </c>
      <c r="O239" s="15">
        <v>27.73</v>
      </c>
      <c r="P239" s="2" t="s">
        <v>55</v>
      </c>
      <c r="Q239" s="16"/>
    </row>
    <row r="240" spans="1:17" x14ac:dyDescent="0.3">
      <c r="A240" s="10">
        <v>21733</v>
      </c>
      <c r="B240" s="2" t="s">
        <v>3591</v>
      </c>
      <c r="C240" s="13">
        <v>5537</v>
      </c>
      <c r="D240" s="2" t="s">
        <v>44</v>
      </c>
      <c r="E240" s="14">
        <v>44676</v>
      </c>
      <c r="F240" s="10" t="s">
        <v>762</v>
      </c>
      <c r="G240" s="25">
        <v>44680</v>
      </c>
      <c r="H240" s="10" t="s">
        <v>763</v>
      </c>
      <c r="I240" s="10" t="s">
        <v>764</v>
      </c>
      <c r="J240" s="15">
        <v>285192.39</v>
      </c>
      <c r="K240" s="15">
        <v>284990.76272000023</v>
      </c>
      <c r="L240" s="15">
        <v>201.63</v>
      </c>
      <c r="M240" s="15">
        <v>173.82</v>
      </c>
      <c r="N240" s="15">
        <v>0</v>
      </c>
      <c r="O240" s="15">
        <v>27.81</v>
      </c>
      <c r="P240" s="2" t="s">
        <v>55</v>
      </c>
      <c r="Q240" s="16"/>
    </row>
    <row r="241" spans="1:17" x14ac:dyDescent="0.3">
      <c r="A241" s="10">
        <v>21733</v>
      </c>
      <c r="B241" s="2" t="s">
        <v>3592</v>
      </c>
      <c r="C241" s="13">
        <v>5549</v>
      </c>
      <c r="D241" s="2" t="s">
        <v>44</v>
      </c>
      <c r="E241" s="14">
        <v>45012</v>
      </c>
      <c r="F241" s="10" t="s">
        <v>765</v>
      </c>
      <c r="G241" s="25">
        <v>45019</v>
      </c>
      <c r="H241" s="10" t="s">
        <v>766</v>
      </c>
      <c r="I241" s="10" t="s">
        <v>767</v>
      </c>
      <c r="J241" s="15">
        <v>982705.86</v>
      </c>
      <c r="K241" s="15">
        <v>982503.70200000016</v>
      </c>
      <c r="L241" s="15">
        <v>202.16</v>
      </c>
      <c r="M241" s="15">
        <v>174.27</v>
      </c>
      <c r="N241" s="15">
        <v>0</v>
      </c>
      <c r="O241" s="15">
        <v>27.88</v>
      </c>
      <c r="P241" s="2" t="s">
        <v>55</v>
      </c>
      <c r="Q241" s="16"/>
    </row>
    <row r="242" spans="1:17" x14ac:dyDescent="0.3">
      <c r="A242" s="10">
        <v>21733</v>
      </c>
      <c r="B242" s="2" t="s">
        <v>3593</v>
      </c>
      <c r="C242" s="13">
        <v>5556</v>
      </c>
      <c r="D242" s="2" t="s">
        <v>44</v>
      </c>
      <c r="E242" s="14">
        <v>44951</v>
      </c>
      <c r="F242" s="10" t="s">
        <v>768</v>
      </c>
      <c r="G242" s="25">
        <v>44959</v>
      </c>
      <c r="H242" s="10" t="s">
        <v>769</v>
      </c>
      <c r="I242" s="10" t="s">
        <v>770</v>
      </c>
      <c r="J242" s="15">
        <v>175954.9</v>
      </c>
      <c r="K242" s="15">
        <v>175752.53496000005</v>
      </c>
      <c r="L242" s="15">
        <v>202.37</v>
      </c>
      <c r="M242" s="15">
        <v>174.45</v>
      </c>
      <c r="N242" s="15">
        <v>0</v>
      </c>
      <c r="O242" s="15">
        <v>27.91</v>
      </c>
      <c r="P242" s="2" t="s">
        <v>55</v>
      </c>
      <c r="Q242" s="16"/>
    </row>
    <row r="243" spans="1:17" x14ac:dyDescent="0.3">
      <c r="A243" s="10">
        <v>21733</v>
      </c>
      <c r="B243" s="2" t="s">
        <v>3594</v>
      </c>
      <c r="C243" s="13">
        <v>5557</v>
      </c>
      <c r="D243" s="2" t="s">
        <v>44</v>
      </c>
      <c r="E243" s="14">
        <v>44844</v>
      </c>
      <c r="F243" s="10" t="s">
        <v>771</v>
      </c>
      <c r="G243" s="25">
        <v>44848</v>
      </c>
      <c r="H243" s="10" t="s">
        <v>772</v>
      </c>
      <c r="I243" s="10" t="s">
        <v>773</v>
      </c>
      <c r="J243" s="15">
        <v>844122.1</v>
      </c>
      <c r="K243" s="15">
        <v>843919.10751999996</v>
      </c>
      <c r="L243" s="15">
        <v>202.99</v>
      </c>
      <c r="M243" s="15">
        <v>174.99</v>
      </c>
      <c r="N243" s="15">
        <v>0</v>
      </c>
      <c r="O243" s="15">
        <v>28</v>
      </c>
      <c r="P243" s="2" t="s">
        <v>55</v>
      </c>
      <c r="Q243" s="16"/>
    </row>
    <row r="244" spans="1:17" x14ac:dyDescent="0.3">
      <c r="A244" s="10">
        <v>21733</v>
      </c>
      <c r="B244" s="2" t="s">
        <v>3595</v>
      </c>
      <c r="C244" s="13">
        <v>5549</v>
      </c>
      <c r="D244" s="2" t="s">
        <v>44</v>
      </c>
      <c r="E244" s="14">
        <v>44818</v>
      </c>
      <c r="F244" s="10" t="s">
        <v>514</v>
      </c>
      <c r="G244" s="25">
        <v>44831</v>
      </c>
      <c r="H244" s="10" t="s">
        <v>774</v>
      </c>
      <c r="I244" s="10" t="s">
        <v>775</v>
      </c>
      <c r="J244" s="15">
        <v>1127141.78</v>
      </c>
      <c r="K244" s="15">
        <v>1126937.9630400001</v>
      </c>
      <c r="L244" s="15">
        <v>203.82</v>
      </c>
      <c r="M244" s="15">
        <v>175.7</v>
      </c>
      <c r="N244" s="15">
        <v>0</v>
      </c>
      <c r="O244" s="15">
        <v>28.11</v>
      </c>
      <c r="P244" s="2" t="s">
        <v>55</v>
      </c>
      <c r="Q244" s="16"/>
    </row>
    <row r="245" spans="1:17" x14ac:dyDescent="0.3">
      <c r="A245" s="10">
        <v>21733</v>
      </c>
      <c r="B245" s="2" t="s">
        <v>3596</v>
      </c>
      <c r="C245" s="13">
        <v>5557</v>
      </c>
      <c r="D245" s="2" t="s">
        <v>44</v>
      </c>
      <c r="E245" s="14">
        <v>44326</v>
      </c>
      <c r="F245" s="10" t="s">
        <v>776</v>
      </c>
      <c r="G245" s="25">
        <v>44331</v>
      </c>
      <c r="H245" s="10" t="s">
        <v>777</v>
      </c>
      <c r="I245" s="10" t="s">
        <v>778</v>
      </c>
      <c r="J245" s="15">
        <v>284003.12</v>
      </c>
      <c r="K245" s="15">
        <v>283799.20724000002</v>
      </c>
      <c r="L245" s="15">
        <v>203.91</v>
      </c>
      <c r="M245" s="15">
        <v>175.79</v>
      </c>
      <c r="N245" s="15">
        <v>0</v>
      </c>
      <c r="O245" s="15">
        <v>28.13</v>
      </c>
      <c r="P245" s="2" t="s">
        <v>55</v>
      </c>
      <c r="Q245" s="16"/>
    </row>
    <row r="246" spans="1:17" x14ac:dyDescent="0.3">
      <c r="A246" s="10">
        <v>21733</v>
      </c>
      <c r="B246" s="2" t="s">
        <v>3597</v>
      </c>
      <c r="C246" s="13">
        <v>5537</v>
      </c>
      <c r="D246" s="2" t="s">
        <v>44</v>
      </c>
      <c r="E246" s="14">
        <v>44368</v>
      </c>
      <c r="F246" s="10" t="s">
        <v>779</v>
      </c>
      <c r="G246" s="25">
        <v>44376</v>
      </c>
      <c r="H246" s="10" t="s">
        <v>780</v>
      </c>
      <c r="I246" s="10" t="s">
        <v>781</v>
      </c>
      <c r="J246" s="15">
        <v>670120.17000000004</v>
      </c>
      <c r="K246" s="15">
        <v>669915.89896000014</v>
      </c>
      <c r="L246" s="15">
        <v>204.27</v>
      </c>
      <c r="M246" s="15">
        <v>176.1</v>
      </c>
      <c r="N246" s="15">
        <v>0</v>
      </c>
      <c r="O246" s="15">
        <v>28.18</v>
      </c>
      <c r="P246" s="2" t="s">
        <v>55</v>
      </c>
      <c r="Q246" s="16"/>
    </row>
    <row r="247" spans="1:17" x14ac:dyDescent="0.3">
      <c r="A247" s="10">
        <v>21733</v>
      </c>
      <c r="B247" s="2" t="s">
        <v>3598</v>
      </c>
      <c r="C247" s="13">
        <v>5537</v>
      </c>
      <c r="D247" s="2" t="s">
        <v>44</v>
      </c>
      <c r="E247" s="14">
        <v>44501</v>
      </c>
      <c r="F247" s="10" t="s">
        <v>782</v>
      </c>
      <c r="G247" s="25">
        <v>44506</v>
      </c>
      <c r="H247" s="10" t="s">
        <v>783</v>
      </c>
      <c r="I247" s="10" t="s">
        <v>784</v>
      </c>
      <c r="J247" s="15">
        <v>6054.27</v>
      </c>
      <c r="K247" s="15">
        <v>5849.88</v>
      </c>
      <c r="L247" s="15">
        <v>204.39</v>
      </c>
      <c r="M247" s="15">
        <v>176.2</v>
      </c>
      <c r="N247" s="15">
        <v>0</v>
      </c>
      <c r="O247" s="15">
        <v>28.19</v>
      </c>
      <c r="P247" s="2" t="s">
        <v>55</v>
      </c>
      <c r="Q247" s="16"/>
    </row>
    <row r="248" spans="1:17" x14ac:dyDescent="0.3">
      <c r="A248" s="10">
        <v>21733</v>
      </c>
      <c r="B248" s="2" t="s">
        <v>3599</v>
      </c>
      <c r="C248" s="13">
        <v>5556</v>
      </c>
      <c r="D248" s="2" t="s">
        <v>44</v>
      </c>
      <c r="E248" s="14">
        <v>44678</v>
      </c>
      <c r="F248" s="10" t="s">
        <v>785</v>
      </c>
      <c r="G248" s="25">
        <v>44685</v>
      </c>
      <c r="H248" s="10" t="s">
        <v>786</v>
      </c>
      <c r="I248" s="10" t="s">
        <v>787</v>
      </c>
      <c r="J248" s="15">
        <v>48685.760000000002</v>
      </c>
      <c r="K248" s="15">
        <v>48481.159480000002</v>
      </c>
      <c r="L248" s="15">
        <v>204.6</v>
      </c>
      <c r="M248" s="15">
        <v>176.38</v>
      </c>
      <c r="N248" s="15">
        <v>0</v>
      </c>
      <c r="O248" s="15">
        <v>28.22</v>
      </c>
      <c r="P248" s="2" t="s">
        <v>55</v>
      </c>
      <c r="Q248" s="16"/>
    </row>
    <row r="249" spans="1:17" x14ac:dyDescent="0.3">
      <c r="A249" s="10">
        <v>21733</v>
      </c>
      <c r="B249" s="2" t="s">
        <v>3600</v>
      </c>
      <c r="C249" s="13">
        <v>5548</v>
      </c>
      <c r="D249" s="2" t="s">
        <v>44</v>
      </c>
      <c r="E249" s="14">
        <v>44606</v>
      </c>
      <c r="F249" s="10" t="s">
        <v>788</v>
      </c>
      <c r="G249" s="25">
        <v>44610</v>
      </c>
      <c r="H249" s="10" t="s">
        <v>789</v>
      </c>
      <c r="I249" s="10" t="s">
        <v>790</v>
      </c>
      <c r="J249" s="15">
        <v>28819.39</v>
      </c>
      <c r="K249" s="15">
        <v>28614.2304</v>
      </c>
      <c r="L249" s="15">
        <v>205.16</v>
      </c>
      <c r="M249" s="15">
        <v>176.86</v>
      </c>
      <c r="N249" s="15">
        <v>0</v>
      </c>
      <c r="O249" s="15">
        <v>28.3</v>
      </c>
      <c r="P249" s="2" t="s">
        <v>55</v>
      </c>
      <c r="Q249" s="16"/>
    </row>
    <row r="250" spans="1:17" x14ac:dyDescent="0.3">
      <c r="A250" s="10">
        <v>21733</v>
      </c>
      <c r="B250" s="2" t="s">
        <v>3601</v>
      </c>
      <c r="C250" s="13">
        <v>5681</v>
      </c>
      <c r="D250" s="2" t="s">
        <v>44</v>
      </c>
      <c r="E250" s="14">
        <v>44403</v>
      </c>
      <c r="F250" s="10" t="s">
        <v>347</v>
      </c>
      <c r="G250" s="25">
        <v>44408</v>
      </c>
      <c r="H250" s="10" t="s">
        <v>791</v>
      </c>
      <c r="I250" s="10" t="s">
        <v>792</v>
      </c>
      <c r="J250" s="15">
        <v>20436.43</v>
      </c>
      <c r="K250" s="15">
        <v>20231.16792</v>
      </c>
      <c r="L250" s="15">
        <v>205.26</v>
      </c>
      <c r="M250" s="15">
        <v>176.95</v>
      </c>
      <c r="N250" s="15">
        <v>0</v>
      </c>
      <c r="O250" s="15">
        <v>28.31</v>
      </c>
      <c r="P250" s="2" t="s">
        <v>55</v>
      </c>
      <c r="Q250" s="16"/>
    </row>
    <row r="251" spans="1:17" x14ac:dyDescent="0.3">
      <c r="A251" s="10">
        <v>21733</v>
      </c>
      <c r="B251" s="2" t="s">
        <v>3602</v>
      </c>
      <c r="C251" s="13">
        <v>5681</v>
      </c>
      <c r="D251" s="2" t="s">
        <v>44</v>
      </c>
      <c r="E251" s="14">
        <v>44683</v>
      </c>
      <c r="F251" s="10" t="s">
        <v>793</v>
      </c>
      <c r="G251" s="25">
        <v>44688</v>
      </c>
      <c r="H251" s="10" t="s">
        <v>794</v>
      </c>
      <c r="I251" s="10" t="s">
        <v>795</v>
      </c>
      <c r="J251" s="15">
        <v>73317.87</v>
      </c>
      <c r="K251" s="15">
        <v>73112.564679999996</v>
      </c>
      <c r="L251" s="15">
        <v>205.31</v>
      </c>
      <c r="M251" s="15">
        <v>176.99</v>
      </c>
      <c r="N251" s="15">
        <v>0</v>
      </c>
      <c r="O251" s="15">
        <v>28.32</v>
      </c>
      <c r="P251" s="2" t="s">
        <v>55</v>
      </c>
      <c r="Q251" s="16"/>
    </row>
    <row r="252" spans="1:17" x14ac:dyDescent="0.3">
      <c r="A252" s="10">
        <v>21733</v>
      </c>
      <c r="B252" s="2" t="s">
        <v>3603</v>
      </c>
      <c r="C252" s="13">
        <v>5548</v>
      </c>
      <c r="D252" s="2" t="s">
        <v>44</v>
      </c>
      <c r="E252" s="14">
        <v>44858</v>
      </c>
      <c r="F252" s="10" t="s">
        <v>796</v>
      </c>
      <c r="G252" s="25">
        <v>44862</v>
      </c>
      <c r="H252" s="10" t="s">
        <v>797</v>
      </c>
      <c r="I252" s="10" t="s">
        <v>798</v>
      </c>
      <c r="J252" s="15">
        <v>1186420.23</v>
      </c>
      <c r="K252" s="15">
        <v>1186214.73792</v>
      </c>
      <c r="L252" s="15">
        <v>205.49</v>
      </c>
      <c r="M252" s="15">
        <v>177.15</v>
      </c>
      <c r="N252" s="15">
        <v>0</v>
      </c>
      <c r="O252" s="15">
        <v>28.34</v>
      </c>
      <c r="P252" s="2" t="s">
        <v>55</v>
      </c>
      <c r="Q252" s="16"/>
    </row>
    <row r="253" spans="1:17" x14ac:dyDescent="0.3">
      <c r="A253" s="10">
        <v>21733</v>
      </c>
      <c r="B253" s="2" t="s">
        <v>3604</v>
      </c>
      <c r="C253" s="13">
        <v>5548</v>
      </c>
      <c r="D253" s="2" t="s">
        <v>44</v>
      </c>
      <c r="E253" s="14">
        <v>44617</v>
      </c>
      <c r="F253" s="10" t="s">
        <v>799</v>
      </c>
      <c r="G253" s="25">
        <v>44624</v>
      </c>
      <c r="H253" s="10" t="s">
        <v>800</v>
      </c>
      <c r="I253" s="10" t="s">
        <v>801</v>
      </c>
      <c r="J253" s="15">
        <v>999849.07</v>
      </c>
      <c r="K253" s="15">
        <v>999643.31679999991</v>
      </c>
      <c r="L253" s="15">
        <v>205.75</v>
      </c>
      <c r="M253" s="15">
        <v>177.37</v>
      </c>
      <c r="N253" s="15">
        <v>0</v>
      </c>
      <c r="O253" s="15">
        <v>28.38</v>
      </c>
      <c r="P253" s="2" t="s">
        <v>55</v>
      </c>
      <c r="Q253" s="16"/>
    </row>
    <row r="254" spans="1:17" x14ac:dyDescent="0.3">
      <c r="A254" s="10">
        <v>21733</v>
      </c>
      <c r="B254" s="2" t="s">
        <v>3605</v>
      </c>
      <c r="C254" s="13">
        <v>5681</v>
      </c>
      <c r="D254" s="2" t="s">
        <v>44</v>
      </c>
      <c r="E254" s="14">
        <v>44970</v>
      </c>
      <c r="F254" s="10" t="s">
        <v>802</v>
      </c>
      <c r="G254" s="25">
        <v>44977</v>
      </c>
      <c r="H254" s="10" t="s">
        <v>803</v>
      </c>
      <c r="I254" s="10" t="s">
        <v>804</v>
      </c>
      <c r="J254" s="15">
        <v>1162137.28</v>
      </c>
      <c r="K254" s="15">
        <v>1161931.2654399998</v>
      </c>
      <c r="L254" s="15">
        <v>206.01</v>
      </c>
      <c r="M254" s="15">
        <v>177.6</v>
      </c>
      <c r="N254" s="15">
        <v>0</v>
      </c>
      <c r="O254" s="15">
        <v>28.42</v>
      </c>
      <c r="P254" s="2" t="s">
        <v>55</v>
      </c>
      <c r="Q254" s="16"/>
    </row>
    <row r="255" spans="1:17" x14ac:dyDescent="0.3">
      <c r="A255" s="10">
        <v>21733</v>
      </c>
      <c r="B255" s="2" t="s">
        <v>3606</v>
      </c>
      <c r="C255" s="13">
        <v>5549</v>
      </c>
      <c r="D255" s="2" t="s">
        <v>44</v>
      </c>
      <c r="E255" s="14">
        <v>44861</v>
      </c>
      <c r="F255" s="10" t="s">
        <v>805</v>
      </c>
      <c r="G255" s="25">
        <v>44876</v>
      </c>
      <c r="H255" s="10" t="s">
        <v>806</v>
      </c>
      <c r="I255" s="10" t="s">
        <v>807</v>
      </c>
      <c r="J255" s="15">
        <v>314250.53999999998</v>
      </c>
      <c r="K255" s="15">
        <v>314043.55200000003</v>
      </c>
      <c r="L255" s="15">
        <v>206.99</v>
      </c>
      <c r="M255" s="15">
        <v>178.44</v>
      </c>
      <c r="N255" s="15">
        <v>0</v>
      </c>
      <c r="O255" s="15">
        <v>28.55</v>
      </c>
      <c r="P255" s="2" t="s">
        <v>55</v>
      </c>
      <c r="Q255" s="16"/>
    </row>
    <row r="256" spans="1:17" x14ac:dyDescent="0.3">
      <c r="A256" s="10">
        <v>21733</v>
      </c>
      <c r="B256" s="2" t="s">
        <v>3607</v>
      </c>
      <c r="C256" s="13">
        <v>5557</v>
      </c>
      <c r="D256" s="2" t="s">
        <v>44</v>
      </c>
      <c r="E256" s="14">
        <v>44949</v>
      </c>
      <c r="F256" s="10" t="s">
        <v>808</v>
      </c>
      <c r="G256" s="25">
        <v>44954</v>
      </c>
      <c r="H256" s="10" t="s">
        <v>809</v>
      </c>
      <c r="I256" s="10" t="s">
        <v>810</v>
      </c>
      <c r="J256" s="15">
        <v>191920.77</v>
      </c>
      <c r="K256" s="15">
        <v>191713.25336000003</v>
      </c>
      <c r="L256" s="15">
        <v>207.52</v>
      </c>
      <c r="M256" s="15">
        <v>178.89</v>
      </c>
      <c r="N256" s="15">
        <v>0</v>
      </c>
      <c r="O256" s="15">
        <v>28.62</v>
      </c>
      <c r="P256" s="2" t="s">
        <v>55</v>
      </c>
      <c r="Q256" s="16"/>
    </row>
    <row r="257" spans="1:17" x14ac:dyDescent="0.3">
      <c r="A257" s="10">
        <v>21733</v>
      </c>
      <c r="B257" s="2" t="s">
        <v>3608</v>
      </c>
      <c r="C257" s="13">
        <v>5681</v>
      </c>
      <c r="D257" s="2" t="s">
        <v>44</v>
      </c>
      <c r="E257" s="14">
        <v>44620</v>
      </c>
      <c r="F257" s="10" t="s">
        <v>811</v>
      </c>
      <c r="G257" s="25">
        <v>44624</v>
      </c>
      <c r="H257" s="10" t="s">
        <v>812</v>
      </c>
      <c r="I257" s="10" t="s">
        <v>813</v>
      </c>
      <c r="J257" s="15">
        <v>375631.98</v>
      </c>
      <c r="K257" s="15">
        <v>375423.71312000009</v>
      </c>
      <c r="L257" s="15">
        <v>208.27</v>
      </c>
      <c r="M257" s="15">
        <v>179.54</v>
      </c>
      <c r="N257" s="15">
        <v>0</v>
      </c>
      <c r="O257" s="15">
        <v>28.73</v>
      </c>
      <c r="P257" s="2" t="s">
        <v>55</v>
      </c>
      <c r="Q257" s="16"/>
    </row>
    <row r="258" spans="1:17" x14ac:dyDescent="0.3">
      <c r="A258" s="10">
        <v>21733</v>
      </c>
      <c r="B258" s="2" t="s">
        <v>3609</v>
      </c>
      <c r="C258" s="13">
        <v>5681</v>
      </c>
      <c r="D258" s="2" t="s">
        <v>44</v>
      </c>
      <c r="E258" s="14">
        <v>44389</v>
      </c>
      <c r="F258" s="10" t="s">
        <v>814</v>
      </c>
      <c r="G258" s="25">
        <v>44394</v>
      </c>
      <c r="H258" s="10" t="s">
        <v>815</v>
      </c>
      <c r="I258" s="10" t="s">
        <v>816</v>
      </c>
      <c r="J258" s="15">
        <v>20260.990000000002</v>
      </c>
      <c r="K258" s="15">
        <v>20052.687999999998</v>
      </c>
      <c r="L258" s="15">
        <v>208.3</v>
      </c>
      <c r="M258" s="15">
        <v>179.57</v>
      </c>
      <c r="N258" s="15">
        <v>0</v>
      </c>
      <c r="O258" s="15">
        <v>28.73</v>
      </c>
      <c r="P258" s="2" t="s">
        <v>55</v>
      </c>
      <c r="Q258" s="16"/>
    </row>
    <row r="259" spans="1:17" x14ac:dyDescent="0.3">
      <c r="A259" s="10">
        <v>21733</v>
      </c>
      <c r="B259" s="2" t="s">
        <v>3610</v>
      </c>
      <c r="C259" s="13">
        <v>5537</v>
      </c>
      <c r="D259" s="2" t="s">
        <v>44</v>
      </c>
      <c r="E259" s="14">
        <v>44872</v>
      </c>
      <c r="F259" s="10" t="s">
        <v>817</v>
      </c>
      <c r="G259" s="25">
        <v>44877</v>
      </c>
      <c r="H259" s="10" t="s">
        <v>818</v>
      </c>
      <c r="I259" s="10" t="s">
        <v>819</v>
      </c>
      <c r="J259" s="15">
        <v>971516.55</v>
      </c>
      <c r="K259" s="15">
        <v>971307.48524000018</v>
      </c>
      <c r="L259" s="15">
        <v>209.06</v>
      </c>
      <c r="M259" s="15">
        <v>180.23</v>
      </c>
      <c r="N259" s="15">
        <v>0</v>
      </c>
      <c r="O259" s="15">
        <v>28.84</v>
      </c>
      <c r="P259" s="2" t="s">
        <v>55</v>
      </c>
      <c r="Q259" s="16"/>
    </row>
    <row r="260" spans="1:17" x14ac:dyDescent="0.3">
      <c r="A260" s="10">
        <v>21733</v>
      </c>
      <c r="B260" s="2" t="s">
        <v>3611</v>
      </c>
      <c r="C260" s="13">
        <v>5681</v>
      </c>
      <c r="D260" s="2" t="s">
        <v>44</v>
      </c>
      <c r="E260" s="14">
        <v>44662</v>
      </c>
      <c r="F260" s="10" t="s">
        <v>820</v>
      </c>
      <c r="G260" s="25">
        <v>44667</v>
      </c>
      <c r="H260" s="10" t="s">
        <v>821</v>
      </c>
      <c r="I260" s="10" t="s">
        <v>822</v>
      </c>
      <c r="J260" s="15">
        <v>147932.81</v>
      </c>
      <c r="K260" s="15">
        <v>147722.98516000004</v>
      </c>
      <c r="L260" s="15">
        <v>209.82</v>
      </c>
      <c r="M260" s="15">
        <v>180.88</v>
      </c>
      <c r="N260" s="15">
        <v>0</v>
      </c>
      <c r="O260" s="15">
        <v>28.94</v>
      </c>
      <c r="P260" s="2" t="s">
        <v>55</v>
      </c>
      <c r="Q260" s="16"/>
    </row>
    <row r="261" spans="1:17" x14ac:dyDescent="0.3">
      <c r="A261" s="10">
        <v>21733</v>
      </c>
      <c r="B261" s="2" t="s">
        <v>3612</v>
      </c>
      <c r="C261" s="13">
        <v>5681</v>
      </c>
      <c r="D261" s="2" t="s">
        <v>44</v>
      </c>
      <c r="E261" s="14">
        <v>44844</v>
      </c>
      <c r="F261" s="10" t="s">
        <v>823</v>
      </c>
      <c r="G261" s="25">
        <v>44850</v>
      </c>
      <c r="H261" s="10" t="s">
        <v>824</v>
      </c>
      <c r="I261" s="10" t="s">
        <v>825</v>
      </c>
      <c r="J261" s="15">
        <v>487275.23</v>
      </c>
      <c r="K261" s="15">
        <v>487065.34720000008</v>
      </c>
      <c r="L261" s="15">
        <v>209.88</v>
      </c>
      <c r="M261" s="15">
        <v>180.93</v>
      </c>
      <c r="N261" s="15">
        <v>0</v>
      </c>
      <c r="O261" s="15">
        <v>28.95</v>
      </c>
      <c r="P261" s="2" t="s">
        <v>55</v>
      </c>
      <c r="Q261" s="16"/>
    </row>
    <row r="262" spans="1:17" x14ac:dyDescent="0.3">
      <c r="A262" s="10">
        <v>21733</v>
      </c>
      <c r="B262" s="2" t="s">
        <v>3613</v>
      </c>
      <c r="C262" s="13">
        <v>5556</v>
      </c>
      <c r="D262" s="2" t="s">
        <v>44</v>
      </c>
      <c r="E262" s="14">
        <v>44944</v>
      </c>
      <c r="F262" s="10" t="s">
        <v>826</v>
      </c>
      <c r="G262" s="25">
        <v>44956</v>
      </c>
      <c r="H262" s="10" t="s">
        <v>827</v>
      </c>
      <c r="I262" s="10" t="s">
        <v>828</v>
      </c>
      <c r="J262" s="15">
        <v>1227508.8999999999</v>
      </c>
      <c r="K262" s="15">
        <v>1227297.5438399999</v>
      </c>
      <c r="L262" s="15">
        <v>211.36</v>
      </c>
      <c r="M262" s="15">
        <v>182.2</v>
      </c>
      <c r="N262" s="15">
        <v>0</v>
      </c>
      <c r="O262" s="15">
        <v>29.15</v>
      </c>
      <c r="P262" s="2" t="s">
        <v>55</v>
      </c>
      <c r="Q262" s="16"/>
    </row>
    <row r="263" spans="1:17" x14ac:dyDescent="0.3">
      <c r="A263" s="10">
        <v>21733</v>
      </c>
      <c r="B263" s="2" t="s">
        <v>3614</v>
      </c>
      <c r="C263" s="13">
        <v>5548</v>
      </c>
      <c r="D263" s="2" t="s">
        <v>44</v>
      </c>
      <c r="E263" s="14">
        <v>44977</v>
      </c>
      <c r="F263" s="10" t="s">
        <v>829</v>
      </c>
      <c r="G263" s="25">
        <v>44980</v>
      </c>
      <c r="H263" s="10" t="s">
        <v>830</v>
      </c>
      <c r="I263" s="10" t="s">
        <v>831</v>
      </c>
      <c r="J263" s="15">
        <v>1159331.27</v>
      </c>
      <c r="K263" s="15">
        <v>1159119.3952800003</v>
      </c>
      <c r="L263" s="15">
        <v>211.87</v>
      </c>
      <c r="M263" s="15">
        <v>182.65</v>
      </c>
      <c r="N263" s="15">
        <v>0</v>
      </c>
      <c r="O263" s="15">
        <v>29.22</v>
      </c>
      <c r="P263" s="2" t="s">
        <v>55</v>
      </c>
      <c r="Q263" s="16"/>
    </row>
    <row r="264" spans="1:17" x14ac:dyDescent="0.3">
      <c r="A264" s="10">
        <v>21733</v>
      </c>
      <c r="B264" s="2" t="s">
        <v>3615</v>
      </c>
      <c r="C264" s="13">
        <v>5537</v>
      </c>
      <c r="D264" s="2" t="s">
        <v>44</v>
      </c>
      <c r="E264" s="14">
        <v>44298</v>
      </c>
      <c r="F264" s="10" t="s">
        <v>832</v>
      </c>
      <c r="G264" s="25">
        <v>44302</v>
      </c>
      <c r="H264" s="10" t="s">
        <v>833</v>
      </c>
      <c r="I264" s="10" t="s">
        <v>834</v>
      </c>
      <c r="J264" s="15">
        <v>42802.62</v>
      </c>
      <c r="K264" s="15">
        <v>42589.372160000006</v>
      </c>
      <c r="L264" s="15">
        <v>213.25</v>
      </c>
      <c r="M264" s="15">
        <v>183.83</v>
      </c>
      <c r="N264" s="15">
        <v>0</v>
      </c>
      <c r="O264" s="15">
        <v>29.41</v>
      </c>
      <c r="P264" s="2" t="s">
        <v>55</v>
      </c>
      <c r="Q264" s="16"/>
    </row>
    <row r="265" spans="1:17" x14ac:dyDescent="0.3">
      <c r="A265" s="10">
        <v>21733</v>
      </c>
      <c r="B265" s="2" t="s">
        <v>3616</v>
      </c>
      <c r="C265" s="13">
        <v>5548</v>
      </c>
      <c r="D265" s="2" t="s">
        <v>44</v>
      </c>
      <c r="E265" s="14">
        <v>44424</v>
      </c>
      <c r="F265" s="10" t="s">
        <v>835</v>
      </c>
      <c r="G265" s="25">
        <v>44428</v>
      </c>
      <c r="H265" s="10" t="s">
        <v>836</v>
      </c>
      <c r="I265" s="10" t="s">
        <v>837</v>
      </c>
      <c r="J265" s="15">
        <v>762195.25</v>
      </c>
      <c r="K265" s="15">
        <v>761981.33243999968</v>
      </c>
      <c r="L265" s="15">
        <v>213.92</v>
      </c>
      <c r="M265" s="15">
        <v>184.41</v>
      </c>
      <c r="N265" s="15">
        <v>0</v>
      </c>
      <c r="O265" s="15">
        <v>29.51</v>
      </c>
      <c r="P265" s="2" t="s">
        <v>55</v>
      </c>
      <c r="Q265" s="16"/>
    </row>
    <row r="266" spans="1:17" x14ac:dyDescent="0.3">
      <c r="A266" s="10">
        <v>21733</v>
      </c>
      <c r="B266" s="2" t="s">
        <v>3617</v>
      </c>
      <c r="C266" s="13">
        <v>5557</v>
      </c>
      <c r="D266" s="2" t="s">
        <v>44</v>
      </c>
      <c r="E266" s="14">
        <v>44617</v>
      </c>
      <c r="F266" s="10" t="s">
        <v>838</v>
      </c>
      <c r="G266" s="25">
        <v>44625</v>
      </c>
      <c r="H266" s="10" t="s">
        <v>839</v>
      </c>
      <c r="I266" s="10" t="s">
        <v>840</v>
      </c>
      <c r="J266" s="15">
        <v>121835.81</v>
      </c>
      <c r="K266" s="15">
        <v>121621.708</v>
      </c>
      <c r="L266" s="15">
        <v>214.1</v>
      </c>
      <c r="M266" s="15">
        <v>184.57</v>
      </c>
      <c r="N266" s="15">
        <v>0</v>
      </c>
      <c r="O266" s="15">
        <v>29.53</v>
      </c>
      <c r="P266" s="2" t="s">
        <v>55</v>
      </c>
      <c r="Q266" s="16"/>
    </row>
    <row r="267" spans="1:17" x14ac:dyDescent="0.3">
      <c r="A267" s="10">
        <v>21733</v>
      </c>
      <c r="B267" s="2" t="s">
        <v>3618</v>
      </c>
      <c r="C267" s="13">
        <v>5548</v>
      </c>
      <c r="D267" s="2" t="s">
        <v>44</v>
      </c>
      <c r="E267" s="14">
        <v>44431</v>
      </c>
      <c r="F267" s="10" t="s">
        <v>841</v>
      </c>
      <c r="G267" s="25">
        <v>44435</v>
      </c>
      <c r="H267" s="10" t="s">
        <v>842</v>
      </c>
      <c r="I267" s="10" t="s">
        <v>843</v>
      </c>
      <c r="J267" s="15">
        <v>720114.95</v>
      </c>
      <c r="K267" s="15">
        <v>719900.66784000013</v>
      </c>
      <c r="L267" s="15">
        <v>214.28</v>
      </c>
      <c r="M267" s="15">
        <v>184.73</v>
      </c>
      <c r="N267" s="15">
        <v>0</v>
      </c>
      <c r="O267" s="15">
        <v>29.56</v>
      </c>
      <c r="P267" s="2" t="s">
        <v>55</v>
      </c>
      <c r="Q267" s="16"/>
    </row>
    <row r="268" spans="1:17" x14ac:dyDescent="0.3">
      <c r="A268" s="10">
        <v>21733</v>
      </c>
      <c r="B268" s="2" t="s">
        <v>3619</v>
      </c>
      <c r="C268" s="13">
        <v>5549</v>
      </c>
      <c r="D268" s="2" t="s">
        <v>44</v>
      </c>
      <c r="E268" s="14">
        <v>44333</v>
      </c>
      <c r="F268" s="10" t="s">
        <v>844</v>
      </c>
      <c r="G268" s="25">
        <v>44337</v>
      </c>
      <c r="H268" s="10" t="s">
        <v>845</v>
      </c>
      <c r="I268" s="10" t="s">
        <v>846</v>
      </c>
      <c r="J268" s="15">
        <v>34418.730000000003</v>
      </c>
      <c r="K268" s="15">
        <v>34203.713600000003</v>
      </c>
      <c r="L268" s="15">
        <v>215.02</v>
      </c>
      <c r="M268" s="15">
        <v>185.36</v>
      </c>
      <c r="N268" s="15">
        <v>0</v>
      </c>
      <c r="O268" s="15">
        <v>29.66</v>
      </c>
      <c r="P268" s="2" t="s">
        <v>55</v>
      </c>
      <c r="Q268" s="16"/>
    </row>
    <row r="269" spans="1:17" x14ac:dyDescent="0.3">
      <c r="A269" s="10">
        <v>21733</v>
      </c>
      <c r="B269" s="2" t="s">
        <v>3620</v>
      </c>
      <c r="C269" s="13">
        <v>5556</v>
      </c>
      <c r="D269" s="2" t="s">
        <v>44</v>
      </c>
      <c r="E269" s="14">
        <v>45042</v>
      </c>
      <c r="F269" s="10" t="s">
        <v>847</v>
      </c>
      <c r="G269" s="25">
        <v>45051</v>
      </c>
      <c r="H269" s="10" t="s">
        <v>848</v>
      </c>
      <c r="I269" s="10" t="s">
        <v>849</v>
      </c>
      <c r="J269" s="15">
        <v>828183.06</v>
      </c>
      <c r="K269" s="15">
        <v>827967.65636000014</v>
      </c>
      <c r="L269" s="15">
        <v>215.4</v>
      </c>
      <c r="M269" s="15">
        <v>185.69</v>
      </c>
      <c r="N269" s="15">
        <v>0</v>
      </c>
      <c r="O269" s="15">
        <v>29.71</v>
      </c>
      <c r="P269" s="2" t="s">
        <v>55</v>
      </c>
      <c r="Q269" s="16"/>
    </row>
    <row r="270" spans="1:17" x14ac:dyDescent="0.3">
      <c r="A270" s="10">
        <v>21733</v>
      </c>
      <c r="B270" s="2" t="s">
        <v>3621</v>
      </c>
      <c r="C270" s="13">
        <v>5548</v>
      </c>
      <c r="D270" s="2" t="s">
        <v>44</v>
      </c>
      <c r="E270" s="14">
        <v>44998</v>
      </c>
      <c r="F270" s="10" t="s">
        <v>850</v>
      </c>
      <c r="G270" s="25">
        <v>45003</v>
      </c>
      <c r="H270" s="10" t="s">
        <v>851</v>
      </c>
      <c r="I270" s="10" t="s">
        <v>852</v>
      </c>
      <c r="J270" s="15">
        <v>1140569.76</v>
      </c>
      <c r="K270" s="15">
        <v>1140354.2237599997</v>
      </c>
      <c r="L270" s="15">
        <v>215.54</v>
      </c>
      <c r="M270" s="15">
        <v>185.81</v>
      </c>
      <c r="N270" s="15">
        <v>0</v>
      </c>
      <c r="O270" s="15">
        <v>29.73</v>
      </c>
      <c r="P270" s="2" t="s">
        <v>55</v>
      </c>
      <c r="Q270" s="16"/>
    </row>
    <row r="271" spans="1:17" x14ac:dyDescent="0.3">
      <c r="A271" s="10">
        <v>21733</v>
      </c>
      <c r="B271" s="2" t="s">
        <v>3622</v>
      </c>
      <c r="C271" s="13">
        <v>5537</v>
      </c>
      <c r="D271" s="2" t="s">
        <v>44</v>
      </c>
      <c r="E271" s="14">
        <v>44683</v>
      </c>
      <c r="F271" s="10" t="s">
        <v>853</v>
      </c>
      <c r="G271" s="25">
        <v>44687</v>
      </c>
      <c r="H271" s="10" t="s">
        <v>854</v>
      </c>
      <c r="I271" s="10" t="s">
        <v>855</v>
      </c>
      <c r="J271" s="15">
        <v>188196.33</v>
      </c>
      <c r="K271" s="15">
        <v>187980.37684000001</v>
      </c>
      <c r="L271" s="15">
        <v>215.95</v>
      </c>
      <c r="M271" s="15">
        <v>186.17</v>
      </c>
      <c r="N271" s="15">
        <v>0</v>
      </c>
      <c r="O271" s="15">
        <v>29.79</v>
      </c>
      <c r="P271" s="2" t="s">
        <v>55</v>
      </c>
      <c r="Q271" s="16"/>
    </row>
    <row r="272" spans="1:17" x14ac:dyDescent="0.3">
      <c r="A272" s="10">
        <v>21733</v>
      </c>
      <c r="B272" s="2" t="s">
        <v>3623</v>
      </c>
      <c r="C272" s="13">
        <v>5681</v>
      </c>
      <c r="D272" s="2" t="s">
        <v>44</v>
      </c>
      <c r="E272" s="14">
        <v>44326</v>
      </c>
      <c r="F272" s="10" t="s">
        <v>856</v>
      </c>
      <c r="G272" s="25">
        <v>44331</v>
      </c>
      <c r="H272" s="10" t="s">
        <v>857</v>
      </c>
      <c r="I272" s="10" t="s">
        <v>858</v>
      </c>
      <c r="J272" s="15">
        <v>3984.03</v>
      </c>
      <c r="K272" s="15">
        <v>3766.752</v>
      </c>
      <c r="L272" s="15">
        <v>217.28</v>
      </c>
      <c r="M272" s="15">
        <v>187.31</v>
      </c>
      <c r="N272" s="15">
        <v>0</v>
      </c>
      <c r="O272" s="15">
        <v>29.97</v>
      </c>
      <c r="P272" s="2" t="s">
        <v>55</v>
      </c>
      <c r="Q272" s="16"/>
    </row>
    <row r="273" spans="1:17" x14ac:dyDescent="0.3">
      <c r="A273" s="10">
        <v>21733</v>
      </c>
      <c r="B273" s="2" t="s">
        <v>3624</v>
      </c>
      <c r="C273" s="13">
        <v>5537</v>
      </c>
      <c r="D273" s="2" t="s">
        <v>44</v>
      </c>
      <c r="E273" s="14">
        <v>44473</v>
      </c>
      <c r="F273" s="10" t="s">
        <v>859</v>
      </c>
      <c r="G273" s="25">
        <v>44478</v>
      </c>
      <c r="H273" s="10" t="s">
        <v>860</v>
      </c>
      <c r="I273" s="10" t="s">
        <v>861</v>
      </c>
      <c r="J273" s="15">
        <v>675219.09</v>
      </c>
      <c r="K273" s="15">
        <v>675000.11979999999</v>
      </c>
      <c r="L273" s="15">
        <v>218.97</v>
      </c>
      <c r="M273" s="15">
        <v>188.77</v>
      </c>
      <c r="N273" s="15">
        <v>0</v>
      </c>
      <c r="O273" s="15">
        <v>30.2</v>
      </c>
      <c r="P273" s="2" t="s">
        <v>55</v>
      </c>
      <c r="Q273" s="16"/>
    </row>
    <row r="274" spans="1:17" x14ac:dyDescent="0.3">
      <c r="A274" s="10">
        <v>21733</v>
      </c>
      <c r="B274" s="2" t="s">
        <v>3625</v>
      </c>
      <c r="C274" s="13">
        <v>5681</v>
      </c>
      <c r="D274" s="2" t="s">
        <v>44</v>
      </c>
      <c r="E274" s="14">
        <v>44305</v>
      </c>
      <c r="F274" s="10" t="s">
        <v>862</v>
      </c>
      <c r="G274" s="25">
        <v>44310</v>
      </c>
      <c r="H274" s="10" t="s">
        <v>863</v>
      </c>
      <c r="I274" s="10" t="s">
        <v>864</v>
      </c>
      <c r="J274" s="15">
        <v>79800.91</v>
      </c>
      <c r="K274" s="15">
        <v>79580.292000000001</v>
      </c>
      <c r="L274" s="15">
        <v>220.62</v>
      </c>
      <c r="M274" s="15">
        <v>190.19</v>
      </c>
      <c r="N274" s="15">
        <v>0</v>
      </c>
      <c r="O274" s="15">
        <v>30.43</v>
      </c>
      <c r="P274" s="2" t="s">
        <v>55</v>
      </c>
      <c r="Q274" s="16"/>
    </row>
    <row r="275" spans="1:17" x14ac:dyDescent="0.3">
      <c r="A275" s="10">
        <v>21733</v>
      </c>
      <c r="B275" s="2" t="s">
        <v>3626</v>
      </c>
      <c r="C275" s="13">
        <v>5548</v>
      </c>
      <c r="D275" s="2" t="s">
        <v>44</v>
      </c>
      <c r="E275" s="14">
        <v>44459</v>
      </c>
      <c r="F275" s="10" t="s">
        <v>865</v>
      </c>
      <c r="G275" s="25">
        <v>44463</v>
      </c>
      <c r="H275" s="10" t="s">
        <v>866</v>
      </c>
      <c r="I275" s="10" t="s">
        <v>867</v>
      </c>
      <c r="J275" s="15">
        <v>22096.75</v>
      </c>
      <c r="K275" s="15">
        <v>21875.795040000001</v>
      </c>
      <c r="L275" s="15">
        <v>220.95</v>
      </c>
      <c r="M275" s="15">
        <v>190.48</v>
      </c>
      <c r="N275" s="15">
        <v>0</v>
      </c>
      <c r="O275" s="15">
        <v>30.48</v>
      </c>
      <c r="P275" s="2" t="s">
        <v>55</v>
      </c>
      <c r="Q275" s="16"/>
    </row>
    <row r="276" spans="1:17" x14ac:dyDescent="0.3">
      <c r="A276" s="10">
        <v>21733</v>
      </c>
      <c r="B276" s="2" t="s">
        <v>3627</v>
      </c>
      <c r="C276" s="13">
        <v>5548</v>
      </c>
      <c r="D276" s="2" t="s">
        <v>44</v>
      </c>
      <c r="E276" s="14">
        <v>44956</v>
      </c>
      <c r="F276" s="10" t="s">
        <v>868</v>
      </c>
      <c r="G276" s="25">
        <v>44966</v>
      </c>
      <c r="H276" s="10" t="s">
        <v>869</v>
      </c>
      <c r="I276" s="10" t="s">
        <v>870</v>
      </c>
      <c r="J276" s="15">
        <v>1525142.57</v>
      </c>
      <c r="K276" s="15">
        <v>1524921.4744800003</v>
      </c>
      <c r="L276" s="15">
        <v>221.1</v>
      </c>
      <c r="M276" s="15">
        <v>190.6</v>
      </c>
      <c r="N276" s="15">
        <v>0</v>
      </c>
      <c r="O276" s="15">
        <v>30.5</v>
      </c>
      <c r="P276" s="2" t="s">
        <v>55</v>
      </c>
      <c r="Q276" s="16"/>
    </row>
    <row r="277" spans="1:17" x14ac:dyDescent="0.3">
      <c r="A277" s="10">
        <v>21733</v>
      </c>
      <c r="B277" s="2" t="s">
        <v>3628</v>
      </c>
      <c r="C277" s="13">
        <v>5556</v>
      </c>
      <c r="D277" s="2" t="s">
        <v>44</v>
      </c>
      <c r="E277" s="14">
        <v>44307</v>
      </c>
      <c r="F277" s="10" t="s">
        <v>871</v>
      </c>
      <c r="G277" s="25">
        <v>44313</v>
      </c>
      <c r="H277" s="10" t="s">
        <v>872</v>
      </c>
      <c r="I277" s="10" t="s">
        <v>873</v>
      </c>
      <c r="J277" s="15">
        <v>266450.69</v>
      </c>
      <c r="K277" s="15">
        <v>266228.44248000003</v>
      </c>
      <c r="L277" s="15">
        <v>222.25</v>
      </c>
      <c r="M277" s="15">
        <v>191.59</v>
      </c>
      <c r="N277" s="15">
        <v>0</v>
      </c>
      <c r="O277" s="15">
        <v>30.65</v>
      </c>
      <c r="P277" s="2" t="s">
        <v>55</v>
      </c>
      <c r="Q277" s="16"/>
    </row>
    <row r="278" spans="1:17" x14ac:dyDescent="0.3">
      <c r="A278" s="10">
        <v>21733</v>
      </c>
      <c r="B278" s="2" t="s">
        <v>3629</v>
      </c>
      <c r="C278" s="13">
        <v>5548</v>
      </c>
      <c r="D278" s="2" t="s">
        <v>44</v>
      </c>
      <c r="E278" s="14">
        <v>44963</v>
      </c>
      <c r="F278" s="10" t="s">
        <v>874</v>
      </c>
      <c r="G278" s="25">
        <v>44974</v>
      </c>
      <c r="H278" s="10" t="s">
        <v>875</v>
      </c>
      <c r="I278" s="10" t="s">
        <v>876</v>
      </c>
      <c r="J278" s="15">
        <v>1457855.23</v>
      </c>
      <c r="K278" s="15">
        <v>1457632.9728400002</v>
      </c>
      <c r="L278" s="15">
        <v>222.26</v>
      </c>
      <c r="M278" s="15">
        <v>191.6</v>
      </c>
      <c r="N278" s="15">
        <v>0</v>
      </c>
      <c r="O278" s="15">
        <v>30.66</v>
      </c>
      <c r="P278" s="2" t="s">
        <v>55</v>
      </c>
      <c r="Q278" s="16"/>
    </row>
    <row r="279" spans="1:17" x14ac:dyDescent="0.3">
      <c r="A279" s="10">
        <v>21733</v>
      </c>
      <c r="B279" s="2" t="s">
        <v>3630</v>
      </c>
      <c r="C279" s="13">
        <v>5549</v>
      </c>
      <c r="D279" s="2" t="s">
        <v>44</v>
      </c>
      <c r="E279" s="14">
        <v>44837</v>
      </c>
      <c r="F279" s="10" t="s">
        <v>877</v>
      </c>
      <c r="G279" s="25">
        <v>44842</v>
      </c>
      <c r="H279" s="10" t="s">
        <v>878</v>
      </c>
      <c r="I279" s="10" t="s">
        <v>879</v>
      </c>
      <c r="J279" s="15">
        <v>984500.16</v>
      </c>
      <c r="K279" s="15">
        <v>984277.48236000002</v>
      </c>
      <c r="L279" s="15">
        <v>222.68</v>
      </c>
      <c r="M279" s="15">
        <v>191.96</v>
      </c>
      <c r="N279" s="15">
        <v>0</v>
      </c>
      <c r="O279" s="15">
        <v>30.71</v>
      </c>
      <c r="P279" s="2" t="s">
        <v>55</v>
      </c>
      <c r="Q279" s="16"/>
    </row>
    <row r="280" spans="1:17" x14ac:dyDescent="0.3">
      <c r="A280" s="10">
        <v>21733</v>
      </c>
      <c r="B280" s="2" t="s">
        <v>3631</v>
      </c>
      <c r="C280" s="13">
        <v>5548</v>
      </c>
      <c r="D280" s="2" t="s">
        <v>44</v>
      </c>
      <c r="E280" s="14">
        <v>44641</v>
      </c>
      <c r="F280" s="10" t="s">
        <v>880</v>
      </c>
      <c r="G280" s="25">
        <v>44646</v>
      </c>
      <c r="H280" s="10" t="s">
        <v>881</v>
      </c>
      <c r="I280" s="10" t="s">
        <v>882</v>
      </c>
      <c r="J280" s="15">
        <v>1187085.1100000001</v>
      </c>
      <c r="K280" s="15">
        <v>1186862.2800800002</v>
      </c>
      <c r="L280" s="15">
        <v>222.83</v>
      </c>
      <c r="M280" s="15">
        <v>192.09</v>
      </c>
      <c r="N280" s="15">
        <v>0</v>
      </c>
      <c r="O280" s="15">
        <v>30.74</v>
      </c>
      <c r="P280" s="2" t="s">
        <v>55</v>
      </c>
      <c r="Q280" s="16"/>
    </row>
    <row r="281" spans="1:17" x14ac:dyDescent="0.3">
      <c r="A281" s="10">
        <v>21733</v>
      </c>
      <c r="B281" s="2" t="s">
        <v>3632</v>
      </c>
      <c r="C281" s="13">
        <v>5681</v>
      </c>
      <c r="D281" s="2" t="s">
        <v>44</v>
      </c>
      <c r="E281" s="14">
        <v>44431</v>
      </c>
      <c r="F281" s="10" t="s">
        <v>883</v>
      </c>
      <c r="G281" s="25">
        <v>44436</v>
      </c>
      <c r="H281" s="10" t="s">
        <v>884</v>
      </c>
      <c r="I281" s="10" t="s">
        <v>885</v>
      </c>
      <c r="J281" s="15">
        <v>3329.97</v>
      </c>
      <c r="K281" s="15">
        <v>3106.5263999999997</v>
      </c>
      <c r="L281" s="15">
        <v>223.44</v>
      </c>
      <c r="M281" s="15">
        <v>192.62</v>
      </c>
      <c r="N281" s="15">
        <v>0</v>
      </c>
      <c r="O281" s="15">
        <v>30.82</v>
      </c>
      <c r="P281" s="2" t="s">
        <v>55</v>
      </c>
      <c r="Q281" s="16"/>
    </row>
    <row r="282" spans="1:17" x14ac:dyDescent="0.3">
      <c r="A282" s="10">
        <v>21733</v>
      </c>
      <c r="B282" s="2" t="s">
        <v>3633</v>
      </c>
      <c r="C282" s="13">
        <v>5648</v>
      </c>
      <c r="D282" s="2" t="s">
        <v>886</v>
      </c>
      <c r="E282" s="14">
        <v>45044</v>
      </c>
      <c r="F282" s="10" t="s">
        <v>887</v>
      </c>
      <c r="G282" s="25">
        <v>45054</v>
      </c>
      <c r="H282" s="10" t="s">
        <v>888</v>
      </c>
      <c r="I282" s="10" t="s">
        <v>889</v>
      </c>
      <c r="J282" s="15">
        <v>846341.37</v>
      </c>
      <c r="K282" s="15">
        <v>846117.804</v>
      </c>
      <c r="L282" s="15">
        <v>223.57</v>
      </c>
      <c r="M282" s="15">
        <v>192.73</v>
      </c>
      <c r="N282" s="15">
        <v>0</v>
      </c>
      <c r="O282" s="15">
        <v>30.84</v>
      </c>
      <c r="P282" s="2" t="s">
        <v>55</v>
      </c>
      <c r="Q282" s="16"/>
    </row>
    <row r="283" spans="1:17" x14ac:dyDescent="0.3">
      <c r="A283" s="10">
        <v>21733</v>
      </c>
      <c r="B283" s="2" t="s">
        <v>3634</v>
      </c>
      <c r="C283" s="13">
        <v>5681</v>
      </c>
      <c r="D283" s="2" t="s">
        <v>44</v>
      </c>
      <c r="E283" s="14">
        <v>44949</v>
      </c>
      <c r="F283" s="10" t="s">
        <v>890</v>
      </c>
      <c r="G283" s="25">
        <v>44954</v>
      </c>
      <c r="H283" s="10" t="s">
        <v>891</v>
      </c>
      <c r="I283" s="10" t="s">
        <v>892</v>
      </c>
      <c r="J283" s="15">
        <v>489778.1</v>
      </c>
      <c r="K283" s="15">
        <v>489554.18288000004</v>
      </c>
      <c r="L283" s="15">
        <v>223.92</v>
      </c>
      <c r="M283" s="15">
        <v>193.03</v>
      </c>
      <c r="N283" s="15">
        <v>0</v>
      </c>
      <c r="O283" s="15">
        <v>30.89</v>
      </c>
      <c r="P283" s="2" t="s">
        <v>55</v>
      </c>
      <c r="Q283" s="16"/>
    </row>
    <row r="284" spans="1:17" x14ac:dyDescent="0.3">
      <c r="A284" s="10">
        <v>21733</v>
      </c>
      <c r="B284" s="2" t="s">
        <v>3635</v>
      </c>
      <c r="C284" s="13">
        <v>5548</v>
      </c>
      <c r="D284" s="2" t="s">
        <v>44</v>
      </c>
      <c r="E284" s="14">
        <v>45420</v>
      </c>
      <c r="F284" s="10" t="s">
        <v>893</v>
      </c>
      <c r="G284" s="25">
        <v>45437</v>
      </c>
      <c r="H284" s="10" t="s">
        <v>894</v>
      </c>
      <c r="I284" s="10" t="s">
        <v>895</v>
      </c>
      <c r="J284" s="15">
        <v>2399882.7400000002</v>
      </c>
      <c r="K284" s="15">
        <v>2399658.78688</v>
      </c>
      <c r="L284" s="15">
        <v>223.95</v>
      </c>
      <c r="M284" s="15">
        <v>193.06</v>
      </c>
      <c r="N284" s="15">
        <v>0</v>
      </c>
      <c r="O284" s="15">
        <v>30.89</v>
      </c>
      <c r="P284" s="2" t="s">
        <v>55</v>
      </c>
      <c r="Q284" s="16"/>
    </row>
    <row r="285" spans="1:17" x14ac:dyDescent="0.3">
      <c r="A285" s="10">
        <v>21733</v>
      </c>
      <c r="B285" s="2" t="s">
        <v>3636</v>
      </c>
      <c r="C285" s="13">
        <v>5557</v>
      </c>
      <c r="D285" s="2" t="s">
        <v>44</v>
      </c>
      <c r="E285" s="14">
        <v>44627</v>
      </c>
      <c r="F285" s="10" t="s">
        <v>896</v>
      </c>
      <c r="G285" s="25">
        <v>44631</v>
      </c>
      <c r="H285" s="10" t="s">
        <v>897</v>
      </c>
      <c r="I285" s="10" t="s">
        <v>898</v>
      </c>
      <c r="J285" s="15">
        <v>73359.77</v>
      </c>
      <c r="K285" s="15">
        <v>73135.589519999994</v>
      </c>
      <c r="L285" s="15">
        <v>224.18</v>
      </c>
      <c r="M285" s="15">
        <v>193.26</v>
      </c>
      <c r="N285" s="15">
        <v>0</v>
      </c>
      <c r="O285" s="15">
        <v>30.92</v>
      </c>
      <c r="P285" s="2" t="s">
        <v>55</v>
      </c>
      <c r="Q285" s="16"/>
    </row>
    <row r="286" spans="1:17" x14ac:dyDescent="0.3">
      <c r="A286" s="10">
        <v>21733</v>
      </c>
      <c r="B286" s="2" t="s">
        <v>3637</v>
      </c>
      <c r="C286" s="13">
        <v>5557</v>
      </c>
      <c r="D286" s="2" t="s">
        <v>44</v>
      </c>
      <c r="E286" s="14">
        <v>44956</v>
      </c>
      <c r="F286" s="10" t="s">
        <v>899</v>
      </c>
      <c r="G286" s="25">
        <v>44961</v>
      </c>
      <c r="H286" s="10" t="s">
        <v>900</v>
      </c>
      <c r="I286" s="10" t="s">
        <v>901</v>
      </c>
      <c r="J286" s="15">
        <v>1255022.06</v>
      </c>
      <c r="K286" s="15">
        <v>1254795.28816</v>
      </c>
      <c r="L286" s="15">
        <v>226.77</v>
      </c>
      <c r="M286" s="15">
        <v>195.49</v>
      </c>
      <c r="N286" s="15">
        <v>0</v>
      </c>
      <c r="O286" s="15">
        <v>31.28</v>
      </c>
      <c r="P286" s="2" t="s">
        <v>55</v>
      </c>
      <c r="Q286" s="16"/>
    </row>
    <row r="287" spans="1:17" x14ac:dyDescent="0.3">
      <c r="A287" s="10">
        <v>21733</v>
      </c>
      <c r="B287" s="2" t="s">
        <v>3638</v>
      </c>
      <c r="C287" s="13">
        <v>5548</v>
      </c>
      <c r="D287" s="2" t="s">
        <v>44</v>
      </c>
      <c r="E287" s="14">
        <v>44844</v>
      </c>
      <c r="F287" s="10" t="s">
        <v>902</v>
      </c>
      <c r="G287" s="25">
        <v>44849</v>
      </c>
      <c r="H287" s="10" t="s">
        <v>903</v>
      </c>
      <c r="I287" s="10" t="s">
        <v>904</v>
      </c>
      <c r="J287" s="15">
        <v>1188442.57</v>
      </c>
      <c r="K287" s="15">
        <v>1188215.1579200001</v>
      </c>
      <c r="L287" s="15">
        <v>227.41</v>
      </c>
      <c r="M287" s="15">
        <v>196.04</v>
      </c>
      <c r="N287" s="15">
        <v>0</v>
      </c>
      <c r="O287" s="15">
        <v>31.37</v>
      </c>
      <c r="P287" s="2" t="s">
        <v>55</v>
      </c>
      <c r="Q287" s="16"/>
    </row>
    <row r="288" spans="1:17" x14ac:dyDescent="0.3">
      <c r="A288" s="10">
        <v>21733</v>
      </c>
      <c r="B288" s="2" t="s">
        <v>3639</v>
      </c>
      <c r="C288" s="13">
        <v>5557</v>
      </c>
      <c r="D288" s="2" t="s">
        <v>44</v>
      </c>
      <c r="E288" s="14">
        <v>44620</v>
      </c>
      <c r="F288" s="10" t="s">
        <v>905</v>
      </c>
      <c r="G288" s="25">
        <v>44625</v>
      </c>
      <c r="H288" s="10" t="s">
        <v>906</v>
      </c>
      <c r="I288" s="10" t="s">
        <v>907</v>
      </c>
      <c r="J288" s="15">
        <v>386943.64</v>
      </c>
      <c r="K288" s="15">
        <v>386715.77256000001</v>
      </c>
      <c r="L288" s="15">
        <v>227.87</v>
      </c>
      <c r="M288" s="15">
        <v>196.44</v>
      </c>
      <c r="N288" s="15">
        <v>0</v>
      </c>
      <c r="O288" s="15">
        <v>31.43</v>
      </c>
      <c r="P288" s="2" t="s">
        <v>55</v>
      </c>
      <c r="Q288" s="16"/>
    </row>
    <row r="289" spans="1:17" x14ac:dyDescent="0.3">
      <c r="A289" s="10">
        <v>21733</v>
      </c>
      <c r="B289" s="2" t="s">
        <v>3640</v>
      </c>
      <c r="C289" s="13">
        <v>5537</v>
      </c>
      <c r="D289" s="2" t="s">
        <v>44</v>
      </c>
      <c r="E289" s="14">
        <v>44298</v>
      </c>
      <c r="F289" s="10" t="s">
        <v>908</v>
      </c>
      <c r="G289" s="25">
        <v>44302</v>
      </c>
      <c r="H289" s="10" t="s">
        <v>909</v>
      </c>
      <c r="I289" s="10" t="s">
        <v>910</v>
      </c>
      <c r="J289" s="15">
        <v>69371.360000000001</v>
      </c>
      <c r="K289" s="15">
        <v>69143.341639999984</v>
      </c>
      <c r="L289" s="15">
        <v>228.02</v>
      </c>
      <c r="M289" s="15">
        <v>196.57</v>
      </c>
      <c r="N289" s="15">
        <v>0</v>
      </c>
      <c r="O289" s="15">
        <v>31.45</v>
      </c>
      <c r="P289" s="2" t="s">
        <v>55</v>
      </c>
      <c r="Q289" s="16"/>
    </row>
    <row r="290" spans="1:17" x14ac:dyDescent="0.3">
      <c r="A290" s="10">
        <v>21733</v>
      </c>
      <c r="B290" s="2" t="s">
        <v>3641</v>
      </c>
      <c r="C290" s="13">
        <v>5548</v>
      </c>
      <c r="D290" s="2" t="s">
        <v>44</v>
      </c>
      <c r="E290" s="14">
        <v>44999</v>
      </c>
      <c r="F290" s="10" t="s">
        <v>911</v>
      </c>
      <c r="G290" s="25">
        <v>45010</v>
      </c>
      <c r="H290" s="10" t="s">
        <v>912</v>
      </c>
      <c r="I290" s="10" t="s">
        <v>913</v>
      </c>
      <c r="J290" s="15">
        <v>1208056.0900000001</v>
      </c>
      <c r="K290" s="15">
        <v>1207828.0644000003</v>
      </c>
      <c r="L290" s="15">
        <v>228.03</v>
      </c>
      <c r="M290" s="15">
        <v>196.57</v>
      </c>
      <c r="N290" s="15">
        <v>0</v>
      </c>
      <c r="O290" s="15">
        <v>31.45</v>
      </c>
      <c r="P290" s="2" t="s">
        <v>55</v>
      </c>
      <c r="Q290" s="16"/>
    </row>
    <row r="291" spans="1:17" x14ac:dyDescent="0.3">
      <c r="A291" s="10">
        <v>21733</v>
      </c>
      <c r="B291" s="2" t="s">
        <v>3642</v>
      </c>
      <c r="C291" s="13">
        <v>5548</v>
      </c>
      <c r="D291" s="2" t="s">
        <v>44</v>
      </c>
      <c r="E291" s="14">
        <v>44627</v>
      </c>
      <c r="F291" s="10" t="s">
        <v>460</v>
      </c>
      <c r="G291" s="25">
        <v>44631</v>
      </c>
      <c r="H291" s="10" t="s">
        <v>914</v>
      </c>
      <c r="I291" s="10" t="s">
        <v>915</v>
      </c>
      <c r="J291" s="15">
        <v>838545.7</v>
      </c>
      <c r="K291" s="15">
        <v>838316.62767999992</v>
      </c>
      <c r="L291" s="15">
        <v>229.07</v>
      </c>
      <c r="M291" s="15">
        <v>197.48</v>
      </c>
      <c r="N291" s="15">
        <v>0</v>
      </c>
      <c r="O291" s="15">
        <v>31.6</v>
      </c>
      <c r="P291" s="2" t="s">
        <v>55</v>
      </c>
      <c r="Q291" s="16"/>
    </row>
    <row r="292" spans="1:17" x14ac:dyDescent="0.3">
      <c r="A292" s="10">
        <v>21733</v>
      </c>
      <c r="B292" s="2" t="s">
        <v>3643</v>
      </c>
      <c r="C292" s="13">
        <v>5548</v>
      </c>
      <c r="D292" s="2" t="s">
        <v>44</v>
      </c>
      <c r="E292" s="14">
        <v>44883</v>
      </c>
      <c r="F292" s="10" t="s">
        <v>916</v>
      </c>
      <c r="G292" s="25">
        <v>44893</v>
      </c>
      <c r="H292" s="10" t="s">
        <v>917</v>
      </c>
      <c r="I292" s="10" t="s">
        <v>918</v>
      </c>
      <c r="J292" s="15">
        <v>1135959.3600000001</v>
      </c>
      <c r="K292" s="15">
        <v>1135730.0160000001</v>
      </c>
      <c r="L292" s="15">
        <v>229.34</v>
      </c>
      <c r="M292" s="15">
        <v>197.71</v>
      </c>
      <c r="N292" s="15">
        <v>0</v>
      </c>
      <c r="O292" s="15">
        <v>31.63</v>
      </c>
      <c r="P292" s="2" t="s">
        <v>55</v>
      </c>
      <c r="Q292" s="16"/>
    </row>
    <row r="293" spans="1:17" x14ac:dyDescent="0.3">
      <c r="A293" s="10">
        <v>21733</v>
      </c>
      <c r="B293" s="2" t="s">
        <v>3644</v>
      </c>
      <c r="C293" s="13">
        <v>5549</v>
      </c>
      <c r="D293" s="2" t="s">
        <v>44</v>
      </c>
      <c r="E293" s="14">
        <v>44669</v>
      </c>
      <c r="F293" s="10" t="s">
        <v>919</v>
      </c>
      <c r="G293" s="25">
        <v>44675</v>
      </c>
      <c r="H293" s="10" t="s">
        <v>920</v>
      </c>
      <c r="I293" s="10" t="s">
        <v>921</v>
      </c>
      <c r="J293" s="15">
        <v>1420234.09</v>
      </c>
      <c r="K293" s="15">
        <v>1420003.9056800001</v>
      </c>
      <c r="L293" s="15">
        <v>230.18</v>
      </c>
      <c r="M293" s="15">
        <v>198.43</v>
      </c>
      <c r="N293" s="15">
        <v>0</v>
      </c>
      <c r="O293" s="15">
        <v>31.75</v>
      </c>
      <c r="P293" s="2" t="s">
        <v>55</v>
      </c>
      <c r="Q293" s="16"/>
    </row>
    <row r="294" spans="1:17" x14ac:dyDescent="0.3">
      <c r="A294" s="10">
        <v>21733</v>
      </c>
      <c r="B294" s="2" t="s">
        <v>3645</v>
      </c>
      <c r="C294" s="13">
        <v>5548</v>
      </c>
      <c r="D294" s="2" t="s">
        <v>44</v>
      </c>
      <c r="E294" s="14">
        <v>44991</v>
      </c>
      <c r="F294" s="10" t="s">
        <v>604</v>
      </c>
      <c r="G294" s="25">
        <v>44996</v>
      </c>
      <c r="H294" s="10" t="s">
        <v>922</v>
      </c>
      <c r="I294" s="10" t="s">
        <v>923</v>
      </c>
      <c r="J294" s="15">
        <v>1194210.73</v>
      </c>
      <c r="K294" s="15">
        <v>1193980.2535199998</v>
      </c>
      <c r="L294" s="15">
        <v>230.48</v>
      </c>
      <c r="M294" s="15">
        <v>198.69</v>
      </c>
      <c r="N294" s="15">
        <v>0</v>
      </c>
      <c r="O294" s="15">
        <v>31.79</v>
      </c>
      <c r="P294" s="2" t="s">
        <v>55</v>
      </c>
      <c r="Q294" s="16"/>
    </row>
    <row r="295" spans="1:17" x14ac:dyDescent="0.3">
      <c r="A295" s="10">
        <v>21733</v>
      </c>
      <c r="B295" s="2" t="s">
        <v>3646</v>
      </c>
      <c r="C295" s="13">
        <v>5548</v>
      </c>
      <c r="D295" s="2" t="s">
        <v>44</v>
      </c>
      <c r="E295" s="14">
        <v>44333</v>
      </c>
      <c r="F295" s="10" t="s">
        <v>924</v>
      </c>
      <c r="G295" s="25">
        <v>44338</v>
      </c>
      <c r="H295" s="10" t="s">
        <v>925</v>
      </c>
      <c r="I295" s="10" t="s">
        <v>926</v>
      </c>
      <c r="J295" s="15">
        <v>37149.07</v>
      </c>
      <c r="K295" s="15">
        <v>36917.231999999996</v>
      </c>
      <c r="L295" s="15">
        <v>231.84</v>
      </c>
      <c r="M295" s="15">
        <v>199.86</v>
      </c>
      <c r="N295" s="15">
        <v>0</v>
      </c>
      <c r="O295" s="15">
        <v>31.98</v>
      </c>
      <c r="P295" s="2" t="s">
        <v>55</v>
      </c>
      <c r="Q295" s="16"/>
    </row>
    <row r="296" spans="1:17" x14ac:dyDescent="0.3">
      <c r="A296" s="10">
        <v>21733</v>
      </c>
      <c r="B296" s="2" t="s">
        <v>3647</v>
      </c>
      <c r="C296" s="13">
        <v>5548</v>
      </c>
      <c r="D296" s="2" t="s">
        <v>44</v>
      </c>
      <c r="E296" s="14">
        <v>44893</v>
      </c>
      <c r="F296" s="10" t="s">
        <v>655</v>
      </c>
      <c r="G296" s="25">
        <v>44897</v>
      </c>
      <c r="H296" s="10" t="s">
        <v>927</v>
      </c>
      <c r="I296" s="10" t="s">
        <v>928</v>
      </c>
      <c r="J296" s="15">
        <v>633187.59</v>
      </c>
      <c r="K296" s="15">
        <v>632955.67156000016</v>
      </c>
      <c r="L296" s="15">
        <v>231.92</v>
      </c>
      <c r="M296" s="15">
        <v>199.93</v>
      </c>
      <c r="N296" s="15">
        <v>0</v>
      </c>
      <c r="O296" s="15">
        <v>31.99</v>
      </c>
      <c r="P296" s="2" t="s">
        <v>55</v>
      </c>
      <c r="Q296" s="16"/>
    </row>
    <row r="297" spans="1:17" x14ac:dyDescent="0.3">
      <c r="A297" s="10">
        <v>21733</v>
      </c>
      <c r="B297" s="2" t="s">
        <v>3648</v>
      </c>
      <c r="C297" s="13">
        <v>5548</v>
      </c>
      <c r="D297" s="2" t="s">
        <v>44</v>
      </c>
      <c r="E297" s="14">
        <v>44617</v>
      </c>
      <c r="F297" s="10" t="s">
        <v>929</v>
      </c>
      <c r="G297" s="25">
        <v>44631</v>
      </c>
      <c r="H297" s="10" t="s">
        <v>930</v>
      </c>
      <c r="I297" s="10" t="s">
        <v>931</v>
      </c>
      <c r="J297" s="15">
        <v>333005.53000000003</v>
      </c>
      <c r="K297" s="15">
        <v>332772.82848000003</v>
      </c>
      <c r="L297" s="15">
        <v>232.7</v>
      </c>
      <c r="M297" s="15">
        <v>200.6</v>
      </c>
      <c r="N297" s="15">
        <v>0</v>
      </c>
      <c r="O297" s="15">
        <v>32.1</v>
      </c>
      <c r="P297" s="2" t="s">
        <v>55</v>
      </c>
      <c r="Q297" s="16"/>
    </row>
    <row r="298" spans="1:17" x14ac:dyDescent="0.3">
      <c r="A298" s="10">
        <v>21733</v>
      </c>
      <c r="B298" s="2" t="s">
        <v>3649</v>
      </c>
      <c r="C298" s="13">
        <v>5548</v>
      </c>
      <c r="D298" s="2" t="s">
        <v>44</v>
      </c>
      <c r="E298" s="14">
        <v>44452</v>
      </c>
      <c r="F298" s="10" t="s">
        <v>932</v>
      </c>
      <c r="G298" s="25">
        <v>44456</v>
      </c>
      <c r="H298" s="10" t="s">
        <v>933</v>
      </c>
      <c r="I298" s="10" t="s">
        <v>934</v>
      </c>
      <c r="J298" s="15">
        <v>23738.28</v>
      </c>
      <c r="K298" s="15">
        <v>23505.1728</v>
      </c>
      <c r="L298" s="15">
        <v>233.11</v>
      </c>
      <c r="M298" s="15">
        <v>200.95</v>
      </c>
      <c r="N298" s="15">
        <v>0</v>
      </c>
      <c r="O298" s="15">
        <v>32.15</v>
      </c>
      <c r="P298" s="2" t="s">
        <v>55</v>
      </c>
      <c r="Q298" s="16"/>
    </row>
    <row r="299" spans="1:17" x14ac:dyDescent="0.3">
      <c r="A299" s="10">
        <v>21733</v>
      </c>
      <c r="B299" s="2" t="s">
        <v>3650</v>
      </c>
      <c r="C299" s="13">
        <v>5548</v>
      </c>
      <c r="D299" s="2" t="s">
        <v>44</v>
      </c>
      <c r="E299" s="14">
        <v>44459</v>
      </c>
      <c r="F299" s="10" t="s">
        <v>935</v>
      </c>
      <c r="G299" s="25">
        <v>44463</v>
      </c>
      <c r="H299" s="10" t="s">
        <v>936</v>
      </c>
      <c r="I299" s="10" t="s">
        <v>937</v>
      </c>
      <c r="J299" s="15">
        <v>23791.69</v>
      </c>
      <c r="K299" s="15">
        <v>23557.094400000002</v>
      </c>
      <c r="L299" s="15">
        <v>234.6</v>
      </c>
      <c r="M299" s="15">
        <v>202.24</v>
      </c>
      <c r="N299" s="15">
        <v>0</v>
      </c>
      <c r="O299" s="15">
        <v>32.36</v>
      </c>
      <c r="P299" s="2" t="s">
        <v>55</v>
      </c>
      <c r="Q299" s="16"/>
    </row>
    <row r="300" spans="1:17" x14ac:dyDescent="0.3">
      <c r="A300" s="10">
        <v>21733</v>
      </c>
      <c r="B300" s="2" t="s">
        <v>3651</v>
      </c>
      <c r="C300" s="13">
        <v>5549</v>
      </c>
      <c r="D300" s="2" t="s">
        <v>44</v>
      </c>
      <c r="E300" s="14">
        <v>44466</v>
      </c>
      <c r="F300" s="10" t="s">
        <v>938</v>
      </c>
      <c r="G300" s="25">
        <v>44470</v>
      </c>
      <c r="H300" s="10" t="s">
        <v>939</v>
      </c>
      <c r="I300" s="10" t="s">
        <v>940</v>
      </c>
      <c r="J300" s="15">
        <v>203871.87</v>
      </c>
      <c r="K300" s="15">
        <v>203635.85399999999</v>
      </c>
      <c r="L300" s="15">
        <v>236.02</v>
      </c>
      <c r="M300" s="15">
        <v>203.46</v>
      </c>
      <c r="N300" s="15">
        <v>0</v>
      </c>
      <c r="O300" s="15">
        <v>32.549999999999997</v>
      </c>
      <c r="P300" s="2" t="s">
        <v>55</v>
      </c>
      <c r="Q300" s="16"/>
    </row>
    <row r="301" spans="1:17" x14ac:dyDescent="0.3">
      <c r="A301" s="10">
        <v>21733</v>
      </c>
      <c r="B301" s="2" t="s">
        <v>3652</v>
      </c>
      <c r="C301" s="13">
        <v>5681</v>
      </c>
      <c r="D301" s="2" t="s">
        <v>44</v>
      </c>
      <c r="E301" s="14">
        <v>44865</v>
      </c>
      <c r="F301" s="10" t="s">
        <v>941</v>
      </c>
      <c r="G301" s="25">
        <v>44872</v>
      </c>
      <c r="H301" s="10" t="s">
        <v>942</v>
      </c>
      <c r="I301" s="10" t="s">
        <v>943</v>
      </c>
      <c r="J301" s="15">
        <v>472382.7</v>
      </c>
      <c r="K301" s="15">
        <v>472146.48743999994</v>
      </c>
      <c r="L301" s="15">
        <v>236.21</v>
      </c>
      <c r="M301" s="15">
        <v>203.63</v>
      </c>
      <c r="N301" s="15">
        <v>0</v>
      </c>
      <c r="O301" s="15">
        <v>32.58</v>
      </c>
      <c r="P301" s="2" t="s">
        <v>55</v>
      </c>
      <c r="Q301" s="16"/>
    </row>
    <row r="302" spans="1:17" x14ac:dyDescent="0.3">
      <c r="A302" s="10">
        <v>21733</v>
      </c>
      <c r="B302" s="2" t="s">
        <v>3653</v>
      </c>
      <c r="C302" s="13">
        <v>5549</v>
      </c>
      <c r="D302" s="2" t="s">
        <v>44</v>
      </c>
      <c r="E302" s="14">
        <v>45019</v>
      </c>
      <c r="F302" s="10" t="s">
        <v>944</v>
      </c>
      <c r="G302" s="25">
        <v>45029</v>
      </c>
      <c r="H302" s="10" t="s">
        <v>945</v>
      </c>
      <c r="I302" s="10" t="s">
        <v>946</v>
      </c>
      <c r="J302" s="15">
        <v>992115.82</v>
      </c>
      <c r="K302" s="15">
        <v>991879.01340000029</v>
      </c>
      <c r="L302" s="15">
        <v>236.81</v>
      </c>
      <c r="M302" s="15">
        <v>204.14</v>
      </c>
      <c r="N302" s="15">
        <v>0</v>
      </c>
      <c r="O302" s="15">
        <v>32.659999999999997</v>
      </c>
      <c r="P302" s="2" t="s">
        <v>55</v>
      </c>
      <c r="Q302" s="16"/>
    </row>
    <row r="303" spans="1:17" x14ac:dyDescent="0.3">
      <c r="A303" s="10">
        <v>21733</v>
      </c>
      <c r="B303" s="2" t="s">
        <v>3654</v>
      </c>
      <c r="C303" s="13">
        <v>5681</v>
      </c>
      <c r="D303" s="2" t="s">
        <v>44</v>
      </c>
      <c r="E303" s="14">
        <v>44501</v>
      </c>
      <c r="F303" s="10" t="s">
        <v>947</v>
      </c>
      <c r="G303" s="25">
        <v>44506</v>
      </c>
      <c r="H303" s="10" t="s">
        <v>948</v>
      </c>
      <c r="I303" s="10" t="s">
        <v>949</v>
      </c>
      <c r="J303" s="15">
        <v>4470.83</v>
      </c>
      <c r="K303" s="15">
        <v>4233.9071999999996</v>
      </c>
      <c r="L303" s="15">
        <v>236.92</v>
      </c>
      <c r="M303" s="15">
        <v>204.24</v>
      </c>
      <c r="N303" s="15">
        <v>0</v>
      </c>
      <c r="O303" s="15">
        <v>32.68</v>
      </c>
      <c r="P303" s="2" t="s">
        <v>55</v>
      </c>
      <c r="Q303" s="16"/>
    </row>
    <row r="304" spans="1:17" x14ac:dyDescent="0.3">
      <c r="A304" s="10">
        <v>21733</v>
      </c>
      <c r="B304" s="2" t="s">
        <v>3655</v>
      </c>
      <c r="C304" s="13">
        <v>5557</v>
      </c>
      <c r="D304" s="2" t="s">
        <v>44</v>
      </c>
      <c r="E304" s="14">
        <v>44981</v>
      </c>
      <c r="F304" s="10" t="s">
        <v>950</v>
      </c>
      <c r="G304" s="25">
        <v>44988</v>
      </c>
      <c r="H304" s="10" t="s">
        <v>951</v>
      </c>
      <c r="I304" s="10" t="s">
        <v>952</v>
      </c>
      <c r="J304" s="15">
        <v>556110.78</v>
      </c>
      <c r="K304" s="15">
        <v>555871.01399999997</v>
      </c>
      <c r="L304" s="15">
        <v>239.77</v>
      </c>
      <c r="M304" s="15">
        <v>206.69</v>
      </c>
      <c r="N304" s="15">
        <v>0</v>
      </c>
      <c r="O304" s="15">
        <v>33.07</v>
      </c>
      <c r="P304" s="2" t="s">
        <v>55</v>
      </c>
      <c r="Q304" s="16"/>
    </row>
    <row r="305" spans="1:17" x14ac:dyDescent="0.3">
      <c r="A305" s="10">
        <v>21733</v>
      </c>
      <c r="B305" s="2" t="s">
        <v>3656</v>
      </c>
      <c r="C305" s="13">
        <v>5548</v>
      </c>
      <c r="D305" s="2" t="s">
        <v>44</v>
      </c>
      <c r="E305" s="14">
        <v>44501</v>
      </c>
      <c r="F305" s="10" t="s">
        <v>953</v>
      </c>
      <c r="G305" s="25">
        <v>44505</v>
      </c>
      <c r="H305" s="10" t="s">
        <v>954</v>
      </c>
      <c r="I305" s="10" t="s">
        <v>955</v>
      </c>
      <c r="J305" s="15">
        <v>7415.18</v>
      </c>
      <c r="K305" s="15">
        <v>7174.4375999999993</v>
      </c>
      <c r="L305" s="15">
        <v>240.74</v>
      </c>
      <c r="M305" s="15">
        <v>207.54</v>
      </c>
      <c r="N305" s="15">
        <v>0</v>
      </c>
      <c r="O305" s="15">
        <v>33.21</v>
      </c>
      <c r="P305" s="2" t="s">
        <v>55</v>
      </c>
      <c r="Q305" s="16"/>
    </row>
    <row r="306" spans="1:17" x14ac:dyDescent="0.3">
      <c r="A306" s="10">
        <v>21733</v>
      </c>
      <c r="B306" s="2" t="s">
        <v>3657</v>
      </c>
      <c r="C306" s="13">
        <v>5537</v>
      </c>
      <c r="D306" s="2" t="s">
        <v>44</v>
      </c>
      <c r="E306" s="14">
        <v>44326</v>
      </c>
      <c r="F306" s="10" t="s">
        <v>956</v>
      </c>
      <c r="G306" s="25">
        <v>44330</v>
      </c>
      <c r="H306" s="10" t="s">
        <v>957</v>
      </c>
      <c r="I306" s="10" t="s">
        <v>958</v>
      </c>
      <c r="J306" s="15">
        <v>19040.599999999999</v>
      </c>
      <c r="K306" s="15">
        <v>18796.742079999996</v>
      </c>
      <c r="L306" s="15">
        <v>243.86</v>
      </c>
      <c r="M306" s="15">
        <v>210.22</v>
      </c>
      <c r="N306" s="15">
        <v>0</v>
      </c>
      <c r="O306" s="15">
        <v>33.64</v>
      </c>
      <c r="P306" s="2" t="s">
        <v>55</v>
      </c>
      <c r="Q306" s="16"/>
    </row>
    <row r="307" spans="1:17" x14ac:dyDescent="0.3">
      <c r="A307" s="10">
        <v>21733</v>
      </c>
      <c r="B307" s="2" t="s">
        <v>3658</v>
      </c>
      <c r="C307" s="13">
        <v>5556</v>
      </c>
      <c r="D307" s="2" t="s">
        <v>44</v>
      </c>
      <c r="E307" s="14">
        <v>44335</v>
      </c>
      <c r="F307" s="10" t="s">
        <v>959</v>
      </c>
      <c r="G307" s="25">
        <v>44341</v>
      </c>
      <c r="H307" s="10" t="s">
        <v>960</v>
      </c>
      <c r="I307" s="10" t="s">
        <v>961</v>
      </c>
      <c r="J307" s="15">
        <v>40080.370000000003</v>
      </c>
      <c r="K307" s="15">
        <v>39835.420799999993</v>
      </c>
      <c r="L307" s="15">
        <v>244.95</v>
      </c>
      <c r="M307" s="15">
        <v>211.16</v>
      </c>
      <c r="N307" s="15">
        <v>0</v>
      </c>
      <c r="O307" s="15">
        <v>33.79</v>
      </c>
      <c r="P307" s="2" t="s">
        <v>55</v>
      </c>
      <c r="Q307" s="16"/>
    </row>
    <row r="308" spans="1:17" x14ac:dyDescent="0.3">
      <c r="A308" s="10">
        <v>21733</v>
      </c>
      <c r="B308" s="2" t="s">
        <v>3659</v>
      </c>
      <c r="C308" s="13">
        <v>5549</v>
      </c>
      <c r="D308" s="2" t="s">
        <v>44</v>
      </c>
      <c r="E308" s="14">
        <v>44690</v>
      </c>
      <c r="F308" s="10" t="s">
        <v>962</v>
      </c>
      <c r="G308" s="25">
        <v>44694</v>
      </c>
      <c r="H308" s="10" t="s">
        <v>963</v>
      </c>
      <c r="I308" s="10" t="s">
        <v>964</v>
      </c>
      <c r="J308" s="15">
        <v>993084.36</v>
      </c>
      <c r="K308" s="15">
        <v>992838.3647200003</v>
      </c>
      <c r="L308" s="15">
        <v>246</v>
      </c>
      <c r="M308" s="15">
        <v>212.06</v>
      </c>
      <c r="N308" s="15">
        <v>0</v>
      </c>
      <c r="O308" s="15">
        <v>33.93</v>
      </c>
      <c r="P308" s="2" t="s">
        <v>55</v>
      </c>
      <c r="Q308" s="16"/>
    </row>
    <row r="309" spans="1:17" x14ac:dyDescent="0.3">
      <c r="A309" s="10">
        <v>21733</v>
      </c>
      <c r="B309" s="2" t="s">
        <v>3660</v>
      </c>
      <c r="C309" s="13">
        <v>5548</v>
      </c>
      <c r="D309" s="2" t="s">
        <v>44</v>
      </c>
      <c r="E309" s="14">
        <v>44818</v>
      </c>
      <c r="F309" s="10" t="s">
        <v>965</v>
      </c>
      <c r="G309" s="25">
        <v>44830</v>
      </c>
      <c r="H309" s="10" t="s">
        <v>966</v>
      </c>
      <c r="I309" s="10" t="s">
        <v>967</v>
      </c>
      <c r="J309" s="15">
        <v>1201719.03</v>
      </c>
      <c r="K309" s="15">
        <v>1201471.5079999999</v>
      </c>
      <c r="L309" s="15">
        <v>247.52</v>
      </c>
      <c r="M309" s="15">
        <v>213.38</v>
      </c>
      <c r="N309" s="15">
        <v>0</v>
      </c>
      <c r="O309" s="15">
        <v>34.14</v>
      </c>
      <c r="P309" s="2" t="s">
        <v>55</v>
      </c>
      <c r="Q309" s="16"/>
    </row>
    <row r="310" spans="1:17" x14ac:dyDescent="0.3">
      <c r="A310" s="10">
        <v>21733</v>
      </c>
      <c r="B310" s="2" t="s">
        <v>3661</v>
      </c>
      <c r="C310" s="13">
        <v>5556</v>
      </c>
      <c r="D310" s="2" t="s">
        <v>44</v>
      </c>
      <c r="E310" s="14">
        <v>44342</v>
      </c>
      <c r="F310" s="10" t="s">
        <v>968</v>
      </c>
      <c r="G310" s="25">
        <v>44349</v>
      </c>
      <c r="H310" s="10" t="s">
        <v>969</v>
      </c>
      <c r="I310" s="10" t="s">
        <v>970</v>
      </c>
      <c r="J310" s="15">
        <v>224289.47</v>
      </c>
      <c r="K310" s="15">
        <v>224040.17163999999</v>
      </c>
      <c r="L310" s="15">
        <v>249.3</v>
      </c>
      <c r="M310" s="15">
        <v>214.91</v>
      </c>
      <c r="N310" s="15">
        <v>0</v>
      </c>
      <c r="O310" s="15">
        <v>34.39</v>
      </c>
      <c r="P310" s="2" t="s">
        <v>55</v>
      </c>
      <c r="Q310" s="16"/>
    </row>
    <row r="311" spans="1:17" x14ac:dyDescent="0.3">
      <c r="A311" s="10">
        <v>21733</v>
      </c>
      <c r="B311" s="2" t="s">
        <v>3662</v>
      </c>
      <c r="C311" s="13">
        <v>5537</v>
      </c>
      <c r="D311" s="2" t="s">
        <v>44</v>
      </c>
      <c r="E311" s="14">
        <v>44406</v>
      </c>
      <c r="F311" s="10" t="s">
        <v>971</v>
      </c>
      <c r="G311" s="25">
        <v>44414</v>
      </c>
      <c r="H311" s="10" t="s">
        <v>972</v>
      </c>
      <c r="I311" s="10" t="s">
        <v>973</v>
      </c>
      <c r="J311" s="15">
        <v>20255.46</v>
      </c>
      <c r="K311" s="15">
        <v>20004.153600000001</v>
      </c>
      <c r="L311" s="15">
        <v>251.31</v>
      </c>
      <c r="M311" s="15">
        <v>216.64</v>
      </c>
      <c r="N311" s="15">
        <v>0</v>
      </c>
      <c r="O311" s="15">
        <v>34.659999999999997</v>
      </c>
      <c r="P311" s="2" t="s">
        <v>55</v>
      </c>
      <c r="Q311" s="16"/>
    </row>
    <row r="312" spans="1:17" x14ac:dyDescent="0.3">
      <c r="A312" s="10">
        <v>21733</v>
      </c>
      <c r="B312" s="2" t="s">
        <v>3663</v>
      </c>
      <c r="C312" s="13">
        <v>5548</v>
      </c>
      <c r="D312" s="2" t="s">
        <v>44</v>
      </c>
      <c r="E312" s="14">
        <v>45047</v>
      </c>
      <c r="F312" s="10" t="s">
        <v>974</v>
      </c>
      <c r="G312" s="25">
        <v>45052</v>
      </c>
      <c r="H312" s="10" t="s">
        <v>975</v>
      </c>
      <c r="I312" s="10" t="s">
        <v>976</v>
      </c>
      <c r="J312" s="15">
        <v>929820.11</v>
      </c>
      <c r="K312" s="15">
        <v>929567.82699999993</v>
      </c>
      <c r="L312" s="15">
        <v>252.28</v>
      </c>
      <c r="M312" s="15">
        <v>217.49</v>
      </c>
      <c r="N312" s="15">
        <v>0</v>
      </c>
      <c r="O312" s="15">
        <v>34.799999999999997</v>
      </c>
      <c r="P312" s="2" t="s">
        <v>55</v>
      </c>
      <c r="Q312" s="16"/>
    </row>
    <row r="313" spans="1:17" x14ac:dyDescent="0.3">
      <c r="A313" s="10">
        <v>21733</v>
      </c>
      <c r="B313" s="2" t="s">
        <v>3664</v>
      </c>
      <c r="C313" s="13">
        <v>5548</v>
      </c>
      <c r="D313" s="2" t="s">
        <v>44</v>
      </c>
      <c r="E313" s="14">
        <v>45010</v>
      </c>
      <c r="F313" s="10" t="s">
        <v>977</v>
      </c>
      <c r="G313" s="25">
        <v>45017</v>
      </c>
      <c r="H313" s="10" t="s">
        <v>978</v>
      </c>
      <c r="I313" s="10" t="s">
        <v>979</v>
      </c>
      <c r="J313" s="15">
        <v>806719.8</v>
      </c>
      <c r="K313" s="15">
        <v>806464.66559999995</v>
      </c>
      <c r="L313" s="15">
        <v>255.13</v>
      </c>
      <c r="M313" s="15">
        <v>219.94</v>
      </c>
      <c r="N313" s="15">
        <v>0</v>
      </c>
      <c r="O313" s="15">
        <v>35.19</v>
      </c>
      <c r="P313" s="2" t="s">
        <v>55</v>
      </c>
      <c r="Q313" s="16"/>
    </row>
    <row r="314" spans="1:17" x14ac:dyDescent="0.3">
      <c r="A314" s="10">
        <v>21733</v>
      </c>
      <c r="B314" s="2" t="s">
        <v>3665</v>
      </c>
      <c r="C314" s="13">
        <v>5549</v>
      </c>
      <c r="D314" s="2" t="s">
        <v>44</v>
      </c>
      <c r="E314" s="14">
        <v>44340</v>
      </c>
      <c r="F314" s="10" t="s">
        <v>980</v>
      </c>
      <c r="G314" s="25">
        <v>44350</v>
      </c>
      <c r="H314" s="10" t="s">
        <v>981</v>
      </c>
      <c r="I314" s="10" t="s">
        <v>982</v>
      </c>
      <c r="J314" s="15">
        <v>47885.68</v>
      </c>
      <c r="K314" s="15">
        <v>47629.175440000006</v>
      </c>
      <c r="L314" s="15">
        <v>256.5</v>
      </c>
      <c r="M314" s="15">
        <v>221.12</v>
      </c>
      <c r="N314" s="15">
        <v>0</v>
      </c>
      <c r="O314" s="15">
        <v>35.380000000000003</v>
      </c>
      <c r="P314" s="2" t="s">
        <v>55</v>
      </c>
      <c r="Q314" s="16"/>
    </row>
    <row r="315" spans="1:17" x14ac:dyDescent="0.3">
      <c r="A315" s="10">
        <v>21733</v>
      </c>
      <c r="B315" s="2" t="s">
        <v>3666</v>
      </c>
      <c r="C315" s="13">
        <v>5548</v>
      </c>
      <c r="D315" s="2" t="s">
        <v>44</v>
      </c>
      <c r="E315" s="14">
        <v>45012</v>
      </c>
      <c r="F315" s="10" t="s">
        <v>983</v>
      </c>
      <c r="G315" s="25">
        <v>45018</v>
      </c>
      <c r="H315" s="10" t="s">
        <v>984</v>
      </c>
      <c r="I315" s="10" t="s">
        <v>985</v>
      </c>
      <c r="J315" s="15">
        <v>771269.75</v>
      </c>
      <c r="K315" s="15">
        <v>771009.67391999997</v>
      </c>
      <c r="L315" s="15">
        <v>260.08</v>
      </c>
      <c r="M315" s="15">
        <v>224.2</v>
      </c>
      <c r="N315" s="15">
        <v>0</v>
      </c>
      <c r="O315" s="15">
        <v>35.869999999999997</v>
      </c>
      <c r="P315" s="2" t="s">
        <v>55</v>
      </c>
      <c r="Q315" s="16"/>
    </row>
    <row r="316" spans="1:17" x14ac:dyDescent="0.3">
      <c r="A316" s="10">
        <v>21733</v>
      </c>
      <c r="B316" s="2" t="s">
        <v>3667</v>
      </c>
      <c r="C316" s="13">
        <v>5681</v>
      </c>
      <c r="D316" s="2" t="s">
        <v>44</v>
      </c>
      <c r="E316" s="14">
        <v>44872</v>
      </c>
      <c r="F316" s="10" t="s">
        <v>986</v>
      </c>
      <c r="G316" s="25">
        <v>44880</v>
      </c>
      <c r="H316" s="10" t="s">
        <v>987</v>
      </c>
      <c r="I316" s="10" t="s">
        <v>988</v>
      </c>
      <c r="J316" s="15">
        <v>1059541.6200000001</v>
      </c>
      <c r="K316" s="15">
        <v>1059279.0513600002</v>
      </c>
      <c r="L316" s="15">
        <v>262.57</v>
      </c>
      <c r="M316" s="15">
        <v>226.35</v>
      </c>
      <c r="N316" s="15">
        <v>0</v>
      </c>
      <c r="O316" s="15">
        <v>36.22</v>
      </c>
      <c r="P316" s="2" t="s">
        <v>55</v>
      </c>
      <c r="Q316" s="16"/>
    </row>
    <row r="317" spans="1:17" x14ac:dyDescent="0.3">
      <c r="A317" s="10">
        <v>21733</v>
      </c>
      <c r="B317" s="2" t="s">
        <v>3668</v>
      </c>
      <c r="C317" s="13">
        <v>5548</v>
      </c>
      <c r="D317" s="2" t="s">
        <v>44</v>
      </c>
      <c r="E317" s="14">
        <v>44298</v>
      </c>
      <c r="F317" s="10" t="s">
        <v>989</v>
      </c>
      <c r="G317" s="25">
        <v>44302</v>
      </c>
      <c r="H317" s="10" t="s">
        <v>990</v>
      </c>
      <c r="I317" s="10" t="s">
        <v>991</v>
      </c>
      <c r="J317" s="15">
        <v>35763.4</v>
      </c>
      <c r="K317" s="15">
        <v>35500.55184</v>
      </c>
      <c r="L317" s="15">
        <v>262.85000000000002</v>
      </c>
      <c r="M317" s="15">
        <v>226.59</v>
      </c>
      <c r="N317" s="15">
        <v>0</v>
      </c>
      <c r="O317" s="15">
        <v>36.25</v>
      </c>
      <c r="P317" s="2" t="s">
        <v>55</v>
      </c>
      <c r="Q317" s="16"/>
    </row>
    <row r="318" spans="1:17" x14ac:dyDescent="0.3">
      <c r="A318" s="10">
        <v>21733</v>
      </c>
      <c r="B318" s="2" t="s">
        <v>3669</v>
      </c>
      <c r="C318" s="13">
        <v>5557</v>
      </c>
      <c r="D318" s="2" t="s">
        <v>44</v>
      </c>
      <c r="E318" s="14">
        <v>44617</v>
      </c>
      <c r="F318" s="10" t="s">
        <v>992</v>
      </c>
      <c r="G318" s="25">
        <v>44625</v>
      </c>
      <c r="H318" s="10" t="s">
        <v>993</v>
      </c>
      <c r="I318" s="10" t="s">
        <v>994</v>
      </c>
      <c r="J318" s="15">
        <v>221178.87</v>
      </c>
      <c r="K318" s="15">
        <v>220915.55504000004</v>
      </c>
      <c r="L318" s="15">
        <v>263.31</v>
      </c>
      <c r="M318" s="15">
        <v>227</v>
      </c>
      <c r="N318" s="15">
        <v>0</v>
      </c>
      <c r="O318" s="15">
        <v>36.32</v>
      </c>
      <c r="P318" s="2" t="s">
        <v>55</v>
      </c>
      <c r="Q318" s="16"/>
    </row>
    <row r="319" spans="1:17" x14ac:dyDescent="0.3">
      <c r="A319" s="10">
        <v>21733</v>
      </c>
      <c r="B319" s="2" t="s">
        <v>3670</v>
      </c>
      <c r="C319" s="13">
        <v>5548</v>
      </c>
      <c r="D319" s="2" t="s">
        <v>44</v>
      </c>
      <c r="E319" s="14">
        <v>44774</v>
      </c>
      <c r="F319" s="10" t="s">
        <v>995</v>
      </c>
      <c r="G319" s="25">
        <v>44778</v>
      </c>
      <c r="H319" s="10" t="s">
        <v>996</v>
      </c>
      <c r="I319" s="10" t="s">
        <v>997</v>
      </c>
      <c r="J319" s="15">
        <v>861100.05</v>
      </c>
      <c r="K319" s="15">
        <v>860834.98847999983</v>
      </c>
      <c r="L319" s="15">
        <v>265.06</v>
      </c>
      <c r="M319" s="15">
        <v>228.5</v>
      </c>
      <c r="N319" s="15">
        <v>0</v>
      </c>
      <c r="O319" s="15">
        <v>36.56</v>
      </c>
      <c r="P319" s="2" t="s">
        <v>55</v>
      </c>
      <c r="Q319" s="16"/>
    </row>
    <row r="320" spans="1:17" x14ac:dyDescent="0.3">
      <c r="A320" s="10">
        <v>21733</v>
      </c>
      <c r="B320" s="2" t="s">
        <v>3671</v>
      </c>
      <c r="C320" s="13">
        <v>5557</v>
      </c>
      <c r="D320" s="2" t="s">
        <v>44</v>
      </c>
      <c r="E320" s="14">
        <v>44375</v>
      </c>
      <c r="F320" s="10" t="s">
        <v>998</v>
      </c>
      <c r="G320" s="25">
        <v>44380</v>
      </c>
      <c r="H320" s="10" t="s">
        <v>999</v>
      </c>
      <c r="I320" s="10" t="s">
        <v>1000</v>
      </c>
      <c r="J320" s="15">
        <v>7413.04</v>
      </c>
      <c r="K320" s="15">
        <v>7147.3910400000004</v>
      </c>
      <c r="L320" s="15">
        <v>265.64999999999998</v>
      </c>
      <c r="M320" s="15">
        <v>229.01</v>
      </c>
      <c r="N320" s="15">
        <v>0</v>
      </c>
      <c r="O320" s="15">
        <v>36.64</v>
      </c>
      <c r="P320" s="2" t="s">
        <v>55</v>
      </c>
      <c r="Q320" s="16"/>
    </row>
    <row r="321" spans="1:17" x14ac:dyDescent="0.3">
      <c r="A321" s="10">
        <v>21733</v>
      </c>
      <c r="B321" s="2" t="s">
        <v>3672</v>
      </c>
      <c r="C321" s="13">
        <v>5557</v>
      </c>
      <c r="D321" s="2" t="s">
        <v>44</v>
      </c>
      <c r="E321" s="14">
        <v>44431</v>
      </c>
      <c r="F321" s="10" t="s">
        <v>1001</v>
      </c>
      <c r="G321" s="25">
        <v>44436</v>
      </c>
      <c r="H321" s="10" t="s">
        <v>1002</v>
      </c>
      <c r="I321" s="10" t="s">
        <v>1003</v>
      </c>
      <c r="J321" s="15">
        <v>15105.55</v>
      </c>
      <c r="K321" s="15">
        <v>14839.75704</v>
      </c>
      <c r="L321" s="15">
        <v>265.79000000000002</v>
      </c>
      <c r="M321" s="15">
        <v>229.13</v>
      </c>
      <c r="N321" s="15">
        <v>0</v>
      </c>
      <c r="O321" s="15">
        <v>36.659999999999997</v>
      </c>
      <c r="P321" s="2" t="s">
        <v>55</v>
      </c>
      <c r="Q321" s="16"/>
    </row>
    <row r="322" spans="1:17" x14ac:dyDescent="0.3">
      <c r="A322" s="10">
        <v>21733</v>
      </c>
      <c r="B322" s="2" t="s">
        <v>3673</v>
      </c>
      <c r="C322" s="13">
        <v>5549</v>
      </c>
      <c r="D322" s="2" t="s">
        <v>44</v>
      </c>
      <c r="E322" s="14">
        <v>44641</v>
      </c>
      <c r="F322" s="10" t="s">
        <v>1004</v>
      </c>
      <c r="G322" s="25">
        <v>44645</v>
      </c>
      <c r="H322" s="10" t="s">
        <v>1005</v>
      </c>
      <c r="I322" s="10" t="s">
        <v>1006</v>
      </c>
      <c r="J322" s="15">
        <v>844971.11</v>
      </c>
      <c r="K322" s="15">
        <v>844705.27896000026</v>
      </c>
      <c r="L322" s="15">
        <v>265.83</v>
      </c>
      <c r="M322" s="15">
        <v>229.16</v>
      </c>
      <c r="N322" s="15">
        <v>0</v>
      </c>
      <c r="O322" s="15">
        <v>36.67</v>
      </c>
      <c r="P322" s="2" t="s">
        <v>55</v>
      </c>
      <c r="Q322" s="16"/>
    </row>
    <row r="323" spans="1:17" x14ac:dyDescent="0.3">
      <c r="A323" s="10">
        <v>21733</v>
      </c>
      <c r="B323" s="2" t="s">
        <v>3674</v>
      </c>
      <c r="C323" s="13">
        <v>5548</v>
      </c>
      <c r="D323" s="2" t="s">
        <v>44</v>
      </c>
      <c r="E323" s="14">
        <v>44585</v>
      </c>
      <c r="F323" s="10" t="s">
        <v>1007</v>
      </c>
      <c r="G323" s="25">
        <v>44589</v>
      </c>
      <c r="H323" s="10" t="s">
        <v>1008</v>
      </c>
      <c r="I323" s="10" t="s">
        <v>1009</v>
      </c>
      <c r="J323" s="15">
        <v>26555.57</v>
      </c>
      <c r="K323" s="15">
        <v>26289.395520000002</v>
      </c>
      <c r="L323" s="15">
        <v>266.17</v>
      </c>
      <c r="M323" s="15">
        <v>229.46</v>
      </c>
      <c r="N323" s="15">
        <v>0</v>
      </c>
      <c r="O323" s="15">
        <v>36.71</v>
      </c>
      <c r="P323" s="2" t="s">
        <v>55</v>
      </c>
      <c r="Q323" s="16"/>
    </row>
    <row r="324" spans="1:17" x14ac:dyDescent="0.3">
      <c r="A324" s="10">
        <v>21733</v>
      </c>
      <c r="B324" s="2" t="s">
        <v>3675</v>
      </c>
      <c r="C324" s="13">
        <v>5681</v>
      </c>
      <c r="D324" s="2" t="s">
        <v>44</v>
      </c>
      <c r="E324" s="14">
        <v>44599</v>
      </c>
      <c r="F324" s="10" t="s">
        <v>1010</v>
      </c>
      <c r="G324" s="25">
        <v>44604</v>
      </c>
      <c r="H324" s="10" t="s">
        <v>1011</v>
      </c>
      <c r="I324" s="10" t="s">
        <v>1012</v>
      </c>
      <c r="J324" s="15">
        <v>49597.760000000002</v>
      </c>
      <c r="K324" s="15">
        <v>49330.719120000009</v>
      </c>
      <c r="L324" s="15">
        <v>267.04000000000002</v>
      </c>
      <c r="M324" s="15">
        <v>230.21</v>
      </c>
      <c r="N324" s="15">
        <v>0</v>
      </c>
      <c r="O324" s="15">
        <v>36.83</v>
      </c>
      <c r="P324" s="2" t="s">
        <v>55</v>
      </c>
      <c r="Q324" s="16"/>
    </row>
    <row r="325" spans="1:17" x14ac:dyDescent="0.3">
      <c r="A325" s="10">
        <v>21733</v>
      </c>
      <c r="B325" s="2" t="s">
        <v>3676</v>
      </c>
      <c r="C325" s="13">
        <v>5548</v>
      </c>
      <c r="D325" s="2" t="s">
        <v>44</v>
      </c>
      <c r="E325" s="14">
        <v>44340</v>
      </c>
      <c r="F325" s="10" t="s">
        <v>1013</v>
      </c>
      <c r="G325" s="25">
        <v>44348</v>
      </c>
      <c r="H325" s="10" t="s">
        <v>1014</v>
      </c>
      <c r="I325" s="10" t="s">
        <v>1015</v>
      </c>
      <c r="J325" s="15">
        <v>247115.97</v>
      </c>
      <c r="K325" s="15">
        <v>246848.89552000002</v>
      </c>
      <c r="L325" s="15">
        <v>267.07</v>
      </c>
      <c r="M325" s="15">
        <v>230.24</v>
      </c>
      <c r="N325" s="15">
        <v>0</v>
      </c>
      <c r="O325" s="15">
        <v>36.840000000000003</v>
      </c>
      <c r="P325" s="2" t="s">
        <v>55</v>
      </c>
      <c r="Q325" s="16"/>
    </row>
    <row r="326" spans="1:17" x14ac:dyDescent="0.3">
      <c r="A326" s="10">
        <v>21733</v>
      </c>
      <c r="B326" s="2" t="s">
        <v>3677</v>
      </c>
      <c r="C326" s="13">
        <v>5681</v>
      </c>
      <c r="D326" s="2" t="s">
        <v>44</v>
      </c>
      <c r="E326" s="14">
        <v>44571</v>
      </c>
      <c r="F326" s="10" t="s">
        <v>1016</v>
      </c>
      <c r="G326" s="25">
        <v>44577</v>
      </c>
      <c r="H326" s="10" t="s">
        <v>1017</v>
      </c>
      <c r="I326" s="10" t="s">
        <v>1018</v>
      </c>
      <c r="J326" s="15">
        <v>355443.35</v>
      </c>
      <c r="K326" s="15">
        <v>355175.90036000009</v>
      </c>
      <c r="L326" s="15">
        <v>267.45</v>
      </c>
      <c r="M326" s="15">
        <v>230.56</v>
      </c>
      <c r="N326" s="15">
        <v>0</v>
      </c>
      <c r="O326" s="15">
        <v>36.89</v>
      </c>
      <c r="P326" s="2" t="s">
        <v>55</v>
      </c>
      <c r="Q326" s="16"/>
    </row>
    <row r="327" spans="1:17" x14ac:dyDescent="0.3">
      <c r="A327" s="10">
        <v>21733</v>
      </c>
      <c r="B327" s="2" t="s">
        <v>3678</v>
      </c>
      <c r="C327" s="13">
        <v>5681</v>
      </c>
      <c r="D327" s="2" t="s">
        <v>44</v>
      </c>
      <c r="E327" s="14">
        <v>44760</v>
      </c>
      <c r="F327" s="10" t="s">
        <v>1019</v>
      </c>
      <c r="G327" s="25">
        <v>44765</v>
      </c>
      <c r="H327" s="10" t="s">
        <v>1020</v>
      </c>
      <c r="I327" s="10" t="s">
        <v>1021</v>
      </c>
      <c r="J327" s="15">
        <v>141554.35999999999</v>
      </c>
      <c r="K327" s="15">
        <v>141286.04656000002</v>
      </c>
      <c r="L327" s="15">
        <v>268.31</v>
      </c>
      <c r="M327" s="15">
        <v>231.3</v>
      </c>
      <c r="N327" s="15">
        <v>0</v>
      </c>
      <c r="O327" s="15">
        <v>37.01</v>
      </c>
      <c r="P327" s="2" t="s">
        <v>55</v>
      </c>
      <c r="Q327" s="16"/>
    </row>
    <row r="328" spans="1:17" x14ac:dyDescent="0.3">
      <c r="A328" s="10">
        <v>21733</v>
      </c>
      <c r="B328" s="2" t="s">
        <v>3679</v>
      </c>
      <c r="C328" s="13">
        <v>5537</v>
      </c>
      <c r="D328" s="2" t="s">
        <v>44</v>
      </c>
      <c r="E328" s="14">
        <v>44704</v>
      </c>
      <c r="F328" s="10" t="s">
        <v>1022</v>
      </c>
      <c r="G328" s="25">
        <v>44709</v>
      </c>
      <c r="H328" s="10" t="s">
        <v>1023</v>
      </c>
      <c r="I328" s="10" t="s">
        <v>1024</v>
      </c>
      <c r="J328" s="15">
        <v>174453.94</v>
      </c>
      <c r="K328" s="15">
        <v>174184.92487999998</v>
      </c>
      <c r="L328" s="15">
        <v>269.02</v>
      </c>
      <c r="M328" s="15">
        <v>231.91</v>
      </c>
      <c r="N328" s="15">
        <v>0</v>
      </c>
      <c r="O328" s="15">
        <v>37.11</v>
      </c>
      <c r="P328" s="2" t="s">
        <v>55</v>
      </c>
      <c r="Q328" s="16"/>
    </row>
    <row r="329" spans="1:17" x14ac:dyDescent="0.3">
      <c r="A329" s="10">
        <v>21733</v>
      </c>
      <c r="B329" s="2" t="s">
        <v>3680</v>
      </c>
      <c r="C329" s="13">
        <v>5681</v>
      </c>
      <c r="D329" s="2" t="s">
        <v>44</v>
      </c>
      <c r="E329" s="14">
        <v>44942</v>
      </c>
      <c r="F329" s="10" t="s">
        <v>1025</v>
      </c>
      <c r="G329" s="25">
        <v>44947</v>
      </c>
      <c r="H329" s="10" t="s">
        <v>1026</v>
      </c>
      <c r="I329" s="10" t="s">
        <v>1027</v>
      </c>
      <c r="J329" s="15">
        <v>1393905.81</v>
      </c>
      <c r="K329" s="15">
        <v>1393634.18248</v>
      </c>
      <c r="L329" s="15">
        <v>271.63</v>
      </c>
      <c r="M329" s="15">
        <v>234.16</v>
      </c>
      <c r="N329" s="15">
        <v>0</v>
      </c>
      <c r="O329" s="15">
        <v>37.47</v>
      </c>
      <c r="P329" s="2" t="s">
        <v>55</v>
      </c>
      <c r="Q329" s="16"/>
    </row>
    <row r="330" spans="1:17" x14ac:dyDescent="0.3">
      <c r="A330" s="10">
        <v>21733</v>
      </c>
      <c r="B330" s="2" t="s">
        <v>3681</v>
      </c>
      <c r="C330" s="13">
        <v>5548</v>
      </c>
      <c r="D330" s="2" t="s">
        <v>44</v>
      </c>
      <c r="E330" s="14">
        <v>44571</v>
      </c>
      <c r="F330" s="10" t="s">
        <v>1028</v>
      </c>
      <c r="G330" s="25">
        <v>44576</v>
      </c>
      <c r="H330" s="10" t="s">
        <v>1029</v>
      </c>
      <c r="I330" s="10" t="s">
        <v>1030</v>
      </c>
      <c r="J330" s="15">
        <v>27312.69</v>
      </c>
      <c r="K330" s="15">
        <v>27038.556</v>
      </c>
      <c r="L330" s="15">
        <v>274.13</v>
      </c>
      <c r="M330" s="15">
        <v>236.32</v>
      </c>
      <c r="N330" s="15">
        <v>0</v>
      </c>
      <c r="O330" s="15">
        <v>37.81</v>
      </c>
      <c r="P330" s="2" t="s">
        <v>55</v>
      </c>
      <c r="Q330" s="16"/>
    </row>
    <row r="331" spans="1:17" x14ac:dyDescent="0.3">
      <c r="A331" s="10">
        <v>21733</v>
      </c>
      <c r="B331" s="2" t="s">
        <v>3682</v>
      </c>
      <c r="C331" s="13">
        <v>5681</v>
      </c>
      <c r="D331" s="2" t="s">
        <v>44</v>
      </c>
      <c r="E331" s="14">
        <v>44753</v>
      </c>
      <c r="F331" s="10" t="s">
        <v>1031</v>
      </c>
      <c r="G331" s="25">
        <v>44758</v>
      </c>
      <c r="H331" s="10" t="s">
        <v>1032</v>
      </c>
      <c r="I331" s="10" t="s">
        <v>1033</v>
      </c>
      <c r="J331" s="15">
        <v>85183.45</v>
      </c>
      <c r="K331" s="15">
        <v>84908.246240000008</v>
      </c>
      <c r="L331" s="15">
        <v>275.2</v>
      </c>
      <c r="M331" s="15">
        <v>237.24</v>
      </c>
      <c r="N331" s="15">
        <v>0</v>
      </c>
      <c r="O331" s="15">
        <v>37.96</v>
      </c>
      <c r="P331" s="2" t="s">
        <v>55</v>
      </c>
      <c r="Q331" s="16"/>
    </row>
    <row r="332" spans="1:17" x14ac:dyDescent="0.3">
      <c r="A332" s="10">
        <v>21733</v>
      </c>
      <c r="B332" s="2" t="s">
        <v>3683</v>
      </c>
      <c r="C332" s="13">
        <v>5681</v>
      </c>
      <c r="D332" s="2" t="s">
        <v>44</v>
      </c>
      <c r="E332" s="14">
        <v>44298</v>
      </c>
      <c r="F332" s="10" t="s">
        <v>1034</v>
      </c>
      <c r="G332" s="25">
        <v>44303</v>
      </c>
      <c r="H332" s="10" t="s">
        <v>1035</v>
      </c>
      <c r="I332" s="10" t="s">
        <v>1036</v>
      </c>
      <c r="J332" s="15">
        <v>54204.69000000001</v>
      </c>
      <c r="K332" s="15">
        <v>53929.302479999998</v>
      </c>
      <c r="L332" s="15">
        <v>275.39</v>
      </c>
      <c r="M332" s="15">
        <v>237.4</v>
      </c>
      <c r="N332" s="15">
        <v>0</v>
      </c>
      <c r="O332" s="15">
        <v>37.979999999999997</v>
      </c>
      <c r="P332" s="2" t="s">
        <v>55</v>
      </c>
      <c r="Q332" s="16"/>
    </row>
    <row r="333" spans="1:17" x14ac:dyDescent="0.3">
      <c r="A333" s="10">
        <v>21733</v>
      </c>
      <c r="B333" s="2" t="s">
        <v>3684</v>
      </c>
      <c r="C333" s="13">
        <v>5537</v>
      </c>
      <c r="D333" s="2" t="s">
        <v>44</v>
      </c>
      <c r="E333" s="14">
        <v>44284</v>
      </c>
      <c r="F333" s="10" t="s">
        <v>1037</v>
      </c>
      <c r="G333" s="25">
        <v>44292</v>
      </c>
      <c r="H333" s="10" t="s">
        <v>1038</v>
      </c>
      <c r="I333" s="10" t="s">
        <v>1039</v>
      </c>
      <c r="J333" s="15">
        <v>127294.43</v>
      </c>
      <c r="K333" s="15">
        <v>127018.37367999998</v>
      </c>
      <c r="L333" s="15">
        <v>276.06</v>
      </c>
      <c r="M333" s="15">
        <v>237.98</v>
      </c>
      <c r="N333" s="15">
        <v>0</v>
      </c>
      <c r="O333" s="15">
        <v>38.08</v>
      </c>
      <c r="P333" s="2" t="s">
        <v>55</v>
      </c>
      <c r="Q333" s="16"/>
    </row>
    <row r="334" spans="1:17" x14ac:dyDescent="0.3">
      <c r="A334" s="10">
        <v>21733</v>
      </c>
      <c r="B334" s="2" t="s">
        <v>3685</v>
      </c>
      <c r="C334" s="13">
        <v>5556</v>
      </c>
      <c r="D334" s="2" t="s">
        <v>44</v>
      </c>
      <c r="E334" s="14">
        <v>44362</v>
      </c>
      <c r="F334" s="10" t="s">
        <v>1040</v>
      </c>
      <c r="G334" s="25">
        <v>44378</v>
      </c>
      <c r="H334" s="10" t="s">
        <v>1041</v>
      </c>
      <c r="I334" s="10" t="s">
        <v>1042</v>
      </c>
      <c r="J334" s="15">
        <v>837483.94</v>
      </c>
      <c r="K334" s="15">
        <v>837207.84632000001</v>
      </c>
      <c r="L334" s="15">
        <v>276.08999999999997</v>
      </c>
      <c r="M334" s="15">
        <v>238.01</v>
      </c>
      <c r="N334" s="15">
        <v>0</v>
      </c>
      <c r="O334" s="15">
        <v>38.08</v>
      </c>
      <c r="P334" s="2" t="s">
        <v>55</v>
      </c>
      <c r="Q334" s="16"/>
    </row>
    <row r="335" spans="1:17" x14ac:dyDescent="0.3">
      <c r="A335" s="10">
        <v>21733</v>
      </c>
      <c r="B335" s="2" t="s">
        <v>3686</v>
      </c>
      <c r="C335" s="13">
        <v>5557</v>
      </c>
      <c r="D335" s="2" t="s">
        <v>44</v>
      </c>
      <c r="E335" s="14">
        <v>44648</v>
      </c>
      <c r="F335" s="10" t="s">
        <v>1043</v>
      </c>
      <c r="G335" s="25">
        <v>44653</v>
      </c>
      <c r="H335" s="10" t="s">
        <v>1044</v>
      </c>
      <c r="I335" s="10" t="s">
        <v>1045</v>
      </c>
      <c r="J335" s="15">
        <v>27631.5</v>
      </c>
      <c r="K335" s="15">
        <v>27355.3056</v>
      </c>
      <c r="L335" s="15">
        <v>276.19</v>
      </c>
      <c r="M335" s="15">
        <v>238.1</v>
      </c>
      <c r="N335" s="15">
        <v>0</v>
      </c>
      <c r="O335" s="15">
        <v>38.1</v>
      </c>
      <c r="P335" s="2" t="s">
        <v>55</v>
      </c>
      <c r="Q335" s="16"/>
    </row>
    <row r="336" spans="1:17" x14ac:dyDescent="0.3">
      <c r="A336" s="10">
        <v>21733</v>
      </c>
      <c r="B336" s="2" t="s">
        <v>3687</v>
      </c>
      <c r="C336" s="13">
        <v>5548</v>
      </c>
      <c r="D336" s="2" t="s">
        <v>44</v>
      </c>
      <c r="E336" s="14">
        <v>44396</v>
      </c>
      <c r="F336" s="10" t="s">
        <v>1046</v>
      </c>
      <c r="G336" s="25">
        <v>44400</v>
      </c>
      <c r="H336" s="10" t="s">
        <v>1047</v>
      </c>
      <c r="I336" s="10" t="s">
        <v>1048</v>
      </c>
      <c r="J336" s="15">
        <v>39218.36</v>
      </c>
      <c r="K336" s="15">
        <v>38941.805519999994</v>
      </c>
      <c r="L336" s="15">
        <v>276.55</v>
      </c>
      <c r="M336" s="15">
        <v>238.41</v>
      </c>
      <c r="N336" s="15">
        <v>0</v>
      </c>
      <c r="O336" s="15">
        <v>38.15</v>
      </c>
      <c r="P336" s="2" t="s">
        <v>55</v>
      </c>
      <c r="Q336" s="16"/>
    </row>
    <row r="337" spans="1:17" x14ac:dyDescent="0.3">
      <c r="A337" s="10">
        <v>21733</v>
      </c>
      <c r="B337" s="2" t="s">
        <v>3688</v>
      </c>
      <c r="C337" s="13">
        <v>5556</v>
      </c>
      <c r="D337" s="2" t="s">
        <v>44</v>
      </c>
      <c r="E337" s="14">
        <v>44636</v>
      </c>
      <c r="F337" s="10" t="s">
        <v>1049</v>
      </c>
      <c r="G337" s="25">
        <v>44643</v>
      </c>
      <c r="H337" s="10" t="s">
        <v>1050</v>
      </c>
      <c r="I337" s="10" t="s">
        <v>1051</v>
      </c>
      <c r="J337" s="15">
        <v>35937.019999999997</v>
      </c>
      <c r="K337" s="15">
        <v>35660.418399999995</v>
      </c>
      <c r="L337" s="15">
        <v>276.60000000000002</v>
      </c>
      <c r="M337" s="15">
        <v>238.45</v>
      </c>
      <c r="N337" s="15">
        <v>0</v>
      </c>
      <c r="O337" s="15">
        <v>38.15</v>
      </c>
      <c r="P337" s="2" t="s">
        <v>55</v>
      </c>
      <c r="Q337" s="16"/>
    </row>
    <row r="338" spans="1:17" x14ac:dyDescent="0.3">
      <c r="A338" s="10">
        <v>21733</v>
      </c>
      <c r="B338" s="2" t="s">
        <v>3689</v>
      </c>
      <c r="C338" s="13">
        <v>5557</v>
      </c>
      <c r="D338" s="2" t="s">
        <v>44</v>
      </c>
      <c r="E338" s="14">
        <v>44270</v>
      </c>
      <c r="F338" s="10" t="s">
        <v>1052</v>
      </c>
      <c r="G338" s="25">
        <v>44292</v>
      </c>
      <c r="H338" s="10" t="s">
        <v>1053</v>
      </c>
      <c r="I338" s="10" t="s">
        <v>1054</v>
      </c>
      <c r="J338" s="15">
        <v>44531.31</v>
      </c>
      <c r="K338" s="15">
        <v>44252.997759999998</v>
      </c>
      <c r="L338" s="15">
        <v>278.31</v>
      </c>
      <c r="M338" s="15">
        <v>239.92</v>
      </c>
      <c r="N338" s="15">
        <v>0</v>
      </c>
      <c r="O338" s="15">
        <v>38.39</v>
      </c>
      <c r="P338" s="2" t="s">
        <v>55</v>
      </c>
      <c r="Q338" s="16"/>
    </row>
    <row r="339" spans="1:17" x14ac:dyDescent="0.3">
      <c r="A339" s="10">
        <v>21733</v>
      </c>
      <c r="B339" s="2" t="s">
        <v>3690</v>
      </c>
      <c r="C339" s="13">
        <v>5548</v>
      </c>
      <c r="D339" s="2" t="s">
        <v>44</v>
      </c>
      <c r="E339" s="14">
        <v>44879</v>
      </c>
      <c r="F339" s="10" t="s">
        <v>209</v>
      </c>
      <c r="G339" s="25">
        <v>44883</v>
      </c>
      <c r="H339" s="10" t="s">
        <v>1055</v>
      </c>
      <c r="I339" s="10" t="s">
        <v>1056</v>
      </c>
      <c r="J339" s="15">
        <v>794806.18</v>
      </c>
      <c r="K339" s="15">
        <v>794527.4478000002</v>
      </c>
      <c r="L339" s="15">
        <v>278.73</v>
      </c>
      <c r="M339" s="15">
        <v>240.29</v>
      </c>
      <c r="N339" s="15">
        <v>0</v>
      </c>
      <c r="O339" s="15">
        <v>38.450000000000003</v>
      </c>
      <c r="P339" s="2" t="s">
        <v>55</v>
      </c>
      <c r="Q339" s="16"/>
    </row>
    <row r="340" spans="1:17" x14ac:dyDescent="0.3">
      <c r="A340" s="10">
        <v>21733</v>
      </c>
      <c r="B340" s="2" t="s">
        <v>3691</v>
      </c>
      <c r="C340" s="13">
        <v>5681</v>
      </c>
      <c r="D340" s="2" t="s">
        <v>44</v>
      </c>
      <c r="E340" s="14">
        <v>44508</v>
      </c>
      <c r="F340" s="10" t="s">
        <v>1057</v>
      </c>
      <c r="G340" s="25">
        <v>44513</v>
      </c>
      <c r="H340" s="10" t="s">
        <v>1058</v>
      </c>
      <c r="I340" s="10" t="s">
        <v>1059</v>
      </c>
      <c r="J340" s="15">
        <v>42293.19</v>
      </c>
      <c r="K340" s="15">
        <v>42014.318400000004</v>
      </c>
      <c r="L340" s="15">
        <v>278.87</v>
      </c>
      <c r="M340" s="15">
        <v>240.41</v>
      </c>
      <c r="N340" s="15">
        <v>0</v>
      </c>
      <c r="O340" s="15">
        <v>38.47</v>
      </c>
      <c r="P340" s="2" t="s">
        <v>55</v>
      </c>
      <c r="Q340" s="16"/>
    </row>
    <row r="341" spans="1:17" x14ac:dyDescent="0.3">
      <c r="A341" s="10">
        <v>21733</v>
      </c>
      <c r="B341" s="2" t="s">
        <v>3692</v>
      </c>
      <c r="C341" s="13">
        <v>5681</v>
      </c>
      <c r="D341" s="2" t="s">
        <v>44</v>
      </c>
      <c r="E341" s="14">
        <v>44742</v>
      </c>
      <c r="F341" s="10" t="s">
        <v>1060</v>
      </c>
      <c r="G341" s="25">
        <v>44751</v>
      </c>
      <c r="H341" s="10" t="s">
        <v>1061</v>
      </c>
      <c r="I341" s="10" t="s">
        <v>1062</v>
      </c>
      <c r="J341" s="15">
        <v>130881.91</v>
      </c>
      <c r="K341" s="15">
        <v>130601.87816000002</v>
      </c>
      <c r="L341" s="15">
        <v>280.02999999999997</v>
      </c>
      <c r="M341" s="15">
        <v>241.41</v>
      </c>
      <c r="N341" s="15">
        <v>0</v>
      </c>
      <c r="O341" s="15">
        <v>38.630000000000003</v>
      </c>
      <c r="P341" s="2" t="s">
        <v>55</v>
      </c>
      <c r="Q341" s="16"/>
    </row>
    <row r="342" spans="1:17" x14ac:dyDescent="0.3">
      <c r="A342" s="10">
        <v>21733</v>
      </c>
      <c r="B342" s="2" t="s">
        <v>3693</v>
      </c>
      <c r="C342" s="13">
        <v>5556</v>
      </c>
      <c r="D342" s="2" t="s">
        <v>44</v>
      </c>
      <c r="E342" s="14">
        <v>44362</v>
      </c>
      <c r="F342" s="10" t="s">
        <v>1040</v>
      </c>
      <c r="G342" s="25">
        <v>44378</v>
      </c>
      <c r="H342" s="10" t="s">
        <v>1063</v>
      </c>
      <c r="I342" s="10" t="s">
        <v>1064</v>
      </c>
      <c r="J342" s="15">
        <v>849753.54</v>
      </c>
      <c r="K342" s="15">
        <v>849472.54604000004</v>
      </c>
      <c r="L342" s="15">
        <v>280.99</v>
      </c>
      <c r="M342" s="15">
        <v>242.24</v>
      </c>
      <c r="N342" s="15">
        <v>0</v>
      </c>
      <c r="O342" s="15">
        <v>38.76</v>
      </c>
      <c r="P342" s="2" t="s">
        <v>55</v>
      </c>
      <c r="Q342" s="16"/>
    </row>
    <row r="343" spans="1:17" x14ac:dyDescent="0.3">
      <c r="A343" s="10">
        <v>21733</v>
      </c>
      <c r="B343" s="2" t="s">
        <v>3694</v>
      </c>
      <c r="C343" s="13">
        <v>5548</v>
      </c>
      <c r="D343" s="2" t="s">
        <v>44</v>
      </c>
      <c r="E343" s="14">
        <v>44872</v>
      </c>
      <c r="F343" s="10" t="s">
        <v>1065</v>
      </c>
      <c r="G343" s="25">
        <v>44880</v>
      </c>
      <c r="H343" s="10" t="s">
        <v>1066</v>
      </c>
      <c r="I343" s="10" t="s">
        <v>1067</v>
      </c>
      <c r="J343" s="15">
        <v>1368242.15</v>
      </c>
      <c r="K343" s="15">
        <v>1367959.8305599999</v>
      </c>
      <c r="L343" s="15">
        <v>282.32</v>
      </c>
      <c r="M343" s="15">
        <v>243.38</v>
      </c>
      <c r="N343" s="15">
        <v>0</v>
      </c>
      <c r="O343" s="15">
        <v>38.94</v>
      </c>
      <c r="P343" s="2" t="s">
        <v>55</v>
      </c>
      <c r="Q343" s="16"/>
    </row>
    <row r="344" spans="1:17" x14ac:dyDescent="0.3">
      <c r="A344" s="10">
        <v>21733</v>
      </c>
      <c r="B344" s="2" t="s">
        <v>3695</v>
      </c>
      <c r="C344" s="13">
        <v>5681</v>
      </c>
      <c r="D344" s="2" t="s">
        <v>44</v>
      </c>
      <c r="E344" s="14">
        <v>44730</v>
      </c>
      <c r="F344" s="10" t="s">
        <v>1068</v>
      </c>
      <c r="G344" s="25">
        <v>44739</v>
      </c>
      <c r="H344" s="10" t="s">
        <v>1069</v>
      </c>
      <c r="I344" s="10" t="s">
        <v>1070</v>
      </c>
      <c r="J344" s="15">
        <v>910647.83</v>
      </c>
      <c r="K344" s="15">
        <v>910365.02808000008</v>
      </c>
      <c r="L344" s="15">
        <v>282.8</v>
      </c>
      <c r="M344" s="15">
        <v>243.79</v>
      </c>
      <c r="N344" s="15">
        <v>0</v>
      </c>
      <c r="O344" s="15">
        <v>39.01</v>
      </c>
      <c r="P344" s="2" t="s">
        <v>55</v>
      </c>
      <c r="Q344" s="16"/>
    </row>
    <row r="345" spans="1:17" x14ac:dyDescent="0.3">
      <c r="A345" s="10">
        <v>21733</v>
      </c>
      <c r="B345" s="2" t="s">
        <v>3696</v>
      </c>
      <c r="C345" s="13">
        <v>5537</v>
      </c>
      <c r="D345" s="2" t="s">
        <v>44</v>
      </c>
      <c r="E345" s="14">
        <v>44750</v>
      </c>
      <c r="F345" s="10" t="s">
        <v>1071</v>
      </c>
      <c r="G345" s="25">
        <v>44757</v>
      </c>
      <c r="H345" s="10" t="s">
        <v>1072</v>
      </c>
      <c r="I345" s="10" t="s">
        <v>1073</v>
      </c>
      <c r="J345" s="15">
        <v>627174.31000000006</v>
      </c>
      <c r="K345" s="15">
        <v>626890.12552000012</v>
      </c>
      <c r="L345" s="15">
        <v>284.18</v>
      </c>
      <c r="M345" s="15">
        <v>244.99</v>
      </c>
      <c r="N345" s="15">
        <v>0</v>
      </c>
      <c r="O345" s="15">
        <v>39.200000000000003</v>
      </c>
      <c r="P345" s="2" t="s">
        <v>55</v>
      </c>
      <c r="Q345" s="16"/>
    </row>
    <row r="346" spans="1:17" x14ac:dyDescent="0.3">
      <c r="A346" s="10">
        <v>21733</v>
      </c>
      <c r="B346" s="2" t="s">
        <v>3697</v>
      </c>
      <c r="C346" s="13">
        <v>5681</v>
      </c>
      <c r="D346" s="2" t="s">
        <v>44</v>
      </c>
      <c r="E346" s="14">
        <v>44963</v>
      </c>
      <c r="F346" s="10" t="s">
        <v>1074</v>
      </c>
      <c r="G346" s="25">
        <v>44970</v>
      </c>
      <c r="H346" s="10" t="s">
        <v>1075</v>
      </c>
      <c r="I346" s="10" t="s">
        <v>1076</v>
      </c>
      <c r="J346" s="15">
        <v>1154363.6299999999</v>
      </c>
      <c r="K346" s="15">
        <v>1154077.3740800002</v>
      </c>
      <c r="L346" s="15">
        <v>286.26</v>
      </c>
      <c r="M346" s="15">
        <v>246.77</v>
      </c>
      <c r="N346" s="15">
        <v>0</v>
      </c>
      <c r="O346" s="15">
        <v>39.479999999999997</v>
      </c>
      <c r="P346" s="2" t="s">
        <v>55</v>
      </c>
      <c r="Q346" s="16"/>
    </row>
    <row r="347" spans="1:17" x14ac:dyDescent="0.3">
      <c r="A347" s="10">
        <v>21733</v>
      </c>
      <c r="B347" s="2" t="s">
        <v>3698</v>
      </c>
      <c r="C347" s="13">
        <v>5557</v>
      </c>
      <c r="D347" s="2" t="s">
        <v>44</v>
      </c>
      <c r="E347" s="14">
        <v>44305</v>
      </c>
      <c r="F347" s="10" t="s">
        <v>1077</v>
      </c>
      <c r="G347" s="25">
        <v>44310</v>
      </c>
      <c r="H347" s="10" t="s">
        <v>1078</v>
      </c>
      <c r="I347" s="10" t="s">
        <v>1079</v>
      </c>
      <c r="J347" s="15">
        <v>36799.669999999991</v>
      </c>
      <c r="K347" s="15">
        <v>36512.716800000002</v>
      </c>
      <c r="L347" s="15">
        <v>286.95</v>
      </c>
      <c r="M347" s="15">
        <v>247.37</v>
      </c>
      <c r="N347" s="15">
        <v>0</v>
      </c>
      <c r="O347" s="15">
        <v>39.58</v>
      </c>
      <c r="P347" s="2" t="s">
        <v>55</v>
      </c>
      <c r="Q347" s="16"/>
    </row>
    <row r="348" spans="1:17" x14ac:dyDescent="0.3">
      <c r="A348" s="10">
        <v>21733</v>
      </c>
      <c r="B348" s="2" t="s">
        <v>3699</v>
      </c>
      <c r="C348" s="13">
        <v>5548</v>
      </c>
      <c r="D348" s="2" t="s">
        <v>44</v>
      </c>
      <c r="E348" s="14">
        <v>44977</v>
      </c>
      <c r="F348" s="10" t="s">
        <v>829</v>
      </c>
      <c r="G348" s="25">
        <v>44982</v>
      </c>
      <c r="H348" s="10" t="s">
        <v>1080</v>
      </c>
      <c r="I348" s="10" t="s">
        <v>1081</v>
      </c>
      <c r="J348" s="15">
        <v>1203657</v>
      </c>
      <c r="K348" s="15">
        <v>1203369.3607999999</v>
      </c>
      <c r="L348" s="15">
        <v>287.64</v>
      </c>
      <c r="M348" s="15">
        <v>247.96</v>
      </c>
      <c r="N348" s="15">
        <v>0</v>
      </c>
      <c r="O348" s="15">
        <v>39.67</v>
      </c>
      <c r="P348" s="2" t="s">
        <v>55</v>
      </c>
      <c r="Q348" s="16"/>
    </row>
    <row r="349" spans="1:17" x14ac:dyDescent="0.3">
      <c r="A349" s="10">
        <v>21733</v>
      </c>
      <c r="B349" s="2" t="s">
        <v>3700</v>
      </c>
      <c r="C349" s="13">
        <v>5548</v>
      </c>
      <c r="D349" s="2" t="s">
        <v>44</v>
      </c>
      <c r="E349" s="14">
        <v>44978</v>
      </c>
      <c r="F349" s="10" t="s">
        <v>1082</v>
      </c>
      <c r="G349" s="25">
        <v>44991</v>
      </c>
      <c r="H349" s="10" t="s">
        <v>1083</v>
      </c>
      <c r="I349" s="10" t="s">
        <v>1084</v>
      </c>
      <c r="J349" s="15">
        <v>911225.9</v>
      </c>
      <c r="K349" s="15">
        <v>910935.24000000022</v>
      </c>
      <c r="L349" s="15">
        <v>290.66000000000003</v>
      </c>
      <c r="M349" s="15">
        <v>250.57</v>
      </c>
      <c r="N349" s="15">
        <v>0</v>
      </c>
      <c r="O349" s="15">
        <v>40.090000000000003</v>
      </c>
      <c r="P349" s="2" t="s">
        <v>55</v>
      </c>
      <c r="Q349" s="16"/>
    </row>
    <row r="350" spans="1:17" x14ac:dyDescent="0.3">
      <c r="A350" s="10">
        <v>21733</v>
      </c>
      <c r="B350" s="2" t="s">
        <v>3701</v>
      </c>
      <c r="C350" s="13">
        <v>5681</v>
      </c>
      <c r="D350" s="2" t="s">
        <v>44</v>
      </c>
      <c r="E350" s="14">
        <v>44697</v>
      </c>
      <c r="F350" s="10" t="s">
        <v>1085</v>
      </c>
      <c r="G350" s="25">
        <v>44702</v>
      </c>
      <c r="H350" s="10" t="s">
        <v>1086</v>
      </c>
      <c r="I350" s="10" t="s">
        <v>1087</v>
      </c>
      <c r="J350" s="15">
        <v>131118.88</v>
      </c>
      <c r="K350" s="15">
        <v>130826.17923999997</v>
      </c>
      <c r="L350" s="15">
        <v>292.7</v>
      </c>
      <c r="M350" s="15">
        <v>252.33</v>
      </c>
      <c r="N350" s="15">
        <v>0</v>
      </c>
      <c r="O350" s="15">
        <v>40.369999999999997</v>
      </c>
      <c r="P350" s="2" t="s">
        <v>55</v>
      </c>
      <c r="Q350" s="16"/>
    </row>
    <row r="351" spans="1:17" x14ac:dyDescent="0.3">
      <c r="A351" s="10">
        <v>21733</v>
      </c>
      <c r="B351" s="2" t="s">
        <v>3702</v>
      </c>
      <c r="C351" s="13">
        <v>5549</v>
      </c>
      <c r="D351" s="2" t="s">
        <v>44</v>
      </c>
      <c r="E351" s="14">
        <v>44998</v>
      </c>
      <c r="F351" s="10" t="s">
        <v>1088</v>
      </c>
      <c r="G351" s="25">
        <v>45007</v>
      </c>
      <c r="H351" s="10" t="s">
        <v>1089</v>
      </c>
      <c r="I351" s="10" t="s">
        <v>1090</v>
      </c>
      <c r="J351" s="15">
        <v>841914.97</v>
      </c>
      <c r="K351" s="15">
        <v>841622.00591999979</v>
      </c>
      <c r="L351" s="15">
        <v>292.95999999999998</v>
      </c>
      <c r="M351" s="15">
        <v>252.56</v>
      </c>
      <c r="N351" s="15">
        <v>0</v>
      </c>
      <c r="O351" s="15">
        <v>40.409999999999997</v>
      </c>
      <c r="P351" s="2" t="s">
        <v>55</v>
      </c>
      <c r="Q351" s="16"/>
    </row>
    <row r="352" spans="1:17" x14ac:dyDescent="0.3">
      <c r="A352" s="10">
        <v>21733</v>
      </c>
      <c r="B352" s="2" t="s">
        <v>3703</v>
      </c>
      <c r="C352" s="13">
        <v>5556</v>
      </c>
      <c r="D352" s="2" t="s">
        <v>44</v>
      </c>
      <c r="E352" s="14">
        <v>44881</v>
      </c>
      <c r="F352" s="10" t="s">
        <v>1091</v>
      </c>
      <c r="G352" s="25">
        <v>44887</v>
      </c>
      <c r="H352" s="10" t="s">
        <v>1092</v>
      </c>
      <c r="I352" s="10" t="s">
        <v>1093</v>
      </c>
      <c r="J352" s="15">
        <v>295687.48</v>
      </c>
      <c r="K352" s="15">
        <v>295393.79003999999</v>
      </c>
      <c r="L352" s="15">
        <v>293.69</v>
      </c>
      <c r="M352" s="15">
        <v>253.18</v>
      </c>
      <c r="N352" s="15">
        <v>0</v>
      </c>
      <c r="O352" s="15">
        <v>40.51</v>
      </c>
      <c r="P352" s="2" t="s">
        <v>55</v>
      </c>
      <c r="Q352" s="16"/>
    </row>
    <row r="353" spans="1:17" x14ac:dyDescent="0.3">
      <c r="A353" s="10">
        <v>21733</v>
      </c>
      <c r="B353" s="2" t="s">
        <v>3704</v>
      </c>
      <c r="C353" s="13">
        <v>5548</v>
      </c>
      <c r="D353" s="2" t="s">
        <v>44</v>
      </c>
      <c r="E353" s="14">
        <v>44564</v>
      </c>
      <c r="F353" s="10" t="s">
        <v>1094</v>
      </c>
      <c r="G353" s="25">
        <v>44569</v>
      </c>
      <c r="H353" s="10" t="s">
        <v>1095</v>
      </c>
      <c r="I353" s="10" t="s">
        <v>1096</v>
      </c>
      <c r="J353" s="15">
        <v>29482.15</v>
      </c>
      <c r="K353" s="15">
        <v>29187.356239999997</v>
      </c>
      <c r="L353" s="15">
        <v>294.79000000000002</v>
      </c>
      <c r="M353" s="15">
        <v>254.13</v>
      </c>
      <c r="N353" s="15">
        <v>0</v>
      </c>
      <c r="O353" s="15">
        <v>40.659999999999997</v>
      </c>
      <c r="P353" s="2" t="s">
        <v>55</v>
      </c>
      <c r="Q353" s="16"/>
    </row>
    <row r="354" spans="1:17" x14ac:dyDescent="0.3">
      <c r="A354" s="10">
        <v>21733</v>
      </c>
      <c r="B354" s="2" t="s">
        <v>3705</v>
      </c>
      <c r="C354" s="13">
        <v>5549</v>
      </c>
      <c r="D354" s="2" t="s">
        <v>44</v>
      </c>
      <c r="E354" s="14">
        <v>44466</v>
      </c>
      <c r="F354" s="10" t="s">
        <v>1097</v>
      </c>
      <c r="G354" s="25">
        <v>44470</v>
      </c>
      <c r="H354" s="10" t="s">
        <v>1098</v>
      </c>
      <c r="I354" s="10" t="s">
        <v>1099</v>
      </c>
      <c r="J354" s="15">
        <v>46786.47</v>
      </c>
      <c r="K354" s="15">
        <v>46490.776959999996</v>
      </c>
      <c r="L354" s="15">
        <v>295.69</v>
      </c>
      <c r="M354" s="15">
        <v>254.91</v>
      </c>
      <c r="N354" s="15">
        <v>0</v>
      </c>
      <c r="O354" s="15">
        <v>40.79</v>
      </c>
      <c r="P354" s="2" t="s">
        <v>55</v>
      </c>
      <c r="Q354" s="16"/>
    </row>
    <row r="355" spans="1:17" x14ac:dyDescent="0.3">
      <c r="A355" s="10">
        <v>21733</v>
      </c>
      <c r="B355" s="2" t="s">
        <v>3706</v>
      </c>
      <c r="C355" s="13">
        <v>5537</v>
      </c>
      <c r="D355" s="2" t="s">
        <v>44</v>
      </c>
      <c r="E355" s="14">
        <v>44830</v>
      </c>
      <c r="F355" s="10" t="s">
        <v>1100</v>
      </c>
      <c r="G355" s="25">
        <v>44836</v>
      </c>
      <c r="H355" s="10" t="s">
        <v>1101</v>
      </c>
      <c r="I355" s="10" t="s">
        <v>1102</v>
      </c>
      <c r="J355" s="15">
        <v>777173.42</v>
      </c>
      <c r="K355" s="15">
        <v>776877.09079999989</v>
      </c>
      <c r="L355" s="15">
        <v>296.33</v>
      </c>
      <c r="M355" s="15">
        <v>255.46</v>
      </c>
      <c r="N355" s="15">
        <v>0</v>
      </c>
      <c r="O355" s="15">
        <v>40.869999999999997</v>
      </c>
      <c r="P355" s="2" t="s">
        <v>55</v>
      </c>
      <c r="Q355" s="16"/>
    </row>
    <row r="356" spans="1:17" x14ac:dyDescent="0.3">
      <c r="A356" s="10">
        <v>21733</v>
      </c>
      <c r="B356" s="2" t="s">
        <v>3707</v>
      </c>
      <c r="C356" s="13">
        <v>5681</v>
      </c>
      <c r="D356" s="2" t="s">
        <v>44</v>
      </c>
      <c r="E356" s="14">
        <v>44347</v>
      </c>
      <c r="F356" s="10" t="s">
        <v>1103</v>
      </c>
      <c r="G356" s="25">
        <v>44352</v>
      </c>
      <c r="H356" s="10" t="s">
        <v>1104</v>
      </c>
      <c r="I356" s="10" t="s">
        <v>1105</v>
      </c>
      <c r="J356" s="15">
        <v>581693.43999999994</v>
      </c>
      <c r="K356" s="15">
        <v>581394.64711999998</v>
      </c>
      <c r="L356" s="15">
        <v>298.79000000000002</v>
      </c>
      <c r="M356" s="15">
        <v>257.58</v>
      </c>
      <c r="N356" s="15">
        <v>0</v>
      </c>
      <c r="O356" s="15">
        <v>41.21</v>
      </c>
      <c r="P356" s="2" t="s">
        <v>55</v>
      </c>
      <c r="Q356" s="16"/>
    </row>
    <row r="357" spans="1:17" x14ac:dyDescent="0.3">
      <c r="A357" s="10">
        <v>21733</v>
      </c>
      <c r="B357" s="2" t="s">
        <v>3708</v>
      </c>
      <c r="C357" s="13">
        <v>5548</v>
      </c>
      <c r="D357" s="2" t="s">
        <v>44</v>
      </c>
      <c r="E357" s="14">
        <v>44410</v>
      </c>
      <c r="F357" s="10" t="s">
        <v>1106</v>
      </c>
      <c r="G357" s="25">
        <v>44414</v>
      </c>
      <c r="H357" s="10" t="s">
        <v>1107</v>
      </c>
      <c r="I357" s="10" t="s">
        <v>1108</v>
      </c>
      <c r="J357" s="15">
        <v>734013.83</v>
      </c>
      <c r="K357" s="15">
        <v>733713.41307999985</v>
      </c>
      <c r="L357" s="15">
        <v>300.42</v>
      </c>
      <c r="M357" s="15">
        <v>258.98</v>
      </c>
      <c r="N357" s="15">
        <v>0</v>
      </c>
      <c r="O357" s="15">
        <v>41.44</v>
      </c>
      <c r="P357" s="2" t="s">
        <v>55</v>
      </c>
      <c r="Q357" s="16"/>
    </row>
    <row r="358" spans="1:17" x14ac:dyDescent="0.3">
      <c r="A358" s="10">
        <v>21733</v>
      </c>
      <c r="B358" s="2" t="s">
        <v>3709</v>
      </c>
      <c r="C358" s="13">
        <v>5548</v>
      </c>
      <c r="D358" s="2" t="s">
        <v>44</v>
      </c>
      <c r="E358" s="14">
        <v>44354</v>
      </c>
      <c r="F358" s="10" t="s">
        <v>1109</v>
      </c>
      <c r="G358" s="25">
        <v>44358</v>
      </c>
      <c r="H358" s="10" t="s">
        <v>1110</v>
      </c>
      <c r="I358" s="10" t="s">
        <v>1111</v>
      </c>
      <c r="J358" s="15">
        <v>46550.37</v>
      </c>
      <c r="K358" s="15">
        <v>46249.002800000002</v>
      </c>
      <c r="L358" s="15">
        <v>301.37</v>
      </c>
      <c r="M358" s="15">
        <v>259.8</v>
      </c>
      <c r="N358" s="15">
        <v>0</v>
      </c>
      <c r="O358" s="15">
        <v>41.57</v>
      </c>
      <c r="P358" s="2" t="s">
        <v>55</v>
      </c>
      <c r="Q358" s="16"/>
    </row>
    <row r="359" spans="1:17" x14ac:dyDescent="0.3">
      <c r="A359" s="10">
        <v>21733</v>
      </c>
      <c r="B359" s="2" t="s">
        <v>3710</v>
      </c>
      <c r="C359" s="13">
        <v>5681</v>
      </c>
      <c r="D359" s="2" t="s">
        <v>44</v>
      </c>
      <c r="E359" s="14">
        <v>44893</v>
      </c>
      <c r="F359" s="10" t="s">
        <v>1112</v>
      </c>
      <c r="G359" s="25">
        <v>44898</v>
      </c>
      <c r="H359" s="10" t="s">
        <v>1113</v>
      </c>
      <c r="I359" s="10" t="s">
        <v>1114</v>
      </c>
      <c r="J359" s="15">
        <v>736317.51</v>
      </c>
      <c r="K359" s="15">
        <v>736013.23140000005</v>
      </c>
      <c r="L359" s="15">
        <v>304.27999999999997</v>
      </c>
      <c r="M359" s="15">
        <v>262.31</v>
      </c>
      <c r="N359" s="15">
        <v>0</v>
      </c>
      <c r="O359" s="15">
        <v>41.97</v>
      </c>
      <c r="P359" s="2" t="s">
        <v>55</v>
      </c>
      <c r="Q359" s="16"/>
    </row>
    <row r="360" spans="1:17" x14ac:dyDescent="0.3">
      <c r="A360" s="10">
        <v>21733</v>
      </c>
      <c r="B360" s="2" t="s">
        <v>3711</v>
      </c>
      <c r="C360" s="13">
        <v>5557</v>
      </c>
      <c r="D360" s="2" t="s">
        <v>44</v>
      </c>
      <c r="E360" s="14">
        <v>44270</v>
      </c>
      <c r="F360" s="10" t="s">
        <v>1115</v>
      </c>
      <c r="G360" s="25">
        <v>44292</v>
      </c>
      <c r="H360" s="10" t="s">
        <v>1116</v>
      </c>
      <c r="I360" s="10" t="s">
        <v>1117</v>
      </c>
      <c r="J360" s="15">
        <v>4279.09</v>
      </c>
      <c r="K360" s="15">
        <v>3973.4292</v>
      </c>
      <c r="L360" s="15">
        <v>305.66000000000003</v>
      </c>
      <c r="M360" s="15">
        <v>263.5</v>
      </c>
      <c r="N360" s="15">
        <v>0</v>
      </c>
      <c r="O360" s="15">
        <v>42.16</v>
      </c>
      <c r="P360" s="2" t="s">
        <v>55</v>
      </c>
      <c r="Q360" s="16"/>
    </row>
    <row r="361" spans="1:17" x14ac:dyDescent="0.3">
      <c r="A361" s="10">
        <v>21733</v>
      </c>
      <c r="B361" s="2" t="s">
        <v>3712</v>
      </c>
      <c r="C361" s="13">
        <v>5548</v>
      </c>
      <c r="D361" s="2" t="s">
        <v>44</v>
      </c>
      <c r="E361" s="14">
        <v>44648</v>
      </c>
      <c r="F361" s="10" t="s">
        <v>1118</v>
      </c>
      <c r="G361" s="25">
        <v>44653</v>
      </c>
      <c r="H361" s="10" t="s">
        <v>1119</v>
      </c>
      <c r="I361" s="10" t="s">
        <v>1120</v>
      </c>
      <c r="J361" s="15">
        <v>30639.64</v>
      </c>
      <c r="K361" s="15">
        <v>30333.373599999999</v>
      </c>
      <c r="L361" s="15">
        <v>306.27</v>
      </c>
      <c r="M361" s="15">
        <v>264.02</v>
      </c>
      <c r="N361" s="15">
        <v>0</v>
      </c>
      <c r="O361" s="15">
        <v>42.24</v>
      </c>
      <c r="P361" s="2" t="s">
        <v>55</v>
      </c>
      <c r="Q361" s="16"/>
    </row>
    <row r="362" spans="1:17" x14ac:dyDescent="0.3">
      <c r="A362" s="10">
        <v>21733</v>
      </c>
      <c r="B362" s="2" t="s">
        <v>3713</v>
      </c>
      <c r="C362" s="13">
        <v>5556</v>
      </c>
      <c r="D362" s="2" t="s">
        <v>44</v>
      </c>
      <c r="E362" s="14">
        <v>44335</v>
      </c>
      <c r="F362" s="10" t="s">
        <v>1121</v>
      </c>
      <c r="G362" s="25">
        <v>44341</v>
      </c>
      <c r="H362" s="10" t="s">
        <v>1122</v>
      </c>
      <c r="I362" s="10" t="s">
        <v>1123</v>
      </c>
      <c r="J362" s="15">
        <v>76424.929999999993</v>
      </c>
      <c r="K362" s="15">
        <v>76116.522720000008</v>
      </c>
      <c r="L362" s="15">
        <v>308.41000000000003</v>
      </c>
      <c r="M362" s="15">
        <v>265.87</v>
      </c>
      <c r="N362" s="15">
        <v>0</v>
      </c>
      <c r="O362" s="15">
        <v>42.54</v>
      </c>
      <c r="P362" s="2" t="s">
        <v>55</v>
      </c>
      <c r="Q362" s="16"/>
    </row>
    <row r="363" spans="1:17" x14ac:dyDescent="0.3">
      <c r="A363" s="10">
        <v>21733</v>
      </c>
      <c r="B363" s="2" t="s">
        <v>3714</v>
      </c>
      <c r="C363" s="13">
        <v>5548</v>
      </c>
      <c r="D363" s="2" t="s">
        <v>44</v>
      </c>
      <c r="E363" s="14">
        <v>44949</v>
      </c>
      <c r="F363" s="10" t="s">
        <v>1124</v>
      </c>
      <c r="G363" s="25">
        <v>44956</v>
      </c>
      <c r="H363" s="10" t="s">
        <v>1125</v>
      </c>
      <c r="I363" s="10" t="s">
        <v>1126</v>
      </c>
      <c r="J363" s="15">
        <v>1244266.81</v>
      </c>
      <c r="K363" s="15">
        <v>1243958.3918400002</v>
      </c>
      <c r="L363" s="15">
        <v>308.42</v>
      </c>
      <c r="M363" s="15">
        <v>265.88</v>
      </c>
      <c r="N363" s="15">
        <v>0</v>
      </c>
      <c r="O363" s="15">
        <v>42.54</v>
      </c>
      <c r="P363" s="2" t="s">
        <v>55</v>
      </c>
      <c r="Q363" s="16"/>
    </row>
    <row r="364" spans="1:17" x14ac:dyDescent="0.3">
      <c r="A364" s="10">
        <v>21733</v>
      </c>
      <c r="B364" s="2" t="s">
        <v>3715</v>
      </c>
      <c r="C364" s="13">
        <v>5681</v>
      </c>
      <c r="D364" s="2" t="s">
        <v>44</v>
      </c>
      <c r="E364" s="14">
        <v>44305</v>
      </c>
      <c r="F364" s="10" t="s">
        <v>1127</v>
      </c>
      <c r="G364" s="25">
        <v>44310</v>
      </c>
      <c r="H364" s="10" t="s">
        <v>1128</v>
      </c>
      <c r="I364" s="10" t="s">
        <v>1129</v>
      </c>
      <c r="J364" s="15">
        <v>66037.759999999995</v>
      </c>
      <c r="K364" s="15">
        <v>65729.339840000001</v>
      </c>
      <c r="L364" s="15">
        <v>308.42</v>
      </c>
      <c r="M364" s="15">
        <v>265.88</v>
      </c>
      <c r="N364" s="15">
        <v>0</v>
      </c>
      <c r="O364" s="15">
        <v>42.54</v>
      </c>
      <c r="P364" s="2" t="s">
        <v>55</v>
      </c>
      <c r="Q364" s="16"/>
    </row>
    <row r="365" spans="1:17" x14ac:dyDescent="0.3">
      <c r="A365" s="10">
        <v>21733</v>
      </c>
      <c r="B365" s="2" t="s">
        <v>3716</v>
      </c>
      <c r="C365" s="13">
        <v>5557</v>
      </c>
      <c r="D365" s="2" t="s">
        <v>44</v>
      </c>
      <c r="E365" s="14">
        <v>44354</v>
      </c>
      <c r="F365" s="10" t="s">
        <v>1130</v>
      </c>
      <c r="G365" s="25">
        <v>44359</v>
      </c>
      <c r="H365" s="10" t="s">
        <v>1131</v>
      </c>
      <c r="I365" s="10" t="s">
        <v>1132</v>
      </c>
      <c r="J365" s="15">
        <v>128507.83</v>
      </c>
      <c r="K365" s="15">
        <v>128199.01935999999</v>
      </c>
      <c r="L365" s="15">
        <v>308.81</v>
      </c>
      <c r="M365" s="15">
        <v>266.22000000000003</v>
      </c>
      <c r="N365" s="15">
        <v>0</v>
      </c>
      <c r="O365" s="15">
        <v>42.59</v>
      </c>
      <c r="P365" s="2" t="s">
        <v>55</v>
      </c>
      <c r="Q365" s="16"/>
    </row>
    <row r="366" spans="1:17" x14ac:dyDescent="0.3">
      <c r="A366" s="10">
        <v>21733</v>
      </c>
      <c r="B366" s="2" t="s">
        <v>3717</v>
      </c>
      <c r="C366" s="13">
        <v>5548</v>
      </c>
      <c r="D366" s="2" t="s">
        <v>44</v>
      </c>
      <c r="E366" s="14">
        <v>44726</v>
      </c>
      <c r="F366" s="10" t="s">
        <v>155</v>
      </c>
      <c r="G366" s="25">
        <v>44735</v>
      </c>
      <c r="H366" s="10" t="s">
        <v>1133</v>
      </c>
      <c r="I366" s="10" t="s">
        <v>1134</v>
      </c>
      <c r="J366" s="15">
        <v>828421.82</v>
      </c>
      <c r="K366" s="15">
        <v>828111.80607999989</v>
      </c>
      <c r="L366" s="15">
        <v>310.01</v>
      </c>
      <c r="M366" s="15">
        <v>267.25</v>
      </c>
      <c r="N366" s="15">
        <v>0</v>
      </c>
      <c r="O366" s="15">
        <v>42.76</v>
      </c>
      <c r="P366" s="2" t="s">
        <v>55</v>
      </c>
      <c r="Q366" s="16"/>
    </row>
    <row r="367" spans="1:17" x14ac:dyDescent="0.3">
      <c r="A367" s="10">
        <v>21733</v>
      </c>
      <c r="B367" s="2" t="s">
        <v>3718</v>
      </c>
      <c r="C367" s="13">
        <v>5548</v>
      </c>
      <c r="D367" s="2" t="s">
        <v>44</v>
      </c>
      <c r="E367" s="14">
        <v>44417</v>
      </c>
      <c r="F367" s="10" t="s">
        <v>1135</v>
      </c>
      <c r="G367" s="25">
        <v>44421</v>
      </c>
      <c r="H367" s="10" t="s">
        <v>1136</v>
      </c>
      <c r="I367" s="10" t="s">
        <v>1137</v>
      </c>
      <c r="J367" s="15">
        <v>977720.14</v>
      </c>
      <c r="K367" s="15">
        <v>977406.83831999952</v>
      </c>
      <c r="L367" s="15">
        <v>313.3</v>
      </c>
      <c r="M367" s="15">
        <v>270.08999999999997</v>
      </c>
      <c r="N367" s="15">
        <v>0</v>
      </c>
      <c r="O367" s="15">
        <v>43.21</v>
      </c>
      <c r="P367" s="2" t="s">
        <v>55</v>
      </c>
      <c r="Q367" s="16"/>
    </row>
    <row r="368" spans="1:17" x14ac:dyDescent="0.3">
      <c r="A368" s="10">
        <v>21733</v>
      </c>
      <c r="B368" s="2" t="s">
        <v>3719</v>
      </c>
      <c r="C368" s="13">
        <v>5549</v>
      </c>
      <c r="D368" s="2" t="s">
        <v>44</v>
      </c>
      <c r="E368" s="14">
        <v>44617</v>
      </c>
      <c r="F368" s="10" t="s">
        <v>1138</v>
      </c>
      <c r="G368" s="25">
        <v>44628</v>
      </c>
      <c r="H368" s="10" t="s">
        <v>1139</v>
      </c>
      <c r="I368" s="10" t="s">
        <v>1140</v>
      </c>
      <c r="J368" s="15">
        <v>1244806.08</v>
      </c>
      <c r="K368" s="15">
        <v>1244491.7552</v>
      </c>
      <c r="L368" s="15">
        <v>314.32</v>
      </c>
      <c r="M368" s="15">
        <v>270.97000000000003</v>
      </c>
      <c r="N368" s="15">
        <v>0</v>
      </c>
      <c r="O368" s="15">
        <v>43.36</v>
      </c>
      <c r="P368" s="2" t="s">
        <v>55</v>
      </c>
      <c r="Q368" s="16"/>
    </row>
    <row r="369" spans="1:17" x14ac:dyDescent="0.3">
      <c r="A369" s="10">
        <v>21733</v>
      </c>
      <c r="B369" s="2" t="s">
        <v>3720</v>
      </c>
      <c r="C369" s="13">
        <v>5537</v>
      </c>
      <c r="D369" s="2" t="s">
        <v>44</v>
      </c>
      <c r="E369" s="14">
        <v>44711</v>
      </c>
      <c r="F369" s="10" t="s">
        <v>1141</v>
      </c>
      <c r="G369" s="25">
        <v>44717</v>
      </c>
      <c r="H369" s="10" t="s">
        <v>1142</v>
      </c>
      <c r="I369" s="10" t="s">
        <v>1143</v>
      </c>
      <c r="J369" s="15">
        <v>181511.21</v>
      </c>
      <c r="K369" s="15">
        <v>181195.98576000001</v>
      </c>
      <c r="L369" s="15">
        <v>315.22000000000003</v>
      </c>
      <c r="M369" s="15">
        <v>271.75</v>
      </c>
      <c r="N369" s="15">
        <v>0</v>
      </c>
      <c r="O369" s="15">
        <v>43.48</v>
      </c>
      <c r="P369" s="2" t="s">
        <v>55</v>
      </c>
      <c r="Q369" s="16"/>
    </row>
    <row r="370" spans="1:17" x14ac:dyDescent="0.3">
      <c r="A370" s="10">
        <v>21733</v>
      </c>
      <c r="B370" s="2" t="s">
        <v>3721</v>
      </c>
      <c r="C370" s="13">
        <v>5537</v>
      </c>
      <c r="D370" s="2" t="s">
        <v>44</v>
      </c>
      <c r="E370" s="14">
        <v>44501</v>
      </c>
      <c r="F370" s="10" t="s">
        <v>1144</v>
      </c>
      <c r="G370" s="25">
        <v>44506</v>
      </c>
      <c r="H370" s="10" t="s">
        <v>1145</v>
      </c>
      <c r="I370" s="10" t="s">
        <v>1146</v>
      </c>
      <c r="J370" s="15">
        <v>191734.54</v>
      </c>
      <c r="K370" s="15">
        <v>191418.84884000005</v>
      </c>
      <c r="L370" s="15">
        <v>315.69</v>
      </c>
      <c r="M370" s="15">
        <v>272.14999999999998</v>
      </c>
      <c r="N370" s="15">
        <v>0</v>
      </c>
      <c r="O370" s="15">
        <v>43.54</v>
      </c>
      <c r="P370" s="2" t="s">
        <v>55</v>
      </c>
      <c r="Q370" s="16"/>
    </row>
    <row r="371" spans="1:17" x14ac:dyDescent="0.3">
      <c r="A371" s="10">
        <v>21733</v>
      </c>
      <c r="B371" s="2" t="s">
        <v>3722</v>
      </c>
      <c r="C371" s="13">
        <v>5548</v>
      </c>
      <c r="D371" s="2" t="s">
        <v>44</v>
      </c>
      <c r="E371" s="14">
        <v>44403</v>
      </c>
      <c r="F371" s="10" t="s">
        <v>1147</v>
      </c>
      <c r="G371" s="25">
        <v>44407</v>
      </c>
      <c r="H371" s="10" t="s">
        <v>1148</v>
      </c>
      <c r="I371" s="10" t="s">
        <v>1149</v>
      </c>
      <c r="J371" s="15">
        <v>32208.59</v>
      </c>
      <c r="K371" s="15">
        <v>31892.46</v>
      </c>
      <c r="L371" s="15">
        <v>316.13</v>
      </c>
      <c r="M371" s="15">
        <v>272.52999999999997</v>
      </c>
      <c r="N371" s="15">
        <v>0</v>
      </c>
      <c r="O371" s="15">
        <v>43.6</v>
      </c>
      <c r="P371" s="2" t="s">
        <v>55</v>
      </c>
      <c r="Q371" s="16"/>
    </row>
    <row r="372" spans="1:17" x14ac:dyDescent="0.3">
      <c r="A372" s="10">
        <v>21733</v>
      </c>
      <c r="B372" s="2" t="s">
        <v>3723</v>
      </c>
      <c r="C372" s="13">
        <v>5548</v>
      </c>
      <c r="D372" s="2" t="s">
        <v>44</v>
      </c>
      <c r="E372" s="14">
        <v>44333</v>
      </c>
      <c r="F372" s="10" t="s">
        <v>1150</v>
      </c>
      <c r="G372" s="25">
        <v>44338</v>
      </c>
      <c r="H372" s="10" t="s">
        <v>1151</v>
      </c>
      <c r="I372" s="10" t="s">
        <v>1152</v>
      </c>
      <c r="J372" s="15">
        <v>50506.85</v>
      </c>
      <c r="K372" s="15">
        <v>50190.671199999997</v>
      </c>
      <c r="L372" s="15">
        <v>316.18</v>
      </c>
      <c r="M372" s="15">
        <v>272.57</v>
      </c>
      <c r="N372" s="15">
        <v>0</v>
      </c>
      <c r="O372" s="15">
        <v>43.61</v>
      </c>
      <c r="P372" s="2" t="s">
        <v>55</v>
      </c>
      <c r="Q372" s="16"/>
    </row>
    <row r="373" spans="1:17" x14ac:dyDescent="0.3">
      <c r="A373" s="10">
        <v>21733</v>
      </c>
      <c r="B373" s="2" t="s">
        <v>3724</v>
      </c>
      <c r="C373" s="13">
        <v>5681</v>
      </c>
      <c r="D373" s="2" t="s">
        <v>44</v>
      </c>
      <c r="E373" s="14">
        <v>44739</v>
      </c>
      <c r="F373" s="10" t="s">
        <v>1153</v>
      </c>
      <c r="G373" s="25">
        <v>44744</v>
      </c>
      <c r="H373" s="10" t="s">
        <v>1154</v>
      </c>
      <c r="I373" s="10" t="s">
        <v>1155</v>
      </c>
      <c r="J373" s="15">
        <v>206460.73</v>
      </c>
      <c r="K373" s="15">
        <v>206144.33775999994</v>
      </c>
      <c r="L373" s="15">
        <v>316.39</v>
      </c>
      <c r="M373" s="15">
        <v>272.75</v>
      </c>
      <c r="N373" s="15">
        <v>0</v>
      </c>
      <c r="O373" s="15">
        <v>43.64</v>
      </c>
      <c r="P373" s="2" t="s">
        <v>55</v>
      </c>
      <c r="Q373" s="16"/>
    </row>
    <row r="374" spans="1:17" x14ac:dyDescent="0.3">
      <c r="A374" s="10">
        <v>21733</v>
      </c>
      <c r="B374" s="2" t="s">
        <v>3725</v>
      </c>
      <c r="C374" s="13">
        <v>5556</v>
      </c>
      <c r="D374" s="2" t="s">
        <v>44</v>
      </c>
      <c r="E374" s="14">
        <v>44734</v>
      </c>
      <c r="F374" s="10" t="s">
        <v>1156</v>
      </c>
      <c r="G374" s="25">
        <v>44741</v>
      </c>
      <c r="H374" s="10" t="s">
        <v>1157</v>
      </c>
      <c r="I374" s="10" t="s">
        <v>1158</v>
      </c>
      <c r="J374" s="15">
        <v>142849.44</v>
      </c>
      <c r="K374" s="15">
        <v>142533.04191999999</v>
      </c>
      <c r="L374" s="15">
        <v>316.39999999999998</v>
      </c>
      <c r="M374" s="15">
        <v>272.76</v>
      </c>
      <c r="N374" s="15">
        <v>0</v>
      </c>
      <c r="O374" s="15">
        <v>43.64</v>
      </c>
      <c r="P374" s="2" t="s">
        <v>55</v>
      </c>
      <c r="Q374" s="16"/>
    </row>
    <row r="375" spans="1:17" x14ac:dyDescent="0.3">
      <c r="A375" s="10">
        <v>21733</v>
      </c>
      <c r="B375" s="2" t="s">
        <v>3726</v>
      </c>
      <c r="C375" s="13">
        <v>5556</v>
      </c>
      <c r="D375" s="2" t="s">
        <v>44</v>
      </c>
      <c r="E375" s="14">
        <v>44643</v>
      </c>
      <c r="F375" s="10" t="s">
        <v>1159</v>
      </c>
      <c r="G375" s="25">
        <v>44649</v>
      </c>
      <c r="H375" s="10" t="s">
        <v>1160</v>
      </c>
      <c r="I375" s="10" t="s">
        <v>1161</v>
      </c>
      <c r="J375" s="15">
        <v>31776.23</v>
      </c>
      <c r="K375" s="15">
        <v>31458.601439999999</v>
      </c>
      <c r="L375" s="15">
        <v>317.63</v>
      </c>
      <c r="M375" s="15">
        <v>273.82</v>
      </c>
      <c r="N375" s="15">
        <v>0</v>
      </c>
      <c r="O375" s="15">
        <v>43.81</v>
      </c>
      <c r="P375" s="2" t="s">
        <v>55</v>
      </c>
      <c r="Q375" s="16"/>
    </row>
    <row r="376" spans="1:17" x14ac:dyDescent="0.3">
      <c r="A376" s="10">
        <v>21733</v>
      </c>
      <c r="B376" s="2" t="s">
        <v>3727</v>
      </c>
      <c r="C376" s="13">
        <v>5681</v>
      </c>
      <c r="D376" s="2" t="s">
        <v>44</v>
      </c>
      <c r="E376" s="14">
        <v>44326</v>
      </c>
      <c r="F376" s="10" t="s">
        <v>1162</v>
      </c>
      <c r="G376" s="25">
        <v>44331</v>
      </c>
      <c r="H376" s="10" t="s">
        <v>1163</v>
      </c>
      <c r="I376" s="10" t="s">
        <v>1164</v>
      </c>
      <c r="J376" s="15">
        <v>106100.45</v>
      </c>
      <c r="K376" s="15">
        <v>105782.6156</v>
      </c>
      <c r="L376" s="15">
        <v>317.83</v>
      </c>
      <c r="M376" s="15">
        <v>274</v>
      </c>
      <c r="N376" s="15">
        <v>0</v>
      </c>
      <c r="O376" s="15">
        <v>43.84</v>
      </c>
      <c r="P376" s="2" t="s">
        <v>55</v>
      </c>
      <c r="Q376" s="16"/>
    </row>
    <row r="377" spans="1:17" x14ac:dyDescent="0.3">
      <c r="A377" s="10">
        <v>21733</v>
      </c>
      <c r="B377" s="2" t="s">
        <v>3728</v>
      </c>
      <c r="C377" s="13">
        <v>5549</v>
      </c>
      <c r="D377" s="2" t="s">
        <v>44</v>
      </c>
      <c r="E377" s="14">
        <v>44627</v>
      </c>
      <c r="F377" s="10" t="s">
        <v>1165</v>
      </c>
      <c r="G377" s="25">
        <v>44632</v>
      </c>
      <c r="H377" s="10" t="s">
        <v>1166</v>
      </c>
      <c r="I377" s="10" t="s">
        <v>1167</v>
      </c>
      <c r="J377" s="15">
        <v>952876.15</v>
      </c>
      <c r="K377" s="15">
        <v>952558.1326400002</v>
      </c>
      <c r="L377" s="15">
        <v>318.02</v>
      </c>
      <c r="M377" s="15">
        <v>274.14999999999998</v>
      </c>
      <c r="N377" s="15">
        <v>0</v>
      </c>
      <c r="O377" s="15">
        <v>43.86</v>
      </c>
      <c r="P377" s="2" t="s">
        <v>55</v>
      </c>
      <c r="Q377" s="16"/>
    </row>
    <row r="378" spans="1:17" x14ac:dyDescent="0.3">
      <c r="A378" s="10">
        <v>21733</v>
      </c>
      <c r="B378" s="2" t="s">
        <v>3729</v>
      </c>
      <c r="C378" s="13">
        <v>5556</v>
      </c>
      <c r="D378" s="2" t="s">
        <v>44</v>
      </c>
      <c r="E378" s="14">
        <v>44748</v>
      </c>
      <c r="F378" s="10" t="s">
        <v>1168</v>
      </c>
      <c r="G378" s="25">
        <v>44756</v>
      </c>
      <c r="H378" s="10" t="s">
        <v>1169</v>
      </c>
      <c r="I378" s="10" t="s">
        <v>1170</v>
      </c>
      <c r="J378" s="15">
        <v>231661.63</v>
      </c>
      <c r="K378" s="15">
        <v>231342.84259999995</v>
      </c>
      <c r="L378" s="15">
        <v>318.79000000000002</v>
      </c>
      <c r="M378" s="15">
        <v>274.82</v>
      </c>
      <c r="N378" s="15">
        <v>0</v>
      </c>
      <c r="O378" s="15">
        <v>43.97</v>
      </c>
      <c r="P378" s="2" t="s">
        <v>55</v>
      </c>
      <c r="Q378" s="16"/>
    </row>
    <row r="379" spans="1:17" x14ac:dyDescent="0.3">
      <c r="A379" s="10">
        <v>21733</v>
      </c>
      <c r="B379" s="2" t="s">
        <v>3730</v>
      </c>
      <c r="C379" s="13">
        <v>5681</v>
      </c>
      <c r="D379" s="2" t="s">
        <v>44</v>
      </c>
      <c r="E379" s="14">
        <v>44284</v>
      </c>
      <c r="F379" s="10" t="s">
        <v>1171</v>
      </c>
      <c r="G379" s="25">
        <v>44292</v>
      </c>
      <c r="H379" s="10" t="s">
        <v>1172</v>
      </c>
      <c r="I379" s="10" t="s">
        <v>1173</v>
      </c>
      <c r="J379" s="15">
        <v>234336.7</v>
      </c>
      <c r="K379" s="15">
        <v>234016.00808000003</v>
      </c>
      <c r="L379" s="15">
        <v>320.69</v>
      </c>
      <c r="M379" s="15">
        <v>276.45999999999998</v>
      </c>
      <c r="N379" s="15">
        <v>0</v>
      </c>
      <c r="O379" s="15">
        <v>44.23</v>
      </c>
      <c r="P379" s="2" t="s">
        <v>55</v>
      </c>
      <c r="Q379" s="16"/>
    </row>
    <row r="380" spans="1:17" x14ac:dyDescent="0.3">
      <c r="A380" s="10">
        <v>21733</v>
      </c>
      <c r="B380" s="2" t="s">
        <v>3731</v>
      </c>
      <c r="C380" s="13">
        <v>5681</v>
      </c>
      <c r="D380" s="2" t="s">
        <v>44</v>
      </c>
      <c r="E380" s="14">
        <v>44883</v>
      </c>
      <c r="F380" s="10" t="s">
        <v>1174</v>
      </c>
      <c r="G380" s="25">
        <v>44898</v>
      </c>
      <c r="H380" s="10" t="s">
        <v>1175</v>
      </c>
      <c r="I380" s="10" t="s">
        <v>1176</v>
      </c>
      <c r="J380" s="15">
        <v>295554.3</v>
      </c>
      <c r="K380" s="15">
        <v>295232.16608</v>
      </c>
      <c r="L380" s="15">
        <v>322.13</v>
      </c>
      <c r="M380" s="15">
        <v>277.7</v>
      </c>
      <c r="N380" s="15">
        <v>0</v>
      </c>
      <c r="O380" s="15">
        <v>44.43</v>
      </c>
      <c r="P380" s="2" t="s">
        <v>55</v>
      </c>
      <c r="Q380" s="16"/>
    </row>
    <row r="381" spans="1:17" x14ac:dyDescent="0.3">
      <c r="A381" s="10">
        <v>21733</v>
      </c>
      <c r="B381" s="2" t="s">
        <v>3732</v>
      </c>
      <c r="C381" s="13">
        <v>5557</v>
      </c>
      <c r="D381" s="2" t="s">
        <v>44</v>
      </c>
      <c r="E381" s="14">
        <v>44942</v>
      </c>
      <c r="F381" s="10" t="s">
        <v>1177</v>
      </c>
      <c r="G381" s="25">
        <v>44947</v>
      </c>
      <c r="H381" s="10" t="s">
        <v>1178</v>
      </c>
      <c r="I381" s="10" t="s">
        <v>1179</v>
      </c>
      <c r="J381" s="15">
        <v>1243541.83</v>
      </c>
      <c r="K381" s="15">
        <v>1243218.7340800001</v>
      </c>
      <c r="L381" s="15">
        <v>323.10000000000002</v>
      </c>
      <c r="M381" s="15">
        <v>278.52999999999997</v>
      </c>
      <c r="N381" s="15">
        <v>0</v>
      </c>
      <c r="O381" s="15">
        <v>44.56</v>
      </c>
      <c r="P381" s="2" t="s">
        <v>55</v>
      </c>
      <c r="Q381" s="16"/>
    </row>
    <row r="382" spans="1:17" x14ac:dyDescent="0.3">
      <c r="A382" s="10">
        <v>21733</v>
      </c>
      <c r="B382" s="2" t="s">
        <v>3733</v>
      </c>
      <c r="C382" s="13">
        <v>5557</v>
      </c>
      <c r="D382" s="2" t="s">
        <v>44</v>
      </c>
      <c r="E382" s="14">
        <v>44809</v>
      </c>
      <c r="F382" s="10" t="s">
        <v>1180</v>
      </c>
      <c r="G382" s="25">
        <v>44814</v>
      </c>
      <c r="H382" s="10" t="s">
        <v>1181</v>
      </c>
      <c r="I382" s="10" t="s">
        <v>1182</v>
      </c>
      <c r="J382" s="15">
        <v>689596.24</v>
      </c>
      <c r="K382" s="15">
        <v>689272.53591999982</v>
      </c>
      <c r="L382" s="15">
        <v>323.7</v>
      </c>
      <c r="M382" s="15">
        <v>279.06</v>
      </c>
      <c r="N382" s="15">
        <v>0</v>
      </c>
      <c r="O382" s="15">
        <v>44.65</v>
      </c>
      <c r="P382" s="2" t="s">
        <v>55</v>
      </c>
      <c r="Q382" s="16"/>
    </row>
    <row r="383" spans="1:17" x14ac:dyDescent="0.3">
      <c r="A383" s="10">
        <v>21733</v>
      </c>
      <c r="B383" s="2" t="s">
        <v>3734</v>
      </c>
      <c r="C383" s="13">
        <v>5556</v>
      </c>
      <c r="D383" s="2" t="s">
        <v>44</v>
      </c>
      <c r="E383" s="14">
        <v>44426</v>
      </c>
      <c r="F383" s="10" t="s">
        <v>1183</v>
      </c>
      <c r="G383" s="25">
        <v>44432</v>
      </c>
      <c r="H383" s="10" t="s">
        <v>1184</v>
      </c>
      <c r="I383" s="10" t="s">
        <v>1185</v>
      </c>
      <c r="J383" s="15">
        <v>231470.37</v>
      </c>
      <c r="K383" s="15">
        <v>231145.53703999997</v>
      </c>
      <c r="L383" s="15">
        <v>324.83</v>
      </c>
      <c r="M383" s="15">
        <v>280.02999999999997</v>
      </c>
      <c r="N383" s="15">
        <v>0</v>
      </c>
      <c r="O383" s="15">
        <v>44.8</v>
      </c>
      <c r="P383" s="2" t="s">
        <v>55</v>
      </c>
      <c r="Q383" s="16"/>
    </row>
    <row r="384" spans="1:17" x14ac:dyDescent="0.3">
      <c r="A384" s="10">
        <v>21733</v>
      </c>
      <c r="B384" s="2" t="s">
        <v>3735</v>
      </c>
      <c r="C384" s="13">
        <v>5537</v>
      </c>
      <c r="D384" s="2" t="s">
        <v>44</v>
      </c>
      <c r="E384" s="14">
        <v>44537</v>
      </c>
      <c r="F384" s="10" t="s">
        <v>1186</v>
      </c>
      <c r="G384" s="25">
        <v>44553</v>
      </c>
      <c r="H384" s="10" t="s">
        <v>1187</v>
      </c>
      <c r="I384" s="10" t="s">
        <v>1188</v>
      </c>
      <c r="J384" s="15">
        <v>45636.23</v>
      </c>
      <c r="K384" s="15">
        <v>45309.530400000003</v>
      </c>
      <c r="L384" s="15">
        <v>326.7</v>
      </c>
      <c r="M384" s="15">
        <v>281.64</v>
      </c>
      <c r="N384" s="15">
        <v>0</v>
      </c>
      <c r="O384" s="15">
        <v>45.06</v>
      </c>
      <c r="P384" s="2" t="s">
        <v>55</v>
      </c>
      <c r="Q384" s="16"/>
    </row>
    <row r="385" spans="1:17" x14ac:dyDescent="0.3">
      <c r="A385" s="10">
        <v>21733</v>
      </c>
      <c r="B385" s="2" t="s">
        <v>3736</v>
      </c>
      <c r="C385" s="13">
        <v>5557</v>
      </c>
      <c r="D385" s="2" t="s">
        <v>44</v>
      </c>
      <c r="E385" s="14">
        <v>44459</v>
      </c>
      <c r="F385" s="10" t="s">
        <v>1189</v>
      </c>
      <c r="G385" s="25">
        <v>44463</v>
      </c>
      <c r="H385" s="10" t="s">
        <v>1190</v>
      </c>
      <c r="I385" s="10" t="s">
        <v>1191</v>
      </c>
      <c r="J385" s="15">
        <v>836804.22</v>
      </c>
      <c r="K385" s="15">
        <v>836475.18103999994</v>
      </c>
      <c r="L385" s="15">
        <v>329.04</v>
      </c>
      <c r="M385" s="15">
        <v>283.64999999999998</v>
      </c>
      <c r="N385" s="15">
        <v>0</v>
      </c>
      <c r="O385" s="15">
        <v>45.38</v>
      </c>
      <c r="P385" s="2" t="s">
        <v>55</v>
      </c>
      <c r="Q385" s="16"/>
    </row>
    <row r="386" spans="1:17" x14ac:dyDescent="0.3">
      <c r="A386" s="10">
        <v>21733</v>
      </c>
      <c r="B386" s="2" t="s">
        <v>3737</v>
      </c>
      <c r="C386" s="13">
        <v>5681</v>
      </c>
      <c r="D386" s="2" t="s">
        <v>44</v>
      </c>
      <c r="E386" s="14">
        <v>44537</v>
      </c>
      <c r="F386" s="10" t="s">
        <v>1192</v>
      </c>
      <c r="G386" s="25">
        <v>44546</v>
      </c>
      <c r="H386" s="10" t="s">
        <v>1193</v>
      </c>
      <c r="I386" s="10" t="s">
        <v>1194</v>
      </c>
      <c r="J386" s="15">
        <v>133740.01</v>
      </c>
      <c r="K386" s="15">
        <v>133410.67432000002</v>
      </c>
      <c r="L386" s="15">
        <v>329.34</v>
      </c>
      <c r="M386" s="15">
        <v>283.91000000000003</v>
      </c>
      <c r="N386" s="15">
        <v>0</v>
      </c>
      <c r="O386" s="15">
        <v>45.43</v>
      </c>
      <c r="P386" s="2" t="s">
        <v>55</v>
      </c>
      <c r="Q386" s="16"/>
    </row>
    <row r="387" spans="1:17" x14ac:dyDescent="0.3">
      <c r="A387" s="10">
        <v>21733</v>
      </c>
      <c r="B387" s="2" t="s">
        <v>3738</v>
      </c>
      <c r="C387" s="13">
        <v>5681</v>
      </c>
      <c r="D387" s="2" t="s">
        <v>44</v>
      </c>
      <c r="E387" s="14">
        <v>44585</v>
      </c>
      <c r="F387" s="10" t="s">
        <v>1195</v>
      </c>
      <c r="G387" s="25">
        <v>44590</v>
      </c>
      <c r="H387" s="10" t="s">
        <v>1196</v>
      </c>
      <c r="I387" s="10" t="s">
        <v>1197</v>
      </c>
      <c r="J387" s="15">
        <v>188101.41</v>
      </c>
      <c r="K387" s="15">
        <v>187771.91207999992</v>
      </c>
      <c r="L387" s="15">
        <v>329.5</v>
      </c>
      <c r="M387" s="15">
        <v>284.05</v>
      </c>
      <c r="N387" s="15">
        <v>0</v>
      </c>
      <c r="O387" s="15">
        <v>45.45</v>
      </c>
      <c r="P387" s="2" t="s">
        <v>55</v>
      </c>
      <c r="Q387" s="16"/>
    </row>
    <row r="388" spans="1:17" x14ac:dyDescent="0.3">
      <c r="A388" s="10">
        <v>21733</v>
      </c>
      <c r="B388" s="2" t="s">
        <v>3739</v>
      </c>
      <c r="C388" s="13">
        <v>5557</v>
      </c>
      <c r="D388" s="2" t="s">
        <v>44</v>
      </c>
      <c r="E388" s="14">
        <v>45040</v>
      </c>
      <c r="F388" s="10" t="s">
        <v>1198</v>
      </c>
      <c r="G388" s="25">
        <v>45045</v>
      </c>
      <c r="H388" s="10" t="s">
        <v>1199</v>
      </c>
      <c r="I388" s="10" t="s">
        <v>1200</v>
      </c>
      <c r="J388" s="15">
        <v>941780.05</v>
      </c>
      <c r="K388" s="15">
        <v>941449.39147999999</v>
      </c>
      <c r="L388" s="15">
        <v>330.66</v>
      </c>
      <c r="M388" s="15">
        <v>285.05</v>
      </c>
      <c r="N388" s="15">
        <v>0</v>
      </c>
      <c r="O388" s="15">
        <v>45.61</v>
      </c>
      <c r="P388" s="2" t="s">
        <v>55</v>
      </c>
      <c r="Q388" s="16"/>
    </row>
    <row r="389" spans="1:17" x14ac:dyDescent="0.3">
      <c r="A389" s="10">
        <v>21733</v>
      </c>
      <c r="B389" s="2" t="s">
        <v>3740</v>
      </c>
      <c r="C389" s="13">
        <v>5557</v>
      </c>
      <c r="D389" s="2" t="s">
        <v>44</v>
      </c>
      <c r="E389" s="14">
        <v>44712</v>
      </c>
      <c r="F389" s="10" t="s">
        <v>1201</v>
      </c>
      <c r="G389" s="25">
        <v>44728</v>
      </c>
      <c r="H389" s="10" t="s">
        <v>1202</v>
      </c>
      <c r="I389" s="10" t="s">
        <v>1203</v>
      </c>
      <c r="J389" s="15">
        <v>260186.6</v>
      </c>
      <c r="K389" s="15">
        <v>259855.20064</v>
      </c>
      <c r="L389" s="15">
        <v>331.4</v>
      </c>
      <c r="M389" s="15">
        <v>285.69</v>
      </c>
      <c r="N389" s="15">
        <v>0</v>
      </c>
      <c r="O389" s="15">
        <v>45.71</v>
      </c>
      <c r="P389" s="2" t="s">
        <v>55</v>
      </c>
      <c r="Q389" s="16"/>
    </row>
    <row r="390" spans="1:17" x14ac:dyDescent="0.3">
      <c r="A390" s="10">
        <v>21733</v>
      </c>
      <c r="B390" s="2" t="s">
        <v>3741</v>
      </c>
      <c r="C390" s="13">
        <v>5556</v>
      </c>
      <c r="D390" s="2" t="s">
        <v>44</v>
      </c>
      <c r="E390" s="14">
        <v>44370</v>
      </c>
      <c r="F390" s="10" t="s">
        <v>1204</v>
      </c>
      <c r="G390" s="25">
        <v>44377</v>
      </c>
      <c r="H390" s="10" t="s">
        <v>1205</v>
      </c>
      <c r="I390" s="10" t="s">
        <v>1206</v>
      </c>
      <c r="J390" s="15">
        <v>687231.79</v>
      </c>
      <c r="K390" s="15">
        <v>686899.71415999986</v>
      </c>
      <c r="L390" s="15">
        <v>332.08</v>
      </c>
      <c r="M390" s="15">
        <v>286.27</v>
      </c>
      <c r="N390" s="15">
        <v>0</v>
      </c>
      <c r="O390" s="15">
        <v>45.8</v>
      </c>
      <c r="P390" s="2" t="s">
        <v>55</v>
      </c>
      <c r="Q390" s="16"/>
    </row>
    <row r="391" spans="1:17" x14ac:dyDescent="0.3">
      <c r="A391" s="10">
        <v>21733</v>
      </c>
      <c r="B391" s="2" t="s">
        <v>3742</v>
      </c>
      <c r="C391" s="13">
        <v>5557</v>
      </c>
      <c r="D391" s="2" t="s">
        <v>44</v>
      </c>
      <c r="E391" s="14">
        <v>44641</v>
      </c>
      <c r="F391" s="10" t="s">
        <v>1207</v>
      </c>
      <c r="G391" s="25">
        <v>44646</v>
      </c>
      <c r="H391" s="10" t="s">
        <v>1208</v>
      </c>
      <c r="I391" s="10" t="s">
        <v>1209</v>
      </c>
      <c r="J391" s="15">
        <v>33456.949999999997</v>
      </c>
      <c r="K391" s="15">
        <v>33122.438160000005</v>
      </c>
      <c r="L391" s="15">
        <v>334.51</v>
      </c>
      <c r="M391" s="15">
        <v>288.37</v>
      </c>
      <c r="N391" s="15">
        <v>0</v>
      </c>
      <c r="O391" s="15">
        <v>46.14</v>
      </c>
      <c r="P391" s="2" t="s">
        <v>55</v>
      </c>
      <c r="Q391" s="16"/>
    </row>
    <row r="392" spans="1:17" x14ac:dyDescent="0.3">
      <c r="A392" s="10">
        <v>21733</v>
      </c>
      <c r="B392" s="2" t="s">
        <v>3743</v>
      </c>
      <c r="C392" s="13">
        <v>5537</v>
      </c>
      <c r="D392" s="2" t="s">
        <v>44</v>
      </c>
      <c r="E392" s="14">
        <v>45033</v>
      </c>
      <c r="F392" s="10" t="s">
        <v>1210</v>
      </c>
      <c r="G392" s="25">
        <v>45043</v>
      </c>
      <c r="H392" s="10" t="s">
        <v>1211</v>
      </c>
      <c r="I392" s="10" t="s">
        <v>1212</v>
      </c>
      <c r="J392" s="15">
        <v>843779.65</v>
      </c>
      <c r="K392" s="15">
        <v>843444.14436000027</v>
      </c>
      <c r="L392" s="15">
        <v>335.51</v>
      </c>
      <c r="M392" s="15">
        <v>289.23</v>
      </c>
      <c r="N392" s="15">
        <v>0</v>
      </c>
      <c r="O392" s="15">
        <v>46.28</v>
      </c>
      <c r="P392" s="2" t="s">
        <v>55</v>
      </c>
      <c r="Q392" s="16"/>
    </row>
    <row r="393" spans="1:17" x14ac:dyDescent="0.3">
      <c r="A393" s="10">
        <v>21733</v>
      </c>
      <c r="B393" s="2" t="s">
        <v>3744</v>
      </c>
      <c r="C393" s="13">
        <v>5537</v>
      </c>
      <c r="D393" s="2" t="s">
        <v>44</v>
      </c>
      <c r="E393" s="14">
        <v>44354</v>
      </c>
      <c r="F393" s="10" t="s">
        <v>1213</v>
      </c>
      <c r="G393" s="25">
        <v>44359</v>
      </c>
      <c r="H393" s="10" t="s">
        <v>1214</v>
      </c>
      <c r="I393" s="10" t="s">
        <v>1215</v>
      </c>
      <c r="J393" s="15">
        <v>246962.18</v>
      </c>
      <c r="K393" s="15">
        <v>246626.26252000008</v>
      </c>
      <c r="L393" s="15">
        <v>335.92</v>
      </c>
      <c r="M393" s="15">
        <v>289.58</v>
      </c>
      <c r="N393" s="15">
        <v>0</v>
      </c>
      <c r="O393" s="15">
        <v>46.33</v>
      </c>
      <c r="P393" s="2" t="s">
        <v>55</v>
      </c>
      <c r="Q393" s="16"/>
    </row>
    <row r="394" spans="1:17" x14ac:dyDescent="0.3">
      <c r="A394" s="10">
        <v>21733</v>
      </c>
      <c r="B394" s="2" t="s">
        <v>3745</v>
      </c>
      <c r="C394" s="13">
        <v>5548</v>
      </c>
      <c r="D394" s="2" t="s">
        <v>44</v>
      </c>
      <c r="E394" s="14">
        <v>44424</v>
      </c>
      <c r="F394" s="10" t="s">
        <v>1216</v>
      </c>
      <c r="G394" s="25">
        <v>44428</v>
      </c>
      <c r="H394" s="10" t="s">
        <v>1217</v>
      </c>
      <c r="I394" s="10" t="s">
        <v>1218</v>
      </c>
      <c r="J394" s="15">
        <v>74183.67</v>
      </c>
      <c r="K394" s="15">
        <v>73847.650880000001</v>
      </c>
      <c r="L394" s="15">
        <v>336.02</v>
      </c>
      <c r="M394" s="15">
        <v>289.67</v>
      </c>
      <c r="N394" s="15">
        <v>0</v>
      </c>
      <c r="O394" s="15">
        <v>46.35</v>
      </c>
      <c r="P394" s="2" t="s">
        <v>55</v>
      </c>
      <c r="Q394" s="16"/>
    </row>
    <row r="395" spans="1:17" x14ac:dyDescent="0.3">
      <c r="A395" s="10">
        <v>21733</v>
      </c>
      <c r="B395" s="2" t="s">
        <v>3746</v>
      </c>
      <c r="C395" s="13">
        <v>5549</v>
      </c>
      <c r="D395" s="2" t="s">
        <v>44</v>
      </c>
      <c r="E395" s="14">
        <v>44999</v>
      </c>
      <c r="F395" s="10" t="s">
        <v>1219</v>
      </c>
      <c r="G395" s="25">
        <v>45014</v>
      </c>
      <c r="H395" s="10" t="s">
        <v>1220</v>
      </c>
      <c r="I395" s="10" t="s">
        <v>1221</v>
      </c>
      <c r="J395" s="15">
        <v>997548.72</v>
      </c>
      <c r="K395" s="15">
        <v>997210.66919999989</v>
      </c>
      <c r="L395" s="15">
        <v>338.05</v>
      </c>
      <c r="M395" s="15">
        <v>291.42</v>
      </c>
      <c r="N395" s="15">
        <v>0</v>
      </c>
      <c r="O395" s="15">
        <v>46.63</v>
      </c>
      <c r="P395" s="2" t="s">
        <v>55</v>
      </c>
      <c r="Q395" s="16"/>
    </row>
    <row r="396" spans="1:17" x14ac:dyDescent="0.3">
      <c r="A396" s="10">
        <v>21733</v>
      </c>
      <c r="B396" s="2" t="s">
        <v>3747</v>
      </c>
      <c r="C396" s="13">
        <v>5537</v>
      </c>
      <c r="D396" s="2" t="s">
        <v>44</v>
      </c>
      <c r="E396" s="14">
        <v>44726</v>
      </c>
      <c r="F396" s="10" t="s">
        <v>1222</v>
      </c>
      <c r="G396" s="25">
        <v>44743</v>
      </c>
      <c r="H396" s="10" t="s">
        <v>1223</v>
      </c>
      <c r="I396" s="10" t="s">
        <v>1224</v>
      </c>
      <c r="J396" s="15">
        <v>657621.11</v>
      </c>
      <c r="K396" s="15">
        <v>657282.84008000011</v>
      </c>
      <c r="L396" s="15">
        <v>338.27</v>
      </c>
      <c r="M396" s="15">
        <v>291.61</v>
      </c>
      <c r="N396" s="15">
        <v>0</v>
      </c>
      <c r="O396" s="15">
        <v>46.66</v>
      </c>
      <c r="P396" s="2" t="s">
        <v>55</v>
      </c>
      <c r="Q396" s="16"/>
    </row>
    <row r="397" spans="1:17" x14ac:dyDescent="0.3">
      <c r="A397" s="10">
        <v>21733</v>
      </c>
      <c r="B397" s="2" t="s">
        <v>3748</v>
      </c>
      <c r="C397" s="13">
        <v>5537</v>
      </c>
      <c r="D397" s="2" t="s">
        <v>44</v>
      </c>
      <c r="E397" s="14">
        <v>44417</v>
      </c>
      <c r="F397" s="10" t="s">
        <v>1225</v>
      </c>
      <c r="G397" s="25">
        <v>44421</v>
      </c>
      <c r="H397" s="10" t="s">
        <v>1226</v>
      </c>
      <c r="I397" s="10" t="s">
        <v>1227</v>
      </c>
      <c r="J397" s="15">
        <v>95351.01</v>
      </c>
      <c r="K397" s="15">
        <v>95009.688639999993</v>
      </c>
      <c r="L397" s="15">
        <v>341.32</v>
      </c>
      <c r="M397" s="15">
        <v>294.24</v>
      </c>
      <c r="N397" s="15">
        <v>0</v>
      </c>
      <c r="O397" s="15">
        <v>47.08</v>
      </c>
      <c r="P397" s="2" t="s">
        <v>55</v>
      </c>
      <c r="Q397" s="16"/>
    </row>
    <row r="398" spans="1:17" x14ac:dyDescent="0.3">
      <c r="A398" s="10">
        <v>21733</v>
      </c>
      <c r="B398" s="2" t="s">
        <v>3749</v>
      </c>
      <c r="C398" s="13">
        <v>5554</v>
      </c>
      <c r="D398" s="2" t="s">
        <v>44</v>
      </c>
      <c r="E398" s="14">
        <v>43855</v>
      </c>
      <c r="F398" s="10" t="s">
        <v>1228</v>
      </c>
      <c r="G398" s="25">
        <v>43862</v>
      </c>
      <c r="H398" s="10" t="s">
        <v>1229</v>
      </c>
      <c r="I398" s="10" t="s">
        <v>1230</v>
      </c>
      <c r="J398" s="15">
        <v>329893.25</v>
      </c>
      <c r="K398" s="15">
        <v>329551.72655999998</v>
      </c>
      <c r="L398" s="15">
        <v>341.52</v>
      </c>
      <c r="M398" s="15">
        <v>294.42</v>
      </c>
      <c r="N398" s="15">
        <v>0</v>
      </c>
      <c r="O398" s="15">
        <v>47.11</v>
      </c>
      <c r="P398" s="2" t="s">
        <v>55</v>
      </c>
      <c r="Q398" s="16"/>
    </row>
    <row r="399" spans="1:17" x14ac:dyDescent="0.3">
      <c r="A399" s="10">
        <v>21733</v>
      </c>
      <c r="B399" s="2" t="s">
        <v>3750</v>
      </c>
      <c r="C399" s="13">
        <v>5556</v>
      </c>
      <c r="D399" s="2" t="s">
        <v>44</v>
      </c>
      <c r="E399" s="14">
        <v>44750</v>
      </c>
      <c r="F399" s="10" t="s">
        <v>1231</v>
      </c>
      <c r="G399" s="25">
        <v>44758</v>
      </c>
      <c r="H399" s="10" t="s">
        <v>1232</v>
      </c>
      <c r="I399" s="10" t="s">
        <v>1233</v>
      </c>
      <c r="J399" s="15">
        <v>728647.61</v>
      </c>
      <c r="K399" s="15">
        <v>728305.69840000011</v>
      </c>
      <c r="L399" s="15">
        <v>341.91</v>
      </c>
      <c r="M399" s="15">
        <v>294.75</v>
      </c>
      <c r="N399" s="15">
        <v>0</v>
      </c>
      <c r="O399" s="15">
        <v>47.16</v>
      </c>
      <c r="P399" s="2" t="s">
        <v>55</v>
      </c>
      <c r="Q399" s="16"/>
    </row>
    <row r="400" spans="1:17" x14ac:dyDescent="0.3">
      <c r="A400" s="10">
        <v>21733</v>
      </c>
      <c r="B400" s="2" t="s">
        <v>3751</v>
      </c>
      <c r="C400" s="13">
        <v>5537</v>
      </c>
      <c r="D400" s="2" t="s">
        <v>44</v>
      </c>
      <c r="E400" s="14">
        <v>44956</v>
      </c>
      <c r="F400" s="10" t="s">
        <v>1234</v>
      </c>
      <c r="G400" s="25">
        <v>44960</v>
      </c>
      <c r="H400" s="10" t="s">
        <v>1235</v>
      </c>
      <c r="I400" s="10" t="s">
        <v>1236</v>
      </c>
      <c r="J400" s="15">
        <v>162403.35</v>
      </c>
      <c r="K400" s="15">
        <v>162061.23360000004</v>
      </c>
      <c r="L400" s="15">
        <v>342.12</v>
      </c>
      <c r="M400" s="15">
        <v>294.93</v>
      </c>
      <c r="N400" s="15">
        <v>0</v>
      </c>
      <c r="O400" s="15">
        <v>47.19</v>
      </c>
      <c r="P400" s="2" t="s">
        <v>55</v>
      </c>
      <c r="Q400" s="16"/>
    </row>
    <row r="401" spans="1:17" x14ac:dyDescent="0.3">
      <c r="A401" s="10">
        <v>21733</v>
      </c>
      <c r="B401" s="2" t="s">
        <v>3752</v>
      </c>
      <c r="C401" s="13">
        <v>5681</v>
      </c>
      <c r="D401" s="2" t="s">
        <v>44</v>
      </c>
      <c r="E401" s="14">
        <v>44781</v>
      </c>
      <c r="F401" s="10" t="s">
        <v>1237</v>
      </c>
      <c r="G401" s="25">
        <v>44786</v>
      </c>
      <c r="H401" s="10" t="s">
        <v>1238</v>
      </c>
      <c r="I401" s="10" t="s">
        <v>1239</v>
      </c>
      <c r="J401" s="15">
        <v>203926.77</v>
      </c>
      <c r="K401" s="15">
        <v>203583.63196000003</v>
      </c>
      <c r="L401" s="15">
        <v>343.14</v>
      </c>
      <c r="M401" s="15">
        <v>295.81</v>
      </c>
      <c r="N401" s="15">
        <v>0</v>
      </c>
      <c r="O401" s="15">
        <v>47.33</v>
      </c>
      <c r="P401" s="2" t="s">
        <v>55</v>
      </c>
      <c r="Q401" s="16"/>
    </row>
    <row r="402" spans="1:17" x14ac:dyDescent="0.3">
      <c r="A402" s="10">
        <v>21733</v>
      </c>
      <c r="B402" s="2" t="s">
        <v>3753</v>
      </c>
      <c r="C402" s="13">
        <v>5548</v>
      </c>
      <c r="D402" s="2" t="s">
        <v>44</v>
      </c>
      <c r="E402" s="14">
        <v>44578</v>
      </c>
      <c r="F402" s="10" t="s">
        <v>1240</v>
      </c>
      <c r="G402" s="25">
        <v>44582</v>
      </c>
      <c r="H402" s="10" t="s">
        <v>1241</v>
      </c>
      <c r="I402" s="10" t="s">
        <v>1242</v>
      </c>
      <c r="J402" s="15">
        <v>1000873.49</v>
      </c>
      <c r="K402" s="15">
        <v>1000529.55216</v>
      </c>
      <c r="L402" s="15">
        <v>343.94</v>
      </c>
      <c r="M402" s="15">
        <v>296.5</v>
      </c>
      <c r="N402" s="15">
        <v>0</v>
      </c>
      <c r="O402" s="15">
        <v>47.44</v>
      </c>
      <c r="P402" s="2" t="s">
        <v>55</v>
      </c>
      <c r="Q402" s="16"/>
    </row>
    <row r="403" spans="1:17" x14ac:dyDescent="0.3">
      <c r="A403" s="10">
        <v>21733</v>
      </c>
      <c r="B403" s="2" t="s">
        <v>3754</v>
      </c>
      <c r="C403" s="13">
        <v>5548</v>
      </c>
      <c r="D403" s="2" t="s">
        <v>44</v>
      </c>
      <c r="E403" s="14">
        <v>44291</v>
      </c>
      <c r="F403" s="10" t="s">
        <v>1243</v>
      </c>
      <c r="G403" s="25">
        <v>44296</v>
      </c>
      <c r="H403" s="10" t="s">
        <v>1244</v>
      </c>
      <c r="I403" s="10" t="s">
        <v>1245</v>
      </c>
      <c r="J403" s="15">
        <v>29090.95</v>
      </c>
      <c r="K403" s="15">
        <v>28745.390439999999</v>
      </c>
      <c r="L403" s="15">
        <v>345.56</v>
      </c>
      <c r="M403" s="15">
        <v>297.89999999999998</v>
      </c>
      <c r="N403" s="15">
        <v>0</v>
      </c>
      <c r="O403" s="15">
        <v>47.66</v>
      </c>
      <c r="P403" s="2" t="s">
        <v>55</v>
      </c>
      <c r="Q403" s="16"/>
    </row>
    <row r="404" spans="1:17" x14ac:dyDescent="0.3">
      <c r="A404" s="10">
        <v>21733</v>
      </c>
      <c r="B404" s="2" t="s">
        <v>3755</v>
      </c>
      <c r="C404" s="13">
        <v>5557</v>
      </c>
      <c r="D404" s="2" t="s">
        <v>44</v>
      </c>
      <c r="E404" s="14">
        <v>44537</v>
      </c>
      <c r="F404" s="10" t="s">
        <v>1246</v>
      </c>
      <c r="G404" s="25">
        <v>44546</v>
      </c>
      <c r="H404" s="10" t="s">
        <v>1247</v>
      </c>
      <c r="I404" s="10" t="s">
        <v>1248</v>
      </c>
      <c r="J404" s="15">
        <v>146447.66</v>
      </c>
      <c r="K404" s="15">
        <v>146101.46176000001</v>
      </c>
      <c r="L404" s="15">
        <v>346.2</v>
      </c>
      <c r="M404" s="15">
        <v>298.45</v>
      </c>
      <c r="N404" s="15">
        <v>0</v>
      </c>
      <c r="O404" s="15">
        <v>47.75</v>
      </c>
      <c r="P404" s="2" t="s">
        <v>55</v>
      </c>
      <c r="Q404" s="16"/>
    </row>
    <row r="405" spans="1:17" x14ac:dyDescent="0.3">
      <c r="A405" s="10">
        <v>21733</v>
      </c>
      <c r="B405" s="2" t="s">
        <v>3756</v>
      </c>
      <c r="C405" s="13">
        <v>5548</v>
      </c>
      <c r="D405" s="2" t="s">
        <v>44</v>
      </c>
      <c r="E405" s="14">
        <v>44298</v>
      </c>
      <c r="F405" s="10" t="s">
        <v>1249</v>
      </c>
      <c r="G405" s="25">
        <v>44302</v>
      </c>
      <c r="H405" s="10" t="s">
        <v>1250</v>
      </c>
      <c r="I405" s="10" t="s">
        <v>1251</v>
      </c>
      <c r="J405" s="15">
        <v>21672.71</v>
      </c>
      <c r="K405" s="15">
        <v>21324.465600000003</v>
      </c>
      <c r="L405" s="15">
        <v>348.24</v>
      </c>
      <c r="M405" s="15">
        <v>300.20999999999998</v>
      </c>
      <c r="N405" s="15">
        <v>0</v>
      </c>
      <c r="O405" s="15">
        <v>48.03</v>
      </c>
      <c r="P405" s="2" t="s">
        <v>55</v>
      </c>
      <c r="Q405" s="16"/>
    </row>
    <row r="406" spans="1:17" x14ac:dyDescent="0.3">
      <c r="A406" s="10">
        <v>21733</v>
      </c>
      <c r="B406" s="2" t="s">
        <v>3757</v>
      </c>
      <c r="C406" s="13">
        <v>5548</v>
      </c>
      <c r="D406" s="2" t="s">
        <v>44</v>
      </c>
      <c r="E406" s="14">
        <v>44698</v>
      </c>
      <c r="F406" s="10" t="s">
        <v>1252</v>
      </c>
      <c r="G406" s="25">
        <v>44711</v>
      </c>
      <c r="H406" s="10" t="s">
        <v>1253</v>
      </c>
      <c r="I406" s="10" t="s">
        <v>1254</v>
      </c>
      <c r="J406" s="15">
        <v>1546542.21</v>
      </c>
      <c r="K406" s="15">
        <v>1546192.3109599999</v>
      </c>
      <c r="L406" s="15">
        <v>349.9</v>
      </c>
      <c r="M406" s="15">
        <v>301.64</v>
      </c>
      <c r="N406" s="15">
        <v>0</v>
      </c>
      <c r="O406" s="15">
        <v>48.26</v>
      </c>
      <c r="P406" s="2" t="s">
        <v>55</v>
      </c>
      <c r="Q406" s="16"/>
    </row>
    <row r="407" spans="1:17" x14ac:dyDescent="0.3">
      <c r="A407" s="10">
        <v>21733</v>
      </c>
      <c r="B407" s="2" t="s">
        <v>3758</v>
      </c>
      <c r="C407" s="13">
        <v>5548</v>
      </c>
      <c r="D407" s="2" t="s">
        <v>44</v>
      </c>
      <c r="E407" s="14">
        <v>44620</v>
      </c>
      <c r="F407" s="10" t="s">
        <v>562</v>
      </c>
      <c r="G407" s="25">
        <v>44624</v>
      </c>
      <c r="H407" s="10" t="s">
        <v>1255</v>
      </c>
      <c r="I407" s="10" t="s">
        <v>1256</v>
      </c>
      <c r="J407" s="15">
        <v>217057.27</v>
      </c>
      <c r="K407" s="15">
        <v>216707.20032</v>
      </c>
      <c r="L407" s="15">
        <v>350.07</v>
      </c>
      <c r="M407" s="15">
        <v>301.77999999999997</v>
      </c>
      <c r="N407" s="15">
        <v>0</v>
      </c>
      <c r="O407" s="15">
        <v>48.29</v>
      </c>
      <c r="P407" s="2" t="s">
        <v>55</v>
      </c>
      <c r="Q407" s="16"/>
    </row>
    <row r="408" spans="1:17" x14ac:dyDescent="0.3">
      <c r="A408" s="10">
        <v>21733</v>
      </c>
      <c r="B408" s="2" t="s">
        <v>3759</v>
      </c>
      <c r="C408" s="13">
        <v>5549</v>
      </c>
      <c r="D408" s="2" t="s">
        <v>44</v>
      </c>
      <c r="E408" s="14">
        <v>44750</v>
      </c>
      <c r="F408" s="10" t="s">
        <v>1257</v>
      </c>
      <c r="G408" s="25">
        <v>44757</v>
      </c>
      <c r="H408" s="10" t="s">
        <v>1258</v>
      </c>
      <c r="I408" s="10" t="s">
        <v>1259</v>
      </c>
      <c r="J408" s="15">
        <v>646408.72</v>
      </c>
      <c r="K408" s="15">
        <v>646057.05839999998</v>
      </c>
      <c r="L408" s="15">
        <v>351.66</v>
      </c>
      <c r="M408" s="15">
        <v>303.16000000000003</v>
      </c>
      <c r="N408" s="15">
        <v>0</v>
      </c>
      <c r="O408" s="15">
        <v>48.51</v>
      </c>
      <c r="P408" s="2" t="s">
        <v>55</v>
      </c>
      <c r="Q408" s="16"/>
    </row>
    <row r="409" spans="1:17" x14ac:dyDescent="0.3">
      <c r="A409" s="10">
        <v>21733</v>
      </c>
      <c r="B409" s="2" t="s">
        <v>3760</v>
      </c>
      <c r="C409" s="13">
        <v>5557</v>
      </c>
      <c r="D409" s="2" t="s">
        <v>44</v>
      </c>
      <c r="E409" s="14">
        <v>44818</v>
      </c>
      <c r="F409" s="10" t="s">
        <v>1260</v>
      </c>
      <c r="G409" s="25">
        <v>44830</v>
      </c>
      <c r="H409" s="10" t="s">
        <v>1261</v>
      </c>
      <c r="I409" s="10" t="s">
        <v>1262</v>
      </c>
      <c r="J409" s="15">
        <v>722093.92</v>
      </c>
      <c r="K409" s="15">
        <v>721738.68668000004</v>
      </c>
      <c r="L409" s="15">
        <v>355.23</v>
      </c>
      <c r="M409" s="15">
        <v>306.24</v>
      </c>
      <c r="N409" s="15">
        <v>0</v>
      </c>
      <c r="O409" s="15">
        <v>49</v>
      </c>
      <c r="P409" s="2" t="s">
        <v>55</v>
      </c>
      <c r="Q409" s="16"/>
    </row>
    <row r="410" spans="1:17" x14ac:dyDescent="0.3">
      <c r="A410" s="10">
        <v>21733</v>
      </c>
      <c r="B410" s="2" t="s">
        <v>3761</v>
      </c>
      <c r="C410" s="13">
        <v>5548</v>
      </c>
      <c r="D410" s="2" t="s">
        <v>44</v>
      </c>
      <c r="E410" s="14">
        <v>44578</v>
      </c>
      <c r="F410" s="10" t="s">
        <v>1263</v>
      </c>
      <c r="G410" s="25">
        <v>44594</v>
      </c>
      <c r="H410" s="10" t="s">
        <v>1264</v>
      </c>
      <c r="I410" s="10" t="s">
        <v>1265</v>
      </c>
      <c r="J410" s="15">
        <v>1087332.43</v>
      </c>
      <c r="K410" s="15">
        <v>1086968.03792</v>
      </c>
      <c r="L410" s="15">
        <v>364.39</v>
      </c>
      <c r="M410" s="15">
        <v>314.13</v>
      </c>
      <c r="N410" s="15">
        <v>0</v>
      </c>
      <c r="O410" s="15">
        <v>50.26</v>
      </c>
      <c r="P410" s="2" t="s">
        <v>55</v>
      </c>
      <c r="Q410" s="16"/>
    </row>
    <row r="411" spans="1:17" x14ac:dyDescent="0.3">
      <c r="A411" s="10">
        <v>21733</v>
      </c>
      <c r="B411" s="2" t="s">
        <v>3762</v>
      </c>
      <c r="C411" s="13">
        <v>5681</v>
      </c>
      <c r="D411" s="2" t="s">
        <v>44</v>
      </c>
      <c r="E411" s="14">
        <v>44627</v>
      </c>
      <c r="F411" s="10" t="s">
        <v>1266</v>
      </c>
      <c r="G411" s="25">
        <v>44631</v>
      </c>
      <c r="H411" s="10" t="s">
        <v>1267</v>
      </c>
      <c r="I411" s="10" t="s">
        <v>1268</v>
      </c>
      <c r="J411" s="15">
        <v>57639.67</v>
      </c>
      <c r="K411" s="15">
        <v>57275.069599999995</v>
      </c>
      <c r="L411" s="15">
        <v>364.6</v>
      </c>
      <c r="M411" s="15">
        <v>314.31</v>
      </c>
      <c r="N411" s="15">
        <v>0</v>
      </c>
      <c r="O411" s="15">
        <v>50.29</v>
      </c>
      <c r="P411" s="2" t="s">
        <v>55</v>
      </c>
      <c r="Q411" s="16"/>
    </row>
    <row r="412" spans="1:17" x14ac:dyDescent="0.3">
      <c r="A412" s="10">
        <v>21733</v>
      </c>
      <c r="B412" s="2" t="s">
        <v>3763</v>
      </c>
      <c r="C412" s="13">
        <v>5549</v>
      </c>
      <c r="D412" s="2" t="s">
        <v>44</v>
      </c>
      <c r="E412" s="14">
        <v>44424</v>
      </c>
      <c r="F412" s="10" t="s">
        <v>1269</v>
      </c>
      <c r="G412" s="25">
        <v>44429</v>
      </c>
      <c r="H412" s="10" t="s">
        <v>1270</v>
      </c>
      <c r="I412" s="10" t="s">
        <v>1271</v>
      </c>
      <c r="J412" s="15">
        <v>509219.41</v>
      </c>
      <c r="K412" s="15">
        <v>508854.54359999986</v>
      </c>
      <c r="L412" s="15">
        <v>364.87</v>
      </c>
      <c r="M412" s="15">
        <v>314.54000000000002</v>
      </c>
      <c r="N412" s="15">
        <v>0</v>
      </c>
      <c r="O412" s="15">
        <v>50.33</v>
      </c>
      <c r="P412" s="2" t="s">
        <v>55</v>
      </c>
      <c r="Q412" s="16"/>
    </row>
    <row r="413" spans="1:17" x14ac:dyDescent="0.3">
      <c r="A413" s="10">
        <v>21733</v>
      </c>
      <c r="B413" s="2" t="s">
        <v>3764</v>
      </c>
      <c r="C413" s="13">
        <v>5548</v>
      </c>
      <c r="D413" s="2" t="s">
        <v>44</v>
      </c>
      <c r="E413" s="14">
        <v>44403</v>
      </c>
      <c r="F413" s="10" t="s">
        <v>1272</v>
      </c>
      <c r="G413" s="25">
        <v>44407</v>
      </c>
      <c r="H413" s="10" t="s">
        <v>1273</v>
      </c>
      <c r="I413" s="10" t="s">
        <v>1274</v>
      </c>
      <c r="J413" s="15">
        <v>127754.23</v>
      </c>
      <c r="K413" s="15">
        <v>127389.06791999999</v>
      </c>
      <c r="L413" s="15">
        <v>365.16</v>
      </c>
      <c r="M413" s="15">
        <v>314.79000000000002</v>
      </c>
      <c r="N413" s="15">
        <v>0</v>
      </c>
      <c r="O413" s="15">
        <v>50.37</v>
      </c>
      <c r="P413" s="2" t="s">
        <v>55</v>
      </c>
      <c r="Q413" s="16"/>
    </row>
    <row r="414" spans="1:17" x14ac:dyDescent="0.3">
      <c r="A414" s="10">
        <v>21733</v>
      </c>
      <c r="B414" s="2" t="s">
        <v>3765</v>
      </c>
      <c r="C414" s="13">
        <v>5537</v>
      </c>
      <c r="D414" s="2" t="s">
        <v>44</v>
      </c>
      <c r="E414" s="14">
        <v>44718</v>
      </c>
      <c r="F414" s="10" t="s">
        <v>1275</v>
      </c>
      <c r="G414" s="25">
        <v>44724</v>
      </c>
      <c r="H414" s="10" t="s">
        <v>1276</v>
      </c>
      <c r="I414" s="10" t="s">
        <v>1277</v>
      </c>
      <c r="J414" s="15">
        <v>526520.51</v>
      </c>
      <c r="K414" s="15">
        <v>526154.6420799999</v>
      </c>
      <c r="L414" s="15">
        <v>365.87</v>
      </c>
      <c r="M414" s="15">
        <v>315.39999999999998</v>
      </c>
      <c r="N414" s="15">
        <v>0</v>
      </c>
      <c r="O414" s="15">
        <v>50.46</v>
      </c>
      <c r="P414" s="2" t="s">
        <v>55</v>
      </c>
      <c r="Q414" s="16"/>
    </row>
    <row r="415" spans="1:17" x14ac:dyDescent="0.3">
      <c r="A415" s="10">
        <v>21733</v>
      </c>
      <c r="B415" s="2" t="s">
        <v>3766</v>
      </c>
      <c r="C415" s="13">
        <v>5681</v>
      </c>
      <c r="D415" s="2" t="s">
        <v>44</v>
      </c>
      <c r="E415" s="14">
        <v>44739</v>
      </c>
      <c r="F415" s="10" t="s">
        <v>1278</v>
      </c>
      <c r="G415" s="25">
        <v>44744</v>
      </c>
      <c r="H415" s="10" t="s">
        <v>1279</v>
      </c>
      <c r="I415" s="10" t="s">
        <v>1280</v>
      </c>
      <c r="J415" s="15">
        <v>218197.54</v>
      </c>
      <c r="K415" s="15">
        <v>217826.67804000003</v>
      </c>
      <c r="L415" s="15">
        <v>370.86</v>
      </c>
      <c r="M415" s="15">
        <v>319.70999999999998</v>
      </c>
      <c r="N415" s="15">
        <v>0</v>
      </c>
      <c r="O415" s="15">
        <v>51.15</v>
      </c>
      <c r="P415" s="2" t="s">
        <v>55</v>
      </c>
      <c r="Q415" s="16"/>
    </row>
    <row r="416" spans="1:17" x14ac:dyDescent="0.3">
      <c r="A416" s="10">
        <v>21733</v>
      </c>
      <c r="B416" s="2" t="s">
        <v>3767</v>
      </c>
      <c r="C416" s="13">
        <v>5548</v>
      </c>
      <c r="D416" s="2" t="s">
        <v>44</v>
      </c>
      <c r="E416" s="14">
        <v>45094</v>
      </c>
      <c r="F416" s="10" t="s">
        <v>1281</v>
      </c>
      <c r="G416" s="25">
        <v>45112</v>
      </c>
      <c r="H416" s="10" t="s">
        <v>1282</v>
      </c>
      <c r="I416" s="10" t="s">
        <v>1283</v>
      </c>
      <c r="J416" s="15">
        <v>1444746.57</v>
      </c>
      <c r="K416" s="15">
        <v>1444374.8352000001</v>
      </c>
      <c r="L416" s="15">
        <v>371.73</v>
      </c>
      <c r="M416" s="15">
        <v>320.45999999999998</v>
      </c>
      <c r="N416" s="15">
        <v>0</v>
      </c>
      <c r="O416" s="15">
        <v>51.27</v>
      </c>
      <c r="P416" s="2" t="s">
        <v>55</v>
      </c>
      <c r="Q416" s="16"/>
    </row>
    <row r="417" spans="1:17" x14ac:dyDescent="0.3">
      <c r="A417" s="10">
        <v>21733</v>
      </c>
      <c r="B417" s="2" t="s">
        <v>3768</v>
      </c>
      <c r="C417" s="13">
        <v>5681</v>
      </c>
      <c r="D417" s="2" t="s">
        <v>44</v>
      </c>
      <c r="E417" s="14">
        <v>44537</v>
      </c>
      <c r="F417" s="10" t="s">
        <v>1284</v>
      </c>
      <c r="G417" s="25">
        <v>44547</v>
      </c>
      <c r="H417" s="10" t="s">
        <v>1285</v>
      </c>
      <c r="I417" s="10" t="s">
        <v>1286</v>
      </c>
      <c r="J417" s="15">
        <v>847501.31</v>
      </c>
      <c r="K417" s="15">
        <v>847127.6675199999</v>
      </c>
      <c r="L417" s="15">
        <v>373.64</v>
      </c>
      <c r="M417" s="15">
        <v>322.11</v>
      </c>
      <c r="N417" s="15">
        <v>0</v>
      </c>
      <c r="O417" s="15">
        <v>51.54</v>
      </c>
      <c r="P417" s="2" t="s">
        <v>55</v>
      </c>
      <c r="Q417" s="16"/>
    </row>
    <row r="418" spans="1:17" x14ac:dyDescent="0.3">
      <c r="A418" s="10">
        <v>21733</v>
      </c>
      <c r="B418" s="2" t="s">
        <v>3769</v>
      </c>
      <c r="C418" s="13">
        <v>5549</v>
      </c>
      <c r="D418" s="2" t="s">
        <v>44</v>
      </c>
      <c r="E418" s="14">
        <v>45094</v>
      </c>
      <c r="F418" s="10" t="s">
        <v>1287</v>
      </c>
      <c r="G418" s="25">
        <v>45111</v>
      </c>
      <c r="H418" s="10" t="s">
        <v>1288</v>
      </c>
      <c r="I418" s="10" t="s">
        <v>1289</v>
      </c>
      <c r="J418" s="15">
        <v>1004144.38</v>
      </c>
      <c r="K418" s="15">
        <v>1003768.416</v>
      </c>
      <c r="L418" s="15">
        <v>375.96</v>
      </c>
      <c r="M418" s="15">
        <v>324.11</v>
      </c>
      <c r="N418" s="15">
        <v>0</v>
      </c>
      <c r="O418" s="15">
        <v>51.86</v>
      </c>
      <c r="P418" s="2" t="s">
        <v>55</v>
      </c>
      <c r="Q418" s="16"/>
    </row>
    <row r="419" spans="1:17" x14ac:dyDescent="0.3">
      <c r="A419" s="10">
        <v>21733</v>
      </c>
      <c r="B419" s="2" t="s">
        <v>3770</v>
      </c>
      <c r="C419" s="13">
        <v>5557</v>
      </c>
      <c r="D419" s="2" t="s">
        <v>44</v>
      </c>
      <c r="E419" s="14">
        <v>45033</v>
      </c>
      <c r="F419" s="10" t="s">
        <v>1290</v>
      </c>
      <c r="G419" s="25">
        <v>45039</v>
      </c>
      <c r="H419" s="10" t="s">
        <v>1291</v>
      </c>
      <c r="I419" s="10" t="s">
        <v>1292</v>
      </c>
      <c r="J419" s="15">
        <v>862872.51</v>
      </c>
      <c r="K419" s="15">
        <v>862491.95103999996</v>
      </c>
      <c r="L419" s="15">
        <v>380.56</v>
      </c>
      <c r="M419" s="15">
        <v>328.07</v>
      </c>
      <c r="N419" s="15">
        <v>0</v>
      </c>
      <c r="O419" s="15">
        <v>52.49</v>
      </c>
      <c r="P419" s="2" t="s">
        <v>55</v>
      </c>
      <c r="Q419" s="16"/>
    </row>
    <row r="420" spans="1:17" x14ac:dyDescent="0.3">
      <c r="A420" s="10">
        <v>21733</v>
      </c>
      <c r="B420" s="2" t="s">
        <v>3771</v>
      </c>
      <c r="C420" s="13">
        <v>5549</v>
      </c>
      <c r="D420" s="2" t="s">
        <v>44</v>
      </c>
      <c r="E420" s="14">
        <v>44978</v>
      </c>
      <c r="F420" s="10" t="s">
        <v>1293</v>
      </c>
      <c r="G420" s="25">
        <v>44985</v>
      </c>
      <c r="H420" s="10" t="s">
        <v>1294</v>
      </c>
      <c r="I420" s="10" t="s">
        <v>1295</v>
      </c>
      <c r="J420" s="15">
        <v>1198981.5</v>
      </c>
      <c r="K420" s="15">
        <v>1198599</v>
      </c>
      <c r="L420" s="15">
        <v>382.5</v>
      </c>
      <c r="M420" s="15">
        <v>329.74</v>
      </c>
      <c r="N420" s="15">
        <v>0</v>
      </c>
      <c r="O420" s="15">
        <v>52.76</v>
      </c>
      <c r="P420" s="2" t="s">
        <v>55</v>
      </c>
      <c r="Q420" s="16"/>
    </row>
    <row r="421" spans="1:17" x14ac:dyDescent="0.3">
      <c r="A421" s="10">
        <v>21733</v>
      </c>
      <c r="B421" s="2" t="s">
        <v>3772</v>
      </c>
      <c r="C421" s="13">
        <v>5681</v>
      </c>
      <c r="D421" s="2" t="s">
        <v>44</v>
      </c>
      <c r="E421" s="14">
        <v>44802</v>
      </c>
      <c r="F421" s="10" t="s">
        <v>1296</v>
      </c>
      <c r="G421" s="25">
        <v>44807</v>
      </c>
      <c r="H421" s="10" t="s">
        <v>1297</v>
      </c>
      <c r="I421" s="10" t="s">
        <v>1298</v>
      </c>
      <c r="J421" s="15">
        <v>515885.37</v>
      </c>
      <c r="K421" s="15">
        <v>515501.94215999998</v>
      </c>
      <c r="L421" s="15">
        <v>383.43</v>
      </c>
      <c r="M421" s="15">
        <v>330.54</v>
      </c>
      <c r="N421" s="15">
        <v>0</v>
      </c>
      <c r="O421" s="15">
        <v>52.89</v>
      </c>
      <c r="P421" s="2" t="s">
        <v>55</v>
      </c>
      <c r="Q421" s="16"/>
    </row>
    <row r="422" spans="1:17" x14ac:dyDescent="0.3">
      <c r="A422" s="10">
        <v>21733</v>
      </c>
      <c r="B422" s="2" t="s">
        <v>3773</v>
      </c>
      <c r="C422" s="13">
        <v>5537</v>
      </c>
      <c r="D422" s="2" t="s">
        <v>44</v>
      </c>
      <c r="E422" s="14">
        <v>44340</v>
      </c>
      <c r="F422" s="10" t="s">
        <v>1299</v>
      </c>
      <c r="G422" s="25">
        <v>44350</v>
      </c>
      <c r="H422" s="10" t="s">
        <v>1300</v>
      </c>
      <c r="I422" s="10" t="s">
        <v>1301</v>
      </c>
      <c r="J422" s="15">
        <v>284051.40999999997</v>
      </c>
      <c r="K422" s="15">
        <v>283667.39064000006</v>
      </c>
      <c r="L422" s="15">
        <v>384.02</v>
      </c>
      <c r="M422" s="15">
        <v>331.05</v>
      </c>
      <c r="N422" s="15">
        <v>0</v>
      </c>
      <c r="O422" s="15">
        <v>52.97</v>
      </c>
      <c r="P422" s="2" t="s">
        <v>55</v>
      </c>
      <c r="Q422" s="16"/>
    </row>
    <row r="423" spans="1:17" x14ac:dyDescent="0.3">
      <c r="A423" s="10">
        <v>21733</v>
      </c>
      <c r="B423" s="2" t="s">
        <v>3774</v>
      </c>
      <c r="C423" s="13">
        <v>5548</v>
      </c>
      <c r="D423" s="2" t="s">
        <v>44</v>
      </c>
      <c r="E423" s="14">
        <v>44333</v>
      </c>
      <c r="F423" s="10" t="s">
        <v>1302</v>
      </c>
      <c r="G423" s="25">
        <v>44338</v>
      </c>
      <c r="H423" s="10" t="s">
        <v>1303</v>
      </c>
      <c r="I423" s="10" t="s">
        <v>1304</v>
      </c>
      <c r="J423" s="15">
        <v>39821.1</v>
      </c>
      <c r="K423" s="15">
        <v>39432.274400000009</v>
      </c>
      <c r="L423" s="15">
        <v>388.83</v>
      </c>
      <c r="M423" s="15">
        <v>335.19</v>
      </c>
      <c r="N423" s="15">
        <v>0</v>
      </c>
      <c r="O423" s="15">
        <v>53.63</v>
      </c>
      <c r="P423" s="2" t="s">
        <v>55</v>
      </c>
      <c r="Q423" s="16"/>
    </row>
    <row r="424" spans="1:17" x14ac:dyDescent="0.3">
      <c r="A424" s="10">
        <v>21733</v>
      </c>
      <c r="B424" s="2" t="s">
        <v>3775</v>
      </c>
      <c r="C424" s="13">
        <v>5549</v>
      </c>
      <c r="D424" s="2" t="s">
        <v>44</v>
      </c>
      <c r="E424" s="14">
        <v>44616</v>
      </c>
      <c r="F424" s="10" t="s">
        <v>1305</v>
      </c>
      <c r="G424" s="25">
        <v>44631</v>
      </c>
      <c r="H424" s="10" t="s">
        <v>1306</v>
      </c>
      <c r="I424" s="10" t="s">
        <v>1307</v>
      </c>
      <c r="J424" s="15">
        <v>39273.57</v>
      </c>
      <c r="K424" s="15">
        <v>38883.237119999998</v>
      </c>
      <c r="L424" s="15">
        <v>390.33</v>
      </c>
      <c r="M424" s="15">
        <v>336.49</v>
      </c>
      <c r="N424" s="15">
        <v>0</v>
      </c>
      <c r="O424" s="15">
        <v>53.84</v>
      </c>
      <c r="P424" s="2" t="s">
        <v>55</v>
      </c>
      <c r="Q424" s="16"/>
    </row>
    <row r="425" spans="1:17" x14ac:dyDescent="0.3">
      <c r="A425" s="10">
        <v>21733</v>
      </c>
      <c r="B425" s="2" t="s">
        <v>3776</v>
      </c>
      <c r="C425" s="13">
        <v>5681</v>
      </c>
      <c r="D425" s="2" t="s">
        <v>44</v>
      </c>
      <c r="E425" s="14">
        <v>44501</v>
      </c>
      <c r="F425" s="10" t="s">
        <v>947</v>
      </c>
      <c r="G425" s="25">
        <v>44506</v>
      </c>
      <c r="H425" s="10" t="s">
        <v>1308</v>
      </c>
      <c r="I425" s="10" t="s">
        <v>1309</v>
      </c>
      <c r="J425" s="15">
        <v>144626.48000000001</v>
      </c>
      <c r="K425" s="15">
        <v>144232.88735999999</v>
      </c>
      <c r="L425" s="15">
        <v>393.59</v>
      </c>
      <c r="M425" s="15">
        <v>339.3</v>
      </c>
      <c r="N425" s="15">
        <v>0</v>
      </c>
      <c r="O425" s="15">
        <v>54.29</v>
      </c>
      <c r="P425" s="2" t="s">
        <v>55</v>
      </c>
      <c r="Q425" s="16"/>
    </row>
    <row r="426" spans="1:17" x14ac:dyDescent="0.3">
      <c r="A426" s="10">
        <v>21733</v>
      </c>
      <c r="B426" s="2" t="s">
        <v>3777</v>
      </c>
      <c r="C426" s="13">
        <v>5548</v>
      </c>
      <c r="D426" s="2" t="s">
        <v>44</v>
      </c>
      <c r="E426" s="14">
        <v>44977</v>
      </c>
      <c r="F426" s="10" t="s">
        <v>829</v>
      </c>
      <c r="G426" s="25">
        <v>44980</v>
      </c>
      <c r="H426" s="10" t="s">
        <v>1310</v>
      </c>
      <c r="I426" s="10" t="s">
        <v>1311</v>
      </c>
      <c r="J426" s="15">
        <v>985346.39</v>
      </c>
      <c r="K426" s="15">
        <v>984950.00976000016</v>
      </c>
      <c r="L426" s="15">
        <v>396.38</v>
      </c>
      <c r="M426" s="15">
        <v>341.71</v>
      </c>
      <c r="N426" s="15">
        <v>0</v>
      </c>
      <c r="O426" s="15">
        <v>54.67</v>
      </c>
      <c r="P426" s="2" t="s">
        <v>55</v>
      </c>
      <c r="Q426" s="16"/>
    </row>
    <row r="427" spans="1:17" x14ac:dyDescent="0.3">
      <c r="A427" s="10">
        <v>21733</v>
      </c>
      <c r="B427" s="2" t="s">
        <v>3778</v>
      </c>
      <c r="C427" s="13">
        <v>5548</v>
      </c>
      <c r="D427" s="2" t="s">
        <v>44</v>
      </c>
      <c r="E427" s="14">
        <v>44617</v>
      </c>
      <c r="F427" s="10" t="s">
        <v>929</v>
      </c>
      <c r="G427" s="25">
        <v>44624</v>
      </c>
      <c r="H427" s="10" t="s">
        <v>1312</v>
      </c>
      <c r="I427" s="10" t="s">
        <v>1313</v>
      </c>
      <c r="J427" s="15">
        <v>130830.86</v>
      </c>
      <c r="K427" s="15">
        <v>130434.39968</v>
      </c>
      <c r="L427" s="15">
        <v>396.46</v>
      </c>
      <c r="M427" s="15">
        <v>341.78</v>
      </c>
      <c r="N427" s="15">
        <v>0</v>
      </c>
      <c r="O427" s="15">
        <v>54.68</v>
      </c>
      <c r="P427" s="2" t="s">
        <v>55</v>
      </c>
      <c r="Q427" s="16"/>
    </row>
    <row r="428" spans="1:17" x14ac:dyDescent="0.3">
      <c r="A428" s="10">
        <v>21733</v>
      </c>
      <c r="B428" s="2" t="s">
        <v>3779</v>
      </c>
      <c r="C428" s="13">
        <v>5556</v>
      </c>
      <c r="D428" s="2" t="s">
        <v>44</v>
      </c>
      <c r="E428" s="14">
        <v>44860</v>
      </c>
      <c r="F428" s="10" t="s">
        <v>1314</v>
      </c>
      <c r="G428" s="25">
        <v>44868</v>
      </c>
      <c r="H428" s="10" t="s">
        <v>1315</v>
      </c>
      <c r="I428" s="10" t="s">
        <v>1316</v>
      </c>
      <c r="J428" s="15">
        <v>209048.14</v>
      </c>
      <c r="K428" s="15">
        <v>208650.61983999997</v>
      </c>
      <c r="L428" s="15">
        <v>397.52</v>
      </c>
      <c r="M428" s="15">
        <v>342.69</v>
      </c>
      <c r="N428" s="15">
        <v>0</v>
      </c>
      <c r="O428" s="15">
        <v>54.83</v>
      </c>
      <c r="P428" s="2" t="s">
        <v>55</v>
      </c>
      <c r="Q428" s="16"/>
    </row>
    <row r="429" spans="1:17" x14ac:dyDescent="0.3">
      <c r="A429" s="10">
        <v>21733</v>
      </c>
      <c r="B429" s="2" t="s">
        <v>3780</v>
      </c>
      <c r="C429" s="13">
        <v>5557</v>
      </c>
      <c r="D429" s="2" t="s">
        <v>44</v>
      </c>
      <c r="E429" s="14">
        <v>44956</v>
      </c>
      <c r="F429" s="10" t="s">
        <v>1317</v>
      </c>
      <c r="G429" s="25">
        <v>44961</v>
      </c>
      <c r="H429" s="10" t="s">
        <v>1318</v>
      </c>
      <c r="I429" s="10" t="s">
        <v>1319</v>
      </c>
      <c r="J429" s="15">
        <v>222450.18</v>
      </c>
      <c r="K429" s="15">
        <v>222048.88780000003</v>
      </c>
      <c r="L429" s="15">
        <v>401.29</v>
      </c>
      <c r="M429" s="15">
        <v>345.94</v>
      </c>
      <c r="N429" s="15">
        <v>0</v>
      </c>
      <c r="O429" s="15">
        <v>55.35</v>
      </c>
      <c r="P429" s="2" t="s">
        <v>55</v>
      </c>
      <c r="Q429" s="16"/>
    </row>
    <row r="430" spans="1:17" x14ac:dyDescent="0.3">
      <c r="A430" s="10">
        <v>21733</v>
      </c>
      <c r="B430" s="2" t="s">
        <v>3781</v>
      </c>
      <c r="C430" s="13">
        <v>5681</v>
      </c>
      <c r="D430" s="2" t="s">
        <v>44</v>
      </c>
      <c r="E430" s="14">
        <v>44816</v>
      </c>
      <c r="F430" s="10" t="s">
        <v>1320</v>
      </c>
      <c r="G430" s="25">
        <v>44821</v>
      </c>
      <c r="H430" s="10" t="s">
        <v>1321</v>
      </c>
      <c r="I430" s="10" t="s">
        <v>1322</v>
      </c>
      <c r="J430" s="15">
        <v>222464.53</v>
      </c>
      <c r="K430" s="15">
        <v>222060.97035999995</v>
      </c>
      <c r="L430" s="15">
        <v>403.56</v>
      </c>
      <c r="M430" s="15">
        <v>347.9</v>
      </c>
      <c r="N430" s="15">
        <v>0</v>
      </c>
      <c r="O430" s="15">
        <v>55.66</v>
      </c>
      <c r="P430" s="2" t="s">
        <v>55</v>
      </c>
      <c r="Q430" s="16"/>
    </row>
    <row r="431" spans="1:17" x14ac:dyDescent="0.3">
      <c r="A431" s="10">
        <v>21733</v>
      </c>
      <c r="B431" s="2" t="s">
        <v>3782</v>
      </c>
      <c r="C431" s="13">
        <v>5548</v>
      </c>
      <c r="D431" s="2" t="s">
        <v>44</v>
      </c>
      <c r="E431" s="14">
        <v>44942</v>
      </c>
      <c r="F431" s="10" t="s">
        <v>1323</v>
      </c>
      <c r="G431" s="25">
        <v>44948</v>
      </c>
      <c r="H431" s="10" t="s">
        <v>1324</v>
      </c>
      <c r="I431" s="10" t="s">
        <v>1325</v>
      </c>
      <c r="J431" s="15">
        <v>1162429.23</v>
      </c>
      <c r="K431" s="15">
        <v>1162023.3439200001</v>
      </c>
      <c r="L431" s="15">
        <v>405.89</v>
      </c>
      <c r="M431" s="15">
        <v>349.9</v>
      </c>
      <c r="N431" s="15">
        <v>0</v>
      </c>
      <c r="O431" s="15">
        <v>55.98</v>
      </c>
      <c r="P431" s="2" t="s">
        <v>55</v>
      </c>
      <c r="Q431" s="16"/>
    </row>
    <row r="432" spans="1:17" x14ac:dyDescent="0.3">
      <c r="A432" s="10">
        <v>21733</v>
      </c>
      <c r="B432" s="2" t="s">
        <v>3783</v>
      </c>
      <c r="C432" s="13">
        <v>5548</v>
      </c>
      <c r="D432" s="2" t="s">
        <v>44</v>
      </c>
      <c r="E432" s="14">
        <v>44816</v>
      </c>
      <c r="F432" s="10" t="s">
        <v>1326</v>
      </c>
      <c r="G432" s="25">
        <v>44821</v>
      </c>
      <c r="H432" s="10" t="s">
        <v>1327</v>
      </c>
      <c r="I432" s="10" t="s">
        <v>1328</v>
      </c>
      <c r="J432" s="15">
        <v>1279704.1399999999</v>
      </c>
      <c r="K432" s="15">
        <v>1279297.1619599999</v>
      </c>
      <c r="L432" s="15">
        <v>406.98</v>
      </c>
      <c r="M432" s="15">
        <v>350.84</v>
      </c>
      <c r="N432" s="15">
        <v>0</v>
      </c>
      <c r="O432" s="15">
        <v>56.13</v>
      </c>
      <c r="P432" s="2" t="s">
        <v>55</v>
      </c>
      <c r="Q432" s="16"/>
    </row>
    <row r="433" spans="1:17" x14ac:dyDescent="0.3">
      <c r="A433" s="10">
        <v>21733</v>
      </c>
      <c r="B433" s="2" t="s">
        <v>3784</v>
      </c>
      <c r="C433" s="13">
        <v>5681</v>
      </c>
      <c r="D433" s="2" t="s">
        <v>44</v>
      </c>
      <c r="E433" s="14">
        <v>44326</v>
      </c>
      <c r="F433" s="10" t="s">
        <v>1329</v>
      </c>
      <c r="G433" s="25">
        <v>44331</v>
      </c>
      <c r="H433" s="10" t="s">
        <v>1330</v>
      </c>
      <c r="I433" s="10" t="s">
        <v>1331</v>
      </c>
      <c r="J433" s="15">
        <v>459722.86</v>
      </c>
      <c r="K433" s="15">
        <v>459315.31448000006</v>
      </c>
      <c r="L433" s="15">
        <v>407.55</v>
      </c>
      <c r="M433" s="15">
        <v>351.33</v>
      </c>
      <c r="N433" s="15">
        <v>0</v>
      </c>
      <c r="O433" s="15">
        <v>56.21</v>
      </c>
      <c r="P433" s="2" t="s">
        <v>55</v>
      </c>
      <c r="Q433" s="16"/>
    </row>
    <row r="434" spans="1:17" x14ac:dyDescent="0.3">
      <c r="A434" s="10">
        <v>21733</v>
      </c>
      <c r="B434" s="2" t="s">
        <v>3785</v>
      </c>
      <c r="C434" s="13">
        <v>5681</v>
      </c>
      <c r="D434" s="2" t="s">
        <v>44</v>
      </c>
      <c r="E434" s="14">
        <v>44977</v>
      </c>
      <c r="F434" s="10" t="s">
        <v>750</v>
      </c>
      <c r="G434" s="25">
        <v>44982</v>
      </c>
      <c r="H434" s="10" t="s">
        <v>1332</v>
      </c>
      <c r="I434" s="10" t="s">
        <v>1333</v>
      </c>
      <c r="J434" s="15">
        <v>1105388.53</v>
      </c>
      <c r="K434" s="15">
        <v>1104978.4797999996</v>
      </c>
      <c r="L434" s="15">
        <v>410.05</v>
      </c>
      <c r="M434" s="15">
        <v>353.49</v>
      </c>
      <c r="N434" s="15">
        <v>0</v>
      </c>
      <c r="O434" s="15">
        <v>56.56</v>
      </c>
      <c r="P434" s="2" t="s">
        <v>55</v>
      </c>
      <c r="Q434" s="16"/>
    </row>
    <row r="435" spans="1:17" x14ac:dyDescent="0.3">
      <c r="A435" s="10">
        <v>21733</v>
      </c>
      <c r="B435" s="2" t="s">
        <v>3786</v>
      </c>
      <c r="C435" s="13">
        <v>5548</v>
      </c>
      <c r="D435" s="2" t="s">
        <v>44</v>
      </c>
      <c r="E435" s="14">
        <v>44830</v>
      </c>
      <c r="F435" s="10" t="s">
        <v>1334</v>
      </c>
      <c r="G435" s="25">
        <v>44835</v>
      </c>
      <c r="H435" s="10" t="s">
        <v>1335</v>
      </c>
      <c r="I435" s="10" t="s">
        <v>1336</v>
      </c>
      <c r="J435" s="15">
        <v>972759.85</v>
      </c>
      <c r="K435" s="15">
        <v>972346.94151999976</v>
      </c>
      <c r="L435" s="15">
        <v>412.91</v>
      </c>
      <c r="M435" s="15">
        <v>355.96</v>
      </c>
      <c r="N435" s="15">
        <v>0</v>
      </c>
      <c r="O435" s="15">
        <v>56.95</v>
      </c>
      <c r="P435" s="2" t="s">
        <v>55</v>
      </c>
      <c r="Q435" s="16"/>
    </row>
    <row r="436" spans="1:17" x14ac:dyDescent="0.3">
      <c r="A436" s="10">
        <v>21733</v>
      </c>
      <c r="B436" s="2" t="s">
        <v>3787</v>
      </c>
      <c r="C436" s="13">
        <v>5681</v>
      </c>
      <c r="D436" s="2" t="s">
        <v>44</v>
      </c>
      <c r="E436" s="14">
        <v>44537</v>
      </c>
      <c r="F436" s="10" t="s">
        <v>1337</v>
      </c>
      <c r="G436" s="25">
        <v>44554</v>
      </c>
      <c r="H436" s="10" t="s">
        <v>1338</v>
      </c>
      <c r="I436" s="10" t="s">
        <v>1339</v>
      </c>
      <c r="J436" s="15">
        <v>81734.259999999995</v>
      </c>
      <c r="K436" s="15">
        <v>81320.563439999998</v>
      </c>
      <c r="L436" s="15">
        <v>413.7</v>
      </c>
      <c r="M436" s="15">
        <v>356.63</v>
      </c>
      <c r="N436" s="15">
        <v>0</v>
      </c>
      <c r="O436" s="15">
        <v>57.06</v>
      </c>
      <c r="P436" s="2" t="s">
        <v>55</v>
      </c>
      <c r="Q436" s="16"/>
    </row>
    <row r="437" spans="1:17" x14ac:dyDescent="0.3">
      <c r="A437" s="10">
        <v>21733</v>
      </c>
      <c r="B437" s="2" t="s">
        <v>3788</v>
      </c>
      <c r="C437" s="13">
        <v>5537</v>
      </c>
      <c r="D437" s="2" t="s">
        <v>44</v>
      </c>
      <c r="E437" s="14">
        <v>44578</v>
      </c>
      <c r="F437" s="10" t="s">
        <v>1340</v>
      </c>
      <c r="G437" s="25">
        <v>44582</v>
      </c>
      <c r="H437" s="10" t="s">
        <v>1341</v>
      </c>
      <c r="I437" s="10" t="s">
        <v>1342</v>
      </c>
      <c r="J437" s="15">
        <v>243994.36</v>
      </c>
      <c r="K437" s="15">
        <v>243580.03176000004</v>
      </c>
      <c r="L437" s="15">
        <v>414.33</v>
      </c>
      <c r="M437" s="15">
        <v>357.18</v>
      </c>
      <c r="N437" s="15">
        <v>0</v>
      </c>
      <c r="O437" s="15">
        <v>57.15</v>
      </c>
      <c r="P437" s="2" t="s">
        <v>55</v>
      </c>
      <c r="Q437" s="16"/>
    </row>
    <row r="438" spans="1:17" x14ac:dyDescent="0.3">
      <c r="A438" s="10">
        <v>21733</v>
      </c>
      <c r="B438" s="2" t="s">
        <v>3789</v>
      </c>
      <c r="C438" s="13">
        <v>5548</v>
      </c>
      <c r="D438" s="2" t="s">
        <v>44</v>
      </c>
      <c r="E438" s="14">
        <v>44537</v>
      </c>
      <c r="F438" s="10" t="s">
        <v>1343</v>
      </c>
      <c r="G438" s="25">
        <v>44546</v>
      </c>
      <c r="H438" s="10" t="s">
        <v>1344</v>
      </c>
      <c r="I438" s="10" t="s">
        <v>1345</v>
      </c>
      <c r="J438" s="15">
        <v>843136.62</v>
      </c>
      <c r="K438" s="15">
        <v>842719.51092000015</v>
      </c>
      <c r="L438" s="15">
        <v>417.11</v>
      </c>
      <c r="M438" s="15">
        <v>359.58</v>
      </c>
      <c r="N438" s="15">
        <v>0</v>
      </c>
      <c r="O438" s="15">
        <v>57.53</v>
      </c>
      <c r="P438" s="2" t="s">
        <v>55</v>
      </c>
      <c r="Q438" s="16"/>
    </row>
    <row r="439" spans="1:17" x14ac:dyDescent="0.3">
      <c r="A439" s="10">
        <v>21733</v>
      </c>
      <c r="B439" s="2" t="s">
        <v>3790</v>
      </c>
      <c r="C439" s="13">
        <v>5557</v>
      </c>
      <c r="D439" s="2" t="s">
        <v>44</v>
      </c>
      <c r="E439" s="14">
        <v>44340</v>
      </c>
      <c r="F439" s="10" t="s">
        <v>1346</v>
      </c>
      <c r="G439" s="25">
        <v>44348</v>
      </c>
      <c r="H439" s="10" t="s">
        <v>1347</v>
      </c>
      <c r="I439" s="10" t="s">
        <v>1348</v>
      </c>
      <c r="J439" s="15">
        <v>78362.289999999994</v>
      </c>
      <c r="K439" s="15">
        <v>77944.458839999992</v>
      </c>
      <c r="L439" s="15">
        <v>417.83</v>
      </c>
      <c r="M439" s="15">
        <v>360.2</v>
      </c>
      <c r="N439" s="15">
        <v>0</v>
      </c>
      <c r="O439" s="15">
        <v>57.63</v>
      </c>
      <c r="P439" s="2" t="s">
        <v>55</v>
      </c>
      <c r="Q439" s="16"/>
    </row>
    <row r="440" spans="1:17" x14ac:dyDescent="0.3">
      <c r="A440" s="10">
        <v>21733</v>
      </c>
      <c r="B440" s="2" t="s">
        <v>3791</v>
      </c>
      <c r="C440" s="13">
        <v>5549</v>
      </c>
      <c r="D440" s="2" t="s">
        <v>44</v>
      </c>
      <c r="E440" s="14">
        <v>44662</v>
      </c>
      <c r="F440" s="10" t="s">
        <v>1349</v>
      </c>
      <c r="G440" s="25">
        <v>44666</v>
      </c>
      <c r="H440" s="10" t="s">
        <v>1350</v>
      </c>
      <c r="I440" s="10" t="s">
        <v>1351</v>
      </c>
      <c r="J440" s="15">
        <v>311845.06</v>
      </c>
      <c r="K440" s="15">
        <v>311424.86823999992</v>
      </c>
      <c r="L440" s="15">
        <v>420.19</v>
      </c>
      <c r="M440" s="15">
        <v>362.23</v>
      </c>
      <c r="N440" s="15">
        <v>0</v>
      </c>
      <c r="O440" s="15">
        <v>57.96</v>
      </c>
      <c r="P440" s="2" t="s">
        <v>55</v>
      </c>
      <c r="Q440" s="16"/>
    </row>
    <row r="441" spans="1:17" x14ac:dyDescent="0.3">
      <c r="A441" s="10">
        <v>21733</v>
      </c>
      <c r="B441" s="2" t="s">
        <v>3792</v>
      </c>
      <c r="C441" s="13">
        <v>5556</v>
      </c>
      <c r="D441" s="2" t="s">
        <v>44</v>
      </c>
      <c r="E441" s="14">
        <v>44328</v>
      </c>
      <c r="F441" s="10" t="s">
        <v>1352</v>
      </c>
      <c r="G441" s="25">
        <v>44335</v>
      </c>
      <c r="H441" s="10" t="s">
        <v>1353</v>
      </c>
      <c r="I441" s="10" t="s">
        <v>1354</v>
      </c>
      <c r="J441" s="15">
        <v>231402.34</v>
      </c>
      <c r="K441" s="15">
        <v>230976.94844000004</v>
      </c>
      <c r="L441" s="15">
        <v>425.39</v>
      </c>
      <c r="M441" s="15">
        <v>366.72</v>
      </c>
      <c r="N441" s="15">
        <v>0</v>
      </c>
      <c r="O441" s="15">
        <v>58.67</v>
      </c>
      <c r="P441" s="2" t="s">
        <v>55</v>
      </c>
      <c r="Q441" s="16"/>
    </row>
    <row r="442" spans="1:17" x14ac:dyDescent="0.3">
      <c r="A442" s="10">
        <v>21733</v>
      </c>
      <c r="B442" s="2" t="s">
        <v>3793</v>
      </c>
      <c r="C442" s="13">
        <v>5549</v>
      </c>
      <c r="D442" s="2" t="s">
        <v>44</v>
      </c>
      <c r="E442" s="14">
        <v>45047</v>
      </c>
      <c r="F442" s="10" t="s">
        <v>1355</v>
      </c>
      <c r="G442" s="25">
        <v>45054</v>
      </c>
      <c r="H442" s="10" t="s">
        <v>1356</v>
      </c>
      <c r="I442" s="10" t="s">
        <v>1357</v>
      </c>
      <c r="J442" s="15">
        <v>430523.48</v>
      </c>
      <c r="K442" s="15">
        <v>430096.89808000007</v>
      </c>
      <c r="L442" s="15">
        <v>426.58</v>
      </c>
      <c r="M442" s="15">
        <v>367.74</v>
      </c>
      <c r="N442" s="15">
        <v>0</v>
      </c>
      <c r="O442" s="15">
        <v>58.84</v>
      </c>
      <c r="P442" s="2" t="s">
        <v>55</v>
      </c>
      <c r="Q442" s="16"/>
    </row>
    <row r="443" spans="1:17" x14ac:dyDescent="0.3">
      <c r="A443" s="10">
        <v>21733</v>
      </c>
      <c r="B443" s="2" t="s">
        <v>3794</v>
      </c>
      <c r="C443" s="13">
        <v>5549</v>
      </c>
      <c r="D443" s="2" t="s">
        <v>44</v>
      </c>
      <c r="E443" s="14">
        <v>44326</v>
      </c>
      <c r="F443" s="10" t="s">
        <v>1358</v>
      </c>
      <c r="G443" s="25">
        <v>44330</v>
      </c>
      <c r="H443" s="10" t="s">
        <v>1359</v>
      </c>
      <c r="I443" s="10" t="s">
        <v>1360</v>
      </c>
      <c r="J443" s="15">
        <v>287112.92</v>
      </c>
      <c r="K443" s="15">
        <v>286685.52155999996</v>
      </c>
      <c r="L443" s="15">
        <v>427.4</v>
      </c>
      <c r="M443" s="15">
        <v>368.45</v>
      </c>
      <c r="N443" s="15">
        <v>0</v>
      </c>
      <c r="O443" s="15">
        <v>58.95</v>
      </c>
      <c r="P443" s="2" t="s">
        <v>55</v>
      </c>
      <c r="Q443" s="16"/>
    </row>
    <row r="444" spans="1:17" x14ac:dyDescent="0.3">
      <c r="A444" s="10">
        <v>21733</v>
      </c>
      <c r="B444" s="2" t="s">
        <v>3795</v>
      </c>
      <c r="C444" s="13">
        <v>5537</v>
      </c>
      <c r="D444" s="2" t="s">
        <v>44</v>
      </c>
      <c r="E444" s="14">
        <v>44361</v>
      </c>
      <c r="F444" s="10" t="s">
        <v>1361</v>
      </c>
      <c r="G444" s="25">
        <v>44366</v>
      </c>
      <c r="H444" s="10" t="s">
        <v>1362</v>
      </c>
      <c r="I444" s="10" t="s">
        <v>1363</v>
      </c>
      <c r="J444" s="15">
        <v>308576.12</v>
      </c>
      <c r="K444" s="15">
        <v>308146.2523600001</v>
      </c>
      <c r="L444" s="15">
        <v>429.87</v>
      </c>
      <c r="M444" s="15">
        <v>370.58</v>
      </c>
      <c r="N444" s="15">
        <v>0</v>
      </c>
      <c r="O444" s="15">
        <v>59.29</v>
      </c>
      <c r="P444" s="2" t="s">
        <v>55</v>
      </c>
      <c r="Q444" s="16"/>
    </row>
    <row r="445" spans="1:17" x14ac:dyDescent="0.3">
      <c r="A445" s="10">
        <v>21733</v>
      </c>
      <c r="B445" s="2" t="s">
        <v>3796</v>
      </c>
      <c r="C445" s="13">
        <v>5548</v>
      </c>
      <c r="D445" s="2" t="s">
        <v>44</v>
      </c>
      <c r="E445" s="14">
        <v>44851</v>
      </c>
      <c r="F445" s="10" t="s">
        <v>1364</v>
      </c>
      <c r="G445" s="25">
        <v>44855</v>
      </c>
      <c r="H445" s="10" t="s">
        <v>1365</v>
      </c>
      <c r="I445" s="10" t="s">
        <v>1366</v>
      </c>
      <c r="J445" s="15">
        <v>913987.77</v>
      </c>
      <c r="K445" s="15">
        <v>913557.63691999996</v>
      </c>
      <c r="L445" s="15">
        <v>430.13</v>
      </c>
      <c r="M445" s="15">
        <v>370.8</v>
      </c>
      <c r="N445" s="15">
        <v>0</v>
      </c>
      <c r="O445" s="15">
        <v>59.33</v>
      </c>
      <c r="P445" s="2" t="s">
        <v>55</v>
      </c>
      <c r="Q445" s="16"/>
    </row>
    <row r="446" spans="1:17" x14ac:dyDescent="0.3">
      <c r="A446" s="10">
        <v>21733</v>
      </c>
      <c r="B446" s="2" t="s">
        <v>3797</v>
      </c>
      <c r="C446" s="13">
        <v>5556</v>
      </c>
      <c r="D446" s="2" t="s">
        <v>44</v>
      </c>
      <c r="E446" s="14">
        <v>44804</v>
      </c>
      <c r="F446" s="10" t="s">
        <v>1367</v>
      </c>
      <c r="G446" s="25">
        <v>44812</v>
      </c>
      <c r="H446" s="10" t="s">
        <v>1368</v>
      </c>
      <c r="I446" s="10" t="s">
        <v>1369</v>
      </c>
      <c r="J446" s="15">
        <v>152388.88</v>
      </c>
      <c r="K446" s="15">
        <v>151958.49548000001</v>
      </c>
      <c r="L446" s="15">
        <v>430.38</v>
      </c>
      <c r="M446" s="15">
        <v>371.02</v>
      </c>
      <c r="N446" s="15">
        <v>0</v>
      </c>
      <c r="O446" s="15">
        <v>59.36</v>
      </c>
      <c r="P446" s="2" t="s">
        <v>55</v>
      </c>
      <c r="Q446" s="16"/>
    </row>
    <row r="447" spans="1:17" x14ac:dyDescent="0.3">
      <c r="A447" s="10">
        <v>21733</v>
      </c>
      <c r="B447" s="2" t="s">
        <v>3798</v>
      </c>
      <c r="C447" s="13">
        <v>5681</v>
      </c>
      <c r="D447" s="2" t="s">
        <v>44</v>
      </c>
      <c r="E447" s="14">
        <v>44362</v>
      </c>
      <c r="F447" s="10" t="s">
        <v>1370</v>
      </c>
      <c r="G447" s="25">
        <v>44378</v>
      </c>
      <c r="H447" s="10" t="s">
        <v>1371</v>
      </c>
      <c r="I447" s="10" t="s">
        <v>1372</v>
      </c>
      <c r="J447" s="15">
        <v>2156.21</v>
      </c>
      <c r="K447" s="15">
        <v>1724.9664</v>
      </c>
      <c r="L447" s="15">
        <v>431.24</v>
      </c>
      <c r="M447" s="15">
        <v>371.76</v>
      </c>
      <c r="N447" s="15">
        <v>0</v>
      </c>
      <c r="O447" s="15">
        <v>59.48</v>
      </c>
      <c r="P447" s="2" t="s">
        <v>55</v>
      </c>
      <c r="Q447" s="16"/>
    </row>
    <row r="448" spans="1:17" x14ac:dyDescent="0.3">
      <c r="A448" s="10">
        <v>21733</v>
      </c>
      <c r="B448" s="2" t="s">
        <v>3799</v>
      </c>
      <c r="C448" s="13">
        <v>5548</v>
      </c>
      <c r="D448" s="2" t="s">
        <v>44</v>
      </c>
      <c r="E448" s="14">
        <v>44942</v>
      </c>
      <c r="F448" s="10" t="s">
        <v>1323</v>
      </c>
      <c r="G448" s="25">
        <v>44947</v>
      </c>
      <c r="H448" s="10" t="s">
        <v>1373</v>
      </c>
      <c r="I448" s="10" t="s">
        <v>1374</v>
      </c>
      <c r="J448" s="15">
        <v>1263353.3700000001</v>
      </c>
      <c r="K448" s="15">
        <v>1262921.58464</v>
      </c>
      <c r="L448" s="15">
        <v>431.79</v>
      </c>
      <c r="M448" s="15">
        <v>372.23</v>
      </c>
      <c r="N448" s="15">
        <v>0</v>
      </c>
      <c r="O448" s="15">
        <v>59.56</v>
      </c>
      <c r="P448" s="2" t="s">
        <v>55</v>
      </c>
      <c r="Q448" s="16"/>
    </row>
    <row r="449" spans="1:17" x14ac:dyDescent="0.3">
      <c r="A449" s="10">
        <v>21733</v>
      </c>
      <c r="B449" s="2" t="s">
        <v>3800</v>
      </c>
      <c r="C449" s="13">
        <v>5556</v>
      </c>
      <c r="D449" s="2" t="s">
        <v>44</v>
      </c>
      <c r="E449" s="14">
        <v>44657</v>
      </c>
      <c r="F449" s="10" t="s">
        <v>1375</v>
      </c>
      <c r="G449" s="25">
        <v>44663</v>
      </c>
      <c r="H449" s="10" t="s">
        <v>1376</v>
      </c>
      <c r="I449" s="10" t="s">
        <v>1377</v>
      </c>
      <c r="J449" s="15">
        <v>255139.08</v>
      </c>
      <c r="K449" s="15">
        <v>254706.41188000006</v>
      </c>
      <c r="L449" s="15">
        <v>432.67</v>
      </c>
      <c r="M449" s="15">
        <v>372.99</v>
      </c>
      <c r="N449" s="15">
        <v>0</v>
      </c>
      <c r="O449" s="15">
        <v>59.68</v>
      </c>
      <c r="P449" s="2" t="s">
        <v>55</v>
      </c>
      <c r="Q449" s="16"/>
    </row>
    <row r="450" spans="1:17" x14ac:dyDescent="0.3">
      <c r="A450" s="10">
        <v>21733</v>
      </c>
      <c r="B450" s="2" t="s">
        <v>3801</v>
      </c>
      <c r="C450" s="13">
        <v>5681</v>
      </c>
      <c r="D450" s="2" t="s">
        <v>44</v>
      </c>
      <c r="E450" s="14">
        <v>45040</v>
      </c>
      <c r="F450" s="10" t="s">
        <v>1378</v>
      </c>
      <c r="G450" s="25">
        <v>45045</v>
      </c>
      <c r="H450" s="10" t="s">
        <v>1379</v>
      </c>
      <c r="I450" s="10" t="s">
        <v>1380</v>
      </c>
      <c r="J450" s="15">
        <v>960299.77</v>
      </c>
      <c r="K450" s="15">
        <v>959865.60251999984</v>
      </c>
      <c r="L450" s="15">
        <v>434.17</v>
      </c>
      <c r="M450" s="15">
        <v>374.28</v>
      </c>
      <c r="N450" s="15">
        <v>0</v>
      </c>
      <c r="O450" s="15">
        <v>59.89</v>
      </c>
      <c r="P450" s="2" t="s">
        <v>55</v>
      </c>
      <c r="Q450" s="16"/>
    </row>
    <row r="451" spans="1:17" x14ac:dyDescent="0.3">
      <c r="A451" s="10">
        <v>21733</v>
      </c>
      <c r="B451" s="2" t="s">
        <v>3802</v>
      </c>
      <c r="C451" s="13">
        <v>5557</v>
      </c>
      <c r="D451" s="2" t="s">
        <v>44</v>
      </c>
      <c r="E451" s="14">
        <v>45012</v>
      </c>
      <c r="F451" s="10" t="s">
        <v>224</v>
      </c>
      <c r="G451" s="25">
        <v>45020</v>
      </c>
      <c r="H451" s="10" t="s">
        <v>1381</v>
      </c>
      <c r="I451" s="10" t="s">
        <v>1382</v>
      </c>
      <c r="J451" s="15">
        <v>939429.5</v>
      </c>
      <c r="K451" s="15">
        <v>938994.75840000017</v>
      </c>
      <c r="L451" s="15">
        <v>434.74</v>
      </c>
      <c r="M451" s="15">
        <v>374.78</v>
      </c>
      <c r="N451" s="15">
        <v>0</v>
      </c>
      <c r="O451" s="15">
        <v>59.96</v>
      </c>
      <c r="P451" s="2" t="s">
        <v>55</v>
      </c>
      <c r="Q451" s="16"/>
    </row>
    <row r="452" spans="1:17" x14ac:dyDescent="0.3">
      <c r="A452" s="10">
        <v>21733</v>
      </c>
      <c r="B452" s="2" t="s">
        <v>3803</v>
      </c>
      <c r="C452" s="13">
        <v>5681</v>
      </c>
      <c r="D452" s="2" t="s">
        <v>44</v>
      </c>
      <c r="E452" s="14">
        <v>44368</v>
      </c>
      <c r="F452" s="10" t="s">
        <v>1383</v>
      </c>
      <c r="G452" s="25">
        <v>44373</v>
      </c>
      <c r="H452" s="10" t="s">
        <v>1384</v>
      </c>
      <c r="I452" s="10" t="s">
        <v>1385</v>
      </c>
      <c r="J452" s="15">
        <v>409113.27</v>
      </c>
      <c r="K452" s="15">
        <v>408677.32756000001</v>
      </c>
      <c r="L452" s="15">
        <v>435.94</v>
      </c>
      <c r="M452" s="15">
        <v>375.81</v>
      </c>
      <c r="N452" s="15">
        <v>0</v>
      </c>
      <c r="O452" s="15">
        <v>60.13</v>
      </c>
      <c r="P452" s="2" t="s">
        <v>55</v>
      </c>
      <c r="Q452" s="16"/>
    </row>
    <row r="453" spans="1:17" x14ac:dyDescent="0.3">
      <c r="A453" s="10">
        <v>21733</v>
      </c>
      <c r="B453" s="2" t="s">
        <v>3804</v>
      </c>
      <c r="C453" s="13">
        <v>5556</v>
      </c>
      <c r="D453" s="2" t="s">
        <v>44</v>
      </c>
      <c r="E453" s="14">
        <v>44426</v>
      </c>
      <c r="F453" s="10" t="s">
        <v>1386</v>
      </c>
      <c r="G453" s="25">
        <v>44432</v>
      </c>
      <c r="H453" s="10" t="s">
        <v>1387</v>
      </c>
      <c r="I453" s="10" t="s">
        <v>1388</v>
      </c>
      <c r="J453" s="15">
        <v>157499.89000000001</v>
      </c>
      <c r="K453" s="15">
        <v>157063.73319999999</v>
      </c>
      <c r="L453" s="15">
        <v>436.16</v>
      </c>
      <c r="M453" s="15">
        <v>376</v>
      </c>
      <c r="N453" s="15">
        <v>0</v>
      </c>
      <c r="O453" s="15">
        <v>60.16</v>
      </c>
      <c r="P453" s="2" t="s">
        <v>55</v>
      </c>
      <c r="Q453" s="16"/>
    </row>
    <row r="454" spans="1:17" x14ac:dyDescent="0.3">
      <c r="A454" s="10">
        <v>21733</v>
      </c>
      <c r="B454" s="2" t="s">
        <v>3805</v>
      </c>
      <c r="C454" s="13">
        <v>5557</v>
      </c>
      <c r="D454" s="2" t="s">
        <v>44</v>
      </c>
      <c r="E454" s="14">
        <v>44354</v>
      </c>
      <c r="F454" s="10" t="s">
        <v>1389</v>
      </c>
      <c r="G454" s="25">
        <v>44359</v>
      </c>
      <c r="H454" s="10" t="s">
        <v>1390</v>
      </c>
      <c r="I454" s="10" t="s">
        <v>1391</v>
      </c>
      <c r="J454" s="15">
        <v>118141.79</v>
      </c>
      <c r="K454" s="15">
        <v>117704.8636</v>
      </c>
      <c r="L454" s="15">
        <v>436.93</v>
      </c>
      <c r="M454" s="15">
        <v>376.66</v>
      </c>
      <c r="N454" s="15">
        <v>0</v>
      </c>
      <c r="O454" s="15">
        <v>60.27</v>
      </c>
      <c r="P454" s="2" t="s">
        <v>55</v>
      </c>
      <c r="Q454" s="16"/>
    </row>
    <row r="455" spans="1:17" x14ac:dyDescent="0.3">
      <c r="A455" s="10">
        <v>21733</v>
      </c>
      <c r="B455" s="2" t="s">
        <v>3806</v>
      </c>
      <c r="C455" s="13">
        <v>5556</v>
      </c>
      <c r="D455" s="2" t="s">
        <v>44</v>
      </c>
      <c r="E455" s="14">
        <v>44755</v>
      </c>
      <c r="F455" s="10" t="s">
        <v>1392</v>
      </c>
      <c r="G455" s="25">
        <v>44762</v>
      </c>
      <c r="H455" s="10" t="s">
        <v>1393</v>
      </c>
      <c r="I455" s="10" t="s">
        <v>1394</v>
      </c>
      <c r="J455" s="15">
        <v>359318.23</v>
      </c>
      <c r="K455" s="15">
        <v>358879.28967999993</v>
      </c>
      <c r="L455" s="15">
        <v>438.94</v>
      </c>
      <c r="M455" s="15">
        <v>378.4</v>
      </c>
      <c r="N455" s="15">
        <v>0</v>
      </c>
      <c r="O455" s="15">
        <v>60.54</v>
      </c>
      <c r="P455" s="2" t="s">
        <v>55</v>
      </c>
      <c r="Q455" s="16"/>
    </row>
    <row r="456" spans="1:17" x14ac:dyDescent="0.3">
      <c r="A456" s="10">
        <v>21733</v>
      </c>
      <c r="B456" s="2" t="s">
        <v>3807</v>
      </c>
      <c r="C456" s="13">
        <v>5537</v>
      </c>
      <c r="D456" s="2" t="s">
        <v>44</v>
      </c>
      <c r="E456" s="14">
        <v>44298</v>
      </c>
      <c r="F456" s="10" t="s">
        <v>1395</v>
      </c>
      <c r="G456" s="25">
        <v>44302</v>
      </c>
      <c r="H456" s="10" t="s">
        <v>1396</v>
      </c>
      <c r="I456" s="10" t="s">
        <v>1397</v>
      </c>
      <c r="J456" s="15">
        <v>365975.61</v>
      </c>
      <c r="K456" s="15">
        <v>365536.60044000007</v>
      </c>
      <c r="L456" s="15">
        <v>439.01</v>
      </c>
      <c r="M456" s="15">
        <v>378.46</v>
      </c>
      <c r="N456" s="15">
        <v>0</v>
      </c>
      <c r="O456" s="15">
        <v>60.55</v>
      </c>
      <c r="P456" s="2" t="s">
        <v>55</v>
      </c>
      <c r="Q456" s="16"/>
    </row>
    <row r="457" spans="1:17" x14ac:dyDescent="0.3">
      <c r="A457" s="10">
        <v>21733</v>
      </c>
      <c r="B457" s="2" t="s">
        <v>3808</v>
      </c>
      <c r="C457" s="13">
        <v>5681</v>
      </c>
      <c r="D457" s="2" t="s">
        <v>44</v>
      </c>
      <c r="E457" s="14">
        <v>44648</v>
      </c>
      <c r="F457" s="10" t="s">
        <v>1398</v>
      </c>
      <c r="G457" s="25">
        <v>44653</v>
      </c>
      <c r="H457" s="10" t="s">
        <v>1399</v>
      </c>
      <c r="I457" s="10" t="s">
        <v>1400</v>
      </c>
      <c r="J457" s="15">
        <v>44019.59</v>
      </c>
      <c r="K457" s="15">
        <v>43579.504079999999</v>
      </c>
      <c r="L457" s="15">
        <v>440.09</v>
      </c>
      <c r="M457" s="15">
        <v>379.38</v>
      </c>
      <c r="N457" s="15">
        <v>0</v>
      </c>
      <c r="O457" s="15">
        <v>60.7</v>
      </c>
      <c r="P457" s="2" t="s">
        <v>55</v>
      </c>
      <c r="Q457" s="16"/>
    </row>
    <row r="458" spans="1:17" x14ac:dyDescent="0.3">
      <c r="A458" s="10">
        <v>21733</v>
      </c>
      <c r="B458" s="2" t="s">
        <v>3809</v>
      </c>
      <c r="C458" s="13">
        <v>5556</v>
      </c>
      <c r="D458" s="2" t="s">
        <v>44</v>
      </c>
      <c r="E458" s="14">
        <v>44328</v>
      </c>
      <c r="F458" s="10" t="s">
        <v>1401</v>
      </c>
      <c r="G458" s="25">
        <v>44335</v>
      </c>
      <c r="H458" s="10" t="s">
        <v>1402</v>
      </c>
      <c r="I458" s="10" t="s">
        <v>1403</v>
      </c>
      <c r="J458" s="15">
        <v>276464.19</v>
      </c>
      <c r="K458" s="15">
        <v>276023.47783999995</v>
      </c>
      <c r="L458" s="15">
        <v>440.71</v>
      </c>
      <c r="M458" s="15">
        <v>379.92</v>
      </c>
      <c r="N458" s="15">
        <v>0</v>
      </c>
      <c r="O458" s="15">
        <v>60.79</v>
      </c>
      <c r="P458" s="2" t="s">
        <v>55</v>
      </c>
      <c r="Q458" s="16"/>
    </row>
    <row r="459" spans="1:17" x14ac:dyDescent="0.3">
      <c r="A459" s="10">
        <v>21733</v>
      </c>
      <c r="B459" s="2" t="s">
        <v>3810</v>
      </c>
      <c r="C459" s="13">
        <v>5681</v>
      </c>
      <c r="D459" s="2" t="s">
        <v>44</v>
      </c>
      <c r="E459" s="14">
        <v>44326</v>
      </c>
      <c r="F459" s="10" t="s">
        <v>1404</v>
      </c>
      <c r="G459" s="25">
        <v>44331</v>
      </c>
      <c r="H459" s="10" t="s">
        <v>1405</v>
      </c>
      <c r="I459" s="10" t="s">
        <v>1406</v>
      </c>
      <c r="J459" s="15">
        <v>195803.02</v>
      </c>
      <c r="K459" s="15">
        <v>195359.22152000002</v>
      </c>
      <c r="L459" s="15">
        <v>443.8</v>
      </c>
      <c r="M459" s="15">
        <v>382.58</v>
      </c>
      <c r="N459" s="15">
        <v>0</v>
      </c>
      <c r="O459" s="15">
        <v>61.21</v>
      </c>
      <c r="P459" s="2" t="s">
        <v>55</v>
      </c>
      <c r="Q459" s="16"/>
    </row>
    <row r="460" spans="1:17" x14ac:dyDescent="0.3">
      <c r="A460" s="10">
        <v>21733</v>
      </c>
      <c r="B460" s="2" t="s">
        <v>3811</v>
      </c>
      <c r="C460" s="13">
        <v>5549</v>
      </c>
      <c r="D460" s="2" t="s">
        <v>44</v>
      </c>
      <c r="E460" s="14">
        <v>44883</v>
      </c>
      <c r="F460" s="10" t="s">
        <v>1407</v>
      </c>
      <c r="G460" s="25">
        <v>44890</v>
      </c>
      <c r="H460" s="10" t="s">
        <v>1408</v>
      </c>
      <c r="I460" s="10" t="s">
        <v>1409</v>
      </c>
      <c r="J460" s="15">
        <v>629804.87</v>
      </c>
      <c r="K460" s="15">
        <v>629360.72948000021</v>
      </c>
      <c r="L460" s="15">
        <v>444.14</v>
      </c>
      <c r="M460" s="15">
        <v>382.88</v>
      </c>
      <c r="N460" s="15">
        <v>0</v>
      </c>
      <c r="O460" s="15">
        <v>61.26</v>
      </c>
      <c r="P460" s="2" t="s">
        <v>55</v>
      </c>
      <c r="Q460" s="16"/>
    </row>
    <row r="461" spans="1:17" x14ac:dyDescent="0.3">
      <c r="A461" s="10">
        <v>21733</v>
      </c>
      <c r="B461" s="2" t="s">
        <v>3812</v>
      </c>
      <c r="C461" s="13">
        <v>5548</v>
      </c>
      <c r="D461" s="2" t="s">
        <v>44</v>
      </c>
      <c r="E461" s="14">
        <v>44613</v>
      </c>
      <c r="F461" s="10" t="s">
        <v>1410</v>
      </c>
      <c r="G461" s="25">
        <v>44617</v>
      </c>
      <c r="H461" s="10" t="s">
        <v>1411</v>
      </c>
      <c r="I461" s="10" t="s">
        <v>1412</v>
      </c>
      <c r="J461" s="15">
        <v>1248153.6399999999</v>
      </c>
      <c r="K461" s="15">
        <v>1247708.3180399998</v>
      </c>
      <c r="L461" s="15">
        <v>445.32</v>
      </c>
      <c r="M461" s="15">
        <v>383.9</v>
      </c>
      <c r="N461" s="15">
        <v>0</v>
      </c>
      <c r="O461" s="15">
        <v>61.42</v>
      </c>
      <c r="P461" s="2" t="s">
        <v>55</v>
      </c>
      <c r="Q461" s="16"/>
    </row>
    <row r="462" spans="1:17" x14ac:dyDescent="0.3">
      <c r="A462" s="10">
        <v>21733</v>
      </c>
      <c r="B462" s="2" t="s">
        <v>3813</v>
      </c>
      <c r="C462" s="13">
        <v>5548</v>
      </c>
      <c r="D462" s="2" t="s">
        <v>44</v>
      </c>
      <c r="E462" s="14">
        <v>44795</v>
      </c>
      <c r="F462" s="10" t="s">
        <v>1413</v>
      </c>
      <c r="G462" s="25">
        <v>44800</v>
      </c>
      <c r="H462" s="10" t="s">
        <v>1414</v>
      </c>
      <c r="I462" s="10" t="s">
        <v>1415</v>
      </c>
      <c r="J462" s="15">
        <v>1181415</v>
      </c>
      <c r="K462" s="15">
        <v>1180969.5473600002</v>
      </c>
      <c r="L462" s="15">
        <v>445.45</v>
      </c>
      <c r="M462" s="15">
        <v>384.01</v>
      </c>
      <c r="N462" s="15">
        <v>0</v>
      </c>
      <c r="O462" s="15">
        <v>61.44</v>
      </c>
      <c r="P462" s="2" t="s">
        <v>55</v>
      </c>
      <c r="Q462" s="16"/>
    </row>
    <row r="463" spans="1:17" x14ac:dyDescent="0.3">
      <c r="A463" s="10">
        <v>21733</v>
      </c>
      <c r="B463" s="2" t="s">
        <v>3814</v>
      </c>
      <c r="C463" s="13">
        <v>5681</v>
      </c>
      <c r="D463" s="2" t="s">
        <v>44</v>
      </c>
      <c r="E463" s="14">
        <v>44405</v>
      </c>
      <c r="F463" s="10" t="s">
        <v>1416</v>
      </c>
      <c r="G463" s="25">
        <v>44415</v>
      </c>
      <c r="H463" s="10" t="s">
        <v>1417</v>
      </c>
      <c r="I463" s="10" t="s">
        <v>1418</v>
      </c>
      <c r="J463" s="15">
        <v>135155.82</v>
      </c>
      <c r="K463" s="15">
        <v>134708.85119999998</v>
      </c>
      <c r="L463" s="15">
        <v>446.97</v>
      </c>
      <c r="M463" s="15">
        <v>385.32</v>
      </c>
      <c r="N463" s="15">
        <v>0</v>
      </c>
      <c r="O463" s="15">
        <v>61.65</v>
      </c>
      <c r="P463" s="2" t="s">
        <v>55</v>
      </c>
      <c r="Q463" s="16"/>
    </row>
    <row r="464" spans="1:17" x14ac:dyDescent="0.3">
      <c r="A464" s="10">
        <v>21733</v>
      </c>
      <c r="B464" s="2" t="s">
        <v>3815</v>
      </c>
      <c r="C464" s="13">
        <v>5681</v>
      </c>
      <c r="D464" s="2" t="s">
        <v>44</v>
      </c>
      <c r="E464" s="14">
        <v>44375</v>
      </c>
      <c r="F464" s="10" t="s">
        <v>1419</v>
      </c>
      <c r="G464" s="25">
        <v>44381</v>
      </c>
      <c r="H464" s="10" t="s">
        <v>1420</v>
      </c>
      <c r="I464" s="10" t="s">
        <v>1421</v>
      </c>
      <c r="J464" s="15">
        <v>210803.44</v>
      </c>
      <c r="K464" s="15">
        <v>210348.38191999993</v>
      </c>
      <c r="L464" s="15">
        <v>455.06</v>
      </c>
      <c r="M464" s="15">
        <v>392.29</v>
      </c>
      <c r="N464" s="15">
        <v>0</v>
      </c>
      <c r="O464" s="15">
        <v>62.77</v>
      </c>
      <c r="P464" s="2" t="s">
        <v>55</v>
      </c>
      <c r="Q464" s="16"/>
    </row>
    <row r="465" spans="1:17" x14ac:dyDescent="0.3">
      <c r="A465" s="10">
        <v>21733</v>
      </c>
      <c r="B465" s="2" t="s">
        <v>3816</v>
      </c>
      <c r="C465" s="13">
        <v>5556</v>
      </c>
      <c r="D465" s="2" t="s">
        <v>44</v>
      </c>
      <c r="E465" s="14">
        <v>44622</v>
      </c>
      <c r="F465" s="10" t="s">
        <v>1422</v>
      </c>
      <c r="G465" s="25">
        <v>44628</v>
      </c>
      <c r="H465" s="10" t="s">
        <v>1423</v>
      </c>
      <c r="I465" s="10" t="s">
        <v>1424</v>
      </c>
      <c r="J465" s="15">
        <v>200694.68</v>
      </c>
      <c r="K465" s="15">
        <v>200239.32528000002</v>
      </c>
      <c r="L465" s="15">
        <v>455.35</v>
      </c>
      <c r="M465" s="15">
        <v>392.55</v>
      </c>
      <c r="N465" s="15">
        <v>0</v>
      </c>
      <c r="O465" s="15">
        <v>62.81</v>
      </c>
      <c r="P465" s="2" t="s">
        <v>55</v>
      </c>
      <c r="Q465" s="16"/>
    </row>
    <row r="466" spans="1:17" x14ac:dyDescent="0.3">
      <c r="A466" s="10">
        <v>21733</v>
      </c>
      <c r="B466" s="2" t="s">
        <v>3817</v>
      </c>
      <c r="C466" s="13">
        <v>5556</v>
      </c>
      <c r="D466" s="2" t="s">
        <v>44</v>
      </c>
      <c r="E466" s="14">
        <v>44755</v>
      </c>
      <c r="F466" s="10" t="s">
        <v>1425</v>
      </c>
      <c r="G466" s="25">
        <v>44762</v>
      </c>
      <c r="H466" s="10" t="s">
        <v>1426</v>
      </c>
      <c r="I466" s="10" t="s">
        <v>1427</v>
      </c>
      <c r="J466" s="15">
        <v>180711.12</v>
      </c>
      <c r="K466" s="15">
        <v>180255.65959999998</v>
      </c>
      <c r="L466" s="15">
        <v>455.46</v>
      </c>
      <c r="M466" s="15">
        <v>392.64</v>
      </c>
      <c r="N466" s="15">
        <v>0</v>
      </c>
      <c r="O466" s="15">
        <v>62.82</v>
      </c>
      <c r="P466" s="2" t="s">
        <v>55</v>
      </c>
      <c r="Q466" s="16"/>
    </row>
    <row r="467" spans="1:17" x14ac:dyDescent="0.3">
      <c r="A467" s="10">
        <v>21733</v>
      </c>
      <c r="B467" s="2" t="s">
        <v>3818</v>
      </c>
      <c r="C467" s="13">
        <v>5548</v>
      </c>
      <c r="D467" s="2" t="s">
        <v>44</v>
      </c>
      <c r="E467" s="14">
        <v>44809</v>
      </c>
      <c r="F467" s="10" t="s">
        <v>1428</v>
      </c>
      <c r="G467" s="25">
        <v>44813</v>
      </c>
      <c r="H467" s="10" t="s">
        <v>1429</v>
      </c>
      <c r="I467" s="10" t="s">
        <v>1430</v>
      </c>
      <c r="J467" s="15">
        <v>471015.55</v>
      </c>
      <c r="K467" s="15">
        <v>470558.39175999997</v>
      </c>
      <c r="L467" s="15">
        <v>457.16</v>
      </c>
      <c r="M467" s="15">
        <v>394.1</v>
      </c>
      <c r="N467" s="15">
        <v>0</v>
      </c>
      <c r="O467" s="15">
        <v>63.06</v>
      </c>
      <c r="P467" s="2" t="s">
        <v>55</v>
      </c>
      <c r="Q467" s="16"/>
    </row>
    <row r="468" spans="1:17" x14ac:dyDescent="0.3">
      <c r="A468" s="10">
        <v>21733</v>
      </c>
      <c r="B468" s="2" t="s">
        <v>3819</v>
      </c>
      <c r="C468" s="13">
        <v>5548</v>
      </c>
      <c r="D468" s="2" t="s">
        <v>44</v>
      </c>
      <c r="E468" s="14">
        <v>45027</v>
      </c>
      <c r="F468" s="10" t="s">
        <v>1431</v>
      </c>
      <c r="G468" s="25">
        <v>45037</v>
      </c>
      <c r="H468" s="10" t="s">
        <v>1432</v>
      </c>
      <c r="I468" s="10" t="s">
        <v>1433</v>
      </c>
      <c r="J468" s="15">
        <v>694400.02</v>
      </c>
      <c r="K468" s="15">
        <v>693942.62399999995</v>
      </c>
      <c r="L468" s="15">
        <v>457.4</v>
      </c>
      <c r="M468" s="15">
        <v>394.31</v>
      </c>
      <c r="N468" s="15">
        <v>0</v>
      </c>
      <c r="O468" s="15">
        <v>63.09</v>
      </c>
      <c r="P468" s="2" t="s">
        <v>55</v>
      </c>
      <c r="Q468" s="16"/>
    </row>
    <row r="469" spans="1:17" x14ac:dyDescent="0.3">
      <c r="A469" s="10">
        <v>21733</v>
      </c>
      <c r="B469" s="2" t="s">
        <v>3820</v>
      </c>
      <c r="C469" s="13">
        <v>5548</v>
      </c>
      <c r="D469" s="2" t="s">
        <v>44</v>
      </c>
      <c r="E469" s="14">
        <v>44907</v>
      </c>
      <c r="F469" s="10" t="s">
        <v>1434</v>
      </c>
      <c r="G469" s="25">
        <v>44911</v>
      </c>
      <c r="H469" s="10" t="s">
        <v>1435</v>
      </c>
      <c r="I469" s="10" t="s">
        <v>1436</v>
      </c>
      <c r="J469" s="15">
        <v>1476916.23</v>
      </c>
      <c r="K469" s="15">
        <v>1476458.26948</v>
      </c>
      <c r="L469" s="15">
        <v>457.96</v>
      </c>
      <c r="M469" s="15">
        <v>394.79</v>
      </c>
      <c r="N469" s="15">
        <v>0</v>
      </c>
      <c r="O469" s="15">
        <v>63.17</v>
      </c>
      <c r="P469" s="2" t="s">
        <v>55</v>
      </c>
      <c r="Q469" s="16"/>
    </row>
    <row r="470" spans="1:17" x14ac:dyDescent="0.3">
      <c r="A470" s="10">
        <v>21733</v>
      </c>
      <c r="B470" s="2" t="s">
        <v>3821</v>
      </c>
      <c r="C470" s="13">
        <v>5681</v>
      </c>
      <c r="D470" s="2" t="s">
        <v>44</v>
      </c>
      <c r="E470" s="14">
        <v>44795</v>
      </c>
      <c r="F470" s="10" t="s">
        <v>1437</v>
      </c>
      <c r="G470" s="25">
        <v>44800</v>
      </c>
      <c r="H470" s="10" t="s">
        <v>1438</v>
      </c>
      <c r="I470" s="10" t="s">
        <v>1439</v>
      </c>
      <c r="J470" s="15">
        <v>437526.54</v>
      </c>
      <c r="K470" s="15">
        <v>437067.04807999998</v>
      </c>
      <c r="L470" s="15">
        <v>459.49</v>
      </c>
      <c r="M470" s="15">
        <v>396.11</v>
      </c>
      <c r="N470" s="15">
        <v>0</v>
      </c>
      <c r="O470" s="15">
        <v>63.38</v>
      </c>
      <c r="P470" s="2" t="s">
        <v>55</v>
      </c>
      <c r="Q470" s="16"/>
    </row>
    <row r="471" spans="1:17" x14ac:dyDescent="0.3">
      <c r="A471" s="10">
        <v>21733</v>
      </c>
      <c r="B471" s="2" t="s">
        <v>3822</v>
      </c>
      <c r="C471" s="13">
        <v>5537</v>
      </c>
      <c r="D471" s="2" t="s">
        <v>44</v>
      </c>
      <c r="E471" s="14">
        <v>44900</v>
      </c>
      <c r="F471" s="10" t="s">
        <v>1440</v>
      </c>
      <c r="G471" s="25">
        <v>44905</v>
      </c>
      <c r="H471" s="10" t="s">
        <v>1441</v>
      </c>
      <c r="I471" s="10" t="s">
        <v>1442</v>
      </c>
      <c r="J471" s="15">
        <v>768013.77</v>
      </c>
      <c r="K471" s="15">
        <v>767551.99928000022</v>
      </c>
      <c r="L471" s="15">
        <v>461.77</v>
      </c>
      <c r="M471" s="15">
        <v>398.08</v>
      </c>
      <c r="N471" s="15">
        <v>0</v>
      </c>
      <c r="O471" s="15">
        <v>63.69</v>
      </c>
      <c r="P471" s="2" t="s">
        <v>55</v>
      </c>
      <c r="Q471" s="16"/>
    </row>
    <row r="472" spans="1:17" x14ac:dyDescent="0.3">
      <c r="A472" s="10">
        <v>21733</v>
      </c>
      <c r="B472" s="2" t="s">
        <v>3823</v>
      </c>
      <c r="C472" s="13">
        <v>5556</v>
      </c>
      <c r="D472" s="2" t="s">
        <v>44</v>
      </c>
      <c r="E472" s="14">
        <v>44888</v>
      </c>
      <c r="F472" s="10" t="s">
        <v>1443</v>
      </c>
      <c r="G472" s="25">
        <v>44896</v>
      </c>
      <c r="H472" s="10" t="s">
        <v>1444</v>
      </c>
      <c r="I472" s="10" t="s">
        <v>1445</v>
      </c>
      <c r="J472" s="15">
        <v>167165.54999999999</v>
      </c>
      <c r="K472" s="15">
        <v>166702.96895999997</v>
      </c>
      <c r="L472" s="15">
        <v>462.58</v>
      </c>
      <c r="M472" s="15">
        <v>398.78</v>
      </c>
      <c r="N472" s="15">
        <v>0</v>
      </c>
      <c r="O472" s="15">
        <v>63.8</v>
      </c>
      <c r="P472" s="2" t="s">
        <v>55</v>
      </c>
      <c r="Q472" s="16"/>
    </row>
    <row r="473" spans="1:17" x14ac:dyDescent="0.3">
      <c r="A473" s="10">
        <v>21733</v>
      </c>
      <c r="B473" s="2" t="s">
        <v>3824</v>
      </c>
      <c r="C473" s="13">
        <v>5556</v>
      </c>
      <c r="D473" s="2" t="s">
        <v>44</v>
      </c>
      <c r="E473" s="14">
        <v>44979</v>
      </c>
      <c r="F473" s="10" t="s">
        <v>1446</v>
      </c>
      <c r="G473" s="25">
        <v>44986</v>
      </c>
      <c r="H473" s="10" t="s">
        <v>1447</v>
      </c>
      <c r="I473" s="10" t="s">
        <v>1448</v>
      </c>
      <c r="J473" s="15">
        <v>1089727.44</v>
      </c>
      <c r="K473" s="15">
        <v>1089264.2834400006</v>
      </c>
      <c r="L473" s="15">
        <v>463.16</v>
      </c>
      <c r="M473" s="15">
        <v>399.27</v>
      </c>
      <c r="N473" s="15">
        <v>0</v>
      </c>
      <c r="O473" s="15">
        <v>63.88</v>
      </c>
      <c r="P473" s="2" t="s">
        <v>55</v>
      </c>
      <c r="Q473" s="16"/>
    </row>
    <row r="474" spans="1:17" x14ac:dyDescent="0.3">
      <c r="A474" s="10">
        <v>21733</v>
      </c>
      <c r="B474" s="2" t="s">
        <v>3825</v>
      </c>
      <c r="C474" s="13">
        <v>5557</v>
      </c>
      <c r="D474" s="2" t="s">
        <v>44</v>
      </c>
      <c r="E474" s="14">
        <v>44347</v>
      </c>
      <c r="F474" s="10" t="s">
        <v>1449</v>
      </c>
      <c r="G474" s="25">
        <v>44351</v>
      </c>
      <c r="H474" s="10" t="s">
        <v>1450</v>
      </c>
      <c r="I474" s="10" t="s">
        <v>1451</v>
      </c>
      <c r="J474" s="15">
        <v>228592.94</v>
      </c>
      <c r="K474" s="15">
        <v>228126.80176000003</v>
      </c>
      <c r="L474" s="15">
        <v>466.14</v>
      </c>
      <c r="M474" s="15">
        <v>401.84</v>
      </c>
      <c r="N474" s="15">
        <v>0</v>
      </c>
      <c r="O474" s="15">
        <v>64.290000000000006</v>
      </c>
      <c r="P474" s="2" t="s">
        <v>55</v>
      </c>
      <c r="Q474" s="16"/>
    </row>
    <row r="475" spans="1:17" x14ac:dyDescent="0.3">
      <c r="A475" s="10">
        <v>21733</v>
      </c>
      <c r="B475" s="2" t="s">
        <v>3826</v>
      </c>
      <c r="C475" s="13">
        <v>5556</v>
      </c>
      <c r="D475" s="2" t="s">
        <v>44</v>
      </c>
      <c r="E475" s="14">
        <v>44958</v>
      </c>
      <c r="F475" s="10" t="s">
        <v>1452</v>
      </c>
      <c r="G475" s="25">
        <v>44970</v>
      </c>
      <c r="H475" s="10" t="s">
        <v>1453</v>
      </c>
      <c r="I475" s="10" t="s">
        <v>1454</v>
      </c>
      <c r="J475" s="15">
        <v>264299.7</v>
      </c>
      <c r="K475" s="15">
        <v>263830.04271999997</v>
      </c>
      <c r="L475" s="15">
        <v>469.66</v>
      </c>
      <c r="M475" s="15">
        <v>404.88</v>
      </c>
      <c r="N475" s="15">
        <v>0</v>
      </c>
      <c r="O475" s="15">
        <v>64.78</v>
      </c>
      <c r="P475" s="2" t="s">
        <v>55</v>
      </c>
      <c r="Q475" s="16"/>
    </row>
    <row r="476" spans="1:17" x14ac:dyDescent="0.3">
      <c r="A476" s="10">
        <v>21733</v>
      </c>
      <c r="B476" s="2" t="s">
        <v>3827</v>
      </c>
      <c r="C476" s="13">
        <v>5556</v>
      </c>
      <c r="D476" s="2" t="s">
        <v>44</v>
      </c>
      <c r="E476" s="14">
        <v>44531</v>
      </c>
      <c r="F476" s="10" t="s">
        <v>1455</v>
      </c>
      <c r="G476" s="25">
        <v>44537</v>
      </c>
      <c r="H476" s="10" t="s">
        <v>1456</v>
      </c>
      <c r="I476" s="10" t="s">
        <v>1457</v>
      </c>
      <c r="J476" s="15">
        <v>96309.24</v>
      </c>
      <c r="K476" s="15">
        <v>95839.434320000015</v>
      </c>
      <c r="L476" s="15">
        <v>469.81</v>
      </c>
      <c r="M476" s="15">
        <v>405</v>
      </c>
      <c r="N476" s="15">
        <v>0</v>
      </c>
      <c r="O476" s="15">
        <v>64.8</v>
      </c>
      <c r="P476" s="2" t="s">
        <v>55</v>
      </c>
      <c r="Q476" s="16"/>
    </row>
    <row r="477" spans="1:17" x14ac:dyDescent="0.3">
      <c r="A477" s="10">
        <v>21733</v>
      </c>
      <c r="B477" s="2" t="s">
        <v>3828</v>
      </c>
      <c r="C477" s="13">
        <v>5681</v>
      </c>
      <c r="D477" s="2" t="s">
        <v>44</v>
      </c>
      <c r="E477" s="14">
        <v>44774</v>
      </c>
      <c r="F477" s="10" t="s">
        <v>1458</v>
      </c>
      <c r="G477" s="25">
        <v>44778</v>
      </c>
      <c r="H477" s="10" t="s">
        <v>1459</v>
      </c>
      <c r="I477" s="10" t="s">
        <v>1460</v>
      </c>
      <c r="J477" s="15">
        <v>574619.18999999994</v>
      </c>
      <c r="K477" s="15">
        <v>574148.83935999998</v>
      </c>
      <c r="L477" s="15">
        <v>470.35</v>
      </c>
      <c r="M477" s="15">
        <v>405.47</v>
      </c>
      <c r="N477" s="15">
        <v>0</v>
      </c>
      <c r="O477" s="15">
        <v>64.88</v>
      </c>
      <c r="P477" s="2" t="s">
        <v>55</v>
      </c>
      <c r="Q477" s="16"/>
    </row>
    <row r="478" spans="1:17" x14ac:dyDescent="0.3">
      <c r="A478" s="10">
        <v>21733</v>
      </c>
      <c r="B478" s="2" t="s">
        <v>3829</v>
      </c>
      <c r="C478" s="13">
        <v>5537</v>
      </c>
      <c r="D478" s="2" t="s">
        <v>44</v>
      </c>
      <c r="E478" s="14">
        <v>44571</v>
      </c>
      <c r="F478" s="10" t="s">
        <v>1461</v>
      </c>
      <c r="G478" s="25">
        <v>44576</v>
      </c>
      <c r="H478" s="10" t="s">
        <v>1462</v>
      </c>
      <c r="I478" s="10" t="s">
        <v>1463</v>
      </c>
      <c r="J478" s="15">
        <v>938621.51</v>
      </c>
      <c r="K478" s="15">
        <v>938150.05915999971</v>
      </c>
      <c r="L478" s="15">
        <v>471.45</v>
      </c>
      <c r="M478" s="15">
        <v>406.42</v>
      </c>
      <c r="N478" s="15">
        <v>0</v>
      </c>
      <c r="O478" s="15">
        <v>65.03</v>
      </c>
      <c r="P478" s="2" t="s">
        <v>55</v>
      </c>
      <c r="Q478" s="16"/>
    </row>
    <row r="479" spans="1:17" x14ac:dyDescent="0.3">
      <c r="A479" s="10">
        <v>21733</v>
      </c>
      <c r="B479" s="2" t="s">
        <v>3830</v>
      </c>
      <c r="C479" s="13">
        <v>5548</v>
      </c>
      <c r="D479" s="2" t="s">
        <v>44</v>
      </c>
      <c r="E479" s="14">
        <v>44431</v>
      </c>
      <c r="F479" s="10" t="s">
        <v>1464</v>
      </c>
      <c r="G479" s="25">
        <v>44435</v>
      </c>
      <c r="H479" s="10" t="s">
        <v>1465</v>
      </c>
      <c r="I479" s="10" t="s">
        <v>1466</v>
      </c>
      <c r="J479" s="15">
        <v>88545.64</v>
      </c>
      <c r="K479" s="15">
        <v>88073.921040000001</v>
      </c>
      <c r="L479" s="15">
        <v>471.72</v>
      </c>
      <c r="M479" s="15">
        <v>406.65</v>
      </c>
      <c r="N479" s="15">
        <v>0</v>
      </c>
      <c r="O479" s="15">
        <v>65.06</v>
      </c>
      <c r="P479" s="2" t="s">
        <v>55</v>
      </c>
      <c r="Q479" s="16"/>
    </row>
    <row r="480" spans="1:17" x14ac:dyDescent="0.3">
      <c r="A480" s="10">
        <v>21733</v>
      </c>
      <c r="B480" s="2" t="s">
        <v>3831</v>
      </c>
      <c r="C480" s="13">
        <v>5537</v>
      </c>
      <c r="D480" s="2" t="s">
        <v>44</v>
      </c>
      <c r="E480" s="14">
        <v>44326</v>
      </c>
      <c r="F480" s="10" t="s">
        <v>1467</v>
      </c>
      <c r="G480" s="25">
        <v>44330</v>
      </c>
      <c r="H480" s="10" t="s">
        <v>1468</v>
      </c>
      <c r="I480" s="10" t="s">
        <v>1469</v>
      </c>
      <c r="J480" s="15">
        <v>61553.85</v>
      </c>
      <c r="K480" s="15">
        <v>61081.77083999999</v>
      </c>
      <c r="L480" s="15">
        <v>472.08</v>
      </c>
      <c r="M480" s="15">
        <v>406.96</v>
      </c>
      <c r="N480" s="15">
        <v>0</v>
      </c>
      <c r="O480" s="15">
        <v>65.11</v>
      </c>
      <c r="P480" s="2" t="s">
        <v>55</v>
      </c>
      <c r="Q480" s="16"/>
    </row>
    <row r="481" spans="1:17" x14ac:dyDescent="0.3">
      <c r="A481" s="10">
        <v>21733</v>
      </c>
      <c r="B481" s="2" t="s">
        <v>3832</v>
      </c>
      <c r="C481" s="13">
        <v>5557</v>
      </c>
      <c r="D481" s="2" t="s">
        <v>44</v>
      </c>
      <c r="E481" s="14">
        <v>44704</v>
      </c>
      <c r="F481" s="10" t="s">
        <v>1470</v>
      </c>
      <c r="G481" s="25">
        <v>44708</v>
      </c>
      <c r="H481" s="10" t="s">
        <v>1471</v>
      </c>
      <c r="I481" s="10" t="s">
        <v>1472</v>
      </c>
      <c r="J481" s="15">
        <v>7360.78</v>
      </c>
      <c r="K481" s="15">
        <v>6884.2751999999991</v>
      </c>
      <c r="L481" s="15">
        <v>476.5</v>
      </c>
      <c r="M481" s="15">
        <v>410.78</v>
      </c>
      <c r="N481" s="15">
        <v>0</v>
      </c>
      <c r="O481" s="15">
        <v>65.72</v>
      </c>
      <c r="P481" s="2" t="s">
        <v>55</v>
      </c>
      <c r="Q481" s="16"/>
    </row>
    <row r="482" spans="1:17" x14ac:dyDescent="0.3">
      <c r="A482" s="10">
        <v>21733</v>
      </c>
      <c r="B482" s="2" t="s">
        <v>3833</v>
      </c>
      <c r="C482" s="13">
        <v>5556</v>
      </c>
      <c r="D482" s="2" t="s">
        <v>44</v>
      </c>
      <c r="E482" s="14">
        <v>44398</v>
      </c>
      <c r="F482" s="10" t="s">
        <v>1473</v>
      </c>
      <c r="G482" s="25">
        <v>44404</v>
      </c>
      <c r="H482" s="10" t="s">
        <v>1474</v>
      </c>
      <c r="I482" s="10" t="s">
        <v>1475</v>
      </c>
      <c r="J482" s="15">
        <v>216555.28</v>
      </c>
      <c r="K482" s="15">
        <v>216078.68912000002</v>
      </c>
      <c r="L482" s="15">
        <v>476.59</v>
      </c>
      <c r="M482" s="15">
        <v>410.85</v>
      </c>
      <c r="N482" s="15">
        <v>0</v>
      </c>
      <c r="O482" s="15">
        <v>65.739999999999995</v>
      </c>
      <c r="P482" s="2" t="s">
        <v>55</v>
      </c>
      <c r="Q482" s="16"/>
    </row>
    <row r="483" spans="1:17" x14ac:dyDescent="0.3">
      <c r="A483" s="10">
        <v>21733</v>
      </c>
      <c r="B483" s="2" t="s">
        <v>3834</v>
      </c>
      <c r="C483" s="13">
        <v>5548</v>
      </c>
      <c r="D483" s="2" t="s">
        <v>44</v>
      </c>
      <c r="E483" s="14">
        <v>44641</v>
      </c>
      <c r="F483" s="10" t="s">
        <v>1476</v>
      </c>
      <c r="G483" s="25">
        <v>44645</v>
      </c>
      <c r="H483" s="10" t="s">
        <v>1477</v>
      </c>
      <c r="I483" s="10" t="s">
        <v>1478</v>
      </c>
      <c r="J483" s="15">
        <v>47772.68</v>
      </c>
      <c r="K483" s="15">
        <v>47294.988720000001</v>
      </c>
      <c r="L483" s="15">
        <v>477.69</v>
      </c>
      <c r="M483" s="15">
        <v>411.8</v>
      </c>
      <c r="N483" s="15">
        <v>0</v>
      </c>
      <c r="O483" s="15">
        <v>65.89</v>
      </c>
      <c r="P483" s="2" t="s">
        <v>55</v>
      </c>
      <c r="Q483" s="16"/>
    </row>
    <row r="484" spans="1:17" x14ac:dyDescent="0.3">
      <c r="A484" s="10">
        <v>21733</v>
      </c>
      <c r="B484" s="2" t="s">
        <v>3835</v>
      </c>
      <c r="C484" s="13">
        <v>5548</v>
      </c>
      <c r="D484" s="2" t="s">
        <v>44</v>
      </c>
      <c r="E484" s="14">
        <v>44326</v>
      </c>
      <c r="F484" s="10" t="s">
        <v>1479</v>
      </c>
      <c r="G484" s="25">
        <v>44330</v>
      </c>
      <c r="H484" s="10" t="s">
        <v>1480</v>
      </c>
      <c r="I484" s="10" t="s">
        <v>1481</v>
      </c>
      <c r="J484" s="15">
        <v>83075.66</v>
      </c>
      <c r="K484" s="15">
        <v>82597.094720000008</v>
      </c>
      <c r="L484" s="15">
        <v>478.57</v>
      </c>
      <c r="M484" s="15">
        <v>412.56</v>
      </c>
      <c r="N484" s="15">
        <v>0</v>
      </c>
      <c r="O484" s="15">
        <v>66.010000000000005</v>
      </c>
      <c r="P484" s="2" t="s">
        <v>55</v>
      </c>
      <c r="Q484" s="16"/>
    </row>
    <row r="485" spans="1:17" x14ac:dyDescent="0.3">
      <c r="A485" s="10">
        <v>21733</v>
      </c>
      <c r="B485" s="2" t="s">
        <v>3836</v>
      </c>
      <c r="C485" s="13">
        <v>5549</v>
      </c>
      <c r="D485" s="2" t="s">
        <v>44</v>
      </c>
      <c r="E485" s="14">
        <v>45019</v>
      </c>
      <c r="F485" s="10" t="s">
        <v>944</v>
      </c>
      <c r="G485" s="25">
        <v>45034</v>
      </c>
      <c r="H485" s="10" t="s">
        <v>1482</v>
      </c>
      <c r="I485" s="10" t="s">
        <v>1483</v>
      </c>
      <c r="J485" s="15">
        <v>1267786.3</v>
      </c>
      <c r="K485" s="15">
        <v>1267307.6490399996</v>
      </c>
      <c r="L485" s="15">
        <v>478.65</v>
      </c>
      <c r="M485" s="15">
        <v>412.63</v>
      </c>
      <c r="N485" s="15">
        <v>0</v>
      </c>
      <c r="O485" s="15">
        <v>66.02</v>
      </c>
      <c r="P485" s="2" t="s">
        <v>55</v>
      </c>
      <c r="Q485" s="16"/>
    </row>
    <row r="486" spans="1:17" x14ac:dyDescent="0.3">
      <c r="A486" s="10">
        <v>21733</v>
      </c>
      <c r="B486" s="2" t="s">
        <v>3837</v>
      </c>
      <c r="C486" s="13">
        <v>5549</v>
      </c>
      <c r="D486" s="2" t="s">
        <v>44</v>
      </c>
      <c r="E486" s="14">
        <v>44403</v>
      </c>
      <c r="F486" s="10" t="s">
        <v>1484</v>
      </c>
      <c r="G486" s="25">
        <v>44408</v>
      </c>
      <c r="H486" s="10" t="s">
        <v>1485</v>
      </c>
      <c r="I486" s="10" t="s">
        <v>1486</v>
      </c>
      <c r="J486" s="15">
        <v>401034.91</v>
      </c>
      <c r="K486" s="15">
        <v>400555.92279999994</v>
      </c>
      <c r="L486" s="15">
        <v>478.99</v>
      </c>
      <c r="M486" s="15">
        <v>412.92</v>
      </c>
      <c r="N486" s="15">
        <v>0</v>
      </c>
      <c r="O486" s="15">
        <v>66.069999999999993</v>
      </c>
      <c r="P486" s="2" t="s">
        <v>55</v>
      </c>
      <c r="Q486" s="16"/>
    </row>
    <row r="487" spans="1:17" x14ac:dyDescent="0.3">
      <c r="A487" s="10">
        <v>21733</v>
      </c>
      <c r="B487" s="2" t="s">
        <v>3838</v>
      </c>
      <c r="C487" s="13">
        <v>5548</v>
      </c>
      <c r="D487" s="2" t="s">
        <v>44</v>
      </c>
      <c r="E487" s="14">
        <v>44669</v>
      </c>
      <c r="F487" s="10" t="s">
        <v>1487</v>
      </c>
      <c r="G487" s="25">
        <v>44673</v>
      </c>
      <c r="H487" s="10" t="s">
        <v>1488</v>
      </c>
      <c r="I487" s="10" t="s">
        <v>1489</v>
      </c>
      <c r="J487" s="15">
        <v>48039.46</v>
      </c>
      <c r="K487" s="15">
        <v>47559.264559999996</v>
      </c>
      <c r="L487" s="15">
        <v>480.2</v>
      </c>
      <c r="M487" s="15">
        <v>413.96</v>
      </c>
      <c r="N487" s="15">
        <v>0</v>
      </c>
      <c r="O487" s="15">
        <v>66.23</v>
      </c>
      <c r="P487" s="2" t="s">
        <v>55</v>
      </c>
      <c r="Q487" s="16"/>
    </row>
    <row r="488" spans="1:17" x14ac:dyDescent="0.3">
      <c r="A488" s="10">
        <v>21733</v>
      </c>
      <c r="B488" s="2" t="s">
        <v>3839</v>
      </c>
      <c r="C488" s="13">
        <v>5681</v>
      </c>
      <c r="D488" s="2" t="s">
        <v>44</v>
      </c>
      <c r="E488" s="14">
        <v>44529</v>
      </c>
      <c r="F488" s="10" t="s">
        <v>1490</v>
      </c>
      <c r="G488" s="25">
        <v>44534</v>
      </c>
      <c r="H488" s="10" t="s">
        <v>1491</v>
      </c>
      <c r="I488" s="10" t="s">
        <v>1492</v>
      </c>
      <c r="J488" s="15">
        <v>32999.53</v>
      </c>
      <c r="K488" s="15">
        <v>32517.502799999998</v>
      </c>
      <c r="L488" s="15">
        <v>482.03</v>
      </c>
      <c r="M488" s="15">
        <v>415.54</v>
      </c>
      <c r="N488" s="15">
        <v>0</v>
      </c>
      <c r="O488" s="15">
        <v>66.489999999999995</v>
      </c>
      <c r="P488" s="2" t="s">
        <v>55</v>
      </c>
      <c r="Q488" s="16"/>
    </row>
    <row r="489" spans="1:17" x14ac:dyDescent="0.3">
      <c r="A489" s="10">
        <v>21733</v>
      </c>
      <c r="B489" s="2" t="s">
        <v>3840</v>
      </c>
      <c r="C489" s="13">
        <v>5681</v>
      </c>
      <c r="D489" s="2" t="s">
        <v>44</v>
      </c>
      <c r="E489" s="14">
        <v>44725</v>
      </c>
      <c r="F489" s="10" t="s">
        <v>1493</v>
      </c>
      <c r="G489" s="25">
        <v>44730</v>
      </c>
      <c r="H489" s="10" t="s">
        <v>1494</v>
      </c>
      <c r="I489" s="10" t="s">
        <v>1495</v>
      </c>
      <c r="J489" s="15">
        <v>207450.63</v>
      </c>
      <c r="K489" s="15">
        <v>206966.57244000002</v>
      </c>
      <c r="L489" s="15">
        <v>484.06</v>
      </c>
      <c r="M489" s="15">
        <v>417.29</v>
      </c>
      <c r="N489" s="15">
        <v>0</v>
      </c>
      <c r="O489" s="15">
        <v>66.77</v>
      </c>
      <c r="P489" s="2" t="s">
        <v>55</v>
      </c>
      <c r="Q489" s="16"/>
    </row>
    <row r="490" spans="1:17" x14ac:dyDescent="0.3">
      <c r="A490" s="10">
        <v>21733</v>
      </c>
      <c r="B490" s="2" t="s">
        <v>3841</v>
      </c>
      <c r="C490" s="13">
        <v>5681</v>
      </c>
      <c r="D490" s="2" t="s">
        <v>44</v>
      </c>
      <c r="E490" s="14">
        <v>44494</v>
      </c>
      <c r="F490" s="10" t="s">
        <v>1496</v>
      </c>
      <c r="G490" s="25">
        <v>44499</v>
      </c>
      <c r="H490" s="10" t="s">
        <v>1497</v>
      </c>
      <c r="I490" s="10" t="s">
        <v>1498</v>
      </c>
      <c r="J490" s="15">
        <v>392314.17</v>
      </c>
      <c r="K490" s="15">
        <v>391829.06067999994</v>
      </c>
      <c r="L490" s="15">
        <v>485.11</v>
      </c>
      <c r="M490" s="15">
        <v>418.2</v>
      </c>
      <c r="N490" s="15">
        <v>0</v>
      </c>
      <c r="O490" s="15">
        <v>66.91</v>
      </c>
      <c r="P490" s="2" t="s">
        <v>55</v>
      </c>
      <c r="Q490" s="16"/>
    </row>
    <row r="491" spans="1:17" x14ac:dyDescent="0.3">
      <c r="A491" s="10">
        <v>21733</v>
      </c>
      <c r="B491" s="2" t="s">
        <v>3842</v>
      </c>
      <c r="C491" s="13">
        <v>5556</v>
      </c>
      <c r="D491" s="2" t="s">
        <v>44</v>
      </c>
      <c r="E491" s="14">
        <v>45000</v>
      </c>
      <c r="F491" s="10" t="s">
        <v>400</v>
      </c>
      <c r="G491" s="25">
        <v>45009</v>
      </c>
      <c r="H491" s="10" t="s">
        <v>1499</v>
      </c>
      <c r="I491" s="10" t="s">
        <v>1500</v>
      </c>
      <c r="J491" s="15">
        <v>756918.42</v>
      </c>
      <c r="K491" s="15">
        <v>756431.83444000001</v>
      </c>
      <c r="L491" s="15">
        <v>486.59</v>
      </c>
      <c r="M491" s="15">
        <v>419.47</v>
      </c>
      <c r="N491" s="15">
        <v>0</v>
      </c>
      <c r="O491" s="15">
        <v>67.12</v>
      </c>
      <c r="P491" s="2" t="s">
        <v>55</v>
      </c>
      <c r="Q491" s="16"/>
    </row>
    <row r="492" spans="1:17" x14ac:dyDescent="0.3">
      <c r="A492" s="10">
        <v>21733</v>
      </c>
      <c r="B492" s="2" t="s">
        <v>3843</v>
      </c>
      <c r="C492" s="13">
        <v>5681</v>
      </c>
      <c r="D492" s="2" t="s">
        <v>44</v>
      </c>
      <c r="E492" s="14">
        <v>44592</v>
      </c>
      <c r="F492" s="10" t="s">
        <v>1501</v>
      </c>
      <c r="G492" s="25">
        <v>44596</v>
      </c>
      <c r="H492" s="10" t="s">
        <v>1502</v>
      </c>
      <c r="I492" s="10" t="s">
        <v>1503</v>
      </c>
      <c r="J492" s="15">
        <v>114492.64</v>
      </c>
      <c r="K492" s="15">
        <v>114003.95784000003</v>
      </c>
      <c r="L492" s="15">
        <v>488.68</v>
      </c>
      <c r="M492" s="15">
        <v>421.28</v>
      </c>
      <c r="N492" s="15">
        <v>0</v>
      </c>
      <c r="O492" s="15">
        <v>67.400000000000006</v>
      </c>
      <c r="P492" s="2" t="s">
        <v>55</v>
      </c>
      <c r="Q492" s="16"/>
    </row>
    <row r="493" spans="1:17" x14ac:dyDescent="0.3">
      <c r="A493" s="10">
        <v>21733</v>
      </c>
      <c r="B493" s="2" t="s">
        <v>3844</v>
      </c>
      <c r="C493" s="13">
        <v>5681</v>
      </c>
      <c r="D493" s="2" t="s">
        <v>44</v>
      </c>
      <c r="E493" s="14">
        <v>44501</v>
      </c>
      <c r="F493" s="10" t="s">
        <v>1504</v>
      </c>
      <c r="G493" s="25">
        <v>44506</v>
      </c>
      <c r="H493" s="10" t="s">
        <v>1505</v>
      </c>
      <c r="I493" s="10" t="s">
        <v>1506</v>
      </c>
      <c r="J493" s="15">
        <v>14323.23</v>
      </c>
      <c r="K493" s="15">
        <v>13831.329600000001</v>
      </c>
      <c r="L493" s="15">
        <v>491.9</v>
      </c>
      <c r="M493" s="15">
        <v>424.05</v>
      </c>
      <c r="N493" s="15">
        <v>0</v>
      </c>
      <c r="O493" s="15">
        <v>67.849999999999994</v>
      </c>
      <c r="P493" s="2" t="s">
        <v>55</v>
      </c>
      <c r="Q493" s="16"/>
    </row>
    <row r="494" spans="1:17" x14ac:dyDescent="0.3">
      <c r="A494" s="10">
        <v>21733</v>
      </c>
      <c r="B494" s="2" t="s">
        <v>3845</v>
      </c>
      <c r="C494" s="13">
        <v>5557</v>
      </c>
      <c r="D494" s="2" t="s">
        <v>44</v>
      </c>
      <c r="E494" s="14">
        <v>44963</v>
      </c>
      <c r="F494" s="10" t="s">
        <v>652</v>
      </c>
      <c r="G494" s="25">
        <v>44971</v>
      </c>
      <c r="H494" s="10" t="s">
        <v>1507</v>
      </c>
      <c r="I494" s="10" t="s">
        <v>1508</v>
      </c>
      <c r="J494" s="15">
        <v>876070.28</v>
      </c>
      <c r="K494" s="15">
        <v>875576.99696000014</v>
      </c>
      <c r="L494" s="15">
        <v>493.28</v>
      </c>
      <c r="M494" s="15">
        <v>425.24</v>
      </c>
      <c r="N494" s="15">
        <v>0</v>
      </c>
      <c r="O494" s="15">
        <v>68.040000000000006</v>
      </c>
      <c r="P494" s="2" t="s">
        <v>55</v>
      </c>
      <c r="Q494" s="16"/>
    </row>
    <row r="495" spans="1:17" x14ac:dyDescent="0.3">
      <c r="A495" s="10">
        <v>21733</v>
      </c>
      <c r="B495" s="2" t="s">
        <v>3846</v>
      </c>
      <c r="C495" s="13">
        <v>5537</v>
      </c>
      <c r="D495" s="2" t="s">
        <v>44</v>
      </c>
      <c r="E495" s="14">
        <v>44501</v>
      </c>
      <c r="F495" s="10" t="s">
        <v>1509</v>
      </c>
      <c r="G495" s="25">
        <v>44506</v>
      </c>
      <c r="H495" s="10" t="s">
        <v>1510</v>
      </c>
      <c r="I495" s="10" t="s">
        <v>1511</v>
      </c>
      <c r="J495" s="15">
        <v>162574.29999999999</v>
      </c>
      <c r="K495" s="15">
        <v>162080.38635999995</v>
      </c>
      <c r="L495" s="15">
        <v>493.91</v>
      </c>
      <c r="M495" s="15">
        <v>425.79</v>
      </c>
      <c r="N495" s="15">
        <v>0</v>
      </c>
      <c r="O495" s="15">
        <v>68.13</v>
      </c>
      <c r="P495" s="2" t="s">
        <v>55</v>
      </c>
      <c r="Q495" s="16"/>
    </row>
    <row r="496" spans="1:17" x14ac:dyDescent="0.3">
      <c r="A496" s="10">
        <v>21733</v>
      </c>
      <c r="B496" s="2" t="s">
        <v>3847</v>
      </c>
      <c r="C496" s="13">
        <v>5556</v>
      </c>
      <c r="D496" s="2" t="s">
        <v>44</v>
      </c>
      <c r="E496" s="14">
        <v>44636</v>
      </c>
      <c r="F496" s="10" t="s">
        <v>1512</v>
      </c>
      <c r="G496" s="25">
        <v>44643</v>
      </c>
      <c r="H496" s="10" t="s">
        <v>1513</v>
      </c>
      <c r="I496" s="10" t="s">
        <v>1514</v>
      </c>
      <c r="J496" s="15">
        <v>206519.27</v>
      </c>
      <c r="K496" s="15">
        <v>206025.10483999999</v>
      </c>
      <c r="L496" s="15">
        <v>494.17</v>
      </c>
      <c r="M496" s="15">
        <v>426</v>
      </c>
      <c r="N496" s="15">
        <v>0</v>
      </c>
      <c r="O496" s="15">
        <v>68.16</v>
      </c>
      <c r="P496" s="2" t="s">
        <v>55</v>
      </c>
      <c r="Q496" s="16"/>
    </row>
    <row r="497" spans="1:17" x14ac:dyDescent="0.3">
      <c r="A497" s="10">
        <v>21733</v>
      </c>
      <c r="B497" s="2" t="s">
        <v>3848</v>
      </c>
      <c r="C497" s="13">
        <v>5549</v>
      </c>
      <c r="D497" s="2" t="s">
        <v>44</v>
      </c>
      <c r="E497" s="14">
        <v>44620</v>
      </c>
      <c r="F497" s="10" t="s">
        <v>365</v>
      </c>
      <c r="G497" s="25">
        <v>44625</v>
      </c>
      <c r="H497" s="10" t="s">
        <v>1515</v>
      </c>
      <c r="I497" s="10" t="s">
        <v>1516</v>
      </c>
      <c r="J497" s="15">
        <v>1200910.4099999999</v>
      </c>
      <c r="K497" s="15">
        <v>1200413.76664</v>
      </c>
      <c r="L497" s="15">
        <v>496.64</v>
      </c>
      <c r="M497" s="15">
        <v>428.14</v>
      </c>
      <c r="N497" s="15">
        <v>0</v>
      </c>
      <c r="O497" s="15">
        <v>68.5</v>
      </c>
      <c r="P497" s="2" t="s">
        <v>55</v>
      </c>
      <c r="Q497" s="16"/>
    </row>
    <row r="498" spans="1:17" x14ac:dyDescent="0.3">
      <c r="A498" s="10">
        <v>21733</v>
      </c>
      <c r="B498" s="2" t="s">
        <v>3849</v>
      </c>
      <c r="C498" s="13">
        <v>5548</v>
      </c>
      <c r="D498" s="2" t="s">
        <v>44</v>
      </c>
      <c r="E498" s="14">
        <v>44571</v>
      </c>
      <c r="F498" s="10" t="s">
        <v>1517</v>
      </c>
      <c r="G498" s="25">
        <v>44576</v>
      </c>
      <c r="H498" s="10" t="s">
        <v>1518</v>
      </c>
      <c r="I498" s="10" t="s">
        <v>1519</v>
      </c>
      <c r="J498" s="15">
        <v>761148.81</v>
      </c>
      <c r="K498" s="15">
        <v>760651.90516000008</v>
      </c>
      <c r="L498" s="15">
        <v>496.9</v>
      </c>
      <c r="M498" s="15">
        <v>428.37</v>
      </c>
      <c r="N498" s="15">
        <v>0</v>
      </c>
      <c r="O498" s="15">
        <v>68.540000000000006</v>
      </c>
      <c r="P498" s="2" t="s">
        <v>55</v>
      </c>
      <c r="Q498" s="16"/>
    </row>
    <row r="499" spans="1:17" x14ac:dyDescent="0.3">
      <c r="A499" s="10">
        <v>21733</v>
      </c>
      <c r="B499" s="2" t="s">
        <v>3850</v>
      </c>
      <c r="C499" s="13">
        <v>5681</v>
      </c>
      <c r="D499" s="2" t="s">
        <v>44</v>
      </c>
      <c r="E499" s="14">
        <v>44956</v>
      </c>
      <c r="F499" s="10" t="s">
        <v>1520</v>
      </c>
      <c r="G499" s="25">
        <v>44963</v>
      </c>
      <c r="H499" s="10" t="s">
        <v>1521</v>
      </c>
      <c r="I499" s="10" t="s">
        <v>1522</v>
      </c>
      <c r="J499" s="15">
        <v>141181.12</v>
      </c>
      <c r="K499" s="15">
        <v>140681.29796000003</v>
      </c>
      <c r="L499" s="15">
        <v>499.82</v>
      </c>
      <c r="M499" s="15">
        <v>430.88</v>
      </c>
      <c r="N499" s="15">
        <v>0</v>
      </c>
      <c r="O499" s="15">
        <v>68.94</v>
      </c>
      <c r="P499" s="2" t="s">
        <v>55</v>
      </c>
      <c r="Q499" s="16"/>
    </row>
    <row r="500" spans="1:17" x14ac:dyDescent="0.3">
      <c r="A500" s="10">
        <v>21733</v>
      </c>
      <c r="B500" s="2" t="s">
        <v>3851</v>
      </c>
      <c r="C500" s="13">
        <v>5557</v>
      </c>
      <c r="D500" s="2" t="s">
        <v>44</v>
      </c>
      <c r="E500" s="14">
        <v>44326</v>
      </c>
      <c r="F500" s="10" t="s">
        <v>1523</v>
      </c>
      <c r="G500" s="25">
        <v>44331</v>
      </c>
      <c r="H500" s="10" t="s">
        <v>1524</v>
      </c>
      <c r="I500" s="10" t="s">
        <v>1525</v>
      </c>
      <c r="J500" s="15">
        <v>391939.53</v>
      </c>
      <c r="K500" s="15">
        <v>391438.43300000002</v>
      </c>
      <c r="L500" s="15">
        <v>501.1</v>
      </c>
      <c r="M500" s="15">
        <v>431.98</v>
      </c>
      <c r="N500" s="15">
        <v>0</v>
      </c>
      <c r="O500" s="15">
        <v>69.12</v>
      </c>
      <c r="P500" s="2" t="s">
        <v>55</v>
      </c>
      <c r="Q500" s="16"/>
    </row>
    <row r="501" spans="1:17" x14ac:dyDescent="0.3">
      <c r="A501" s="10">
        <v>21733</v>
      </c>
      <c r="B501" s="2" t="s">
        <v>3852</v>
      </c>
      <c r="C501" s="13">
        <v>5537</v>
      </c>
      <c r="D501" s="2" t="s">
        <v>44</v>
      </c>
      <c r="E501" s="14">
        <v>44494</v>
      </c>
      <c r="F501" s="10" t="s">
        <v>1526</v>
      </c>
      <c r="G501" s="25">
        <v>44499</v>
      </c>
      <c r="H501" s="10" t="s">
        <v>1527</v>
      </c>
      <c r="I501" s="10" t="s">
        <v>1528</v>
      </c>
      <c r="J501" s="15">
        <v>314503.45</v>
      </c>
      <c r="K501" s="15">
        <v>314001.98803999997</v>
      </c>
      <c r="L501" s="15">
        <v>501.46</v>
      </c>
      <c r="M501" s="15">
        <v>432.29</v>
      </c>
      <c r="N501" s="15">
        <v>0</v>
      </c>
      <c r="O501" s="15">
        <v>69.17</v>
      </c>
      <c r="P501" s="2" t="s">
        <v>55</v>
      </c>
      <c r="Q501" s="16"/>
    </row>
    <row r="502" spans="1:17" x14ac:dyDescent="0.3">
      <c r="A502" s="10">
        <v>21733</v>
      </c>
      <c r="B502" s="2" t="s">
        <v>3853</v>
      </c>
      <c r="C502" s="13">
        <v>5548</v>
      </c>
      <c r="D502" s="2" t="s">
        <v>44</v>
      </c>
      <c r="E502" s="14">
        <v>44326</v>
      </c>
      <c r="F502" s="10" t="s">
        <v>1529</v>
      </c>
      <c r="G502" s="25">
        <v>44330</v>
      </c>
      <c r="H502" s="10" t="s">
        <v>1530</v>
      </c>
      <c r="I502" s="10" t="s">
        <v>1531</v>
      </c>
      <c r="J502" s="15">
        <v>200179.89</v>
      </c>
      <c r="K502" s="15">
        <v>199678.33999999997</v>
      </c>
      <c r="L502" s="15">
        <v>501.55</v>
      </c>
      <c r="M502" s="15">
        <v>432.37</v>
      </c>
      <c r="N502" s="15">
        <v>0</v>
      </c>
      <c r="O502" s="15">
        <v>69.180000000000007</v>
      </c>
      <c r="P502" s="2" t="s">
        <v>55</v>
      </c>
      <c r="Q502" s="16"/>
    </row>
    <row r="503" spans="1:17" x14ac:dyDescent="0.3">
      <c r="A503" s="10">
        <v>21733</v>
      </c>
      <c r="B503" s="2" t="s">
        <v>3854</v>
      </c>
      <c r="C503" s="13">
        <v>5537</v>
      </c>
      <c r="D503" s="2" t="s">
        <v>44</v>
      </c>
      <c r="E503" s="14">
        <v>44739</v>
      </c>
      <c r="F503" s="10" t="s">
        <v>1532</v>
      </c>
      <c r="G503" s="25">
        <v>44746</v>
      </c>
      <c r="H503" s="10" t="s">
        <v>1533</v>
      </c>
      <c r="I503" s="10" t="s">
        <v>1534</v>
      </c>
      <c r="J503" s="15">
        <v>213846.24</v>
      </c>
      <c r="K503" s="15">
        <v>213343.87079999998</v>
      </c>
      <c r="L503" s="15">
        <v>502.37</v>
      </c>
      <c r="M503" s="15">
        <v>433.08</v>
      </c>
      <c r="N503" s="15">
        <v>0</v>
      </c>
      <c r="O503" s="15">
        <v>69.290000000000006</v>
      </c>
      <c r="P503" s="2" t="s">
        <v>55</v>
      </c>
      <c r="Q503" s="16"/>
    </row>
    <row r="504" spans="1:17" x14ac:dyDescent="0.3">
      <c r="A504" s="10">
        <v>21733</v>
      </c>
      <c r="B504" s="2" t="s">
        <v>3855</v>
      </c>
      <c r="C504" s="13">
        <v>5537</v>
      </c>
      <c r="D504" s="2" t="s">
        <v>44</v>
      </c>
      <c r="E504" s="14">
        <v>44333</v>
      </c>
      <c r="F504" s="10" t="s">
        <v>1535</v>
      </c>
      <c r="G504" s="25">
        <v>44338</v>
      </c>
      <c r="H504" s="10" t="s">
        <v>1536</v>
      </c>
      <c r="I504" s="10" t="s">
        <v>1537</v>
      </c>
      <c r="J504" s="15">
        <v>81097.279999999999</v>
      </c>
      <c r="K504" s="15">
        <v>80592.809599999993</v>
      </c>
      <c r="L504" s="15">
        <v>504.47</v>
      </c>
      <c r="M504" s="15">
        <v>434.89</v>
      </c>
      <c r="N504" s="15">
        <v>0</v>
      </c>
      <c r="O504" s="15">
        <v>69.58</v>
      </c>
      <c r="P504" s="2" t="s">
        <v>55</v>
      </c>
      <c r="Q504" s="16"/>
    </row>
    <row r="505" spans="1:17" x14ac:dyDescent="0.3">
      <c r="A505" s="10">
        <v>21733</v>
      </c>
      <c r="B505" s="2" t="s">
        <v>3856</v>
      </c>
      <c r="C505" s="13">
        <v>5548</v>
      </c>
      <c r="D505" s="2" t="s">
        <v>44</v>
      </c>
      <c r="E505" s="14">
        <v>44620</v>
      </c>
      <c r="F505" s="10" t="s">
        <v>562</v>
      </c>
      <c r="G505" s="25">
        <v>44624</v>
      </c>
      <c r="H505" s="10" t="s">
        <v>1538</v>
      </c>
      <c r="I505" s="10" t="s">
        <v>1539</v>
      </c>
      <c r="J505" s="15">
        <v>866306.61</v>
      </c>
      <c r="K505" s="15">
        <v>865800.58424000011</v>
      </c>
      <c r="L505" s="15">
        <v>506.03</v>
      </c>
      <c r="M505" s="15">
        <v>436.23</v>
      </c>
      <c r="N505" s="15">
        <v>0</v>
      </c>
      <c r="O505" s="15">
        <v>69.8</v>
      </c>
      <c r="P505" s="2" t="s">
        <v>55</v>
      </c>
      <c r="Q505" s="16"/>
    </row>
    <row r="506" spans="1:17" x14ac:dyDescent="0.3">
      <c r="A506" s="10">
        <v>21733</v>
      </c>
      <c r="B506" s="2" t="s">
        <v>3857</v>
      </c>
      <c r="C506" s="13">
        <v>5548</v>
      </c>
      <c r="D506" s="2" t="s">
        <v>44</v>
      </c>
      <c r="E506" s="14">
        <v>44326</v>
      </c>
      <c r="F506" s="10" t="s">
        <v>1540</v>
      </c>
      <c r="G506" s="25">
        <v>44330</v>
      </c>
      <c r="H506" s="10" t="s">
        <v>1541</v>
      </c>
      <c r="I506" s="10" t="s">
        <v>1542</v>
      </c>
      <c r="J506" s="15">
        <v>152367.18</v>
      </c>
      <c r="K506" s="15">
        <v>151860.80492000002</v>
      </c>
      <c r="L506" s="15">
        <v>506.38</v>
      </c>
      <c r="M506" s="15">
        <v>436.53</v>
      </c>
      <c r="N506" s="15">
        <v>0</v>
      </c>
      <c r="O506" s="15">
        <v>69.84</v>
      </c>
      <c r="P506" s="2" t="s">
        <v>55</v>
      </c>
      <c r="Q506" s="16"/>
    </row>
    <row r="507" spans="1:17" x14ac:dyDescent="0.3">
      <c r="A507" s="10">
        <v>21733</v>
      </c>
      <c r="B507" s="2" t="s">
        <v>3858</v>
      </c>
      <c r="C507" s="13">
        <v>5681</v>
      </c>
      <c r="D507" s="2" t="s">
        <v>44</v>
      </c>
      <c r="E507" s="14">
        <v>44634</v>
      </c>
      <c r="F507" s="10" t="s">
        <v>1543</v>
      </c>
      <c r="G507" s="25">
        <v>44639</v>
      </c>
      <c r="H507" s="10" t="s">
        <v>1544</v>
      </c>
      <c r="I507" s="10" t="s">
        <v>1545</v>
      </c>
      <c r="J507" s="15">
        <v>67878.83</v>
      </c>
      <c r="K507" s="15">
        <v>67372.324399999998</v>
      </c>
      <c r="L507" s="15">
        <v>506.51</v>
      </c>
      <c r="M507" s="15">
        <v>436.64</v>
      </c>
      <c r="N507" s="15">
        <v>0</v>
      </c>
      <c r="O507" s="15">
        <v>69.86</v>
      </c>
      <c r="P507" s="2" t="s">
        <v>55</v>
      </c>
      <c r="Q507" s="16"/>
    </row>
    <row r="508" spans="1:17" x14ac:dyDescent="0.3">
      <c r="A508" s="10">
        <v>21733</v>
      </c>
      <c r="B508" s="2" t="s">
        <v>3859</v>
      </c>
      <c r="C508" s="13">
        <v>5556</v>
      </c>
      <c r="D508" s="2" t="s">
        <v>44</v>
      </c>
      <c r="E508" s="14">
        <v>44867</v>
      </c>
      <c r="F508" s="10" t="s">
        <v>1546</v>
      </c>
      <c r="G508" s="25">
        <v>44874</v>
      </c>
      <c r="H508" s="10" t="s">
        <v>1547</v>
      </c>
      <c r="I508" s="10" t="s">
        <v>1548</v>
      </c>
      <c r="J508" s="15">
        <v>255159.72</v>
      </c>
      <c r="K508" s="15">
        <v>254650.41055999999</v>
      </c>
      <c r="L508" s="15">
        <v>509.31</v>
      </c>
      <c r="M508" s="15">
        <v>439.06</v>
      </c>
      <c r="N508" s="15">
        <v>0</v>
      </c>
      <c r="O508" s="15">
        <v>70.25</v>
      </c>
      <c r="P508" s="2" t="s">
        <v>55</v>
      </c>
      <c r="Q508" s="16"/>
    </row>
    <row r="509" spans="1:17" x14ac:dyDescent="0.3">
      <c r="A509" s="10">
        <v>21733</v>
      </c>
      <c r="B509" s="2" t="s">
        <v>3860</v>
      </c>
      <c r="C509" s="13">
        <v>5549</v>
      </c>
      <c r="D509" s="2" t="s">
        <v>44</v>
      </c>
      <c r="E509" s="14">
        <v>44368</v>
      </c>
      <c r="F509" s="10" t="s">
        <v>1549</v>
      </c>
      <c r="G509" s="25">
        <v>44374</v>
      </c>
      <c r="H509" s="10" t="s">
        <v>1550</v>
      </c>
      <c r="I509" s="10" t="s">
        <v>1551</v>
      </c>
      <c r="J509" s="15">
        <v>556070.03</v>
      </c>
      <c r="K509" s="15">
        <v>555554.77364000003</v>
      </c>
      <c r="L509" s="15">
        <v>515.26</v>
      </c>
      <c r="M509" s="15">
        <v>444.19</v>
      </c>
      <c r="N509" s="15">
        <v>0</v>
      </c>
      <c r="O509" s="15">
        <v>71.069999999999993</v>
      </c>
      <c r="P509" s="2" t="s">
        <v>55</v>
      </c>
      <c r="Q509" s="16"/>
    </row>
    <row r="510" spans="1:17" x14ac:dyDescent="0.3">
      <c r="A510" s="10">
        <v>21733</v>
      </c>
      <c r="B510" s="2" t="s">
        <v>3861</v>
      </c>
      <c r="C510" s="13">
        <v>5549</v>
      </c>
      <c r="D510" s="2" t="s">
        <v>44</v>
      </c>
      <c r="E510" s="14">
        <v>44641</v>
      </c>
      <c r="F510" s="10" t="s">
        <v>1552</v>
      </c>
      <c r="G510" s="25">
        <v>44645</v>
      </c>
      <c r="H510" s="10" t="s">
        <v>1553</v>
      </c>
      <c r="I510" s="10" t="s">
        <v>1554</v>
      </c>
      <c r="J510" s="15">
        <v>51549.93</v>
      </c>
      <c r="K510" s="15">
        <v>51034.492320000005</v>
      </c>
      <c r="L510" s="15">
        <v>515.44000000000005</v>
      </c>
      <c r="M510" s="15">
        <v>444.34</v>
      </c>
      <c r="N510" s="15">
        <v>0</v>
      </c>
      <c r="O510" s="15">
        <v>71.09</v>
      </c>
      <c r="P510" s="2" t="s">
        <v>55</v>
      </c>
      <c r="Q510" s="16"/>
    </row>
    <row r="511" spans="1:17" x14ac:dyDescent="0.3">
      <c r="A511" s="10">
        <v>21733</v>
      </c>
      <c r="B511" s="2" t="s">
        <v>3862</v>
      </c>
      <c r="C511" s="13">
        <v>5549</v>
      </c>
      <c r="D511" s="2" t="s">
        <v>44</v>
      </c>
      <c r="E511" s="14">
        <v>44977</v>
      </c>
      <c r="F511" s="10" t="s">
        <v>1555</v>
      </c>
      <c r="G511" s="25">
        <v>44981</v>
      </c>
      <c r="H511" s="10" t="s">
        <v>1556</v>
      </c>
      <c r="I511" s="10" t="s">
        <v>1557</v>
      </c>
      <c r="J511" s="15">
        <v>806573.2</v>
      </c>
      <c r="K511" s="15">
        <v>806057.50908000011</v>
      </c>
      <c r="L511" s="15">
        <v>515.69000000000005</v>
      </c>
      <c r="M511" s="15">
        <v>444.56</v>
      </c>
      <c r="N511" s="15">
        <v>0</v>
      </c>
      <c r="O511" s="15">
        <v>71.13</v>
      </c>
      <c r="P511" s="2" t="s">
        <v>55</v>
      </c>
      <c r="Q511" s="16"/>
    </row>
    <row r="512" spans="1:17" x14ac:dyDescent="0.3">
      <c r="A512" s="10">
        <v>21733</v>
      </c>
      <c r="B512" s="2" t="s">
        <v>3863</v>
      </c>
      <c r="C512" s="13">
        <v>5549</v>
      </c>
      <c r="D512" s="2" t="s">
        <v>44</v>
      </c>
      <c r="E512" s="14">
        <v>44676</v>
      </c>
      <c r="F512" s="10" t="s">
        <v>1558</v>
      </c>
      <c r="G512" s="25">
        <v>44683</v>
      </c>
      <c r="H512" s="10" t="s">
        <v>1559</v>
      </c>
      <c r="I512" s="10" t="s">
        <v>1560</v>
      </c>
      <c r="J512" s="15">
        <v>835298.58</v>
      </c>
      <c r="K512" s="15">
        <v>834782.22716000013</v>
      </c>
      <c r="L512" s="15">
        <v>516.35</v>
      </c>
      <c r="M512" s="15">
        <v>445.13</v>
      </c>
      <c r="N512" s="15">
        <v>0</v>
      </c>
      <c r="O512" s="15">
        <v>71.22</v>
      </c>
      <c r="P512" s="2" t="s">
        <v>55</v>
      </c>
      <c r="Q512" s="16"/>
    </row>
    <row r="513" spans="1:17" x14ac:dyDescent="0.3">
      <c r="A513" s="10">
        <v>21733</v>
      </c>
      <c r="B513" s="2" t="s">
        <v>3864</v>
      </c>
      <c r="C513" s="13">
        <v>5549</v>
      </c>
      <c r="D513" s="2" t="s">
        <v>44</v>
      </c>
      <c r="E513" s="14">
        <v>45026</v>
      </c>
      <c r="F513" s="10" t="s">
        <v>1561</v>
      </c>
      <c r="G513" s="25">
        <v>45036</v>
      </c>
      <c r="H513" s="10" t="s">
        <v>1562</v>
      </c>
      <c r="I513" s="10" t="s">
        <v>1563</v>
      </c>
      <c r="J513" s="15">
        <v>1188511.22</v>
      </c>
      <c r="K513" s="15">
        <v>1187994.29972</v>
      </c>
      <c r="L513" s="15">
        <v>516.91999999999996</v>
      </c>
      <c r="M513" s="15">
        <v>445.62</v>
      </c>
      <c r="N513" s="15">
        <v>0</v>
      </c>
      <c r="O513" s="15">
        <v>71.3</v>
      </c>
      <c r="P513" s="2" t="s">
        <v>55</v>
      </c>
      <c r="Q513" s="16"/>
    </row>
    <row r="514" spans="1:17" x14ac:dyDescent="0.3">
      <c r="A514" s="10">
        <v>21733</v>
      </c>
      <c r="B514" s="2" t="s">
        <v>3865</v>
      </c>
      <c r="C514" s="13">
        <v>5557</v>
      </c>
      <c r="D514" s="2" t="s">
        <v>44</v>
      </c>
      <c r="E514" s="14">
        <v>44355</v>
      </c>
      <c r="F514" s="10" t="s">
        <v>1564</v>
      </c>
      <c r="G514" s="25">
        <v>44366</v>
      </c>
      <c r="H514" s="10" t="s">
        <v>1565</v>
      </c>
      <c r="I514" s="10" t="s">
        <v>1566</v>
      </c>
      <c r="J514" s="15">
        <v>2145.87</v>
      </c>
      <c r="K514" s="15">
        <v>1628.1527999999998</v>
      </c>
      <c r="L514" s="15">
        <v>517.72</v>
      </c>
      <c r="M514" s="15">
        <v>446.31</v>
      </c>
      <c r="N514" s="15">
        <v>0</v>
      </c>
      <c r="O514" s="15">
        <v>71.41</v>
      </c>
      <c r="P514" s="2" t="s">
        <v>55</v>
      </c>
      <c r="Q514" s="16"/>
    </row>
    <row r="515" spans="1:17" x14ac:dyDescent="0.3">
      <c r="A515" s="10">
        <v>21733</v>
      </c>
      <c r="B515" s="2" t="s">
        <v>3866</v>
      </c>
      <c r="C515" s="13">
        <v>5548</v>
      </c>
      <c r="D515" s="2" t="s">
        <v>44</v>
      </c>
      <c r="E515" s="14">
        <v>44823</v>
      </c>
      <c r="F515" s="10" t="s">
        <v>1567</v>
      </c>
      <c r="G515" s="25">
        <v>44831</v>
      </c>
      <c r="H515" s="10" t="s">
        <v>1568</v>
      </c>
      <c r="I515" s="10" t="s">
        <v>1569</v>
      </c>
      <c r="J515" s="15">
        <v>1173943.02</v>
      </c>
      <c r="K515" s="15">
        <v>1173424.9143199997</v>
      </c>
      <c r="L515" s="15">
        <v>518.11</v>
      </c>
      <c r="M515" s="15">
        <v>446.64</v>
      </c>
      <c r="N515" s="15">
        <v>0</v>
      </c>
      <c r="O515" s="15">
        <v>71.459999999999994</v>
      </c>
      <c r="P515" s="2" t="s">
        <v>55</v>
      </c>
      <c r="Q515" s="16"/>
    </row>
    <row r="516" spans="1:17" x14ac:dyDescent="0.3">
      <c r="A516" s="10">
        <v>21733</v>
      </c>
      <c r="B516" s="2" t="s">
        <v>3867</v>
      </c>
      <c r="C516" s="13">
        <v>5537</v>
      </c>
      <c r="D516" s="2" t="s">
        <v>44</v>
      </c>
      <c r="E516" s="14">
        <v>44459</v>
      </c>
      <c r="F516" s="10" t="s">
        <v>1570</v>
      </c>
      <c r="G516" s="25">
        <v>44463</v>
      </c>
      <c r="H516" s="10" t="s">
        <v>1571</v>
      </c>
      <c r="I516" s="10" t="s">
        <v>1572</v>
      </c>
      <c r="J516" s="15">
        <v>656190.11</v>
      </c>
      <c r="K516" s="15">
        <v>655668.72791999998</v>
      </c>
      <c r="L516" s="15">
        <v>521.38</v>
      </c>
      <c r="M516" s="15">
        <v>449.47</v>
      </c>
      <c r="N516" s="15">
        <v>0</v>
      </c>
      <c r="O516" s="15">
        <v>71.91</v>
      </c>
      <c r="P516" s="2" t="s">
        <v>55</v>
      </c>
      <c r="Q516" s="16"/>
    </row>
    <row r="517" spans="1:17" x14ac:dyDescent="0.3">
      <c r="A517" s="10">
        <v>21733</v>
      </c>
      <c r="B517" s="2" t="s">
        <v>3868</v>
      </c>
      <c r="C517" s="13">
        <v>5548</v>
      </c>
      <c r="D517" s="2" t="s">
        <v>44</v>
      </c>
      <c r="E517" s="14">
        <v>44389</v>
      </c>
      <c r="F517" s="10" t="s">
        <v>1573</v>
      </c>
      <c r="G517" s="25">
        <v>44393</v>
      </c>
      <c r="H517" s="10" t="s">
        <v>1574</v>
      </c>
      <c r="I517" s="10" t="s">
        <v>1575</v>
      </c>
      <c r="J517" s="15">
        <v>610837.18000000005</v>
      </c>
      <c r="K517" s="15">
        <v>610312.59103999997</v>
      </c>
      <c r="L517" s="15">
        <v>524.59</v>
      </c>
      <c r="M517" s="15">
        <v>452.23</v>
      </c>
      <c r="N517" s="15">
        <v>0</v>
      </c>
      <c r="O517" s="15">
        <v>72.36</v>
      </c>
      <c r="P517" s="2" t="s">
        <v>55</v>
      </c>
      <c r="Q517" s="16"/>
    </row>
    <row r="518" spans="1:17" x14ac:dyDescent="0.3">
      <c r="A518" s="10">
        <v>21733</v>
      </c>
      <c r="B518" s="2" t="s">
        <v>3869</v>
      </c>
      <c r="C518" s="13">
        <v>5681</v>
      </c>
      <c r="D518" s="2" t="s">
        <v>44</v>
      </c>
      <c r="E518" s="14">
        <v>44879</v>
      </c>
      <c r="F518" s="10" t="s">
        <v>1576</v>
      </c>
      <c r="G518" s="25">
        <v>44884</v>
      </c>
      <c r="H518" s="10" t="s">
        <v>1577</v>
      </c>
      <c r="I518" s="10" t="s">
        <v>1578</v>
      </c>
      <c r="J518" s="15">
        <v>105579.56</v>
      </c>
      <c r="K518" s="15">
        <v>105053.72959999999</v>
      </c>
      <c r="L518" s="15">
        <v>525.83000000000004</v>
      </c>
      <c r="M518" s="15">
        <v>453.3</v>
      </c>
      <c r="N518" s="15">
        <v>0</v>
      </c>
      <c r="O518" s="15">
        <v>72.53</v>
      </c>
      <c r="P518" s="2" t="s">
        <v>55</v>
      </c>
      <c r="Q518" s="16"/>
    </row>
    <row r="519" spans="1:17" x14ac:dyDescent="0.3">
      <c r="A519" s="10">
        <v>21733</v>
      </c>
      <c r="B519" s="2" t="s">
        <v>3870</v>
      </c>
      <c r="C519" s="13">
        <v>5681</v>
      </c>
      <c r="D519" s="2" t="s">
        <v>44</v>
      </c>
      <c r="E519" s="14">
        <v>44788</v>
      </c>
      <c r="F519" s="10" t="s">
        <v>1579</v>
      </c>
      <c r="G519" s="25">
        <v>44793</v>
      </c>
      <c r="H519" s="10" t="s">
        <v>1580</v>
      </c>
      <c r="I519" s="10" t="s">
        <v>1581</v>
      </c>
      <c r="J519" s="15">
        <v>167054.65</v>
      </c>
      <c r="K519" s="15">
        <v>166528.17784000005</v>
      </c>
      <c r="L519" s="15">
        <v>526.47</v>
      </c>
      <c r="M519" s="15">
        <v>453.86</v>
      </c>
      <c r="N519" s="15">
        <v>0</v>
      </c>
      <c r="O519" s="15">
        <v>72.62</v>
      </c>
      <c r="P519" s="2" t="s">
        <v>55</v>
      </c>
      <c r="Q519" s="16"/>
    </row>
    <row r="520" spans="1:17" x14ac:dyDescent="0.3">
      <c r="A520" s="10">
        <v>21733</v>
      </c>
      <c r="B520" s="2" t="s">
        <v>3871</v>
      </c>
      <c r="C520" s="13">
        <v>5681</v>
      </c>
      <c r="D520" s="2" t="s">
        <v>44</v>
      </c>
      <c r="E520" s="14">
        <v>44739</v>
      </c>
      <c r="F520" s="10" t="s">
        <v>1582</v>
      </c>
      <c r="G520" s="25">
        <v>44744</v>
      </c>
      <c r="H520" s="10" t="s">
        <v>1583</v>
      </c>
      <c r="I520" s="10" t="s">
        <v>1584</v>
      </c>
      <c r="J520" s="15">
        <v>132797.07</v>
      </c>
      <c r="K520" s="15">
        <v>132268.11028000002</v>
      </c>
      <c r="L520" s="15">
        <v>528.96</v>
      </c>
      <c r="M520" s="15">
        <v>456</v>
      </c>
      <c r="N520" s="15">
        <v>0</v>
      </c>
      <c r="O520" s="15">
        <v>72.959999999999994</v>
      </c>
      <c r="P520" s="2" t="s">
        <v>55</v>
      </c>
      <c r="Q520" s="16"/>
    </row>
    <row r="521" spans="1:17" x14ac:dyDescent="0.3">
      <c r="A521" s="10">
        <v>21733</v>
      </c>
      <c r="B521" s="2" t="s">
        <v>3872</v>
      </c>
      <c r="C521" s="13">
        <v>5537</v>
      </c>
      <c r="D521" s="2" t="s">
        <v>44</v>
      </c>
      <c r="E521" s="14">
        <v>44949</v>
      </c>
      <c r="F521" s="10" t="s">
        <v>1585</v>
      </c>
      <c r="G521" s="25">
        <v>44954</v>
      </c>
      <c r="H521" s="10" t="s">
        <v>1586</v>
      </c>
      <c r="I521" s="10" t="s">
        <v>1587</v>
      </c>
      <c r="J521" s="15">
        <v>620497</v>
      </c>
      <c r="K521" s="15">
        <v>619964.67612000008</v>
      </c>
      <c r="L521" s="15">
        <v>532.32000000000005</v>
      </c>
      <c r="M521" s="15">
        <v>458.9</v>
      </c>
      <c r="N521" s="15">
        <v>0</v>
      </c>
      <c r="O521" s="15">
        <v>73.42</v>
      </c>
      <c r="P521" s="2" t="s">
        <v>55</v>
      </c>
      <c r="Q521" s="16"/>
    </row>
    <row r="522" spans="1:17" x14ac:dyDescent="0.3">
      <c r="A522" s="10">
        <v>21733</v>
      </c>
      <c r="B522" s="2" t="s">
        <v>3873</v>
      </c>
      <c r="C522" s="13">
        <v>5556</v>
      </c>
      <c r="D522" s="2" t="s">
        <v>44</v>
      </c>
      <c r="E522" s="14">
        <v>44832</v>
      </c>
      <c r="F522" s="10" t="s">
        <v>1588</v>
      </c>
      <c r="G522" s="25">
        <v>44839</v>
      </c>
      <c r="H522" s="10" t="s">
        <v>1589</v>
      </c>
      <c r="I522" s="10" t="s">
        <v>1590</v>
      </c>
      <c r="J522" s="15">
        <v>260909.55</v>
      </c>
      <c r="K522" s="15">
        <v>260376.10328000001</v>
      </c>
      <c r="L522" s="15">
        <v>533.45000000000005</v>
      </c>
      <c r="M522" s="15">
        <v>459.87</v>
      </c>
      <c r="N522" s="15">
        <v>0</v>
      </c>
      <c r="O522" s="15">
        <v>73.58</v>
      </c>
      <c r="P522" s="2" t="s">
        <v>55</v>
      </c>
      <c r="Q522" s="16"/>
    </row>
    <row r="523" spans="1:17" x14ac:dyDescent="0.3">
      <c r="A523" s="10">
        <v>21733</v>
      </c>
      <c r="B523" s="2" t="s">
        <v>3874</v>
      </c>
      <c r="C523" s="13">
        <v>5556</v>
      </c>
      <c r="D523" s="2" t="s">
        <v>44</v>
      </c>
      <c r="E523" s="14">
        <v>44944</v>
      </c>
      <c r="F523" s="10" t="s">
        <v>1591</v>
      </c>
      <c r="G523" s="25">
        <v>44950</v>
      </c>
      <c r="H523" s="10" t="s">
        <v>1592</v>
      </c>
      <c r="I523" s="10" t="s">
        <v>1593</v>
      </c>
      <c r="J523" s="15">
        <v>341002.06</v>
      </c>
      <c r="K523" s="15">
        <v>340467.87175999995</v>
      </c>
      <c r="L523" s="15">
        <v>534.19000000000005</v>
      </c>
      <c r="M523" s="15">
        <v>460.51</v>
      </c>
      <c r="N523" s="15">
        <v>0</v>
      </c>
      <c r="O523" s="15">
        <v>73.680000000000007</v>
      </c>
      <c r="P523" s="2" t="s">
        <v>55</v>
      </c>
      <c r="Q523" s="16"/>
    </row>
    <row r="524" spans="1:17" x14ac:dyDescent="0.3">
      <c r="A524" s="10">
        <v>21733</v>
      </c>
      <c r="B524" s="2" t="s">
        <v>3875</v>
      </c>
      <c r="C524" s="13">
        <v>5681</v>
      </c>
      <c r="D524" s="2" t="s">
        <v>44</v>
      </c>
      <c r="E524" s="14">
        <v>45033</v>
      </c>
      <c r="F524" s="10" t="s">
        <v>1594</v>
      </c>
      <c r="G524" s="25">
        <v>45041</v>
      </c>
      <c r="H524" s="10" t="s">
        <v>1595</v>
      </c>
      <c r="I524" s="10" t="s">
        <v>1596</v>
      </c>
      <c r="J524" s="15">
        <v>974188.55</v>
      </c>
      <c r="K524" s="15">
        <v>973653.49244000041</v>
      </c>
      <c r="L524" s="15">
        <v>535.05999999999995</v>
      </c>
      <c r="M524" s="15">
        <v>461.26</v>
      </c>
      <c r="N524" s="15">
        <v>0</v>
      </c>
      <c r="O524" s="15">
        <v>73.8</v>
      </c>
      <c r="P524" s="2" t="s">
        <v>55</v>
      </c>
      <c r="Q524" s="16"/>
    </row>
    <row r="525" spans="1:17" x14ac:dyDescent="0.3">
      <c r="A525" s="10">
        <v>21733</v>
      </c>
      <c r="B525" s="2" t="s">
        <v>3876</v>
      </c>
      <c r="C525" s="13">
        <v>5681</v>
      </c>
      <c r="D525" s="2" t="s">
        <v>44</v>
      </c>
      <c r="E525" s="14">
        <v>44438</v>
      </c>
      <c r="F525" s="10" t="s">
        <v>1597</v>
      </c>
      <c r="G525" s="25">
        <v>44443</v>
      </c>
      <c r="H525" s="10" t="s">
        <v>1598</v>
      </c>
      <c r="I525" s="10" t="s">
        <v>1599</v>
      </c>
      <c r="J525" s="15">
        <v>318627.75</v>
      </c>
      <c r="K525" s="15">
        <v>318091.87775999994</v>
      </c>
      <c r="L525" s="15">
        <v>535.87</v>
      </c>
      <c r="M525" s="15">
        <v>461.96</v>
      </c>
      <c r="N525" s="15">
        <v>0</v>
      </c>
      <c r="O525" s="15">
        <v>73.91</v>
      </c>
      <c r="P525" s="2" t="s">
        <v>55</v>
      </c>
      <c r="Q525" s="16"/>
    </row>
    <row r="526" spans="1:17" x14ac:dyDescent="0.3">
      <c r="A526" s="10">
        <v>21733</v>
      </c>
      <c r="B526" s="2" t="s">
        <v>3877</v>
      </c>
      <c r="C526" s="13">
        <v>5537</v>
      </c>
      <c r="D526" s="2" t="s">
        <v>44</v>
      </c>
      <c r="E526" s="14">
        <v>44543</v>
      </c>
      <c r="F526" s="10" t="s">
        <v>1600</v>
      </c>
      <c r="G526" s="25">
        <v>44547</v>
      </c>
      <c r="H526" s="10" t="s">
        <v>1601</v>
      </c>
      <c r="I526" s="10" t="s">
        <v>1602</v>
      </c>
      <c r="J526" s="15">
        <v>73891.520000000004</v>
      </c>
      <c r="K526" s="15">
        <v>73355.511599999998</v>
      </c>
      <c r="L526" s="15">
        <v>536.01</v>
      </c>
      <c r="M526" s="15">
        <v>462.08</v>
      </c>
      <c r="N526" s="15">
        <v>0</v>
      </c>
      <c r="O526" s="15">
        <v>73.930000000000007</v>
      </c>
      <c r="P526" s="2" t="s">
        <v>55</v>
      </c>
      <c r="Q526" s="16"/>
    </row>
    <row r="527" spans="1:17" x14ac:dyDescent="0.3">
      <c r="A527" s="10">
        <v>21733</v>
      </c>
      <c r="B527" s="2" t="s">
        <v>3878</v>
      </c>
      <c r="C527" s="13">
        <v>5549</v>
      </c>
      <c r="D527" s="2" t="s">
        <v>44</v>
      </c>
      <c r="E527" s="14">
        <v>45027</v>
      </c>
      <c r="F527" s="10" t="s">
        <v>1603</v>
      </c>
      <c r="G527" s="25">
        <v>45038</v>
      </c>
      <c r="H527" s="10" t="s">
        <v>1604</v>
      </c>
      <c r="I527" s="10" t="s">
        <v>1605</v>
      </c>
      <c r="J527" s="15">
        <v>818099.45</v>
      </c>
      <c r="K527" s="15">
        <v>817560.576</v>
      </c>
      <c r="L527" s="15">
        <v>538.87</v>
      </c>
      <c r="M527" s="15">
        <v>464.55</v>
      </c>
      <c r="N527" s="15">
        <v>0</v>
      </c>
      <c r="O527" s="15">
        <v>74.33</v>
      </c>
      <c r="P527" s="2" t="s">
        <v>55</v>
      </c>
      <c r="Q527" s="16"/>
    </row>
    <row r="528" spans="1:17" x14ac:dyDescent="0.3">
      <c r="A528" s="10">
        <v>21733</v>
      </c>
      <c r="B528" s="2" t="s">
        <v>3879</v>
      </c>
      <c r="C528" s="13">
        <v>5556</v>
      </c>
      <c r="D528" s="2" t="s">
        <v>44</v>
      </c>
      <c r="E528" s="14">
        <v>44895</v>
      </c>
      <c r="F528" s="10" t="s">
        <v>1606</v>
      </c>
      <c r="G528" s="25">
        <v>44901</v>
      </c>
      <c r="H528" s="10" t="s">
        <v>1607</v>
      </c>
      <c r="I528" s="10" t="s">
        <v>1608</v>
      </c>
      <c r="J528" s="15">
        <v>304954.76</v>
      </c>
      <c r="K528" s="15">
        <v>304413.30275999999</v>
      </c>
      <c r="L528" s="15">
        <v>541.46</v>
      </c>
      <c r="M528" s="15">
        <v>466.77</v>
      </c>
      <c r="N528" s="15">
        <v>0</v>
      </c>
      <c r="O528" s="15">
        <v>74.680000000000007</v>
      </c>
      <c r="P528" s="2" t="s">
        <v>55</v>
      </c>
      <c r="Q528" s="16"/>
    </row>
    <row r="529" spans="1:17" x14ac:dyDescent="0.3">
      <c r="A529" s="10">
        <v>21733</v>
      </c>
      <c r="B529" s="2" t="s">
        <v>3880</v>
      </c>
      <c r="C529" s="13">
        <v>5548</v>
      </c>
      <c r="D529" s="2" t="s">
        <v>44</v>
      </c>
      <c r="E529" s="14">
        <v>44396</v>
      </c>
      <c r="F529" s="10" t="s">
        <v>1609</v>
      </c>
      <c r="G529" s="25">
        <v>44400</v>
      </c>
      <c r="H529" s="10" t="s">
        <v>1610</v>
      </c>
      <c r="I529" s="10" t="s">
        <v>1611</v>
      </c>
      <c r="J529" s="15">
        <v>55585.94</v>
      </c>
      <c r="K529" s="15">
        <v>55043.368799999997</v>
      </c>
      <c r="L529" s="15">
        <v>542.57000000000005</v>
      </c>
      <c r="M529" s="15">
        <v>467.73</v>
      </c>
      <c r="N529" s="15">
        <v>0</v>
      </c>
      <c r="O529" s="15">
        <v>74.84</v>
      </c>
      <c r="P529" s="2" t="s">
        <v>55</v>
      </c>
      <c r="Q529" s="16"/>
    </row>
    <row r="530" spans="1:17" x14ac:dyDescent="0.3">
      <c r="A530" s="10">
        <v>21733</v>
      </c>
      <c r="B530" s="2" t="s">
        <v>3881</v>
      </c>
      <c r="C530" s="13">
        <v>5681</v>
      </c>
      <c r="D530" s="2" t="s">
        <v>44</v>
      </c>
      <c r="E530" s="14">
        <v>44998</v>
      </c>
      <c r="F530" s="10" t="s">
        <v>1612</v>
      </c>
      <c r="G530" s="25">
        <v>45003</v>
      </c>
      <c r="H530" s="10" t="s">
        <v>1613</v>
      </c>
      <c r="I530" s="10" t="s">
        <v>1614</v>
      </c>
      <c r="J530" s="15">
        <v>1317191.1499999999</v>
      </c>
      <c r="K530" s="15">
        <v>1316647.23172</v>
      </c>
      <c r="L530" s="15">
        <v>543.91999999999996</v>
      </c>
      <c r="M530" s="15">
        <v>468.9</v>
      </c>
      <c r="N530" s="15">
        <v>0</v>
      </c>
      <c r="O530" s="15">
        <v>75.02</v>
      </c>
      <c r="P530" s="2" t="s">
        <v>55</v>
      </c>
      <c r="Q530" s="16"/>
    </row>
    <row r="531" spans="1:17" x14ac:dyDescent="0.3">
      <c r="A531" s="10">
        <v>21733</v>
      </c>
      <c r="B531" s="2" t="s">
        <v>3882</v>
      </c>
      <c r="C531" s="13">
        <v>5537</v>
      </c>
      <c r="D531" s="2" t="s">
        <v>44</v>
      </c>
      <c r="E531" s="14">
        <v>44592</v>
      </c>
      <c r="F531" s="10" t="s">
        <v>1615</v>
      </c>
      <c r="G531" s="25">
        <v>44596</v>
      </c>
      <c r="H531" s="10" t="s">
        <v>1616</v>
      </c>
      <c r="I531" s="10" t="s">
        <v>1617</v>
      </c>
      <c r="J531" s="15">
        <v>436045.37</v>
      </c>
      <c r="K531" s="15">
        <v>435498.20839999994</v>
      </c>
      <c r="L531" s="15">
        <v>547.16</v>
      </c>
      <c r="M531" s="15">
        <v>471.69</v>
      </c>
      <c r="N531" s="15">
        <v>0</v>
      </c>
      <c r="O531" s="15">
        <v>75.47</v>
      </c>
      <c r="P531" s="2" t="s">
        <v>55</v>
      </c>
      <c r="Q531" s="16"/>
    </row>
    <row r="532" spans="1:17" x14ac:dyDescent="0.3">
      <c r="A532" s="10">
        <v>21733</v>
      </c>
      <c r="B532" s="2" t="s">
        <v>3883</v>
      </c>
      <c r="C532" s="13">
        <v>5537</v>
      </c>
      <c r="D532" s="2" t="s">
        <v>44</v>
      </c>
      <c r="E532" s="14">
        <v>44599</v>
      </c>
      <c r="F532" s="10" t="s">
        <v>1618</v>
      </c>
      <c r="G532" s="25">
        <v>44604</v>
      </c>
      <c r="H532" s="10" t="s">
        <v>1619</v>
      </c>
      <c r="I532" s="10" t="s">
        <v>1620</v>
      </c>
      <c r="J532" s="15">
        <v>115455.84</v>
      </c>
      <c r="K532" s="15">
        <v>114907.87276</v>
      </c>
      <c r="L532" s="15">
        <v>547.97</v>
      </c>
      <c r="M532" s="15">
        <v>472.39</v>
      </c>
      <c r="N532" s="15">
        <v>0</v>
      </c>
      <c r="O532" s="15">
        <v>75.58</v>
      </c>
      <c r="P532" s="2" t="s">
        <v>55</v>
      </c>
      <c r="Q532" s="16"/>
    </row>
    <row r="533" spans="1:17" x14ac:dyDescent="0.3">
      <c r="A533" s="10">
        <v>21733</v>
      </c>
      <c r="B533" s="2" t="s">
        <v>3884</v>
      </c>
      <c r="C533" s="13">
        <v>5549</v>
      </c>
      <c r="D533" s="2" t="s">
        <v>44</v>
      </c>
      <c r="E533" s="14">
        <v>45026</v>
      </c>
      <c r="F533" s="10" t="s">
        <v>1621</v>
      </c>
      <c r="G533" s="25">
        <v>45032</v>
      </c>
      <c r="H533" s="10" t="s">
        <v>1622</v>
      </c>
      <c r="I533" s="10" t="s">
        <v>1623</v>
      </c>
      <c r="J533" s="15">
        <v>298575.12</v>
      </c>
      <c r="K533" s="15">
        <v>298025.74999999994</v>
      </c>
      <c r="L533" s="15">
        <v>549.37</v>
      </c>
      <c r="M533" s="15">
        <v>473.59</v>
      </c>
      <c r="N533" s="15">
        <v>0</v>
      </c>
      <c r="O533" s="15">
        <v>75.78</v>
      </c>
      <c r="P533" s="2" t="s">
        <v>55</v>
      </c>
      <c r="Q533" s="16"/>
    </row>
    <row r="534" spans="1:17" x14ac:dyDescent="0.3">
      <c r="A534" s="10">
        <v>21733</v>
      </c>
      <c r="B534" s="2" t="s">
        <v>3885</v>
      </c>
      <c r="C534" s="13">
        <v>5548</v>
      </c>
      <c r="D534" s="2" t="s">
        <v>44</v>
      </c>
      <c r="E534" s="14">
        <v>44981</v>
      </c>
      <c r="F534" s="10" t="s">
        <v>1624</v>
      </c>
      <c r="G534" s="25">
        <v>44991</v>
      </c>
      <c r="H534" s="10" t="s">
        <v>1625</v>
      </c>
      <c r="I534" s="10" t="s">
        <v>1626</v>
      </c>
      <c r="J534" s="15">
        <v>874449.2</v>
      </c>
      <c r="K534" s="15">
        <v>873895.40760000004</v>
      </c>
      <c r="L534" s="15">
        <v>553.79</v>
      </c>
      <c r="M534" s="15">
        <v>477.41</v>
      </c>
      <c r="N534" s="15">
        <v>0</v>
      </c>
      <c r="O534" s="15">
        <v>76.39</v>
      </c>
      <c r="P534" s="2" t="s">
        <v>55</v>
      </c>
      <c r="Q534" s="16"/>
    </row>
    <row r="535" spans="1:17" x14ac:dyDescent="0.3">
      <c r="A535" s="10">
        <v>21733</v>
      </c>
      <c r="B535" s="2" t="s">
        <v>3886</v>
      </c>
      <c r="C535" s="13">
        <v>5681</v>
      </c>
      <c r="D535" s="2" t="s">
        <v>44</v>
      </c>
      <c r="E535" s="14">
        <v>44694</v>
      </c>
      <c r="F535" s="10" t="s">
        <v>1627</v>
      </c>
      <c r="G535" s="25">
        <v>44702</v>
      </c>
      <c r="H535" s="10" t="s">
        <v>1628</v>
      </c>
      <c r="I535" s="10" t="s">
        <v>1629</v>
      </c>
      <c r="J535" s="15">
        <v>142453.51999999999</v>
      </c>
      <c r="K535" s="15">
        <v>141899.25504000002</v>
      </c>
      <c r="L535" s="15">
        <v>554.26</v>
      </c>
      <c r="M535" s="15">
        <v>477.81</v>
      </c>
      <c r="N535" s="15">
        <v>0</v>
      </c>
      <c r="O535" s="15">
        <v>76.45</v>
      </c>
      <c r="P535" s="2" t="s">
        <v>55</v>
      </c>
      <c r="Q535" s="16"/>
    </row>
    <row r="536" spans="1:17" x14ac:dyDescent="0.3">
      <c r="A536" s="10">
        <v>21733</v>
      </c>
      <c r="B536" s="2" t="s">
        <v>3887</v>
      </c>
      <c r="C536" s="13">
        <v>5556</v>
      </c>
      <c r="D536" s="2" t="s">
        <v>44</v>
      </c>
      <c r="E536" s="14">
        <v>44692</v>
      </c>
      <c r="F536" s="10" t="s">
        <v>1630</v>
      </c>
      <c r="G536" s="25">
        <v>44698</v>
      </c>
      <c r="H536" s="10" t="s">
        <v>1631</v>
      </c>
      <c r="I536" s="10" t="s">
        <v>1632</v>
      </c>
      <c r="J536" s="15">
        <v>202351.5</v>
      </c>
      <c r="K536" s="15">
        <v>201797.14264000006</v>
      </c>
      <c r="L536" s="15">
        <v>554.36</v>
      </c>
      <c r="M536" s="15">
        <v>477.89</v>
      </c>
      <c r="N536" s="15">
        <v>0</v>
      </c>
      <c r="O536" s="15">
        <v>76.459999999999994</v>
      </c>
      <c r="P536" s="2" t="s">
        <v>55</v>
      </c>
      <c r="Q536" s="16"/>
    </row>
    <row r="537" spans="1:17" x14ac:dyDescent="0.3">
      <c r="A537" s="10">
        <v>21733</v>
      </c>
      <c r="B537" s="2" t="s">
        <v>3888</v>
      </c>
      <c r="C537" s="13">
        <v>5537</v>
      </c>
      <c r="D537" s="2" t="s">
        <v>44</v>
      </c>
      <c r="E537" s="14">
        <v>44690</v>
      </c>
      <c r="F537" s="10" t="s">
        <v>1633</v>
      </c>
      <c r="G537" s="25">
        <v>44695</v>
      </c>
      <c r="H537" s="10" t="s">
        <v>1634</v>
      </c>
      <c r="I537" s="10" t="s">
        <v>1635</v>
      </c>
      <c r="J537" s="15">
        <v>182155.72</v>
      </c>
      <c r="K537" s="15">
        <v>181600.11004000003</v>
      </c>
      <c r="L537" s="15">
        <v>555.61</v>
      </c>
      <c r="M537" s="15">
        <v>478.97</v>
      </c>
      <c r="N537" s="15">
        <v>0</v>
      </c>
      <c r="O537" s="15">
        <v>76.64</v>
      </c>
      <c r="P537" s="2" t="s">
        <v>55</v>
      </c>
      <c r="Q537" s="16"/>
    </row>
    <row r="538" spans="1:17" x14ac:dyDescent="0.3">
      <c r="A538" s="10">
        <v>21733</v>
      </c>
      <c r="B538" s="2" t="s">
        <v>3889</v>
      </c>
      <c r="C538" s="13">
        <v>5681</v>
      </c>
      <c r="D538" s="2" t="s">
        <v>44</v>
      </c>
      <c r="E538" s="14">
        <v>44291</v>
      </c>
      <c r="F538" s="10" t="s">
        <v>1636</v>
      </c>
      <c r="G538" s="25">
        <v>44296</v>
      </c>
      <c r="H538" s="10" t="s">
        <v>1637</v>
      </c>
      <c r="I538" s="10" t="s">
        <v>1638</v>
      </c>
      <c r="J538" s="15">
        <v>93538.47</v>
      </c>
      <c r="K538" s="15">
        <v>92980.936799999996</v>
      </c>
      <c r="L538" s="15">
        <v>557.53</v>
      </c>
      <c r="M538" s="15">
        <v>480.63</v>
      </c>
      <c r="N538" s="15">
        <v>0</v>
      </c>
      <c r="O538" s="15">
        <v>76.900000000000006</v>
      </c>
      <c r="P538" s="2" t="s">
        <v>55</v>
      </c>
      <c r="Q538" s="16"/>
    </row>
    <row r="539" spans="1:17" x14ac:dyDescent="0.3">
      <c r="A539" s="10">
        <v>21733</v>
      </c>
      <c r="B539" s="2" t="s">
        <v>3890</v>
      </c>
      <c r="C539" s="13">
        <v>5681</v>
      </c>
      <c r="D539" s="2" t="s">
        <v>44</v>
      </c>
      <c r="E539" s="14">
        <v>44613</v>
      </c>
      <c r="F539" s="10" t="s">
        <v>1639</v>
      </c>
      <c r="G539" s="25">
        <v>44619</v>
      </c>
      <c r="H539" s="10" t="s">
        <v>1640</v>
      </c>
      <c r="I539" s="10" t="s">
        <v>1641</v>
      </c>
      <c r="J539" s="15">
        <v>441218.98</v>
      </c>
      <c r="K539" s="15">
        <v>440659.64811999985</v>
      </c>
      <c r="L539" s="15">
        <v>559.33000000000004</v>
      </c>
      <c r="M539" s="15">
        <v>482.18</v>
      </c>
      <c r="N539" s="15">
        <v>0</v>
      </c>
      <c r="O539" s="15">
        <v>77.150000000000006</v>
      </c>
      <c r="P539" s="2" t="s">
        <v>55</v>
      </c>
      <c r="Q539" s="16"/>
    </row>
    <row r="540" spans="1:17" x14ac:dyDescent="0.3">
      <c r="A540" s="10">
        <v>21733</v>
      </c>
      <c r="B540" s="2" t="s">
        <v>3891</v>
      </c>
      <c r="C540" s="13">
        <v>5556</v>
      </c>
      <c r="D540" s="2" t="s">
        <v>44</v>
      </c>
      <c r="E540" s="14">
        <v>44818</v>
      </c>
      <c r="F540" s="10" t="s">
        <v>1642</v>
      </c>
      <c r="G540" s="25">
        <v>44826</v>
      </c>
      <c r="H540" s="10" t="s">
        <v>1643</v>
      </c>
      <c r="I540" s="10" t="s">
        <v>1644</v>
      </c>
      <c r="J540" s="15">
        <v>176284.44</v>
      </c>
      <c r="K540" s="15">
        <v>175722.55360000001</v>
      </c>
      <c r="L540" s="15">
        <v>561.89</v>
      </c>
      <c r="M540" s="15">
        <v>484.38</v>
      </c>
      <c r="N540" s="15">
        <v>0</v>
      </c>
      <c r="O540" s="15">
        <v>77.5</v>
      </c>
      <c r="P540" s="2" t="s">
        <v>55</v>
      </c>
      <c r="Q540" s="16"/>
    </row>
    <row r="541" spans="1:17" x14ac:dyDescent="0.3">
      <c r="A541" s="10">
        <v>21733</v>
      </c>
      <c r="B541" s="2" t="s">
        <v>3892</v>
      </c>
      <c r="C541" s="13">
        <v>5681</v>
      </c>
      <c r="D541" s="2" t="s">
        <v>44</v>
      </c>
      <c r="E541" s="14">
        <v>44949</v>
      </c>
      <c r="F541" s="10" t="s">
        <v>1645</v>
      </c>
      <c r="G541" s="25">
        <v>44954</v>
      </c>
      <c r="H541" s="10" t="s">
        <v>1646</v>
      </c>
      <c r="I541" s="10" t="s">
        <v>1647</v>
      </c>
      <c r="J541" s="15">
        <v>211350.66</v>
      </c>
      <c r="K541" s="15">
        <v>210786.78767999998</v>
      </c>
      <c r="L541" s="15">
        <v>563.87</v>
      </c>
      <c r="M541" s="15">
        <v>486.1</v>
      </c>
      <c r="N541" s="15">
        <v>0</v>
      </c>
      <c r="O541" s="15">
        <v>77.78</v>
      </c>
      <c r="P541" s="2" t="s">
        <v>55</v>
      </c>
      <c r="Q541" s="16"/>
    </row>
    <row r="542" spans="1:17" x14ac:dyDescent="0.3">
      <c r="A542" s="10">
        <v>21733</v>
      </c>
      <c r="B542" s="2" t="s">
        <v>3893</v>
      </c>
      <c r="C542" s="13">
        <v>5548</v>
      </c>
      <c r="D542" s="2" t="s">
        <v>44</v>
      </c>
      <c r="E542" s="14">
        <v>44466</v>
      </c>
      <c r="F542" s="10" t="s">
        <v>1648</v>
      </c>
      <c r="G542" s="25">
        <v>44470</v>
      </c>
      <c r="H542" s="10" t="s">
        <v>1649</v>
      </c>
      <c r="I542" s="10" t="s">
        <v>1650</v>
      </c>
      <c r="J542" s="15">
        <v>1093050.21</v>
      </c>
      <c r="K542" s="15">
        <v>1092480.7012799999</v>
      </c>
      <c r="L542" s="15">
        <v>569.51</v>
      </c>
      <c r="M542" s="15">
        <v>490.96</v>
      </c>
      <c r="N542" s="15">
        <v>0</v>
      </c>
      <c r="O542" s="15">
        <v>78.55</v>
      </c>
      <c r="P542" s="2" t="s">
        <v>55</v>
      </c>
      <c r="Q542" s="16"/>
    </row>
    <row r="543" spans="1:17" x14ac:dyDescent="0.3">
      <c r="A543" s="10">
        <v>21733</v>
      </c>
      <c r="B543" s="2" t="s">
        <v>3894</v>
      </c>
      <c r="C543" s="13">
        <v>5557</v>
      </c>
      <c r="D543" s="2" t="s">
        <v>44</v>
      </c>
      <c r="E543" s="14">
        <v>44347</v>
      </c>
      <c r="F543" s="10" t="s">
        <v>1651</v>
      </c>
      <c r="G543" s="25">
        <v>44351</v>
      </c>
      <c r="H543" s="10" t="s">
        <v>1652</v>
      </c>
      <c r="I543" s="10" t="s">
        <v>1653</v>
      </c>
      <c r="J543" s="15">
        <v>6385.67</v>
      </c>
      <c r="K543" s="15">
        <v>5815.9848000000002</v>
      </c>
      <c r="L543" s="15">
        <v>569.69000000000005</v>
      </c>
      <c r="M543" s="15">
        <v>491.11</v>
      </c>
      <c r="N543" s="15">
        <v>0</v>
      </c>
      <c r="O543" s="15">
        <v>78.58</v>
      </c>
      <c r="P543" s="2" t="s">
        <v>55</v>
      </c>
      <c r="Q543" s="16"/>
    </row>
    <row r="544" spans="1:17" x14ac:dyDescent="0.3">
      <c r="A544" s="10">
        <v>21733</v>
      </c>
      <c r="B544" s="2" t="s">
        <v>3895</v>
      </c>
      <c r="C544" s="13">
        <v>5548</v>
      </c>
      <c r="D544" s="2" t="s">
        <v>44</v>
      </c>
      <c r="E544" s="14">
        <v>44438</v>
      </c>
      <c r="F544" s="10" t="s">
        <v>1654</v>
      </c>
      <c r="G544" s="25">
        <v>44442</v>
      </c>
      <c r="H544" s="10" t="s">
        <v>1655</v>
      </c>
      <c r="I544" s="10" t="s">
        <v>1656</v>
      </c>
      <c r="J544" s="15">
        <v>855295.07</v>
      </c>
      <c r="K544" s="15">
        <v>854725.3473599999</v>
      </c>
      <c r="L544" s="15">
        <v>569.72</v>
      </c>
      <c r="M544" s="15">
        <v>491.14</v>
      </c>
      <c r="N544" s="15">
        <v>0</v>
      </c>
      <c r="O544" s="15">
        <v>78.58</v>
      </c>
      <c r="P544" s="2" t="s">
        <v>55</v>
      </c>
      <c r="Q544" s="16"/>
    </row>
    <row r="545" spans="1:17" x14ac:dyDescent="0.3">
      <c r="A545" s="10">
        <v>21733</v>
      </c>
      <c r="B545" s="2" t="s">
        <v>3896</v>
      </c>
      <c r="C545" s="13">
        <v>5549</v>
      </c>
      <c r="D545" s="2" t="s">
        <v>44</v>
      </c>
      <c r="E545" s="14">
        <v>44655</v>
      </c>
      <c r="F545" s="10" t="s">
        <v>1657</v>
      </c>
      <c r="G545" s="25">
        <v>44660</v>
      </c>
      <c r="H545" s="10" t="s">
        <v>1658</v>
      </c>
      <c r="I545" s="10" t="s">
        <v>1659</v>
      </c>
      <c r="J545" s="15">
        <v>1010408.52</v>
      </c>
      <c r="K545" s="15">
        <v>1009838.1983600004</v>
      </c>
      <c r="L545" s="15">
        <v>570.32000000000005</v>
      </c>
      <c r="M545" s="15">
        <v>491.66</v>
      </c>
      <c r="N545" s="15">
        <v>0</v>
      </c>
      <c r="O545" s="15">
        <v>78.67</v>
      </c>
      <c r="P545" s="2" t="s">
        <v>55</v>
      </c>
      <c r="Q545" s="16"/>
    </row>
    <row r="546" spans="1:17" x14ac:dyDescent="0.3">
      <c r="A546" s="10">
        <v>21733</v>
      </c>
      <c r="B546" s="2" t="s">
        <v>3897</v>
      </c>
      <c r="C546" s="13">
        <v>5557</v>
      </c>
      <c r="D546" s="2" t="s">
        <v>44</v>
      </c>
      <c r="E546" s="14">
        <v>44403</v>
      </c>
      <c r="F546" s="10" t="s">
        <v>1660</v>
      </c>
      <c r="G546" s="25">
        <v>44407</v>
      </c>
      <c r="H546" s="10" t="s">
        <v>1661</v>
      </c>
      <c r="I546" s="10" t="s">
        <v>1662</v>
      </c>
      <c r="J546" s="15">
        <v>547894.88</v>
      </c>
      <c r="K546" s="15">
        <v>547323.97392000013</v>
      </c>
      <c r="L546" s="15">
        <v>570.91</v>
      </c>
      <c r="M546" s="15">
        <v>492.16</v>
      </c>
      <c r="N546" s="15">
        <v>0</v>
      </c>
      <c r="O546" s="15">
        <v>78.75</v>
      </c>
      <c r="P546" s="2" t="s">
        <v>55</v>
      </c>
      <c r="Q546" s="16"/>
    </row>
    <row r="547" spans="1:17" x14ac:dyDescent="0.3">
      <c r="A547" s="10">
        <v>21733</v>
      </c>
      <c r="B547" s="2" t="s">
        <v>3898</v>
      </c>
      <c r="C547" s="13">
        <v>5556</v>
      </c>
      <c r="D547" s="2" t="s">
        <v>44</v>
      </c>
      <c r="E547" s="14">
        <v>44965</v>
      </c>
      <c r="F547" s="10" t="s">
        <v>1663</v>
      </c>
      <c r="G547" s="25">
        <v>44973</v>
      </c>
      <c r="H547" s="10" t="s">
        <v>1664</v>
      </c>
      <c r="I547" s="10" t="s">
        <v>1665</v>
      </c>
      <c r="J547" s="15">
        <v>646081.96</v>
      </c>
      <c r="K547" s="15">
        <v>645510.90140000009</v>
      </c>
      <c r="L547" s="15">
        <v>571.05999999999995</v>
      </c>
      <c r="M547" s="15">
        <v>492.29</v>
      </c>
      <c r="N547" s="15">
        <v>0</v>
      </c>
      <c r="O547" s="15">
        <v>78.77</v>
      </c>
      <c r="P547" s="2" t="s">
        <v>55</v>
      </c>
      <c r="Q547" s="16"/>
    </row>
    <row r="548" spans="1:17" x14ac:dyDescent="0.3">
      <c r="A548" s="10">
        <v>21733</v>
      </c>
      <c r="B548" s="2" t="s">
        <v>3899</v>
      </c>
      <c r="C548" s="13">
        <v>5681</v>
      </c>
      <c r="D548" s="2" t="s">
        <v>44</v>
      </c>
      <c r="E548" s="14">
        <v>44730</v>
      </c>
      <c r="F548" s="10" t="s">
        <v>1068</v>
      </c>
      <c r="G548" s="25">
        <v>44739</v>
      </c>
      <c r="H548" s="10" t="s">
        <v>1666</v>
      </c>
      <c r="I548" s="10" t="s">
        <v>1667</v>
      </c>
      <c r="J548" s="15">
        <v>885616.32</v>
      </c>
      <c r="K548" s="15">
        <v>885035.08480000007</v>
      </c>
      <c r="L548" s="15">
        <v>581.24</v>
      </c>
      <c r="M548" s="15">
        <v>501.06</v>
      </c>
      <c r="N548" s="15">
        <v>0</v>
      </c>
      <c r="O548" s="15">
        <v>80.17</v>
      </c>
      <c r="P548" s="2" t="s">
        <v>55</v>
      </c>
      <c r="Q548" s="16"/>
    </row>
    <row r="549" spans="1:17" x14ac:dyDescent="0.3">
      <c r="A549" s="10">
        <v>21733</v>
      </c>
      <c r="B549" s="2" t="s">
        <v>3900</v>
      </c>
      <c r="C549" s="13">
        <v>5556</v>
      </c>
      <c r="D549" s="2" t="s">
        <v>44</v>
      </c>
      <c r="E549" s="14">
        <v>44797</v>
      </c>
      <c r="F549" s="10" t="s">
        <v>1668</v>
      </c>
      <c r="G549" s="25">
        <v>44806</v>
      </c>
      <c r="H549" s="10" t="s">
        <v>1669</v>
      </c>
      <c r="I549" s="10" t="s">
        <v>1670</v>
      </c>
      <c r="J549" s="15">
        <v>125770.7</v>
      </c>
      <c r="K549" s="15">
        <v>125187.23943999998</v>
      </c>
      <c r="L549" s="15">
        <v>583.46</v>
      </c>
      <c r="M549" s="15">
        <v>502.98</v>
      </c>
      <c r="N549" s="15">
        <v>0</v>
      </c>
      <c r="O549" s="15">
        <v>80.48</v>
      </c>
      <c r="P549" s="2" t="s">
        <v>55</v>
      </c>
      <c r="Q549" s="16"/>
    </row>
    <row r="550" spans="1:17" x14ac:dyDescent="0.3">
      <c r="A550" s="10">
        <v>21733</v>
      </c>
      <c r="B550" s="2" t="s">
        <v>3901</v>
      </c>
      <c r="C550" s="13">
        <v>5681</v>
      </c>
      <c r="D550" s="2" t="s">
        <v>44</v>
      </c>
      <c r="E550" s="14">
        <v>44396</v>
      </c>
      <c r="F550" s="10" t="s">
        <v>1671</v>
      </c>
      <c r="G550" s="25">
        <v>44401</v>
      </c>
      <c r="H550" s="10" t="s">
        <v>1672</v>
      </c>
      <c r="I550" s="10" t="s">
        <v>1673</v>
      </c>
      <c r="J550" s="15">
        <v>86338.23</v>
      </c>
      <c r="K550" s="15">
        <v>85754.496399999989</v>
      </c>
      <c r="L550" s="15">
        <v>583.73</v>
      </c>
      <c r="M550" s="15">
        <v>503.22</v>
      </c>
      <c r="N550" s="15">
        <v>0</v>
      </c>
      <c r="O550" s="15">
        <v>80.510000000000005</v>
      </c>
      <c r="P550" s="2" t="s">
        <v>55</v>
      </c>
      <c r="Q550" s="16"/>
    </row>
    <row r="551" spans="1:17" x14ac:dyDescent="0.3">
      <c r="A551" s="10">
        <v>21733</v>
      </c>
      <c r="B551" s="2" t="s">
        <v>3902</v>
      </c>
      <c r="C551" s="13">
        <v>5537</v>
      </c>
      <c r="D551" s="2" t="s">
        <v>44</v>
      </c>
      <c r="E551" s="14">
        <v>44725</v>
      </c>
      <c r="F551" s="10" t="s">
        <v>1674</v>
      </c>
      <c r="G551" s="25">
        <v>44729</v>
      </c>
      <c r="H551" s="10" t="s">
        <v>1675</v>
      </c>
      <c r="I551" s="10" t="s">
        <v>1676</v>
      </c>
      <c r="J551" s="15">
        <v>681352.77</v>
      </c>
      <c r="K551" s="15">
        <v>680769.00511999964</v>
      </c>
      <c r="L551" s="15">
        <v>583.76</v>
      </c>
      <c r="M551" s="15">
        <v>503.25</v>
      </c>
      <c r="N551" s="15">
        <v>0</v>
      </c>
      <c r="O551" s="15">
        <v>80.52</v>
      </c>
      <c r="P551" s="2" t="s">
        <v>55</v>
      </c>
      <c r="Q551" s="16"/>
    </row>
    <row r="552" spans="1:17" x14ac:dyDescent="0.3">
      <c r="A552" s="10">
        <v>21733</v>
      </c>
      <c r="B552" s="2" t="s">
        <v>3903</v>
      </c>
      <c r="C552" s="13">
        <v>5556</v>
      </c>
      <c r="D552" s="2" t="s">
        <v>44</v>
      </c>
      <c r="E552" s="14">
        <v>44622</v>
      </c>
      <c r="F552" s="10" t="s">
        <v>403</v>
      </c>
      <c r="G552" s="25">
        <v>44628</v>
      </c>
      <c r="H552" s="10" t="s">
        <v>1677</v>
      </c>
      <c r="I552" s="10" t="s">
        <v>1678</v>
      </c>
      <c r="J552" s="15">
        <v>74578.2</v>
      </c>
      <c r="K552" s="15">
        <v>73992.943199999994</v>
      </c>
      <c r="L552" s="15">
        <v>585.26</v>
      </c>
      <c r="M552" s="15">
        <v>504.53</v>
      </c>
      <c r="N552" s="15">
        <v>0</v>
      </c>
      <c r="O552" s="15">
        <v>80.73</v>
      </c>
      <c r="P552" s="2" t="s">
        <v>55</v>
      </c>
      <c r="Q552" s="16"/>
    </row>
    <row r="553" spans="1:17" x14ac:dyDescent="0.3">
      <c r="A553" s="10">
        <v>21733</v>
      </c>
      <c r="B553" s="2" t="s">
        <v>3904</v>
      </c>
      <c r="C553" s="13">
        <v>5681</v>
      </c>
      <c r="D553" s="2" t="s">
        <v>44</v>
      </c>
      <c r="E553" s="14">
        <v>44851</v>
      </c>
      <c r="F553" s="10" t="s">
        <v>466</v>
      </c>
      <c r="G553" s="25">
        <v>44856</v>
      </c>
      <c r="H553" s="10" t="s">
        <v>1679</v>
      </c>
      <c r="I553" s="10" t="s">
        <v>1680</v>
      </c>
      <c r="J553" s="15">
        <v>839006.43</v>
      </c>
      <c r="K553" s="15">
        <v>838420.60659999982</v>
      </c>
      <c r="L553" s="15">
        <v>585.82000000000005</v>
      </c>
      <c r="M553" s="15">
        <v>505.02</v>
      </c>
      <c r="N553" s="15">
        <v>0</v>
      </c>
      <c r="O553" s="15">
        <v>80.8</v>
      </c>
      <c r="P553" s="2" t="s">
        <v>55</v>
      </c>
      <c r="Q553" s="16"/>
    </row>
    <row r="554" spans="1:17" x14ac:dyDescent="0.3">
      <c r="A554" s="10">
        <v>21733</v>
      </c>
      <c r="B554" s="2" t="s">
        <v>3905</v>
      </c>
      <c r="C554" s="13">
        <v>5557</v>
      </c>
      <c r="D554" s="2" t="s">
        <v>44</v>
      </c>
      <c r="E554" s="14">
        <v>44718</v>
      </c>
      <c r="F554" s="10" t="s">
        <v>1681</v>
      </c>
      <c r="G554" s="25">
        <v>44722</v>
      </c>
      <c r="H554" s="10" t="s">
        <v>1682</v>
      </c>
      <c r="I554" s="10" t="s">
        <v>1683</v>
      </c>
      <c r="J554" s="15">
        <v>247616.67</v>
      </c>
      <c r="K554" s="15">
        <v>247030.73248000004</v>
      </c>
      <c r="L554" s="15">
        <v>585.94000000000005</v>
      </c>
      <c r="M554" s="15">
        <v>505.12</v>
      </c>
      <c r="N554" s="15">
        <v>0</v>
      </c>
      <c r="O554" s="15">
        <v>80.819999999999993</v>
      </c>
      <c r="P554" s="2" t="s">
        <v>55</v>
      </c>
      <c r="Q554" s="16"/>
    </row>
    <row r="555" spans="1:17" x14ac:dyDescent="0.3">
      <c r="A555" s="10">
        <v>21733</v>
      </c>
      <c r="B555" s="2" t="s">
        <v>3906</v>
      </c>
      <c r="C555" s="13">
        <v>5537</v>
      </c>
      <c r="D555" s="2" t="s">
        <v>44</v>
      </c>
      <c r="E555" s="14">
        <v>44487</v>
      </c>
      <c r="F555" s="10" t="s">
        <v>1684</v>
      </c>
      <c r="G555" s="25">
        <v>44492</v>
      </c>
      <c r="H555" s="10" t="s">
        <v>1685</v>
      </c>
      <c r="I555" s="10" t="s">
        <v>1686</v>
      </c>
      <c r="J555" s="15">
        <v>337398.31</v>
      </c>
      <c r="K555" s="15">
        <v>336806.97672000004</v>
      </c>
      <c r="L555" s="15">
        <v>591.33000000000004</v>
      </c>
      <c r="M555" s="15">
        <v>509.77</v>
      </c>
      <c r="N555" s="15">
        <v>0</v>
      </c>
      <c r="O555" s="15">
        <v>81.56</v>
      </c>
      <c r="P555" s="2" t="s">
        <v>55</v>
      </c>
      <c r="Q555" s="16"/>
    </row>
    <row r="556" spans="1:17" x14ac:dyDescent="0.3">
      <c r="A556" s="10">
        <v>21733</v>
      </c>
      <c r="B556" s="2" t="s">
        <v>3907</v>
      </c>
      <c r="C556" s="13">
        <v>5681</v>
      </c>
      <c r="D556" s="2" t="s">
        <v>44</v>
      </c>
      <c r="E556" s="14">
        <v>44837</v>
      </c>
      <c r="F556" s="10" t="s">
        <v>1687</v>
      </c>
      <c r="G556" s="25">
        <v>44842</v>
      </c>
      <c r="H556" s="10" t="s">
        <v>1688</v>
      </c>
      <c r="I556" s="10" t="s">
        <v>1689</v>
      </c>
      <c r="J556" s="15">
        <v>668791.43000000005</v>
      </c>
      <c r="K556" s="15">
        <v>668200.03044</v>
      </c>
      <c r="L556" s="15">
        <v>591.4</v>
      </c>
      <c r="M556" s="15">
        <v>509.83</v>
      </c>
      <c r="N556" s="15">
        <v>0</v>
      </c>
      <c r="O556" s="15">
        <v>81.569999999999993</v>
      </c>
      <c r="P556" s="2" t="s">
        <v>55</v>
      </c>
      <c r="Q556" s="16"/>
    </row>
    <row r="557" spans="1:17" x14ac:dyDescent="0.3">
      <c r="A557" s="10">
        <v>21733</v>
      </c>
      <c r="B557" s="2" t="s">
        <v>3908</v>
      </c>
      <c r="C557" s="13">
        <v>5681</v>
      </c>
      <c r="D557" s="2" t="s">
        <v>44</v>
      </c>
      <c r="E557" s="14">
        <v>44291</v>
      </c>
      <c r="F557" s="10" t="s">
        <v>1690</v>
      </c>
      <c r="G557" s="25">
        <v>44296</v>
      </c>
      <c r="H557" s="10" t="s">
        <v>1691</v>
      </c>
      <c r="I557" s="10" t="s">
        <v>1692</v>
      </c>
      <c r="J557" s="15">
        <v>513419.87</v>
      </c>
      <c r="K557" s="15">
        <v>512828.12244000006</v>
      </c>
      <c r="L557" s="15">
        <v>591.75</v>
      </c>
      <c r="M557" s="15">
        <v>510.13</v>
      </c>
      <c r="N557" s="15">
        <v>0</v>
      </c>
      <c r="O557" s="15">
        <v>81.62</v>
      </c>
      <c r="P557" s="2" t="s">
        <v>55</v>
      </c>
      <c r="Q557" s="16"/>
    </row>
    <row r="558" spans="1:17" x14ac:dyDescent="0.3">
      <c r="A558" s="10">
        <v>21733</v>
      </c>
      <c r="B558" s="2" t="s">
        <v>3909</v>
      </c>
      <c r="C558" s="13">
        <v>5557</v>
      </c>
      <c r="D558" s="2" t="s">
        <v>44</v>
      </c>
      <c r="E558" s="14">
        <v>44326</v>
      </c>
      <c r="F558" s="10" t="s">
        <v>1693</v>
      </c>
      <c r="G558" s="25">
        <v>44331</v>
      </c>
      <c r="H558" s="10" t="s">
        <v>1694</v>
      </c>
      <c r="I558" s="10" t="s">
        <v>1695</v>
      </c>
      <c r="J558" s="15">
        <v>207050.36</v>
      </c>
      <c r="K558" s="15">
        <v>206455.85692000005</v>
      </c>
      <c r="L558" s="15">
        <v>594.5</v>
      </c>
      <c r="M558" s="15">
        <v>512.5</v>
      </c>
      <c r="N558" s="15">
        <v>0</v>
      </c>
      <c r="O558" s="15">
        <v>82</v>
      </c>
      <c r="P558" s="2" t="s">
        <v>55</v>
      </c>
      <c r="Q558" s="16"/>
    </row>
    <row r="559" spans="1:17" x14ac:dyDescent="0.3">
      <c r="A559" s="10">
        <v>21733</v>
      </c>
      <c r="B559" s="2" t="s">
        <v>3910</v>
      </c>
      <c r="C559" s="13">
        <v>5537</v>
      </c>
      <c r="D559" s="2" t="s">
        <v>44</v>
      </c>
      <c r="E559" s="14">
        <v>44753</v>
      </c>
      <c r="F559" s="10" t="s">
        <v>1696</v>
      </c>
      <c r="G559" s="25">
        <v>44757</v>
      </c>
      <c r="H559" s="10" t="s">
        <v>1697</v>
      </c>
      <c r="I559" s="10" t="s">
        <v>1698</v>
      </c>
      <c r="J559" s="15">
        <v>185343.44</v>
      </c>
      <c r="K559" s="15">
        <v>184748.76183999999</v>
      </c>
      <c r="L559" s="15">
        <v>594.67999999999995</v>
      </c>
      <c r="M559" s="15">
        <v>512.65</v>
      </c>
      <c r="N559" s="15">
        <v>0</v>
      </c>
      <c r="O559" s="15">
        <v>82.02</v>
      </c>
      <c r="P559" s="2" t="s">
        <v>55</v>
      </c>
      <c r="Q559" s="16"/>
    </row>
    <row r="560" spans="1:17" x14ac:dyDescent="0.3">
      <c r="A560" s="10">
        <v>21733</v>
      </c>
      <c r="B560" s="2" t="s">
        <v>3911</v>
      </c>
      <c r="C560" s="13">
        <v>5681</v>
      </c>
      <c r="D560" s="2" t="s">
        <v>44</v>
      </c>
      <c r="E560" s="14">
        <v>44298</v>
      </c>
      <c r="F560" s="10" t="s">
        <v>1699</v>
      </c>
      <c r="G560" s="25">
        <v>44303</v>
      </c>
      <c r="H560" s="10" t="s">
        <v>1700</v>
      </c>
      <c r="I560" s="10" t="s">
        <v>1701</v>
      </c>
      <c r="J560" s="15">
        <v>95607.7</v>
      </c>
      <c r="K560" s="15">
        <v>95011.823039999988</v>
      </c>
      <c r="L560" s="15">
        <v>595.88</v>
      </c>
      <c r="M560" s="15">
        <v>513.69000000000005</v>
      </c>
      <c r="N560" s="15">
        <v>0</v>
      </c>
      <c r="O560" s="15">
        <v>82.19</v>
      </c>
      <c r="P560" s="2" t="s">
        <v>55</v>
      </c>
      <c r="Q560" s="16"/>
    </row>
    <row r="561" spans="1:17" x14ac:dyDescent="0.3">
      <c r="A561" s="10">
        <v>21733</v>
      </c>
      <c r="B561" s="2" t="s">
        <v>3912</v>
      </c>
      <c r="C561" s="13">
        <v>5556</v>
      </c>
      <c r="D561" s="2" t="s">
        <v>44</v>
      </c>
      <c r="E561" s="14">
        <v>44881</v>
      </c>
      <c r="F561" s="10" t="s">
        <v>1702</v>
      </c>
      <c r="G561" s="25">
        <v>44887</v>
      </c>
      <c r="H561" s="10" t="s">
        <v>1703</v>
      </c>
      <c r="I561" s="10" t="s">
        <v>1704</v>
      </c>
      <c r="J561" s="15">
        <v>195771.69</v>
      </c>
      <c r="K561" s="15">
        <v>195171.16928</v>
      </c>
      <c r="L561" s="15">
        <v>600.52</v>
      </c>
      <c r="M561" s="15">
        <v>517.69000000000005</v>
      </c>
      <c r="N561" s="15">
        <v>0</v>
      </c>
      <c r="O561" s="15">
        <v>82.83</v>
      </c>
      <c r="P561" s="2" t="s">
        <v>55</v>
      </c>
      <c r="Q561" s="16"/>
    </row>
    <row r="562" spans="1:17" x14ac:dyDescent="0.3">
      <c r="A562" s="10">
        <v>21733</v>
      </c>
      <c r="B562" s="2" t="s">
        <v>3913</v>
      </c>
      <c r="C562" s="13">
        <v>5557</v>
      </c>
      <c r="D562" s="2" t="s">
        <v>44</v>
      </c>
      <c r="E562" s="14">
        <v>44998</v>
      </c>
      <c r="F562" s="10" t="s">
        <v>1705</v>
      </c>
      <c r="G562" s="25">
        <v>45006</v>
      </c>
      <c r="H562" s="10" t="s">
        <v>1706</v>
      </c>
      <c r="I562" s="10" t="s">
        <v>1707</v>
      </c>
      <c r="J562" s="15">
        <v>779837.39</v>
      </c>
      <c r="K562" s="15">
        <v>779232.32116000017</v>
      </c>
      <c r="L562" s="15">
        <v>605.07000000000005</v>
      </c>
      <c r="M562" s="15">
        <v>521.61</v>
      </c>
      <c r="N562" s="15">
        <v>0</v>
      </c>
      <c r="O562" s="15">
        <v>83.46</v>
      </c>
      <c r="P562" s="2" t="s">
        <v>55</v>
      </c>
      <c r="Q562" s="16"/>
    </row>
    <row r="563" spans="1:17" x14ac:dyDescent="0.3">
      <c r="A563" s="10">
        <v>21733</v>
      </c>
      <c r="B563" s="2" t="s">
        <v>3914</v>
      </c>
      <c r="C563" s="13">
        <v>5681</v>
      </c>
      <c r="D563" s="2" t="s">
        <v>44</v>
      </c>
      <c r="E563" s="14">
        <v>44326</v>
      </c>
      <c r="F563" s="10" t="s">
        <v>1708</v>
      </c>
      <c r="G563" s="25">
        <v>44331</v>
      </c>
      <c r="H563" s="10" t="s">
        <v>1709</v>
      </c>
      <c r="I563" s="10" t="s">
        <v>1710</v>
      </c>
      <c r="J563" s="15">
        <v>16976.73</v>
      </c>
      <c r="K563" s="15">
        <v>16368.29832</v>
      </c>
      <c r="L563" s="15">
        <v>608.42999999999995</v>
      </c>
      <c r="M563" s="15">
        <v>524.51</v>
      </c>
      <c r="N563" s="15">
        <v>0</v>
      </c>
      <c r="O563" s="15">
        <v>83.92</v>
      </c>
      <c r="P563" s="2" t="s">
        <v>55</v>
      </c>
      <c r="Q563" s="16"/>
    </row>
    <row r="564" spans="1:17" x14ac:dyDescent="0.3">
      <c r="A564" s="10">
        <v>21733</v>
      </c>
      <c r="B564" s="2" t="s">
        <v>3915</v>
      </c>
      <c r="C564" s="13">
        <v>5549</v>
      </c>
      <c r="D564" s="2" t="s">
        <v>44</v>
      </c>
      <c r="E564" s="14">
        <v>44963</v>
      </c>
      <c r="F564" s="10" t="s">
        <v>89</v>
      </c>
      <c r="G564" s="25">
        <v>44969</v>
      </c>
      <c r="H564" s="10" t="s">
        <v>1711</v>
      </c>
      <c r="I564" s="10" t="s">
        <v>1712</v>
      </c>
      <c r="J564" s="15">
        <v>686874.39</v>
      </c>
      <c r="K564" s="15">
        <v>686264.22903999989</v>
      </c>
      <c r="L564" s="15">
        <v>610.16</v>
      </c>
      <c r="M564" s="15">
        <v>526</v>
      </c>
      <c r="N564" s="15">
        <v>0</v>
      </c>
      <c r="O564" s="15">
        <v>84.16</v>
      </c>
      <c r="P564" s="2" t="s">
        <v>55</v>
      </c>
      <c r="Q564" s="16"/>
    </row>
    <row r="565" spans="1:17" x14ac:dyDescent="0.3">
      <c r="A565" s="10">
        <v>21733</v>
      </c>
      <c r="B565" s="2" t="s">
        <v>3916</v>
      </c>
      <c r="C565" s="13">
        <v>5556</v>
      </c>
      <c r="D565" s="2" t="s">
        <v>44</v>
      </c>
      <c r="E565" s="14">
        <v>44685</v>
      </c>
      <c r="F565" s="10" t="s">
        <v>1713</v>
      </c>
      <c r="G565" s="25">
        <v>44691</v>
      </c>
      <c r="H565" s="10" t="s">
        <v>1714</v>
      </c>
      <c r="I565" s="10" t="s">
        <v>1715</v>
      </c>
      <c r="J565" s="15">
        <v>152301.65</v>
      </c>
      <c r="K565" s="15">
        <v>151688.04264</v>
      </c>
      <c r="L565" s="15">
        <v>613.61</v>
      </c>
      <c r="M565" s="15">
        <v>528.97</v>
      </c>
      <c r="N565" s="15">
        <v>0</v>
      </c>
      <c r="O565" s="15">
        <v>84.64</v>
      </c>
      <c r="P565" s="2" t="s">
        <v>55</v>
      </c>
      <c r="Q565" s="16"/>
    </row>
    <row r="566" spans="1:17" x14ac:dyDescent="0.3">
      <c r="A566" s="10">
        <v>21733</v>
      </c>
      <c r="B566" s="2" t="s">
        <v>3917</v>
      </c>
      <c r="C566" s="13">
        <v>5548</v>
      </c>
      <c r="D566" s="2" t="s">
        <v>44</v>
      </c>
      <c r="E566" s="14">
        <v>45026</v>
      </c>
      <c r="F566" s="10" t="s">
        <v>1716</v>
      </c>
      <c r="G566" s="25">
        <v>45033</v>
      </c>
      <c r="H566" s="10" t="s">
        <v>1717</v>
      </c>
      <c r="I566" s="10" t="s">
        <v>1718</v>
      </c>
      <c r="J566" s="15">
        <v>1537488.5</v>
      </c>
      <c r="K566" s="15">
        <v>1536874.3186399997</v>
      </c>
      <c r="L566" s="15">
        <v>614.17999999999995</v>
      </c>
      <c r="M566" s="15">
        <v>529.47</v>
      </c>
      <c r="N566" s="15">
        <v>0</v>
      </c>
      <c r="O566" s="15">
        <v>84.71</v>
      </c>
      <c r="P566" s="2" t="s">
        <v>55</v>
      </c>
      <c r="Q566" s="16"/>
    </row>
    <row r="567" spans="1:17" x14ac:dyDescent="0.3">
      <c r="A567" s="10">
        <v>21733</v>
      </c>
      <c r="B567" s="2" t="s">
        <v>3918</v>
      </c>
      <c r="C567" s="13">
        <v>5556</v>
      </c>
      <c r="D567" s="2" t="s">
        <v>44</v>
      </c>
      <c r="E567" s="14">
        <v>44825</v>
      </c>
      <c r="F567" s="10" t="s">
        <v>1719</v>
      </c>
      <c r="G567" s="25">
        <v>44833</v>
      </c>
      <c r="H567" s="10" t="s">
        <v>1720</v>
      </c>
      <c r="I567" s="10" t="s">
        <v>1721</v>
      </c>
      <c r="J567" s="15">
        <v>166631.9</v>
      </c>
      <c r="K567" s="15">
        <v>166015.55411999999</v>
      </c>
      <c r="L567" s="15">
        <v>616.35</v>
      </c>
      <c r="M567" s="15">
        <v>531.33000000000004</v>
      </c>
      <c r="N567" s="15">
        <v>0</v>
      </c>
      <c r="O567" s="15">
        <v>85.01</v>
      </c>
      <c r="P567" s="2" t="s">
        <v>55</v>
      </c>
      <c r="Q567" s="16"/>
    </row>
    <row r="568" spans="1:17" x14ac:dyDescent="0.3">
      <c r="A568" s="10">
        <v>21733</v>
      </c>
      <c r="B568" s="2" t="s">
        <v>3919</v>
      </c>
      <c r="C568" s="13">
        <v>5681</v>
      </c>
      <c r="D568" s="2" t="s">
        <v>44</v>
      </c>
      <c r="E568" s="14">
        <v>44914</v>
      </c>
      <c r="F568" s="10" t="s">
        <v>1722</v>
      </c>
      <c r="G568" s="25">
        <v>44930</v>
      </c>
      <c r="H568" s="10" t="s">
        <v>1723</v>
      </c>
      <c r="I568" s="10" t="s">
        <v>1724</v>
      </c>
      <c r="J568" s="15">
        <v>815497.79</v>
      </c>
      <c r="K568" s="15">
        <v>814880.73935999989</v>
      </c>
      <c r="L568" s="15">
        <v>617.04999999999995</v>
      </c>
      <c r="M568" s="15">
        <v>531.94000000000005</v>
      </c>
      <c r="N568" s="15">
        <v>0</v>
      </c>
      <c r="O568" s="15">
        <v>85.11</v>
      </c>
      <c r="P568" s="2" t="s">
        <v>55</v>
      </c>
      <c r="Q568" s="16"/>
    </row>
    <row r="569" spans="1:17" x14ac:dyDescent="0.3">
      <c r="A569" s="10">
        <v>21733</v>
      </c>
      <c r="B569" s="2" t="s">
        <v>3920</v>
      </c>
      <c r="C569" s="13">
        <v>5681</v>
      </c>
      <c r="D569" s="2" t="s">
        <v>44</v>
      </c>
      <c r="E569" s="14">
        <v>44599</v>
      </c>
      <c r="F569" s="10" t="s">
        <v>1725</v>
      </c>
      <c r="G569" s="25">
        <v>44604</v>
      </c>
      <c r="H569" s="10" t="s">
        <v>1726</v>
      </c>
      <c r="I569" s="10" t="s">
        <v>1727</v>
      </c>
      <c r="J569" s="15">
        <v>246627.84</v>
      </c>
      <c r="K569" s="15">
        <v>246010.72591999997</v>
      </c>
      <c r="L569" s="15">
        <v>617.11</v>
      </c>
      <c r="M569" s="15">
        <v>531.99</v>
      </c>
      <c r="N569" s="15">
        <v>0</v>
      </c>
      <c r="O569" s="15">
        <v>85.12</v>
      </c>
      <c r="P569" s="2" t="s">
        <v>55</v>
      </c>
      <c r="Q569" s="16"/>
    </row>
    <row r="570" spans="1:17" x14ac:dyDescent="0.3">
      <c r="A570" s="10">
        <v>21733</v>
      </c>
      <c r="B570" s="2" t="s">
        <v>3921</v>
      </c>
      <c r="C570" s="13">
        <v>5537</v>
      </c>
      <c r="D570" s="2" t="s">
        <v>44</v>
      </c>
      <c r="E570" s="14">
        <v>44466</v>
      </c>
      <c r="F570" s="10" t="s">
        <v>1728</v>
      </c>
      <c r="G570" s="25">
        <v>44470</v>
      </c>
      <c r="H570" s="10" t="s">
        <v>1729</v>
      </c>
      <c r="I570" s="10" t="s">
        <v>1730</v>
      </c>
      <c r="J570" s="15">
        <v>642638.03</v>
      </c>
      <c r="K570" s="15">
        <v>642020.44052000006</v>
      </c>
      <c r="L570" s="15">
        <v>617.59</v>
      </c>
      <c r="M570" s="15">
        <v>532.4</v>
      </c>
      <c r="N570" s="15">
        <v>0</v>
      </c>
      <c r="O570" s="15">
        <v>85.18</v>
      </c>
      <c r="P570" s="2" t="s">
        <v>55</v>
      </c>
      <c r="Q570" s="16"/>
    </row>
    <row r="571" spans="1:17" x14ac:dyDescent="0.3">
      <c r="A571" s="10">
        <v>21733</v>
      </c>
      <c r="B571" s="2" t="s">
        <v>3922</v>
      </c>
      <c r="C571" s="13">
        <v>5537</v>
      </c>
      <c r="D571" s="2" t="s">
        <v>44</v>
      </c>
      <c r="E571" s="14">
        <v>44375</v>
      </c>
      <c r="F571" s="10" t="s">
        <v>1731</v>
      </c>
      <c r="G571" s="25">
        <v>44381</v>
      </c>
      <c r="H571" s="10" t="s">
        <v>1732</v>
      </c>
      <c r="I571" s="10" t="s">
        <v>1733</v>
      </c>
      <c r="J571" s="15">
        <v>126558</v>
      </c>
      <c r="K571" s="15">
        <v>125939.49248000004</v>
      </c>
      <c r="L571" s="15">
        <v>618.51</v>
      </c>
      <c r="M571" s="15">
        <v>533.20000000000005</v>
      </c>
      <c r="N571" s="15">
        <v>0</v>
      </c>
      <c r="O571" s="15">
        <v>85.31</v>
      </c>
      <c r="P571" s="2" t="s">
        <v>55</v>
      </c>
      <c r="Q571" s="16"/>
    </row>
    <row r="572" spans="1:17" x14ac:dyDescent="0.3">
      <c r="A572" s="10">
        <v>21733</v>
      </c>
      <c r="B572" s="2" t="s">
        <v>3923</v>
      </c>
      <c r="C572" s="13">
        <v>5548</v>
      </c>
      <c r="D572" s="2" t="s">
        <v>44</v>
      </c>
      <c r="E572" s="14">
        <v>44730</v>
      </c>
      <c r="F572" s="10" t="s">
        <v>1734</v>
      </c>
      <c r="G572" s="25">
        <v>44742</v>
      </c>
      <c r="H572" s="10" t="s">
        <v>1735</v>
      </c>
      <c r="I572" s="10" t="s">
        <v>1736</v>
      </c>
      <c r="J572" s="15">
        <v>1352716.39</v>
      </c>
      <c r="K572" s="15">
        <v>1352092.0281599998</v>
      </c>
      <c r="L572" s="15">
        <v>624.36</v>
      </c>
      <c r="M572" s="15">
        <v>538.24</v>
      </c>
      <c r="N572" s="15">
        <v>0</v>
      </c>
      <c r="O572" s="15">
        <v>86.12</v>
      </c>
      <c r="P572" s="2" t="s">
        <v>55</v>
      </c>
      <c r="Q572" s="16"/>
    </row>
    <row r="573" spans="1:17" x14ac:dyDescent="0.3">
      <c r="A573" s="10">
        <v>21733</v>
      </c>
      <c r="B573" s="2" t="s">
        <v>3924</v>
      </c>
      <c r="C573" s="13">
        <v>5681</v>
      </c>
      <c r="D573" s="2" t="s">
        <v>44</v>
      </c>
      <c r="E573" s="14">
        <v>44445</v>
      </c>
      <c r="F573" s="10" t="s">
        <v>1737</v>
      </c>
      <c r="G573" s="25">
        <v>44450</v>
      </c>
      <c r="H573" s="10" t="s">
        <v>1738</v>
      </c>
      <c r="I573" s="10" t="s">
        <v>1739</v>
      </c>
      <c r="J573" s="15">
        <v>279983.74</v>
      </c>
      <c r="K573" s="15">
        <v>279359.25967999996</v>
      </c>
      <c r="L573" s="15">
        <v>624.48</v>
      </c>
      <c r="M573" s="15">
        <v>538.35</v>
      </c>
      <c r="N573" s="15">
        <v>0</v>
      </c>
      <c r="O573" s="15">
        <v>86.14</v>
      </c>
      <c r="P573" s="2" t="s">
        <v>55</v>
      </c>
      <c r="Q573" s="16"/>
    </row>
    <row r="574" spans="1:17" x14ac:dyDescent="0.3">
      <c r="A574" s="10">
        <v>21733</v>
      </c>
      <c r="B574" s="2" t="s">
        <v>3925</v>
      </c>
      <c r="C574" s="13">
        <v>5549</v>
      </c>
      <c r="D574" s="2" t="s">
        <v>44</v>
      </c>
      <c r="E574" s="14">
        <v>44326</v>
      </c>
      <c r="F574" s="10" t="s">
        <v>1740</v>
      </c>
      <c r="G574" s="25">
        <v>44330</v>
      </c>
      <c r="H574" s="10" t="s">
        <v>1741</v>
      </c>
      <c r="I574" s="10" t="s">
        <v>1742</v>
      </c>
      <c r="J574" s="15">
        <v>577194.38</v>
      </c>
      <c r="K574" s="15">
        <v>576569.06800000009</v>
      </c>
      <c r="L574" s="15">
        <v>625.30999999999995</v>
      </c>
      <c r="M574" s="15">
        <v>539.05999999999995</v>
      </c>
      <c r="N574" s="15">
        <v>0</v>
      </c>
      <c r="O574" s="15">
        <v>86.25</v>
      </c>
      <c r="P574" s="2" t="s">
        <v>55</v>
      </c>
      <c r="Q574" s="16"/>
    </row>
    <row r="575" spans="1:17" x14ac:dyDescent="0.3">
      <c r="A575" s="10">
        <v>21733</v>
      </c>
      <c r="B575" s="2" t="s">
        <v>3926</v>
      </c>
      <c r="C575" s="13">
        <v>5681</v>
      </c>
      <c r="D575" s="2" t="s">
        <v>44</v>
      </c>
      <c r="E575" s="14">
        <v>44578</v>
      </c>
      <c r="F575" s="10" t="s">
        <v>1743</v>
      </c>
      <c r="G575" s="25">
        <v>44583</v>
      </c>
      <c r="H575" s="10" t="s">
        <v>1744</v>
      </c>
      <c r="I575" s="10" t="s">
        <v>1745</v>
      </c>
      <c r="J575" s="15">
        <v>134758.17000000001</v>
      </c>
      <c r="K575" s="15">
        <v>134132.51564000006</v>
      </c>
      <c r="L575" s="15">
        <v>625.65</v>
      </c>
      <c r="M575" s="15">
        <v>539.36</v>
      </c>
      <c r="N575" s="15">
        <v>0</v>
      </c>
      <c r="O575" s="15">
        <v>86.3</v>
      </c>
      <c r="P575" s="2" t="s">
        <v>55</v>
      </c>
      <c r="Q575" s="16"/>
    </row>
    <row r="576" spans="1:17" x14ac:dyDescent="0.3">
      <c r="A576" s="10">
        <v>21733</v>
      </c>
      <c r="B576" s="2" t="s">
        <v>3927</v>
      </c>
      <c r="C576" s="13">
        <v>5548</v>
      </c>
      <c r="D576" s="2" t="s">
        <v>44</v>
      </c>
      <c r="E576" s="14">
        <v>44851</v>
      </c>
      <c r="F576" s="10" t="s">
        <v>1364</v>
      </c>
      <c r="G576" s="25">
        <v>44856</v>
      </c>
      <c r="H576" s="10" t="s">
        <v>1746</v>
      </c>
      <c r="I576" s="10" t="s">
        <v>1747</v>
      </c>
      <c r="J576" s="15">
        <v>1529027.91</v>
      </c>
      <c r="K576" s="15">
        <v>1528397.89472</v>
      </c>
      <c r="L576" s="15">
        <v>630.02</v>
      </c>
      <c r="M576" s="15">
        <v>543.12</v>
      </c>
      <c r="N576" s="15">
        <v>0</v>
      </c>
      <c r="O576" s="15">
        <v>86.9</v>
      </c>
      <c r="P576" s="2" t="s">
        <v>55</v>
      </c>
      <c r="Q576" s="16"/>
    </row>
    <row r="577" spans="1:17" x14ac:dyDescent="0.3">
      <c r="A577" s="10">
        <v>21733</v>
      </c>
      <c r="B577" s="2" t="s">
        <v>3928</v>
      </c>
      <c r="C577" s="13">
        <v>5556</v>
      </c>
      <c r="D577" s="2" t="s">
        <v>44</v>
      </c>
      <c r="E577" s="14">
        <v>44370</v>
      </c>
      <c r="F577" s="10" t="s">
        <v>1748</v>
      </c>
      <c r="G577" s="25">
        <v>44376</v>
      </c>
      <c r="H577" s="10" t="s">
        <v>1749</v>
      </c>
      <c r="I577" s="10" t="s">
        <v>1750</v>
      </c>
      <c r="J577" s="15">
        <v>95432.8</v>
      </c>
      <c r="K577" s="15">
        <v>94802.664600000004</v>
      </c>
      <c r="L577" s="15">
        <v>630.14</v>
      </c>
      <c r="M577" s="15">
        <v>543.22</v>
      </c>
      <c r="N577" s="15">
        <v>0</v>
      </c>
      <c r="O577" s="15">
        <v>86.92</v>
      </c>
      <c r="P577" s="2" t="s">
        <v>55</v>
      </c>
      <c r="Q577" s="16"/>
    </row>
    <row r="578" spans="1:17" x14ac:dyDescent="0.3">
      <c r="A578" s="10">
        <v>21733</v>
      </c>
      <c r="B578" s="2" t="s">
        <v>3929</v>
      </c>
      <c r="C578" s="13">
        <v>5549</v>
      </c>
      <c r="D578" s="2" t="s">
        <v>44</v>
      </c>
      <c r="E578" s="14">
        <v>44981</v>
      </c>
      <c r="F578" s="10" t="s">
        <v>1751</v>
      </c>
      <c r="G578" s="25">
        <v>44992</v>
      </c>
      <c r="H578" s="10" t="s">
        <v>1752</v>
      </c>
      <c r="I578" s="10" t="s">
        <v>1753</v>
      </c>
      <c r="J578" s="15">
        <v>1010391.8</v>
      </c>
      <c r="K578" s="15">
        <v>1009760.0015999998</v>
      </c>
      <c r="L578" s="15">
        <v>631.79999999999995</v>
      </c>
      <c r="M578" s="15">
        <v>544.65</v>
      </c>
      <c r="N578" s="15">
        <v>0</v>
      </c>
      <c r="O578" s="15">
        <v>87.14</v>
      </c>
      <c r="P578" s="2" t="s">
        <v>55</v>
      </c>
      <c r="Q578" s="16"/>
    </row>
    <row r="579" spans="1:17" x14ac:dyDescent="0.3">
      <c r="A579" s="10">
        <v>21733</v>
      </c>
      <c r="B579" s="2" t="s">
        <v>3930</v>
      </c>
      <c r="C579" s="13">
        <v>5548</v>
      </c>
      <c r="D579" s="2" t="s">
        <v>44</v>
      </c>
      <c r="E579" s="14">
        <v>44970</v>
      </c>
      <c r="F579" s="10" t="s">
        <v>660</v>
      </c>
      <c r="G579" s="25">
        <v>44979</v>
      </c>
      <c r="H579" s="10" t="s">
        <v>1754</v>
      </c>
      <c r="I579" s="10" t="s">
        <v>1755</v>
      </c>
      <c r="J579" s="15">
        <v>1016896.96</v>
      </c>
      <c r="K579" s="15">
        <v>1016262.9012799999</v>
      </c>
      <c r="L579" s="15">
        <v>634.05999999999995</v>
      </c>
      <c r="M579" s="15">
        <v>546.6</v>
      </c>
      <c r="N579" s="15">
        <v>0</v>
      </c>
      <c r="O579" s="15">
        <v>87.46</v>
      </c>
      <c r="P579" s="2" t="s">
        <v>55</v>
      </c>
      <c r="Q579" s="16"/>
    </row>
    <row r="580" spans="1:17" x14ac:dyDescent="0.3">
      <c r="A580" s="10">
        <v>21733</v>
      </c>
      <c r="B580" s="2" t="s">
        <v>3931</v>
      </c>
      <c r="C580" s="13">
        <v>5557</v>
      </c>
      <c r="D580" s="2" t="s">
        <v>44</v>
      </c>
      <c r="E580" s="14">
        <v>44326</v>
      </c>
      <c r="F580" s="10" t="s">
        <v>1756</v>
      </c>
      <c r="G580" s="25">
        <v>44330</v>
      </c>
      <c r="H580" s="10" t="s">
        <v>1757</v>
      </c>
      <c r="I580" s="10" t="s">
        <v>1758</v>
      </c>
      <c r="J580" s="15">
        <v>12215.74</v>
      </c>
      <c r="K580" s="15">
        <v>11578.35672</v>
      </c>
      <c r="L580" s="15">
        <v>637.38</v>
      </c>
      <c r="M580" s="15">
        <v>549.47</v>
      </c>
      <c r="N580" s="15">
        <v>0</v>
      </c>
      <c r="O580" s="15">
        <v>87.91</v>
      </c>
      <c r="P580" s="2" t="s">
        <v>55</v>
      </c>
      <c r="Q580" s="16"/>
    </row>
    <row r="581" spans="1:17" x14ac:dyDescent="0.3">
      <c r="A581" s="10">
        <v>21733</v>
      </c>
      <c r="B581" s="2" t="s">
        <v>3932</v>
      </c>
      <c r="C581" s="13">
        <v>5548</v>
      </c>
      <c r="D581" s="2" t="s">
        <v>44</v>
      </c>
      <c r="E581" s="14">
        <v>44606</v>
      </c>
      <c r="F581" s="10" t="s">
        <v>335</v>
      </c>
      <c r="G581" s="25">
        <v>44610</v>
      </c>
      <c r="H581" s="10" t="s">
        <v>1759</v>
      </c>
      <c r="I581" s="10" t="s">
        <v>1760</v>
      </c>
      <c r="J581" s="15">
        <v>305136.48</v>
      </c>
      <c r="K581" s="15">
        <v>304494.29976000002</v>
      </c>
      <c r="L581" s="15">
        <v>642.17999999999995</v>
      </c>
      <c r="M581" s="15">
        <v>553.6</v>
      </c>
      <c r="N581" s="15">
        <v>0</v>
      </c>
      <c r="O581" s="15">
        <v>88.58</v>
      </c>
      <c r="P581" s="2" t="s">
        <v>55</v>
      </c>
      <c r="Q581" s="16"/>
    </row>
    <row r="582" spans="1:17" x14ac:dyDescent="0.3">
      <c r="A582" s="10">
        <v>21733</v>
      </c>
      <c r="B582" s="2" t="s">
        <v>3933</v>
      </c>
      <c r="C582" s="13">
        <v>5556</v>
      </c>
      <c r="D582" s="2" t="s">
        <v>44</v>
      </c>
      <c r="E582" s="14">
        <v>44537</v>
      </c>
      <c r="F582" s="10" t="s">
        <v>1761</v>
      </c>
      <c r="G582" s="25">
        <v>44550</v>
      </c>
      <c r="H582" s="10" t="s">
        <v>1762</v>
      </c>
      <c r="I582" s="10" t="s">
        <v>1763</v>
      </c>
      <c r="J582" s="15">
        <v>634261.73</v>
      </c>
      <c r="K582" s="15">
        <v>633616.56416000007</v>
      </c>
      <c r="L582" s="15">
        <v>645.16999999999996</v>
      </c>
      <c r="M582" s="15">
        <v>556.17999999999995</v>
      </c>
      <c r="N582" s="15">
        <v>0</v>
      </c>
      <c r="O582" s="15">
        <v>88.99</v>
      </c>
      <c r="P582" s="2" t="s">
        <v>55</v>
      </c>
      <c r="Q582" s="16"/>
    </row>
    <row r="583" spans="1:17" x14ac:dyDescent="0.3">
      <c r="A583" s="10">
        <v>21733</v>
      </c>
      <c r="B583" s="2" t="s">
        <v>3934</v>
      </c>
      <c r="C583" s="13">
        <v>5681</v>
      </c>
      <c r="D583" s="2" t="s">
        <v>44</v>
      </c>
      <c r="E583" s="14">
        <v>44599</v>
      </c>
      <c r="F583" s="10" t="s">
        <v>1764</v>
      </c>
      <c r="G583" s="25">
        <v>44604</v>
      </c>
      <c r="H583" s="10" t="s">
        <v>1765</v>
      </c>
      <c r="I583" s="10" t="s">
        <v>1766</v>
      </c>
      <c r="J583" s="15">
        <v>52337.49</v>
      </c>
      <c r="K583" s="15">
        <v>51688.400560000002</v>
      </c>
      <c r="L583" s="15">
        <v>649.09</v>
      </c>
      <c r="M583" s="15">
        <v>559.55999999999995</v>
      </c>
      <c r="N583" s="15">
        <v>0</v>
      </c>
      <c r="O583" s="15">
        <v>89.53</v>
      </c>
      <c r="P583" s="2" t="s">
        <v>55</v>
      </c>
      <c r="Q583" s="16"/>
    </row>
    <row r="584" spans="1:17" x14ac:dyDescent="0.3">
      <c r="A584" s="10">
        <v>21733</v>
      </c>
      <c r="B584" s="2" t="s">
        <v>3935</v>
      </c>
      <c r="C584" s="13">
        <v>5548</v>
      </c>
      <c r="D584" s="2" t="s">
        <v>44</v>
      </c>
      <c r="E584" s="14">
        <v>44405</v>
      </c>
      <c r="F584" s="10" t="s">
        <v>1767</v>
      </c>
      <c r="G584" s="25">
        <v>44414</v>
      </c>
      <c r="H584" s="10" t="s">
        <v>1768</v>
      </c>
      <c r="I584" s="10" t="s">
        <v>1769</v>
      </c>
      <c r="J584" s="15">
        <v>52482.69</v>
      </c>
      <c r="K584" s="15">
        <v>51833.458559999999</v>
      </c>
      <c r="L584" s="15">
        <v>649.23</v>
      </c>
      <c r="M584" s="15">
        <v>559.67999999999995</v>
      </c>
      <c r="N584" s="15">
        <v>0</v>
      </c>
      <c r="O584" s="15">
        <v>89.55</v>
      </c>
      <c r="P584" s="2" t="s">
        <v>55</v>
      </c>
      <c r="Q584" s="16"/>
    </row>
    <row r="585" spans="1:17" x14ac:dyDescent="0.3">
      <c r="A585" s="10">
        <v>21733</v>
      </c>
      <c r="B585" s="2" t="s">
        <v>3936</v>
      </c>
      <c r="C585" s="13">
        <v>5548</v>
      </c>
      <c r="D585" s="2" t="s">
        <v>44</v>
      </c>
      <c r="E585" s="14">
        <v>44599</v>
      </c>
      <c r="F585" s="10" t="s">
        <v>1770</v>
      </c>
      <c r="G585" s="25">
        <v>44603</v>
      </c>
      <c r="H585" s="10" t="s">
        <v>1771</v>
      </c>
      <c r="I585" s="10" t="s">
        <v>1772</v>
      </c>
      <c r="J585" s="15">
        <v>166657.24</v>
      </c>
      <c r="K585" s="15">
        <v>166007.93640000001</v>
      </c>
      <c r="L585" s="15">
        <v>649.29999999999995</v>
      </c>
      <c r="M585" s="15">
        <v>559.74</v>
      </c>
      <c r="N585" s="15">
        <v>0</v>
      </c>
      <c r="O585" s="15">
        <v>89.56</v>
      </c>
      <c r="P585" s="2" t="s">
        <v>55</v>
      </c>
      <c r="Q585" s="16"/>
    </row>
    <row r="586" spans="1:17" x14ac:dyDescent="0.3">
      <c r="A586" s="10">
        <v>21733</v>
      </c>
      <c r="B586" s="2" t="s">
        <v>3937</v>
      </c>
      <c r="C586" s="13">
        <v>5681</v>
      </c>
      <c r="D586" s="2" t="s">
        <v>44</v>
      </c>
      <c r="E586" s="14">
        <v>44788</v>
      </c>
      <c r="F586" s="10" t="s">
        <v>1773</v>
      </c>
      <c r="G586" s="25">
        <v>44793</v>
      </c>
      <c r="H586" s="10" t="s">
        <v>1774</v>
      </c>
      <c r="I586" s="10" t="s">
        <v>1775</v>
      </c>
      <c r="J586" s="15">
        <v>502507.35</v>
      </c>
      <c r="K586" s="15">
        <v>501857.5790400001</v>
      </c>
      <c r="L586" s="15">
        <v>649.77</v>
      </c>
      <c r="M586" s="15">
        <v>560.15</v>
      </c>
      <c r="N586" s="15">
        <v>0</v>
      </c>
      <c r="O586" s="15">
        <v>89.62</v>
      </c>
      <c r="P586" s="2" t="s">
        <v>55</v>
      </c>
      <c r="Q586" s="16"/>
    </row>
    <row r="587" spans="1:17" x14ac:dyDescent="0.3">
      <c r="A587" s="10">
        <v>21733</v>
      </c>
      <c r="B587" s="2" t="s">
        <v>3938</v>
      </c>
      <c r="C587" s="13">
        <v>5549</v>
      </c>
      <c r="D587" s="2" t="s">
        <v>44</v>
      </c>
      <c r="E587" s="14">
        <v>44403</v>
      </c>
      <c r="F587" s="10" t="s">
        <v>1776</v>
      </c>
      <c r="G587" s="25">
        <v>44435</v>
      </c>
      <c r="H587" s="10" t="s">
        <v>1777</v>
      </c>
      <c r="I587" s="10" t="s">
        <v>1778</v>
      </c>
      <c r="J587" s="15">
        <v>138743.42000000001</v>
      </c>
      <c r="K587" s="15">
        <v>138093.62332000001</v>
      </c>
      <c r="L587" s="15">
        <v>649.79999999999995</v>
      </c>
      <c r="M587" s="15">
        <v>560.16999999999996</v>
      </c>
      <c r="N587" s="15">
        <v>0</v>
      </c>
      <c r="O587" s="15">
        <v>89.63</v>
      </c>
      <c r="P587" s="2" t="s">
        <v>55</v>
      </c>
      <c r="Q587" s="16"/>
    </row>
    <row r="588" spans="1:17" x14ac:dyDescent="0.3">
      <c r="A588" s="10">
        <v>21733</v>
      </c>
      <c r="B588" s="2" t="s">
        <v>3939</v>
      </c>
      <c r="C588" s="13">
        <v>5681</v>
      </c>
      <c r="D588" s="2" t="s">
        <v>44</v>
      </c>
      <c r="E588" s="14">
        <v>44501</v>
      </c>
      <c r="F588" s="10" t="s">
        <v>1779</v>
      </c>
      <c r="G588" s="25">
        <v>44506</v>
      </c>
      <c r="H588" s="10" t="s">
        <v>1780</v>
      </c>
      <c r="I588" s="10" t="s">
        <v>1781</v>
      </c>
      <c r="J588" s="15">
        <v>274183.32</v>
      </c>
      <c r="K588" s="15">
        <v>273528.42572000006</v>
      </c>
      <c r="L588" s="15">
        <v>654.89</v>
      </c>
      <c r="M588" s="15">
        <v>564.55999999999995</v>
      </c>
      <c r="N588" s="15">
        <v>0</v>
      </c>
      <c r="O588" s="15">
        <v>90.33</v>
      </c>
      <c r="P588" s="2" t="s">
        <v>55</v>
      </c>
      <c r="Q588" s="16"/>
    </row>
    <row r="589" spans="1:17" x14ac:dyDescent="0.3">
      <c r="A589" s="10">
        <v>21733</v>
      </c>
      <c r="B589" s="2" t="s">
        <v>3940</v>
      </c>
      <c r="C589" s="13">
        <v>5681</v>
      </c>
      <c r="D589" s="2" t="s">
        <v>44</v>
      </c>
      <c r="E589" s="14">
        <v>44844</v>
      </c>
      <c r="F589" s="10" t="s">
        <v>823</v>
      </c>
      <c r="G589" s="25">
        <v>44850</v>
      </c>
      <c r="H589" s="10" t="s">
        <v>1782</v>
      </c>
      <c r="I589" s="10" t="s">
        <v>1783</v>
      </c>
      <c r="J589" s="15">
        <v>837959.19</v>
      </c>
      <c r="K589" s="15">
        <v>837303.81543999992</v>
      </c>
      <c r="L589" s="15">
        <v>655.37</v>
      </c>
      <c r="M589" s="15">
        <v>564.98</v>
      </c>
      <c r="N589" s="15">
        <v>0</v>
      </c>
      <c r="O589" s="15">
        <v>90.4</v>
      </c>
      <c r="P589" s="2" t="s">
        <v>55</v>
      </c>
      <c r="Q589" s="16"/>
    </row>
    <row r="590" spans="1:17" x14ac:dyDescent="0.3">
      <c r="A590" s="10">
        <v>21733</v>
      </c>
      <c r="B590" s="2" t="s">
        <v>3941</v>
      </c>
      <c r="C590" s="13">
        <v>5548</v>
      </c>
      <c r="D590" s="2" t="s">
        <v>44</v>
      </c>
      <c r="E590" s="14">
        <v>44788</v>
      </c>
      <c r="F590" s="10" t="s">
        <v>1784</v>
      </c>
      <c r="G590" s="25">
        <v>44799</v>
      </c>
      <c r="H590" s="10" t="s">
        <v>1785</v>
      </c>
      <c r="I590" s="10" t="s">
        <v>1786</v>
      </c>
      <c r="J590" s="15">
        <v>1087145.57</v>
      </c>
      <c r="K590" s="15">
        <v>1086488.2851199999</v>
      </c>
      <c r="L590" s="15">
        <v>657.28</v>
      </c>
      <c r="M590" s="15">
        <v>566.62</v>
      </c>
      <c r="N590" s="15">
        <v>0</v>
      </c>
      <c r="O590" s="15">
        <v>90.66</v>
      </c>
      <c r="P590" s="2" t="s">
        <v>55</v>
      </c>
      <c r="Q590" s="16"/>
    </row>
    <row r="591" spans="1:17" x14ac:dyDescent="0.3">
      <c r="A591" s="10">
        <v>21733</v>
      </c>
      <c r="B591" s="2" t="s">
        <v>3942</v>
      </c>
      <c r="C591" s="13">
        <v>5549</v>
      </c>
      <c r="D591" s="2" t="s">
        <v>44</v>
      </c>
      <c r="E591" s="14">
        <v>44851</v>
      </c>
      <c r="F591" s="10" t="s">
        <v>1787</v>
      </c>
      <c r="G591" s="25">
        <v>44857</v>
      </c>
      <c r="H591" s="10" t="s">
        <v>1788</v>
      </c>
      <c r="I591" s="10" t="s">
        <v>1789</v>
      </c>
      <c r="J591" s="15">
        <v>1448423.9</v>
      </c>
      <c r="K591" s="15">
        <v>1447762.5015200002</v>
      </c>
      <c r="L591" s="15">
        <v>661.4</v>
      </c>
      <c r="M591" s="15">
        <v>570.16999999999996</v>
      </c>
      <c r="N591" s="15">
        <v>0</v>
      </c>
      <c r="O591" s="15">
        <v>91.23</v>
      </c>
      <c r="P591" s="2" t="s">
        <v>55</v>
      </c>
      <c r="Q591" s="16"/>
    </row>
    <row r="592" spans="1:17" x14ac:dyDescent="0.3">
      <c r="A592" s="10">
        <v>21733</v>
      </c>
      <c r="B592" s="2" t="s">
        <v>3943</v>
      </c>
      <c r="C592" s="13">
        <v>5557</v>
      </c>
      <c r="D592" s="2" t="s">
        <v>44</v>
      </c>
      <c r="E592" s="14">
        <v>44480</v>
      </c>
      <c r="F592" s="10" t="s">
        <v>1790</v>
      </c>
      <c r="G592" s="25">
        <v>44484</v>
      </c>
      <c r="H592" s="10" t="s">
        <v>1791</v>
      </c>
      <c r="I592" s="10" t="s">
        <v>1792</v>
      </c>
      <c r="J592" s="15">
        <v>215927.22</v>
      </c>
      <c r="K592" s="15">
        <v>215264.54428</v>
      </c>
      <c r="L592" s="15">
        <v>662.68</v>
      </c>
      <c r="M592" s="15">
        <v>571.27</v>
      </c>
      <c r="N592" s="15">
        <v>0</v>
      </c>
      <c r="O592" s="15">
        <v>91.4</v>
      </c>
      <c r="P592" s="2" t="s">
        <v>55</v>
      </c>
      <c r="Q592" s="16"/>
    </row>
    <row r="593" spans="1:17" x14ac:dyDescent="0.3">
      <c r="A593" s="10">
        <v>21733</v>
      </c>
      <c r="B593" s="2" t="s">
        <v>3944</v>
      </c>
      <c r="C593" s="13">
        <v>5556</v>
      </c>
      <c r="D593" s="2" t="s">
        <v>44</v>
      </c>
      <c r="E593" s="14">
        <v>45063</v>
      </c>
      <c r="F593" s="10" t="s">
        <v>1793</v>
      </c>
      <c r="G593" s="25">
        <v>45072</v>
      </c>
      <c r="H593" s="10" t="s">
        <v>1794</v>
      </c>
      <c r="I593" s="10" t="s">
        <v>1795</v>
      </c>
      <c r="J593" s="15">
        <v>1079679.25</v>
      </c>
      <c r="K593" s="15">
        <v>1079014.9468400003</v>
      </c>
      <c r="L593" s="15">
        <v>664.3</v>
      </c>
      <c r="M593" s="15">
        <v>572.67999999999995</v>
      </c>
      <c r="N593" s="15">
        <v>0</v>
      </c>
      <c r="O593" s="15">
        <v>91.63</v>
      </c>
      <c r="P593" s="2" t="s">
        <v>55</v>
      </c>
      <c r="Q593" s="16"/>
    </row>
    <row r="594" spans="1:17" x14ac:dyDescent="0.3">
      <c r="A594" s="10">
        <v>21733</v>
      </c>
      <c r="B594" s="2" t="s">
        <v>3945</v>
      </c>
      <c r="C594" s="13">
        <v>5557</v>
      </c>
      <c r="D594" s="2" t="s">
        <v>44</v>
      </c>
      <c r="E594" s="14">
        <v>44726</v>
      </c>
      <c r="F594" s="10" t="s">
        <v>1796</v>
      </c>
      <c r="G594" s="25">
        <v>44735</v>
      </c>
      <c r="H594" s="10" t="s">
        <v>1797</v>
      </c>
      <c r="I594" s="10" t="s">
        <v>1798</v>
      </c>
      <c r="J594" s="15">
        <v>1527004.61</v>
      </c>
      <c r="K594" s="15">
        <v>1526339.2264800002</v>
      </c>
      <c r="L594" s="15">
        <v>665.38</v>
      </c>
      <c r="M594" s="15">
        <v>573.61</v>
      </c>
      <c r="N594" s="15">
        <v>0</v>
      </c>
      <c r="O594" s="15">
        <v>91.78</v>
      </c>
      <c r="P594" s="2" t="s">
        <v>55</v>
      </c>
      <c r="Q594" s="16"/>
    </row>
    <row r="595" spans="1:17" x14ac:dyDescent="0.3">
      <c r="A595" s="10">
        <v>21733</v>
      </c>
      <c r="B595" s="2" t="s">
        <v>3946</v>
      </c>
      <c r="C595" s="13">
        <v>5681</v>
      </c>
      <c r="D595" s="2" t="s">
        <v>44</v>
      </c>
      <c r="E595" s="14">
        <v>44655</v>
      </c>
      <c r="F595" s="10" t="s">
        <v>1799</v>
      </c>
      <c r="G595" s="25">
        <v>44658</v>
      </c>
      <c r="H595" s="10" t="s">
        <v>1800</v>
      </c>
      <c r="I595" s="10" t="s">
        <v>1801</v>
      </c>
      <c r="J595" s="15">
        <v>554546.37</v>
      </c>
      <c r="K595" s="15">
        <v>553880.68599999987</v>
      </c>
      <c r="L595" s="15">
        <v>665.68</v>
      </c>
      <c r="M595" s="15">
        <v>573.87</v>
      </c>
      <c r="N595" s="15">
        <v>0</v>
      </c>
      <c r="O595" s="15">
        <v>91.82</v>
      </c>
      <c r="P595" s="2" t="s">
        <v>55</v>
      </c>
      <c r="Q595" s="16"/>
    </row>
    <row r="596" spans="1:17" x14ac:dyDescent="0.3">
      <c r="A596" s="10">
        <v>21733</v>
      </c>
      <c r="B596" s="2" t="s">
        <v>3947</v>
      </c>
      <c r="C596" s="13">
        <v>5556</v>
      </c>
      <c r="D596" s="2" t="s">
        <v>44</v>
      </c>
      <c r="E596" s="14">
        <v>44769</v>
      </c>
      <c r="F596" s="10" t="s">
        <v>1802</v>
      </c>
      <c r="G596" s="25">
        <v>44778</v>
      </c>
      <c r="H596" s="10" t="s">
        <v>1803</v>
      </c>
      <c r="I596" s="10" t="s">
        <v>1804</v>
      </c>
      <c r="J596" s="15">
        <v>123071.37</v>
      </c>
      <c r="K596" s="15">
        <v>122403.65355999998</v>
      </c>
      <c r="L596" s="15">
        <v>667.72</v>
      </c>
      <c r="M596" s="15">
        <v>575.62</v>
      </c>
      <c r="N596" s="15">
        <v>0</v>
      </c>
      <c r="O596" s="15">
        <v>92.1</v>
      </c>
      <c r="P596" s="2" t="s">
        <v>55</v>
      </c>
      <c r="Q596" s="16"/>
    </row>
    <row r="597" spans="1:17" x14ac:dyDescent="0.3">
      <c r="A597" s="10">
        <v>21733</v>
      </c>
      <c r="B597" s="2" t="s">
        <v>3948</v>
      </c>
      <c r="C597" s="13">
        <v>5537</v>
      </c>
      <c r="D597" s="2" t="s">
        <v>44</v>
      </c>
      <c r="E597" s="14">
        <v>44403</v>
      </c>
      <c r="F597" s="10" t="s">
        <v>1805</v>
      </c>
      <c r="G597" s="25">
        <v>44407</v>
      </c>
      <c r="H597" s="10" t="s">
        <v>1806</v>
      </c>
      <c r="I597" s="10" t="s">
        <v>1807</v>
      </c>
      <c r="J597" s="15">
        <v>2145.62</v>
      </c>
      <c r="K597" s="15">
        <v>1476.3552</v>
      </c>
      <c r="L597" s="15">
        <v>669.26</v>
      </c>
      <c r="M597" s="15">
        <v>576.95000000000005</v>
      </c>
      <c r="N597" s="15">
        <v>0</v>
      </c>
      <c r="O597" s="15">
        <v>92.31</v>
      </c>
      <c r="P597" s="2" t="s">
        <v>55</v>
      </c>
      <c r="Q597" s="16"/>
    </row>
    <row r="598" spans="1:17" x14ac:dyDescent="0.3">
      <c r="A598" s="10">
        <v>21733</v>
      </c>
      <c r="B598" s="2" t="s">
        <v>3949</v>
      </c>
      <c r="C598" s="13">
        <v>5557</v>
      </c>
      <c r="D598" s="2" t="s">
        <v>44</v>
      </c>
      <c r="E598" s="14">
        <v>44998</v>
      </c>
      <c r="F598" s="10" t="s">
        <v>1705</v>
      </c>
      <c r="G598" s="25">
        <v>45006</v>
      </c>
      <c r="H598" s="10" t="s">
        <v>1808</v>
      </c>
      <c r="I598" s="10" t="s">
        <v>1809</v>
      </c>
      <c r="J598" s="15">
        <v>683928.9</v>
      </c>
      <c r="K598" s="15">
        <v>683259.01007999969</v>
      </c>
      <c r="L598" s="15">
        <v>669.89</v>
      </c>
      <c r="M598" s="15">
        <v>577.49</v>
      </c>
      <c r="N598" s="15">
        <v>0</v>
      </c>
      <c r="O598" s="15">
        <v>92.4</v>
      </c>
      <c r="P598" s="2" t="s">
        <v>55</v>
      </c>
      <c r="Q598" s="16"/>
    </row>
    <row r="599" spans="1:17" x14ac:dyDescent="0.3">
      <c r="A599" s="10">
        <v>21733</v>
      </c>
      <c r="B599" s="2" t="s">
        <v>3950</v>
      </c>
      <c r="C599" s="13">
        <v>5556</v>
      </c>
      <c r="D599" s="2" t="s">
        <v>44</v>
      </c>
      <c r="E599" s="14">
        <v>44475</v>
      </c>
      <c r="F599" s="10" t="s">
        <v>1810</v>
      </c>
      <c r="G599" s="25">
        <v>44480</v>
      </c>
      <c r="H599" s="10" t="s">
        <v>1811</v>
      </c>
      <c r="I599" s="10" t="s">
        <v>1812</v>
      </c>
      <c r="J599" s="15">
        <v>169470.31</v>
      </c>
      <c r="K599" s="15">
        <v>168797.54035999998</v>
      </c>
      <c r="L599" s="15">
        <v>672.77</v>
      </c>
      <c r="M599" s="15">
        <v>579.97</v>
      </c>
      <c r="N599" s="15">
        <v>0</v>
      </c>
      <c r="O599" s="15">
        <v>92.8</v>
      </c>
      <c r="P599" s="2" t="s">
        <v>55</v>
      </c>
      <c r="Q599" s="16"/>
    </row>
    <row r="600" spans="1:17" x14ac:dyDescent="0.3">
      <c r="A600" s="10">
        <v>21733</v>
      </c>
      <c r="B600" s="2" t="s">
        <v>3951</v>
      </c>
      <c r="C600" s="13">
        <v>5681</v>
      </c>
      <c r="D600" s="2" t="s">
        <v>44</v>
      </c>
      <c r="E600" s="14">
        <v>44368</v>
      </c>
      <c r="F600" s="10" t="s">
        <v>1813</v>
      </c>
      <c r="G600" s="25">
        <v>44373</v>
      </c>
      <c r="H600" s="10" t="s">
        <v>1814</v>
      </c>
      <c r="I600" s="10" t="s">
        <v>1815</v>
      </c>
      <c r="J600" s="15">
        <v>166994.17000000001</v>
      </c>
      <c r="K600" s="15">
        <v>166318.69228000002</v>
      </c>
      <c r="L600" s="15">
        <v>675.48</v>
      </c>
      <c r="M600" s="15">
        <v>582.30999999999995</v>
      </c>
      <c r="N600" s="15">
        <v>0</v>
      </c>
      <c r="O600" s="15">
        <v>93.17</v>
      </c>
      <c r="P600" s="2" t="s">
        <v>55</v>
      </c>
      <c r="Q600" s="16"/>
    </row>
    <row r="601" spans="1:17" x14ac:dyDescent="0.3">
      <c r="A601" s="10">
        <v>21733</v>
      </c>
      <c r="B601" s="2" t="s">
        <v>3952</v>
      </c>
      <c r="C601" s="13">
        <v>5556</v>
      </c>
      <c r="D601" s="2" t="s">
        <v>44</v>
      </c>
      <c r="E601" s="14">
        <v>44790</v>
      </c>
      <c r="F601" s="10" t="s">
        <v>1816</v>
      </c>
      <c r="G601" s="25">
        <v>44798</v>
      </c>
      <c r="H601" s="10" t="s">
        <v>1817</v>
      </c>
      <c r="I601" s="10" t="s">
        <v>1818</v>
      </c>
      <c r="J601" s="15">
        <v>278246.95</v>
      </c>
      <c r="K601" s="15">
        <v>277569.29384</v>
      </c>
      <c r="L601" s="15">
        <v>677.66</v>
      </c>
      <c r="M601" s="15">
        <v>584.19000000000005</v>
      </c>
      <c r="N601" s="15">
        <v>0</v>
      </c>
      <c r="O601" s="15">
        <v>93.47</v>
      </c>
      <c r="P601" s="2" t="s">
        <v>55</v>
      </c>
      <c r="Q601" s="16"/>
    </row>
    <row r="602" spans="1:17" x14ac:dyDescent="0.3">
      <c r="A602" s="10">
        <v>21733</v>
      </c>
      <c r="B602" s="2" t="s">
        <v>3953</v>
      </c>
      <c r="C602" s="13">
        <v>5548</v>
      </c>
      <c r="D602" s="2" t="s">
        <v>44</v>
      </c>
      <c r="E602" s="14">
        <v>45040</v>
      </c>
      <c r="F602" s="10" t="s">
        <v>1819</v>
      </c>
      <c r="G602" s="25">
        <v>45045</v>
      </c>
      <c r="H602" s="10" t="s">
        <v>1820</v>
      </c>
      <c r="I602" s="10" t="s">
        <v>1821</v>
      </c>
      <c r="J602" s="15">
        <v>1163199.45</v>
      </c>
      <c r="K602" s="15">
        <v>1162520.7496000004</v>
      </c>
      <c r="L602" s="15">
        <v>678.7</v>
      </c>
      <c r="M602" s="15">
        <v>585.09</v>
      </c>
      <c r="N602" s="15">
        <v>0</v>
      </c>
      <c r="O602" s="15">
        <v>93.61</v>
      </c>
      <c r="P602" s="2" t="s">
        <v>55</v>
      </c>
      <c r="Q602" s="16"/>
    </row>
    <row r="603" spans="1:17" x14ac:dyDescent="0.3">
      <c r="A603" s="10">
        <v>21733</v>
      </c>
      <c r="B603" s="2" t="s">
        <v>3954</v>
      </c>
      <c r="C603" s="13">
        <v>5681</v>
      </c>
      <c r="D603" s="2" t="s">
        <v>44</v>
      </c>
      <c r="E603" s="14">
        <v>44585</v>
      </c>
      <c r="F603" s="10" t="s">
        <v>1822</v>
      </c>
      <c r="G603" s="25">
        <v>44590</v>
      </c>
      <c r="H603" s="10" t="s">
        <v>1823</v>
      </c>
      <c r="I603" s="10" t="s">
        <v>1824</v>
      </c>
      <c r="J603" s="15">
        <v>628857.22</v>
      </c>
      <c r="K603" s="15">
        <v>628176.20244000014</v>
      </c>
      <c r="L603" s="15">
        <v>681.02</v>
      </c>
      <c r="M603" s="15">
        <v>587.08000000000004</v>
      </c>
      <c r="N603" s="15">
        <v>0</v>
      </c>
      <c r="O603" s="15">
        <v>93.93</v>
      </c>
      <c r="P603" s="2" t="s">
        <v>55</v>
      </c>
      <c r="Q603" s="16"/>
    </row>
    <row r="604" spans="1:17" x14ac:dyDescent="0.3">
      <c r="A604" s="10">
        <v>21733</v>
      </c>
      <c r="B604" s="2" t="s">
        <v>3955</v>
      </c>
      <c r="C604" s="13">
        <v>5549</v>
      </c>
      <c r="D604" s="2" t="s">
        <v>44</v>
      </c>
      <c r="E604" s="14">
        <v>44616</v>
      </c>
      <c r="F604" s="10" t="s">
        <v>1305</v>
      </c>
      <c r="G604" s="25">
        <v>44625</v>
      </c>
      <c r="H604" s="10" t="s">
        <v>1825</v>
      </c>
      <c r="I604" s="10" t="s">
        <v>1826</v>
      </c>
      <c r="J604" s="15">
        <v>1585142.16</v>
      </c>
      <c r="K604" s="15">
        <v>1584459.3120000002</v>
      </c>
      <c r="L604" s="15">
        <v>682.85</v>
      </c>
      <c r="M604" s="15">
        <v>588.66</v>
      </c>
      <c r="N604" s="15">
        <v>0</v>
      </c>
      <c r="O604" s="15">
        <v>94.19</v>
      </c>
      <c r="P604" s="2" t="s">
        <v>55</v>
      </c>
      <c r="Q604" s="16"/>
    </row>
    <row r="605" spans="1:17" x14ac:dyDescent="0.3">
      <c r="A605" s="10">
        <v>21733</v>
      </c>
      <c r="B605" s="2" t="s">
        <v>3956</v>
      </c>
      <c r="C605" s="13">
        <v>5681</v>
      </c>
      <c r="D605" s="2" t="s">
        <v>44</v>
      </c>
      <c r="E605" s="14">
        <v>44529</v>
      </c>
      <c r="F605" s="10" t="s">
        <v>1827</v>
      </c>
      <c r="G605" s="25">
        <v>44534</v>
      </c>
      <c r="H605" s="10" t="s">
        <v>1828</v>
      </c>
      <c r="I605" s="10" t="s">
        <v>1829</v>
      </c>
      <c r="J605" s="15">
        <v>944134.69</v>
      </c>
      <c r="K605" s="15">
        <v>943449.03891999985</v>
      </c>
      <c r="L605" s="15">
        <v>685.65</v>
      </c>
      <c r="M605" s="15">
        <v>591.08000000000004</v>
      </c>
      <c r="N605" s="15">
        <v>0</v>
      </c>
      <c r="O605" s="15">
        <v>94.57</v>
      </c>
      <c r="P605" s="2" t="s">
        <v>55</v>
      </c>
      <c r="Q605" s="16"/>
    </row>
    <row r="606" spans="1:17" x14ac:dyDescent="0.3">
      <c r="A606" s="10">
        <v>21733</v>
      </c>
      <c r="B606" s="2" t="s">
        <v>3957</v>
      </c>
      <c r="C606" s="13">
        <v>5549</v>
      </c>
      <c r="D606" s="2" t="s">
        <v>44</v>
      </c>
      <c r="E606" s="14">
        <v>44627</v>
      </c>
      <c r="F606" s="10" t="s">
        <v>1165</v>
      </c>
      <c r="G606" s="25">
        <v>44632</v>
      </c>
      <c r="H606" s="10" t="s">
        <v>1830</v>
      </c>
      <c r="I606" s="10" t="s">
        <v>1831</v>
      </c>
      <c r="J606" s="15">
        <v>858374.63</v>
      </c>
      <c r="K606" s="15">
        <v>857683.62575999997</v>
      </c>
      <c r="L606" s="15">
        <v>691</v>
      </c>
      <c r="M606" s="15">
        <v>595.69000000000005</v>
      </c>
      <c r="N606" s="15">
        <v>0</v>
      </c>
      <c r="O606" s="15">
        <v>95.31</v>
      </c>
      <c r="P606" s="2" t="s">
        <v>55</v>
      </c>
      <c r="Q606" s="16"/>
    </row>
    <row r="607" spans="1:17" x14ac:dyDescent="0.3">
      <c r="A607" s="10">
        <v>21733</v>
      </c>
      <c r="B607" s="2" t="s">
        <v>3958</v>
      </c>
      <c r="C607" s="13">
        <v>5537</v>
      </c>
      <c r="D607" s="2" t="s">
        <v>44</v>
      </c>
      <c r="E607" s="14">
        <v>44347</v>
      </c>
      <c r="F607" s="10" t="s">
        <v>1832</v>
      </c>
      <c r="G607" s="25">
        <v>44353</v>
      </c>
      <c r="H607" s="10" t="s">
        <v>1833</v>
      </c>
      <c r="I607" s="10" t="s">
        <v>1834</v>
      </c>
      <c r="J607" s="15">
        <v>250109.27</v>
      </c>
      <c r="K607" s="15">
        <v>249418.16444000011</v>
      </c>
      <c r="L607" s="15">
        <v>691.11</v>
      </c>
      <c r="M607" s="15">
        <v>595.78</v>
      </c>
      <c r="N607" s="15">
        <v>0</v>
      </c>
      <c r="O607" s="15">
        <v>95.32</v>
      </c>
      <c r="P607" s="2" t="s">
        <v>55</v>
      </c>
      <c r="Q607" s="16"/>
    </row>
    <row r="608" spans="1:17" x14ac:dyDescent="0.3">
      <c r="A608" s="10">
        <v>21733</v>
      </c>
      <c r="B608" s="2" t="s">
        <v>3959</v>
      </c>
      <c r="C608" s="13">
        <v>5548</v>
      </c>
      <c r="D608" s="2" t="s">
        <v>44</v>
      </c>
      <c r="E608" s="14">
        <v>44305</v>
      </c>
      <c r="F608" s="10" t="s">
        <v>1835</v>
      </c>
      <c r="G608" s="25">
        <v>44309</v>
      </c>
      <c r="H608" s="10" t="s">
        <v>1836</v>
      </c>
      <c r="I608" s="10" t="s">
        <v>1837</v>
      </c>
      <c r="J608" s="15">
        <v>153174.26999999999</v>
      </c>
      <c r="K608" s="15">
        <v>152479.20440000002</v>
      </c>
      <c r="L608" s="15">
        <v>695.07</v>
      </c>
      <c r="M608" s="15">
        <v>599.19000000000005</v>
      </c>
      <c r="N608" s="15">
        <v>0</v>
      </c>
      <c r="O608" s="15">
        <v>95.87</v>
      </c>
      <c r="P608" s="2" t="s">
        <v>55</v>
      </c>
      <c r="Q608" s="16"/>
    </row>
    <row r="609" spans="1:17" x14ac:dyDescent="0.3">
      <c r="A609" s="10">
        <v>21733</v>
      </c>
      <c r="B609" s="2" t="s">
        <v>3960</v>
      </c>
      <c r="C609" s="13">
        <v>5681</v>
      </c>
      <c r="D609" s="2" t="s">
        <v>44</v>
      </c>
      <c r="E609" s="14">
        <v>44613</v>
      </c>
      <c r="F609" s="10" t="s">
        <v>1838</v>
      </c>
      <c r="G609" s="25">
        <v>44619</v>
      </c>
      <c r="H609" s="10" t="s">
        <v>1839</v>
      </c>
      <c r="I609" s="10" t="s">
        <v>1840</v>
      </c>
      <c r="J609" s="15">
        <v>96900.39</v>
      </c>
      <c r="K609" s="15">
        <v>96203.53628</v>
      </c>
      <c r="L609" s="15">
        <v>696.85</v>
      </c>
      <c r="M609" s="15">
        <v>600.74</v>
      </c>
      <c r="N609" s="15">
        <v>0</v>
      </c>
      <c r="O609" s="15">
        <v>96.12</v>
      </c>
      <c r="P609" s="2" t="s">
        <v>55</v>
      </c>
      <c r="Q609" s="16"/>
    </row>
    <row r="610" spans="1:17" x14ac:dyDescent="0.3">
      <c r="A610" s="10">
        <v>21733</v>
      </c>
      <c r="B610" s="2" t="s">
        <v>3961</v>
      </c>
      <c r="C610" s="13">
        <v>5548</v>
      </c>
      <c r="D610" s="2" t="s">
        <v>44</v>
      </c>
      <c r="E610" s="14">
        <v>44382</v>
      </c>
      <c r="F610" s="10" t="s">
        <v>1841</v>
      </c>
      <c r="G610" s="25">
        <v>44385</v>
      </c>
      <c r="H610" s="10" t="s">
        <v>1842</v>
      </c>
      <c r="I610" s="10" t="s">
        <v>1843</v>
      </c>
      <c r="J610" s="15">
        <v>786577.27</v>
      </c>
      <c r="K610" s="15">
        <v>785878.44139999989</v>
      </c>
      <c r="L610" s="15">
        <v>698.83</v>
      </c>
      <c r="M610" s="15">
        <v>602.44000000000005</v>
      </c>
      <c r="N610" s="15">
        <v>0</v>
      </c>
      <c r="O610" s="15">
        <v>96.39</v>
      </c>
      <c r="P610" s="2" t="s">
        <v>55</v>
      </c>
      <c r="Q610" s="16"/>
    </row>
    <row r="611" spans="1:17" x14ac:dyDescent="0.3">
      <c r="A611" s="10">
        <v>21733</v>
      </c>
      <c r="B611" s="2" t="s">
        <v>3962</v>
      </c>
      <c r="C611" s="13">
        <v>5681</v>
      </c>
      <c r="D611" s="2" t="s">
        <v>44</v>
      </c>
      <c r="E611" s="14">
        <v>44347</v>
      </c>
      <c r="F611" s="10" t="s">
        <v>1844</v>
      </c>
      <c r="G611" s="25">
        <v>44352</v>
      </c>
      <c r="H611" s="10" t="s">
        <v>1845</v>
      </c>
      <c r="I611" s="10" t="s">
        <v>1846</v>
      </c>
      <c r="J611" s="15">
        <v>122939.64</v>
      </c>
      <c r="K611" s="15">
        <v>122239.15280000001</v>
      </c>
      <c r="L611" s="15">
        <v>700.49</v>
      </c>
      <c r="M611" s="15">
        <v>603.87</v>
      </c>
      <c r="N611" s="15">
        <v>0</v>
      </c>
      <c r="O611" s="15">
        <v>96.62</v>
      </c>
      <c r="P611" s="2" t="s">
        <v>55</v>
      </c>
      <c r="Q611" s="16"/>
    </row>
    <row r="612" spans="1:17" x14ac:dyDescent="0.3">
      <c r="A612" s="10">
        <v>21733</v>
      </c>
      <c r="B612" s="2" t="s">
        <v>3963</v>
      </c>
      <c r="C612" s="13">
        <v>5681</v>
      </c>
      <c r="D612" s="2" t="s">
        <v>44</v>
      </c>
      <c r="E612" s="14">
        <v>44326</v>
      </c>
      <c r="F612" s="10" t="s">
        <v>1847</v>
      </c>
      <c r="G612" s="25">
        <v>44331</v>
      </c>
      <c r="H612" s="10" t="s">
        <v>1848</v>
      </c>
      <c r="I612" s="10" t="s">
        <v>1849</v>
      </c>
      <c r="J612" s="15">
        <v>441034.95</v>
      </c>
      <c r="K612" s="15">
        <v>440332.28568000003</v>
      </c>
      <c r="L612" s="15">
        <v>702.66</v>
      </c>
      <c r="M612" s="15">
        <v>605.75</v>
      </c>
      <c r="N612" s="15">
        <v>0</v>
      </c>
      <c r="O612" s="15">
        <v>96.92</v>
      </c>
      <c r="P612" s="2" t="s">
        <v>55</v>
      </c>
      <c r="Q612" s="16"/>
    </row>
    <row r="613" spans="1:17" x14ac:dyDescent="0.3">
      <c r="A613" s="10">
        <v>21733</v>
      </c>
      <c r="B613" s="2" t="s">
        <v>3964</v>
      </c>
      <c r="C613" s="13">
        <v>5681</v>
      </c>
      <c r="D613" s="2" t="s">
        <v>44</v>
      </c>
      <c r="E613" s="14">
        <v>44578</v>
      </c>
      <c r="F613" s="10" t="s">
        <v>1850</v>
      </c>
      <c r="G613" s="25">
        <v>44583</v>
      </c>
      <c r="H613" s="10" t="s">
        <v>1851</v>
      </c>
      <c r="I613" s="10" t="s">
        <v>1852</v>
      </c>
      <c r="J613" s="15">
        <v>393020.1</v>
      </c>
      <c r="K613" s="15">
        <v>392316.30708</v>
      </c>
      <c r="L613" s="15">
        <v>703.79</v>
      </c>
      <c r="M613" s="15">
        <v>606.72</v>
      </c>
      <c r="N613" s="15">
        <v>0</v>
      </c>
      <c r="O613" s="15">
        <v>97.07</v>
      </c>
      <c r="P613" s="2" t="s">
        <v>55</v>
      </c>
      <c r="Q613" s="16"/>
    </row>
    <row r="614" spans="1:17" x14ac:dyDescent="0.3">
      <c r="A614" s="10">
        <v>21733</v>
      </c>
      <c r="B614" s="2" t="s">
        <v>3965</v>
      </c>
      <c r="C614" s="13">
        <v>5681</v>
      </c>
      <c r="D614" s="2" t="s">
        <v>44</v>
      </c>
      <c r="E614" s="14">
        <v>44340</v>
      </c>
      <c r="F614" s="10" t="s">
        <v>1853</v>
      </c>
      <c r="G614" s="25">
        <v>44348</v>
      </c>
      <c r="H614" s="10" t="s">
        <v>1854</v>
      </c>
      <c r="I614" s="10" t="s">
        <v>1855</v>
      </c>
      <c r="J614" s="15">
        <v>111000.9</v>
      </c>
      <c r="K614" s="15">
        <v>110292.84987999999</v>
      </c>
      <c r="L614" s="15">
        <v>708.05</v>
      </c>
      <c r="M614" s="15">
        <v>610.39</v>
      </c>
      <c r="N614" s="15">
        <v>0</v>
      </c>
      <c r="O614" s="15">
        <v>97.66</v>
      </c>
      <c r="P614" s="2" t="s">
        <v>55</v>
      </c>
      <c r="Q614" s="16"/>
    </row>
    <row r="615" spans="1:17" x14ac:dyDescent="0.3">
      <c r="A615" s="10">
        <v>21733</v>
      </c>
      <c r="B615" s="2" t="s">
        <v>3966</v>
      </c>
      <c r="C615" s="13">
        <v>5548</v>
      </c>
      <c r="D615" s="2" t="s">
        <v>44</v>
      </c>
      <c r="E615" s="14">
        <v>44403</v>
      </c>
      <c r="F615" s="10" t="s">
        <v>1272</v>
      </c>
      <c r="G615" s="25">
        <v>44407</v>
      </c>
      <c r="H615" s="10" t="s">
        <v>1856</v>
      </c>
      <c r="I615" s="10" t="s">
        <v>1857</v>
      </c>
      <c r="J615" s="15">
        <v>1166366.99</v>
      </c>
      <c r="K615" s="15">
        <v>1165657.6448000006</v>
      </c>
      <c r="L615" s="15">
        <v>709.35</v>
      </c>
      <c r="M615" s="15">
        <v>611.5</v>
      </c>
      <c r="N615" s="15">
        <v>0</v>
      </c>
      <c r="O615" s="15">
        <v>97.84</v>
      </c>
      <c r="P615" s="2" t="s">
        <v>55</v>
      </c>
      <c r="Q615" s="16"/>
    </row>
    <row r="616" spans="1:17" x14ac:dyDescent="0.3">
      <c r="A616" s="10">
        <v>21733</v>
      </c>
      <c r="B616" s="2" t="s">
        <v>3967</v>
      </c>
      <c r="C616" s="13">
        <v>5537</v>
      </c>
      <c r="D616" s="2" t="s">
        <v>44</v>
      </c>
      <c r="E616" s="14">
        <v>44809</v>
      </c>
      <c r="F616" s="10" t="s">
        <v>1858</v>
      </c>
      <c r="G616" s="25">
        <v>44814</v>
      </c>
      <c r="H616" s="10" t="s">
        <v>1859</v>
      </c>
      <c r="I616" s="10" t="s">
        <v>1860</v>
      </c>
      <c r="J616" s="15">
        <v>838592.14</v>
      </c>
      <c r="K616" s="15">
        <v>837882.59627999982</v>
      </c>
      <c r="L616" s="15">
        <v>709.54</v>
      </c>
      <c r="M616" s="15">
        <v>611.67999999999995</v>
      </c>
      <c r="N616" s="15">
        <v>0</v>
      </c>
      <c r="O616" s="15">
        <v>97.87</v>
      </c>
      <c r="P616" s="2" t="s">
        <v>55</v>
      </c>
      <c r="Q616" s="16"/>
    </row>
    <row r="617" spans="1:17" x14ac:dyDescent="0.3">
      <c r="A617" s="10">
        <v>21733</v>
      </c>
      <c r="B617" s="2" t="s">
        <v>3968</v>
      </c>
      <c r="C617" s="13">
        <v>5537</v>
      </c>
      <c r="D617" s="2" t="s">
        <v>44</v>
      </c>
      <c r="E617" s="14">
        <v>44585</v>
      </c>
      <c r="F617" s="10" t="s">
        <v>1861</v>
      </c>
      <c r="G617" s="25">
        <v>44589</v>
      </c>
      <c r="H617" s="10" t="s">
        <v>1862</v>
      </c>
      <c r="I617" s="10" t="s">
        <v>1863</v>
      </c>
      <c r="J617" s="15">
        <v>217038.57</v>
      </c>
      <c r="K617" s="15">
        <v>216327.73763999992</v>
      </c>
      <c r="L617" s="15">
        <v>710.83</v>
      </c>
      <c r="M617" s="15">
        <v>612.79</v>
      </c>
      <c r="N617" s="15">
        <v>0</v>
      </c>
      <c r="O617" s="15">
        <v>98.05</v>
      </c>
      <c r="P617" s="2" t="s">
        <v>55</v>
      </c>
      <c r="Q617" s="16"/>
    </row>
    <row r="618" spans="1:17" x14ac:dyDescent="0.3">
      <c r="A618" s="10">
        <v>21733</v>
      </c>
      <c r="B618" s="2" t="s">
        <v>3969</v>
      </c>
      <c r="C618" s="13">
        <v>5556</v>
      </c>
      <c r="D618" s="2" t="s">
        <v>44</v>
      </c>
      <c r="E618" s="14">
        <v>44734</v>
      </c>
      <c r="F618" s="10" t="s">
        <v>1864</v>
      </c>
      <c r="G618" s="25">
        <v>44748</v>
      </c>
      <c r="H618" s="10" t="s">
        <v>1865</v>
      </c>
      <c r="I618" s="10" t="s">
        <v>1866</v>
      </c>
      <c r="J618" s="15">
        <v>537242.84</v>
      </c>
      <c r="K618" s="15">
        <v>536531.89651999995</v>
      </c>
      <c r="L618" s="15">
        <v>710.94</v>
      </c>
      <c r="M618" s="15">
        <v>612.88</v>
      </c>
      <c r="N618" s="15">
        <v>0</v>
      </c>
      <c r="O618" s="15">
        <v>98.06</v>
      </c>
      <c r="P618" s="2" t="s">
        <v>55</v>
      </c>
      <c r="Q618" s="16"/>
    </row>
    <row r="619" spans="1:17" x14ac:dyDescent="0.3">
      <c r="A619" s="10">
        <v>21733</v>
      </c>
      <c r="B619" s="2" t="s">
        <v>3970</v>
      </c>
      <c r="C619" s="13">
        <v>5537</v>
      </c>
      <c r="D619" s="2" t="s">
        <v>44</v>
      </c>
      <c r="E619" s="14">
        <v>44564</v>
      </c>
      <c r="F619" s="10" t="s">
        <v>1867</v>
      </c>
      <c r="G619" s="25">
        <v>44568</v>
      </c>
      <c r="H619" s="10" t="s">
        <v>1868</v>
      </c>
      <c r="I619" s="10" t="s">
        <v>1869</v>
      </c>
      <c r="J619" s="15">
        <v>324422.01</v>
      </c>
      <c r="K619" s="15">
        <v>323710.21364000003</v>
      </c>
      <c r="L619" s="15">
        <v>711.8</v>
      </c>
      <c r="M619" s="15">
        <v>613.62</v>
      </c>
      <c r="N619" s="15">
        <v>0</v>
      </c>
      <c r="O619" s="15">
        <v>98.18</v>
      </c>
      <c r="P619" s="2" t="s">
        <v>55</v>
      </c>
      <c r="Q619" s="16"/>
    </row>
    <row r="620" spans="1:17" x14ac:dyDescent="0.3">
      <c r="A620" s="10">
        <v>21733</v>
      </c>
      <c r="B620" s="2" t="s">
        <v>3971</v>
      </c>
      <c r="C620" s="13">
        <v>5548</v>
      </c>
      <c r="D620" s="2" t="s">
        <v>44</v>
      </c>
      <c r="E620" s="14">
        <v>44634</v>
      </c>
      <c r="F620" s="10" t="s">
        <v>1870</v>
      </c>
      <c r="G620" s="25">
        <v>44638</v>
      </c>
      <c r="H620" s="10" t="s">
        <v>1871</v>
      </c>
      <c r="I620" s="10" t="s">
        <v>1872</v>
      </c>
      <c r="J620" s="15">
        <v>631876.31000000006</v>
      </c>
      <c r="K620" s="15">
        <v>631157.21567999991</v>
      </c>
      <c r="L620" s="15">
        <v>719.09</v>
      </c>
      <c r="M620" s="15">
        <v>619.91</v>
      </c>
      <c r="N620" s="15">
        <v>0</v>
      </c>
      <c r="O620" s="15">
        <v>99.19</v>
      </c>
      <c r="P620" s="2" t="s">
        <v>55</v>
      </c>
      <c r="Q620" s="16"/>
    </row>
    <row r="621" spans="1:17" x14ac:dyDescent="0.3">
      <c r="A621" s="10">
        <v>21733</v>
      </c>
      <c r="B621" s="2" t="s">
        <v>3972</v>
      </c>
      <c r="C621" s="13">
        <v>5556</v>
      </c>
      <c r="D621" s="2" t="s">
        <v>44</v>
      </c>
      <c r="E621" s="14">
        <v>44537</v>
      </c>
      <c r="F621" s="10" t="s">
        <v>1873</v>
      </c>
      <c r="G621" s="25">
        <v>44544</v>
      </c>
      <c r="H621" s="10" t="s">
        <v>1874</v>
      </c>
      <c r="I621" s="10" t="s">
        <v>1875</v>
      </c>
      <c r="J621" s="15">
        <v>554710.64</v>
      </c>
      <c r="K621" s="15">
        <v>553990.51943999995</v>
      </c>
      <c r="L621" s="15">
        <v>720.12</v>
      </c>
      <c r="M621" s="15">
        <v>620.79</v>
      </c>
      <c r="N621" s="15">
        <v>0</v>
      </c>
      <c r="O621" s="15">
        <v>99.33</v>
      </c>
      <c r="P621" s="2" t="s">
        <v>55</v>
      </c>
      <c r="Q621" s="16"/>
    </row>
    <row r="622" spans="1:17" x14ac:dyDescent="0.3">
      <c r="A622" s="10">
        <v>21733</v>
      </c>
      <c r="B622" s="2" t="s">
        <v>3973</v>
      </c>
      <c r="C622" s="13">
        <v>5556</v>
      </c>
      <c r="D622" s="2" t="s">
        <v>44</v>
      </c>
      <c r="E622" s="14">
        <v>44762</v>
      </c>
      <c r="F622" s="10" t="s">
        <v>1876</v>
      </c>
      <c r="G622" s="25">
        <v>44771</v>
      </c>
      <c r="H622" s="10" t="s">
        <v>1877</v>
      </c>
      <c r="I622" s="10" t="s">
        <v>1878</v>
      </c>
      <c r="J622" s="15">
        <v>604645.41</v>
      </c>
      <c r="K622" s="15">
        <v>603923.29480000015</v>
      </c>
      <c r="L622" s="15">
        <v>722.12</v>
      </c>
      <c r="M622" s="15">
        <v>622.51</v>
      </c>
      <c r="N622" s="15">
        <v>0</v>
      </c>
      <c r="O622" s="15">
        <v>99.6</v>
      </c>
      <c r="P622" s="2" t="s">
        <v>55</v>
      </c>
      <c r="Q622" s="16"/>
    </row>
    <row r="623" spans="1:17" x14ac:dyDescent="0.3">
      <c r="A623" s="10">
        <v>21733</v>
      </c>
      <c r="B623" s="2" t="s">
        <v>3974</v>
      </c>
      <c r="C623" s="13">
        <v>5537</v>
      </c>
      <c r="D623" s="2" t="s">
        <v>44</v>
      </c>
      <c r="E623" s="14">
        <v>44340</v>
      </c>
      <c r="F623" s="10" t="s">
        <v>1879</v>
      </c>
      <c r="G623" s="25">
        <v>44349</v>
      </c>
      <c r="H623" s="10" t="s">
        <v>1880</v>
      </c>
      <c r="I623" s="10" t="s">
        <v>1881</v>
      </c>
      <c r="J623" s="15">
        <v>26028.54</v>
      </c>
      <c r="K623" s="15">
        <v>25304.49984</v>
      </c>
      <c r="L623" s="15">
        <v>724.04</v>
      </c>
      <c r="M623" s="15">
        <v>624.16999999999996</v>
      </c>
      <c r="N623" s="15">
        <v>0</v>
      </c>
      <c r="O623" s="15">
        <v>99.87</v>
      </c>
      <c r="P623" s="2" t="s">
        <v>55</v>
      </c>
      <c r="Q623" s="16"/>
    </row>
    <row r="624" spans="1:17" x14ac:dyDescent="0.3">
      <c r="A624" s="10">
        <v>21733</v>
      </c>
      <c r="B624" s="2" t="s">
        <v>3975</v>
      </c>
      <c r="C624" s="13">
        <v>5548</v>
      </c>
      <c r="D624" s="2" t="s">
        <v>44</v>
      </c>
      <c r="E624" s="14">
        <v>44984</v>
      </c>
      <c r="F624" s="10" t="s">
        <v>1882</v>
      </c>
      <c r="G624" s="25">
        <v>44989</v>
      </c>
      <c r="H624" s="10" t="s">
        <v>1883</v>
      </c>
      <c r="I624" s="10" t="s">
        <v>1884</v>
      </c>
      <c r="J624" s="15">
        <v>1024778.22</v>
      </c>
      <c r="K624" s="15">
        <v>1024054.0911599998</v>
      </c>
      <c r="L624" s="15">
        <v>724.13</v>
      </c>
      <c r="M624" s="15">
        <v>624.25</v>
      </c>
      <c r="N624" s="15">
        <v>0</v>
      </c>
      <c r="O624" s="15">
        <v>99.88</v>
      </c>
      <c r="P624" s="2" t="s">
        <v>55</v>
      </c>
      <c r="Q624" s="16"/>
    </row>
    <row r="625" spans="1:17" x14ac:dyDescent="0.3">
      <c r="A625" s="10">
        <v>21733</v>
      </c>
      <c r="B625" s="2" t="s">
        <v>3976</v>
      </c>
      <c r="C625" s="13">
        <v>5556</v>
      </c>
      <c r="D625" s="2" t="s">
        <v>44</v>
      </c>
      <c r="E625" s="14">
        <v>44377</v>
      </c>
      <c r="F625" s="10" t="s">
        <v>1885</v>
      </c>
      <c r="G625" s="25">
        <v>44384</v>
      </c>
      <c r="H625" s="10" t="s">
        <v>1886</v>
      </c>
      <c r="I625" s="10" t="s">
        <v>1887</v>
      </c>
      <c r="J625" s="15">
        <v>502291.53</v>
      </c>
      <c r="K625" s="15">
        <v>501566.35059999995</v>
      </c>
      <c r="L625" s="15">
        <v>725.18</v>
      </c>
      <c r="M625" s="15">
        <v>625.15</v>
      </c>
      <c r="N625" s="15">
        <v>0</v>
      </c>
      <c r="O625" s="15">
        <v>100.02</v>
      </c>
      <c r="P625" s="2" t="s">
        <v>55</v>
      </c>
      <c r="Q625" s="16"/>
    </row>
    <row r="626" spans="1:17" x14ac:dyDescent="0.3">
      <c r="A626" s="10">
        <v>21733</v>
      </c>
      <c r="B626" s="2" t="s">
        <v>3977</v>
      </c>
      <c r="C626" s="13">
        <v>5681</v>
      </c>
      <c r="D626" s="2" t="s">
        <v>44</v>
      </c>
      <c r="E626" s="14">
        <v>44802</v>
      </c>
      <c r="F626" s="10" t="s">
        <v>1888</v>
      </c>
      <c r="G626" s="25">
        <v>44807</v>
      </c>
      <c r="H626" s="10" t="s">
        <v>1889</v>
      </c>
      <c r="I626" s="10" t="s">
        <v>1890</v>
      </c>
      <c r="J626" s="15">
        <v>463610.79</v>
      </c>
      <c r="K626" s="15">
        <v>462880.26824000012</v>
      </c>
      <c r="L626" s="15">
        <v>730.52</v>
      </c>
      <c r="M626" s="15">
        <v>629.76</v>
      </c>
      <c r="N626" s="15">
        <v>0</v>
      </c>
      <c r="O626" s="15">
        <v>100.76</v>
      </c>
      <c r="P626" s="2" t="s">
        <v>55</v>
      </c>
      <c r="Q626" s="16"/>
    </row>
    <row r="627" spans="1:17" x14ac:dyDescent="0.3">
      <c r="A627" s="10">
        <v>21733</v>
      </c>
      <c r="B627" s="2" t="s">
        <v>3978</v>
      </c>
      <c r="C627" s="13">
        <v>5548</v>
      </c>
      <c r="D627" s="2" t="s">
        <v>44</v>
      </c>
      <c r="E627" s="14">
        <v>44536</v>
      </c>
      <c r="F627" s="10" t="s">
        <v>649</v>
      </c>
      <c r="G627" s="25">
        <v>44540</v>
      </c>
      <c r="H627" s="10" t="s">
        <v>1891</v>
      </c>
      <c r="I627" s="10" t="s">
        <v>1892</v>
      </c>
      <c r="J627" s="15">
        <v>73475.98</v>
      </c>
      <c r="K627" s="15">
        <v>72741.152400000006</v>
      </c>
      <c r="L627" s="15">
        <v>734.83</v>
      </c>
      <c r="M627" s="15">
        <v>633.47</v>
      </c>
      <c r="N627" s="15">
        <v>0</v>
      </c>
      <c r="O627" s="15">
        <v>101.36</v>
      </c>
      <c r="P627" s="2" t="s">
        <v>55</v>
      </c>
      <c r="Q627" s="16"/>
    </row>
    <row r="628" spans="1:17" x14ac:dyDescent="0.3">
      <c r="A628" s="10">
        <v>21733</v>
      </c>
      <c r="B628" s="2" t="s">
        <v>3979</v>
      </c>
      <c r="C628" s="13">
        <v>5548</v>
      </c>
      <c r="D628" s="2" t="s">
        <v>44</v>
      </c>
      <c r="E628" s="14">
        <v>44424</v>
      </c>
      <c r="F628" s="10" t="s">
        <v>1893</v>
      </c>
      <c r="G628" s="25">
        <v>44428</v>
      </c>
      <c r="H628" s="10" t="s">
        <v>1894</v>
      </c>
      <c r="I628" s="10" t="s">
        <v>1895</v>
      </c>
      <c r="J628" s="15">
        <v>353643.88</v>
      </c>
      <c r="K628" s="15">
        <v>352906.59119999997</v>
      </c>
      <c r="L628" s="15">
        <v>737.29</v>
      </c>
      <c r="M628" s="15">
        <v>635.59</v>
      </c>
      <c r="N628" s="15">
        <v>0</v>
      </c>
      <c r="O628" s="15">
        <v>101.7</v>
      </c>
      <c r="P628" s="2" t="s">
        <v>55</v>
      </c>
      <c r="Q628" s="16"/>
    </row>
    <row r="629" spans="1:17" x14ac:dyDescent="0.3">
      <c r="A629" s="10">
        <v>21733</v>
      </c>
      <c r="B629" s="2" t="s">
        <v>3980</v>
      </c>
      <c r="C629" s="13">
        <v>5548</v>
      </c>
      <c r="D629" s="2" t="s">
        <v>44</v>
      </c>
      <c r="E629" s="14">
        <v>44326</v>
      </c>
      <c r="F629" s="10" t="s">
        <v>1896</v>
      </c>
      <c r="G629" s="25">
        <v>44330</v>
      </c>
      <c r="H629" s="10" t="s">
        <v>1897</v>
      </c>
      <c r="I629" s="10" t="s">
        <v>1898</v>
      </c>
      <c r="J629" s="15">
        <v>193158.52</v>
      </c>
      <c r="K629" s="15">
        <v>192420.21072</v>
      </c>
      <c r="L629" s="15">
        <v>738.31</v>
      </c>
      <c r="M629" s="15">
        <v>636.47</v>
      </c>
      <c r="N629" s="15">
        <v>0</v>
      </c>
      <c r="O629" s="15">
        <v>101.84</v>
      </c>
      <c r="P629" s="2" t="s">
        <v>55</v>
      </c>
      <c r="Q629" s="16"/>
    </row>
    <row r="630" spans="1:17" x14ac:dyDescent="0.3">
      <c r="A630" s="10">
        <v>21733</v>
      </c>
      <c r="B630" s="2" t="s">
        <v>3981</v>
      </c>
      <c r="C630" s="13">
        <v>5548</v>
      </c>
      <c r="D630" s="2" t="s">
        <v>44</v>
      </c>
      <c r="E630" s="14">
        <v>44501</v>
      </c>
      <c r="F630" s="10" t="s">
        <v>1899</v>
      </c>
      <c r="G630" s="25">
        <v>44505</v>
      </c>
      <c r="H630" s="10" t="s">
        <v>1900</v>
      </c>
      <c r="I630" s="10" t="s">
        <v>1901</v>
      </c>
      <c r="J630" s="15">
        <v>320683.84000000003</v>
      </c>
      <c r="K630" s="15">
        <v>319942.71692000009</v>
      </c>
      <c r="L630" s="15">
        <v>741.12</v>
      </c>
      <c r="M630" s="15">
        <v>638.9</v>
      </c>
      <c r="N630" s="15">
        <v>0</v>
      </c>
      <c r="O630" s="15">
        <v>102.22</v>
      </c>
      <c r="P630" s="2" t="s">
        <v>55</v>
      </c>
      <c r="Q630" s="16"/>
    </row>
    <row r="631" spans="1:17" x14ac:dyDescent="0.3">
      <c r="A631" s="10">
        <v>21733</v>
      </c>
      <c r="B631" s="2" t="s">
        <v>3982</v>
      </c>
      <c r="C631" s="13">
        <v>5681</v>
      </c>
      <c r="D631" s="2" t="s">
        <v>44</v>
      </c>
      <c r="E631" s="14">
        <v>44606</v>
      </c>
      <c r="F631" s="10" t="s">
        <v>418</v>
      </c>
      <c r="G631" s="25">
        <v>44612</v>
      </c>
      <c r="H631" s="10" t="s">
        <v>1902</v>
      </c>
      <c r="I631" s="10" t="s">
        <v>1903</v>
      </c>
      <c r="J631" s="15">
        <v>202630.48</v>
      </c>
      <c r="K631" s="15">
        <v>201884.78527999998</v>
      </c>
      <c r="L631" s="15">
        <v>745.69</v>
      </c>
      <c r="M631" s="15">
        <v>642.84</v>
      </c>
      <c r="N631" s="15">
        <v>0</v>
      </c>
      <c r="O631" s="15">
        <v>102.85</v>
      </c>
      <c r="P631" s="2" t="s">
        <v>55</v>
      </c>
      <c r="Q631" s="16"/>
    </row>
    <row r="632" spans="1:17" x14ac:dyDescent="0.3">
      <c r="A632" s="10">
        <v>21733</v>
      </c>
      <c r="B632" s="2" t="s">
        <v>3983</v>
      </c>
      <c r="C632" s="13">
        <v>5681</v>
      </c>
      <c r="D632" s="2" t="s">
        <v>44</v>
      </c>
      <c r="E632" s="14">
        <v>44858</v>
      </c>
      <c r="F632" s="10" t="s">
        <v>1904</v>
      </c>
      <c r="G632" s="25">
        <v>44862</v>
      </c>
      <c r="H632" s="10" t="s">
        <v>1905</v>
      </c>
      <c r="I632" s="10" t="s">
        <v>1906</v>
      </c>
      <c r="J632" s="15">
        <v>265505.99</v>
      </c>
      <c r="K632" s="15">
        <v>264760.28036000003</v>
      </c>
      <c r="L632" s="15">
        <v>745.71</v>
      </c>
      <c r="M632" s="15">
        <v>642.85</v>
      </c>
      <c r="N632" s="15">
        <v>0</v>
      </c>
      <c r="O632" s="15">
        <v>102.86</v>
      </c>
      <c r="P632" s="2" t="s">
        <v>55</v>
      </c>
      <c r="Q632" s="16"/>
    </row>
    <row r="633" spans="1:17" x14ac:dyDescent="0.3">
      <c r="A633" s="10">
        <v>21733</v>
      </c>
      <c r="B633" s="2" t="s">
        <v>3984</v>
      </c>
      <c r="C633" s="13">
        <v>5681</v>
      </c>
      <c r="D633" s="2" t="s">
        <v>44</v>
      </c>
      <c r="E633" s="14">
        <v>44795</v>
      </c>
      <c r="F633" s="10" t="s">
        <v>1907</v>
      </c>
      <c r="G633" s="25">
        <v>44800</v>
      </c>
      <c r="H633" s="10" t="s">
        <v>1908</v>
      </c>
      <c r="I633" s="10" t="s">
        <v>1909</v>
      </c>
      <c r="J633" s="15">
        <v>387362.09</v>
      </c>
      <c r="K633" s="15">
        <v>386615.64136000001</v>
      </c>
      <c r="L633" s="15">
        <v>746.45</v>
      </c>
      <c r="M633" s="15">
        <v>643.49</v>
      </c>
      <c r="N633" s="15">
        <v>0</v>
      </c>
      <c r="O633" s="15">
        <v>102.96</v>
      </c>
      <c r="P633" s="2" t="s">
        <v>55</v>
      </c>
      <c r="Q633" s="16"/>
    </row>
    <row r="634" spans="1:17" x14ac:dyDescent="0.3">
      <c r="A634" s="10">
        <v>21733</v>
      </c>
      <c r="B634" s="2" t="s">
        <v>3985</v>
      </c>
      <c r="C634" s="13">
        <v>5681</v>
      </c>
      <c r="D634" s="2" t="s">
        <v>44</v>
      </c>
      <c r="E634" s="14">
        <v>44767</v>
      </c>
      <c r="F634" s="10" t="s">
        <v>1910</v>
      </c>
      <c r="G634" s="25">
        <v>44772</v>
      </c>
      <c r="H634" s="10" t="s">
        <v>1911</v>
      </c>
      <c r="I634" s="10" t="s">
        <v>1912</v>
      </c>
      <c r="J634" s="15">
        <v>649227.56000000006</v>
      </c>
      <c r="K634" s="15">
        <v>648474.02280000004</v>
      </c>
      <c r="L634" s="15">
        <v>753.54</v>
      </c>
      <c r="M634" s="15">
        <v>649.6</v>
      </c>
      <c r="N634" s="15">
        <v>0</v>
      </c>
      <c r="O634" s="15">
        <v>103.94</v>
      </c>
      <c r="P634" s="2" t="s">
        <v>55</v>
      </c>
      <c r="Q634" s="16"/>
    </row>
    <row r="635" spans="1:17" x14ac:dyDescent="0.3">
      <c r="A635" s="10">
        <v>21733</v>
      </c>
      <c r="B635" s="2" t="s">
        <v>3986</v>
      </c>
      <c r="C635" s="13">
        <v>5681</v>
      </c>
      <c r="D635" s="2" t="s">
        <v>44</v>
      </c>
      <c r="E635" s="14">
        <v>44536</v>
      </c>
      <c r="F635" s="10" t="s">
        <v>1913</v>
      </c>
      <c r="G635" s="25">
        <v>44541</v>
      </c>
      <c r="H635" s="10" t="s">
        <v>1914</v>
      </c>
      <c r="I635" s="10" t="s">
        <v>1915</v>
      </c>
      <c r="J635" s="15">
        <v>89226.28</v>
      </c>
      <c r="K635" s="15">
        <v>88472.014480000013</v>
      </c>
      <c r="L635" s="15">
        <v>754.27</v>
      </c>
      <c r="M635" s="15">
        <v>650.23</v>
      </c>
      <c r="N635" s="15">
        <v>0</v>
      </c>
      <c r="O635" s="15">
        <v>104.04</v>
      </c>
      <c r="P635" s="2" t="s">
        <v>55</v>
      </c>
      <c r="Q635" s="16"/>
    </row>
    <row r="636" spans="1:17" x14ac:dyDescent="0.3">
      <c r="A636" s="10">
        <v>21733</v>
      </c>
      <c r="B636" s="2" t="s">
        <v>3987</v>
      </c>
      <c r="C636" s="13">
        <v>5537</v>
      </c>
      <c r="D636" s="2" t="s">
        <v>44</v>
      </c>
      <c r="E636" s="14">
        <v>44634</v>
      </c>
      <c r="F636" s="10" t="s">
        <v>1916</v>
      </c>
      <c r="G636" s="25">
        <v>44641</v>
      </c>
      <c r="H636" s="10" t="s">
        <v>1917</v>
      </c>
      <c r="I636" s="10" t="s">
        <v>1918</v>
      </c>
      <c r="J636" s="15">
        <v>751977.94</v>
      </c>
      <c r="K636" s="15">
        <v>751221.95660000015</v>
      </c>
      <c r="L636" s="15">
        <v>755.98</v>
      </c>
      <c r="M636" s="15">
        <v>651.71</v>
      </c>
      <c r="N636" s="15">
        <v>0</v>
      </c>
      <c r="O636" s="15">
        <v>104.27</v>
      </c>
      <c r="P636" s="2" t="s">
        <v>55</v>
      </c>
      <c r="Q636" s="16"/>
    </row>
    <row r="637" spans="1:17" x14ac:dyDescent="0.3">
      <c r="A637" s="10">
        <v>21733</v>
      </c>
      <c r="B637" s="2" t="s">
        <v>3988</v>
      </c>
      <c r="C637" s="13">
        <v>5681</v>
      </c>
      <c r="D637" s="2" t="s">
        <v>44</v>
      </c>
      <c r="E637" s="14">
        <v>44571</v>
      </c>
      <c r="F637" s="10" t="s">
        <v>1919</v>
      </c>
      <c r="G637" s="25">
        <v>44577</v>
      </c>
      <c r="H637" s="10" t="s">
        <v>1920</v>
      </c>
      <c r="I637" s="10" t="s">
        <v>1921</v>
      </c>
      <c r="J637" s="15">
        <v>742846.91</v>
      </c>
      <c r="K637" s="15">
        <v>742090.13152000005</v>
      </c>
      <c r="L637" s="15">
        <v>756.78</v>
      </c>
      <c r="M637" s="15">
        <v>652.4</v>
      </c>
      <c r="N637" s="15">
        <v>0</v>
      </c>
      <c r="O637" s="15">
        <v>104.38</v>
      </c>
      <c r="P637" s="2" t="s">
        <v>55</v>
      </c>
      <c r="Q637" s="16"/>
    </row>
    <row r="638" spans="1:17" x14ac:dyDescent="0.3">
      <c r="A638" s="10">
        <v>21733</v>
      </c>
      <c r="B638" s="2" t="s">
        <v>3989</v>
      </c>
      <c r="C638" s="13">
        <v>5556</v>
      </c>
      <c r="D638" s="2" t="s">
        <v>44</v>
      </c>
      <c r="E638" s="14">
        <v>44741</v>
      </c>
      <c r="F638" s="10" t="s">
        <v>1922</v>
      </c>
      <c r="G638" s="25">
        <v>44747</v>
      </c>
      <c r="H638" s="10" t="s">
        <v>1923</v>
      </c>
      <c r="I638" s="10" t="s">
        <v>1924</v>
      </c>
      <c r="J638" s="15">
        <v>444461.46</v>
      </c>
      <c r="K638" s="15">
        <v>443701.24932</v>
      </c>
      <c r="L638" s="15">
        <v>760.21</v>
      </c>
      <c r="M638" s="15">
        <v>655.35</v>
      </c>
      <c r="N638" s="15">
        <v>0</v>
      </c>
      <c r="O638" s="15">
        <v>104.86</v>
      </c>
      <c r="P638" s="2" t="s">
        <v>55</v>
      </c>
      <c r="Q638" s="16"/>
    </row>
    <row r="639" spans="1:17" x14ac:dyDescent="0.3">
      <c r="A639" s="10">
        <v>21733</v>
      </c>
      <c r="B639" s="2" t="s">
        <v>3990</v>
      </c>
      <c r="C639" s="13">
        <v>5548</v>
      </c>
      <c r="D639" s="2" t="s">
        <v>44</v>
      </c>
      <c r="E639" s="14">
        <v>45048</v>
      </c>
      <c r="F639" s="10" t="s">
        <v>1925</v>
      </c>
      <c r="G639" s="25">
        <v>45073</v>
      </c>
      <c r="H639" s="10" t="s">
        <v>1926</v>
      </c>
      <c r="I639" s="10" t="s">
        <v>1927</v>
      </c>
      <c r="J639" s="15">
        <v>757805.44</v>
      </c>
      <c r="K639" s="15">
        <v>757036.41599999997</v>
      </c>
      <c r="L639" s="15">
        <v>769.02</v>
      </c>
      <c r="M639" s="15">
        <v>662.95</v>
      </c>
      <c r="N639" s="15">
        <v>0</v>
      </c>
      <c r="O639" s="15">
        <v>106.07</v>
      </c>
      <c r="P639" s="2" t="s">
        <v>55</v>
      </c>
      <c r="Q639" s="16"/>
    </row>
    <row r="640" spans="1:17" x14ac:dyDescent="0.3">
      <c r="A640" s="10">
        <v>21733</v>
      </c>
      <c r="B640" s="2" t="s">
        <v>3991</v>
      </c>
      <c r="C640" s="13">
        <v>5537</v>
      </c>
      <c r="D640" s="2" t="s">
        <v>44</v>
      </c>
      <c r="E640" s="14">
        <v>44519</v>
      </c>
      <c r="F640" s="10" t="s">
        <v>1928</v>
      </c>
      <c r="G640" s="25">
        <v>44531</v>
      </c>
      <c r="H640" s="10" t="s">
        <v>1929</v>
      </c>
      <c r="I640" s="10" t="s">
        <v>1930</v>
      </c>
      <c r="J640" s="15">
        <v>613637.55000000005</v>
      </c>
      <c r="K640" s="15">
        <v>612864.8555200001</v>
      </c>
      <c r="L640" s="15">
        <v>772.69</v>
      </c>
      <c r="M640" s="15">
        <v>666.12</v>
      </c>
      <c r="N640" s="15">
        <v>0</v>
      </c>
      <c r="O640" s="15">
        <v>106.58</v>
      </c>
      <c r="P640" s="2" t="s">
        <v>55</v>
      </c>
      <c r="Q640" s="16"/>
    </row>
    <row r="641" spans="1:17" x14ac:dyDescent="0.3">
      <c r="A641" s="10">
        <v>21733</v>
      </c>
      <c r="B641" s="2" t="s">
        <v>3992</v>
      </c>
      <c r="C641" s="13">
        <v>5548</v>
      </c>
      <c r="D641" s="2" t="s">
        <v>44</v>
      </c>
      <c r="E641" s="14">
        <v>45019</v>
      </c>
      <c r="F641" s="10" t="s">
        <v>1931</v>
      </c>
      <c r="G641" s="25">
        <v>45025</v>
      </c>
      <c r="H641" s="10" t="s">
        <v>1932</v>
      </c>
      <c r="I641" s="10" t="s">
        <v>1933</v>
      </c>
      <c r="J641" s="15">
        <v>933640.76</v>
      </c>
      <c r="K641" s="15">
        <v>932866.75911999983</v>
      </c>
      <c r="L641" s="15">
        <v>774</v>
      </c>
      <c r="M641" s="15">
        <v>667.24</v>
      </c>
      <c r="N641" s="15">
        <v>0</v>
      </c>
      <c r="O641" s="15">
        <v>106.76</v>
      </c>
      <c r="P641" s="2" t="s">
        <v>55</v>
      </c>
      <c r="Q641" s="16"/>
    </row>
    <row r="642" spans="1:17" x14ac:dyDescent="0.3">
      <c r="A642" s="10">
        <v>21733</v>
      </c>
      <c r="B642" s="2" t="s">
        <v>3993</v>
      </c>
      <c r="C642" s="13">
        <v>5681</v>
      </c>
      <c r="D642" s="2" t="s">
        <v>44</v>
      </c>
      <c r="E642" s="14">
        <v>44585</v>
      </c>
      <c r="F642" s="10" t="s">
        <v>1934</v>
      </c>
      <c r="G642" s="25">
        <v>44590</v>
      </c>
      <c r="H642" s="10" t="s">
        <v>1935</v>
      </c>
      <c r="I642" s="10" t="s">
        <v>1936</v>
      </c>
      <c r="J642" s="15">
        <v>84179.22</v>
      </c>
      <c r="K642" s="15">
        <v>83401.909679999997</v>
      </c>
      <c r="L642" s="15">
        <v>777.31</v>
      </c>
      <c r="M642" s="15">
        <v>670.1</v>
      </c>
      <c r="N642" s="15">
        <v>0</v>
      </c>
      <c r="O642" s="15">
        <v>107.22</v>
      </c>
      <c r="P642" s="2" t="s">
        <v>55</v>
      </c>
      <c r="Q642" s="16"/>
    </row>
    <row r="643" spans="1:17" x14ac:dyDescent="0.3">
      <c r="A643" s="10">
        <v>21733</v>
      </c>
      <c r="B643" s="2" t="s">
        <v>3994</v>
      </c>
      <c r="C643" s="13">
        <v>5681</v>
      </c>
      <c r="D643" s="2" t="s">
        <v>44</v>
      </c>
      <c r="E643" s="14">
        <v>44501</v>
      </c>
      <c r="F643" s="10" t="s">
        <v>1937</v>
      </c>
      <c r="G643" s="25">
        <v>44506</v>
      </c>
      <c r="H643" s="10" t="s">
        <v>1938</v>
      </c>
      <c r="I643" s="10" t="s">
        <v>1939</v>
      </c>
      <c r="J643" s="15">
        <v>15936.12</v>
      </c>
      <c r="K643" s="15">
        <v>15155.0056</v>
      </c>
      <c r="L643" s="15">
        <v>781.11</v>
      </c>
      <c r="M643" s="15">
        <v>673.37</v>
      </c>
      <c r="N643" s="15">
        <v>0</v>
      </c>
      <c r="O643" s="15">
        <v>107.74</v>
      </c>
      <c r="P643" s="2" t="s">
        <v>55</v>
      </c>
      <c r="Q643" s="16"/>
    </row>
    <row r="644" spans="1:17" x14ac:dyDescent="0.3">
      <c r="A644" s="10">
        <v>21733</v>
      </c>
      <c r="B644" s="2" t="s">
        <v>3995</v>
      </c>
      <c r="C644" s="13">
        <v>5557</v>
      </c>
      <c r="D644" s="2" t="s">
        <v>44</v>
      </c>
      <c r="E644" s="14">
        <v>44726</v>
      </c>
      <c r="F644" s="10" t="s">
        <v>1796</v>
      </c>
      <c r="G644" s="25">
        <v>44740</v>
      </c>
      <c r="H644" s="10" t="s">
        <v>1940</v>
      </c>
      <c r="I644" s="10" t="s">
        <v>1941</v>
      </c>
      <c r="J644" s="15">
        <v>78180.850000000006</v>
      </c>
      <c r="K644" s="15">
        <v>77399.041919999989</v>
      </c>
      <c r="L644" s="15">
        <v>781.81</v>
      </c>
      <c r="M644" s="15">
        <v>673.97</v>
      </c>
      <c r="N644" s="15">
        <v>0</v>
      </c>
      <c r="O644" s="15">
        <v>107.84</v>
      </c>
      <c r="P644" s="2" t="s">
        <v>55</v>
      </c>
      <c r="Q644" s="16"/>
    </row>
    <row r="645" spans="1:17" x14ac:dyDescent="0.3">
      <c r="A645" s="10">
        <v>21733</v>
      </c>
      <c r="B645" s="2" t="s">
        <v>3996</v>
      </c>
      <c r="C645" s="13">
        <v>5681</v>
      </c>
      <c r="D645" s="2" t="s">
        <v>44</v>
      </c>
      <c r="E645" s="14">
        <v>44487</v>
      </c>
      <c r="F645" s="10" t="s">
        <v>1942</v>
      </c>
      <c r="G645" s="25">
        <v>44492</v>
      </c>
      <c r="H645" s="10" t="s">
        <v>1943</v>
      </c>
      <c r="I645" s="10" t="s">
        <v>1944</v>
      </c>
      <c r="J645" s="15">
        <v>377192.79</v>
      </c>
      <c r="K645" s="15">
        <v>376409.85000000003</v>
      </c>
      <c r="L645" s="15">
        <v>782.94</v>
      </c>
      <c r="M645" s="15">
        <v>674.95</v>
      </c>
      <c r="N645" s="15">
        <v>0</v>
      </c>
      <c r="O645" s="15">
        <v>107.99</v>
      </c>
      <c r="P645" s="2" t="s">
        <v>55</v>
      </c>
      <c r="Q645" s="16"/>
    </row>
    <row r="646" spans="1:17" x14ac:dyDescent="0.3">
      <c r="A646" s="10">
        <v>21733</v>
      </c>
      <c r="B646" s="2" t="s">
        <v>3997</v>
      </c>
      <c r="C646" s="13">
        <v>5556</v>
      </c>
      <c r="D646" s="2" t="s">
        <v>44</v>
      </c>
      <c r="E646" s="14">
        <v>44727</v>
      </c>
      <c r="F646" s="10" t="s">
        <v>1945</v>
      </c>
      <c r="G646" s="25">
        <v>44734</v>
      </c>
      <c r="H646" s="10" t="s">
        <v>1946</v>
      </c>
      <c r="I646" s="10" t="s">
        <v>1947</v>
      </c>
      <c r="J646" s="15">
        <v>523171.72</v>
      </c>
      <c r="K646" s="15">
        <v>522388.12323999999</v>
      </c>
      <c r="L646" s="15">
        <v>783.6</v>
      </c>
      <c r="M646" s="15">
        <v>675.51</v>
      </c>
      <c r="N646" s="15">
        <v>0</v>
      </c>
      <c r="O646" s="15">
        <v>108.08</v>
      </c>
      <c r="P646" s="2" t="s">
        <v>55</v>
      </c>
      <c r="Q646" s="16"/>
    </row>
    <row r="647" spans="1:17" x14ac:dyDescent="0.3">
      <c r="A647" s="10">
        <v>21733</v>
      </c>
      <c r="B647" s="2" t="s">
        <v>3998</v>
      </c>
      <c r="C647" s="13">
        <v>5556</v>
      </c>
      <c r="D647" s="2" t="s">
        <v>44</v>
      </c>
      <c r="E647" s="14">
        <v>44804</v>
      </c>
      <c r="F647" s="10" t="s">
        <v>1948</v>
      </c>
      <c r="G647" s="25">
        <v>44812</v>
      </c>
      <c r="H647" s="10" t="s">
        <v>1949</v>
      </c>
      <c r="I647" s="10" t="s">
        <v>1950</v>
      </c>
      <c r="J647" s="15">
        <v>725473.57</v>
      </c>
      <c r="K647" s="15">
        <v>724687.36839999992</v>
      </c>
      <c r="L647" s="15">
        <v>786.2</v>
      </c>
      <c r="M647" s="15">
        <v>677.76</v>
      </c>
      <c r="N647" s="15">
        <v>0</v>
      </c>
      <c r="O647" s="15">
        <v>108.44</v>
      </c>
      <c r="P647" s="2" t="s">
        <v>55</v>
      </c>
      <c r="Q647" s="16"/>
    </row>
    <row r="648" spans="1:17" x14ac:dyDescent="0.3">
      <c r="A648" s="10">
        <v>21733</v>
      </c>
      <c r="B648" s="2" t="s">
        <v>3999</v>
      </c>
      <c r="C648" s="13">
        <v>5557</v>
      </c>
      <c r="D648" s="2" t="s">
        <v>44</v>
      </c>
      <c r="E648" s="14">
        <v>44739</v>
      </c>
      <c r="F648" s="10" t="s">
        <v>1951</v>
      </c>
      <c r="G648" s="25">
        <v>44744</v>
      </c>
      <c r="H648" s="10" t="s">
        <v>1952</v>
      </c>
      <c r="I648" s="10" t="s">
        <v>1953</v>
      </c>
      <c r="J648" s="15">
        <v>188810.73</v>
      </c>
      <c r="K648" s="15">
        <v>188017.70680000001</v>
      </c>
      <c r="L648" s="15">
        <v>793.02</v>
      </c>
      <c r="M648" s="15">
        <v>683.64</v>
      </c>
      <c r="N648" s="15">
        <v>0</v>
      </c>
      <c r="O648" s="15">
        <v>109.38</v>
      </c>
      <c r="P648" s="2" t="s">
        <v>55</v>
      </c>
      <c r="Q648" s="16"/>
    </row>
    <row r="649" spans="1:17" x14ac:dyDescent="0.3">
      <c r="A649" s="10">
        <v>21733</v>
      </c>
      <c r="B649" s="2" t="s">
        <v>4000</v>
      </c>
      <c r="C649" s="13">
        <v>5556</v>
      </c>
      <c r="D649" s="2" t="s">
        <v>44</v>
      </c>
      <c r="E649" s="14">
        <v>44741</v>
      </c>
      <c r="F649" s="10" t="s">
        <v>1954</v>
      </c>
      <c r="G649" s="25">
        <v>44747</v>
      </c>
      <c r="H649" s="10" t="s">
        <v>1955</v>
      </c>
      <c r="I649" s="10" t="s">
        <v>1956</v>
      </c>
      <c r="J649" s="15">
        <v>121050.89</v>
      </c>
      <c r="K649" s="15">
        <v>120255.62588000001</v>
      </c>
      <c r="L649" s="15">
        <v>795.26</v>
      </c>
      <c r="M649" s="15">
        <v>685.57</v>
      </c>
      <c r="N649" s="15">
        <v>0</v>
      </c>
      <c r="O649" s="15">
        <v>109.69</v>
      </c>
      <c r="P649" s="2" t="s">
        <v>55</v>
      </c>
      <c r="Q649" s="16"/>
    </row>
    <row r="650" spans="1:17" x14ac:dyDescent="0.3">
      <c r="A650" s="10">
        <v>21733</v>
      </c>
      <c r="B650" s="2" t="s">
        <v>4001</v>
      </c>
      <c r="C650" s="13">
        <v>5681</v>
      </c>
      <c r="D650" s="2" t="s">
        <v>44</v>
      </c>
      <c r="E650" s="14">
        <v>45047</v>
      </c>
      <c r="F650" s="10" t="s">
        <v>1957</v>
      </c>
      <c r="G650" s="25">
        <v>45054</v>
      </c>
      <c r="H650" s="10" t="s">
        <v>1958</v>
      </c>
      <c r="I650" s="10" t="s">
        <v>1959</v>
      </c>
      <c r="J650" s="15">
        <v>817294.95</v>
      </c>
      <c r="K650" s="15">
        <v>816496.49988000037</v>
      </c>
      <c r="L650" s="15">
        <v>798.45</v>
      </c>
      <c r="M650" s="15">
        <v>688.32</v>
      </c>
      <c r="N650" s="15">
        <v>0</v>
      </c>
      <c r="O650" s="15">
        <v>110.13</v>
      </c>
      <c r="P650" s="2" t="s">
        <v>55</v>
      </c>
      <c r="Q650" s="16"/>
    </row>
    <row r="651" spans="1:17" x14ac:dyDescent="0.3">
      <c r="A651" s="10">
        <v>21733</v>
      </c>
      <c r="B651" s="2" t="s">
        <v>4002</v>
      </c>
      <c r="C651" s="13">
        <v>5537</v>
      </c>
      <c r="D651" s="2" t="s">
        <v>44</v>
      </c>
      <c r="E651" s="14">
        <v>44382</v>
      </c>
      <c r="F651" s="10" t="s">
        <v>1960</v>
      </c>
      <c r="G651" s="25">
        <v>44387</v>
      </c>
      <c r="H651" s="10" t="s">
        <v>1961</v>
      </c>
      <c r="I651" s="10" t="s">
        <v>1962</v>
      </c>
      <c r="J651" s="15">
        <v>246261.37</v>
      </c>
      <c r="K651" s="15">
        <v>245460.84184000004</v>
      </c>
      <c r="L651" s="15">
        <v>800.53</v>
      </c>
      <c r="M651" s="15">
        <v>690.11</v>
      </c>
      <c r="N651" s="15">
        <v>0</v>
      </c>
      <c r="O651" s="15">
        <v>110.42</v>
      </c>
      <c r="P651" s="2" t="s">
        <v>55</v>
      </c>
      <c r="Q651" s="16"/>
    </row>
    <row r="652" spans="1:17" x14ac:dyDescent="0.3">
      <c r="A652" s="10">
        <v>21733</v>
      </c>
      <c r="B652" s="2" t="s">
        <v>4003</v>
      </c>
      <c r="C652" s="13">
        <v>5557</v>
      </c>
      <c r="D652" s="2" t="s">
        <v>44</v>
      </c>
      <c r="E652" s="14">
        <v>44732</v>
      </c>
      <c r="F652" s="10" t="s">
        <v>1963</v>
      </c>
      <c r="G652" s="25">
        <v>44738</v>
      </c>
      <c r="H652" s="10" t="s">
        <v>1964</v>
      </c>
      <c r="I652" s="10" t="s">
        <v>1965</v>
      </c>
      <c r="J652" s="15">
        <v>277136.19</v>
      </c>
      <c r="K652" s="15">
        <v>276335.41227999993</v>
      </c>
      <c r="L652" s="15">
        <v>800.78</v>
      </c>
      <c r="M652" s="15">
        <v>690.33</v>
      </c>
      <c r="N652" s="15">
        <v>0</v>
      </c>
      <c r="O652" s="15">
        <v>110.45</v>
      </c>
      <c r="P652" s="2" t="s">
        <v>55</v>
      </c>
      <c r="Q652" s="16"/>
    </row>
    <row r="653" spans="1:17" x14ac:dyDescent="0.3">
      <c r="A653" s="10">
        <v>21733</v>
      </c>
      <c r="B653" s="2" t="s">
        <v>4004</v>
      </c>
      <c r="C653" s="13">
        <v>5537</v>
      </c>
      <c r="D653" s="2" t="s">
        <v>44</v>
      </c>
      <c r="E653" s="14">
        <v>44410</v>
      </c>
      <c r="F653" s="10" t="s">
        <v>1966</v>
      </c>
      <c r="G653" s="25">
        <v>44414</v>
      </c>
      <c r="H653" s="10" t="s">
        <v>1967</v>
      </c>
      <c r="I653" s="10" t="s">
        <v>1968</v>
      </c>
      <c r="J653" s="15">
        <v>226975.7</v>
      </c>
      <c r="K653" s="15">
        <v>226171.25983999996</v>
      </c>
      <c r="L653" s="15">
        <v>804.44</v>
      </c>
      <c r="M653" s="15">
        <v>693.48</v>
      </c>
      <c r="N653" s="15">
        <v>0</v>
      </c>
      <c r="O653" s="15">
        <v>110.96</v>
      </c>
      <c r="P653" s="2" t="s">
        <v>55</v>
      </c>
      <c r="Q653" s="16"/>
    </row>
    <row r="654" spans="1:17" x14ac:dyDescent="0.3">
      <c r="A654" s="10">
        <v>21733</v>
      </c>
      <c r="B654" s="2" t="s">
        <v>4005</v>
      </c>
      <c r="C654" s="13">
        <v>5537</v>
      </c>
      <c r="D654" s="2" t="s">
        <v>44</v>
      </c>
      <c r="E654" s="14">
        <v>44970</v>
      </c>
      <c r="F654" s="10" t="s">
        <v>1969</v>
      </c>
      <c r="G654" s="25">
        <v>44975</v>
      </c>
      <c r="H654" s="10" t="s">
        <v>1970</v>
      </c>
      <c r="I654" s="10" t="s">
        <v>1971</v>
      </c>
      <c r="J654" s="15">
        <v>586478.35</v>
      </c>
      <c r="K654" s="15">
        <v>585669.05687999981</v>
      </c>
      <c r="L654" s="15">
        <v>809.29</v>
      </c>
      <c r="M654" s="15">
        <v>697.67</v>
      </c>
      <c r="N654" s="15">
        <v>0</v>
      </c>
      <c r="O654" s="15">
        <v>111.63</v>
      </c>
      <c r="P654" s="2" t="s">
        <v>55</v>
      </c>
      <c r="Q654" s="16"/>
    </row>
    <row r="655" spans="1:17" x14ac:dyDescent="0.3">
      <c r="A655" s="10">
        <v>21733</v>
      </c>
      <c r="B655" s="2" t="s">
        <v>4006</v>
      </c>
      <c r="C655" s="13">
        <v>5549</v>
      </c>
      <c r="D655" s="2" t="s">
        <v>44</v>
      </c>
      <c r="E655" s="14">
        <v>44487</v>
      </c>
      <c r="F655" s="10" t="s">
        <v>1972</v>
      </c>
      <c r="G655" s="25">
        <v>44491</v>
      </c>
      <c r="H655" s="10" t="s">
        <v>1973</v>
      </c>
      <c r="I655" s="10" t="s">
        <v>1974</v>
      </c>
      <c r="J655" s="15">
        <v>1015369.09</v>
      </c>
      <c r="K655" s="15">
        <v>1014559.3334000001</v>
      </c>
      <c r="L655" s="15">
        <v>809.76</v>
      </c>
      <c r="M655" s="15">
        <v>698.07</v>
      </c>
      <c r="N655" s="15">
        <v>0</v>
      </c>
      <c r="O655" s="15">
        <v>111.69</v>
      </c>
      <c r="P655" s="2" t="s">
        <v>55</v>
      </c>
      <c r="Q655" s="16"/>
    </row>
    <row r="656" spans="1:17" x14ac:dyDescent="0.3">
      <c r="A656" s="10">
        <v>21733</v>
      </c>
      <c r="B656" s="2" t="s">
        <v>4007</v>
      </c>
      <c r="C656" s="13">
        <v>5681</v>
      </c>
      <c r="D656" s="2" t="s">
        <v>44</v>
      </c>
      <c r="E656" s="14">
        <v>44746</v>
      </c>
      <c r="F656" s="10" t="s">
        <v>1975</v>
      </c>
      <c r="G656" s="25">
        <v>44751</v>
      </c>
      <c r="H656" s="10" t="s">
        <v>1976</v>
      </c>
      <c r="I656" s="10" t="s">
        <v>1977</v>
      </c>
      <c r="J656" s="15">
        <v>224253.38</v>
      </c>
      <c r="K656" s="15">
        <v>223442.34127999999</v>
      </c>
      <c r="L656" s="15">
        <v>811.04</v>
      </c>
      <c r="M656" s="15">
        <v>699.17</v>
      </c>
      <c r="N656" s="15">
        <v>0</v>
      </c>
      <c r="O656" s="15">
        <v>111.87</v>
      </c>
      <c r="P656" s="2" t="s">
        <v>55</v>
      </c>
      <c r="Q656" s="16"/>
    </row>
    <row r="657" spans="1:17" x14ac:dyDescent="0.3">
      <c r="A657" s="10">
        <v>21733</v>
      </c>
      <c r="B657" s="2" t="s">
        <v>4008</v>
      </c>
      <c r="C657" s="13">
        <v>5681</v>
      </c>
      <c r="D657" s="2" t="s">
        <v>44</v>
      </c>
      <c r="E657" s="14">
        <v>44704</v>
      </c>
      <c r="F657" s="10" t="s">
        <v>1978</v>
      </c>
      <c r="G657" s="25">
        <v>44709</v>
      </c>
      <c r="H657" s="10" t="s">
        <v>1979</v>
      </c>
      <c r="I657" s="10" t="s">
        <v>1980</v>
      </c>
      <c r="J657" s="15">
        <v>594747.81999999995</v>
      </c>
      <c r="K657" s="15">
        <v>593936.51144000003</v>
      </c>
      <c r="L657" s="15">
        <v>811.31</v>
      </c>
      <c r="M657" s="15">
        <v>699.4</v>
      </c>
      <c r="N657" s="15">
        <v>0</v>
      </c>
      <c r="O657" s="15">
        <v>111.9</v>
      </c>
      <c r="P657" s="2" t="s">
        <v>55</v>
      </c>
      <c r="Q657" s="16"/>
    </row>
    <row r="658" spans="1:17" x14ac:dyDescent="0.3">
      <c r="A658" s="10">
        <v>21733</v>
      </c>
      <c r="B658" s="2" t="s">
        <v>4009</v>
      </c>
      <c r="C658" s="13">
        <v>5681</v>
      </c>
      <c r="D658" s="2" t="s">
        <v>44</v>
      </c>
      <c r="E658" s="14">
        <v>44410</v>
      </c>
      <c r="F658" s="10" t="s">
        <v>1981</v>
      </c>
      <c r="G658" s="25">
        <v>44415</v>
      </c>
      <c r="H658" s="10" t="s">
        <v>1982</v>
      </c>
      <c r="I658" s="10" t="s">
        <v>1983</v>
      </c>
      <c r="J658" s="15">
        <v>150150.94</v>
      </c>
      <c r="K658" s="15">
        <v>149338.93591999996</v>
      </c>
      <c r="L658" s="15">
        <v>812</v>
      </c>
      <c r="M658" s="15">
        <v>700</v>
      </c>
      <c r="N658" s="15">
        <v>0</v>
      </c>
      <c r="O658" s="15">
        <v>112</v>
      </c>
      <c r="P658" s="2" t="s">
        <v>55</v>
      </c>
      <c r="Q658" s="16"/>
    </row>
    <row r="659" spans="1:17" x14ac:dyDescent="0.3">
      <c r="A659" s="10">
        <v>21733</v>
      </c>
      <c r="B659" s="2" t="s">
        <v>4010</v>
      </c>
      <c r="C659" s="13">
        <v>5554</v>
      </c>
      <c r="D659" s="2" t="s">
        <v>44</v>
      </c>
      <c r="E659" s="14">
        <v>43885</v>
      </c>
      <c r="F659" s="10" t="s">
        <v>1984</v>
      </c>
      <c r="G659" s="25">
        <v>43889</v>
      </c>
      <c r="H659" s="10" t="s">
        <v>1985</v>
      </c>
      <c r="I659" s="10" t="s">
        <v>1986</v>
      </c>
      <c r="J659" s="15">
        <v>476430.43</v>
      </c>
      <c r="K659" s="15">
        <v>475617.11348000006</v>
      </c>
      <c r="L659" s="15">
        <v>813.32</v>
      </c>
      <c r="M659" s="15">
        <v>701.13</v>
      </c>
      <c r="N659" s="15">
        <v>0</v>
      </c>
      <c r="O659" s="15">
        <v>112.18</v>
      </c>
      <c r="P659" s="2" t="s">
        <v>55</v>
      </c>
      <c r="Q659" s="16"/>
    </row>
    <row r="660" spans="1:17" x14ac:dyDescent="0.3">
      <c r="A660" s="10">
        <v>21733</v>
      </c>
      <c r="B660" s="2" t="s">
        <v>4011</v>
      </c>
      <c r="C660" s="13">
        <v>5548</v>
      </c>
      <c r="D660" s="2" t="s">
        <v>44</v>
      </c>
      <c r="E660" s="14">
        <v>44298</v>
      </c>
      <c r="F660" s="10" t="s">
        <v>1987</v>
      </c>
      <c r="G660" s="25">
        <v>44302</v>
      </c>
      <c r="H660" s="10" t="s">
        <v>1988</v>
      </c>
      <c r="I660" s="10" t="s">
        <v>1989</v>
      </c>
      <c r="J660" s="15">
        <v>359401.42</v>
      </c>
      <c r="K660" s="15">
        <v>358588.0624</v>
      </c>
      <c r="L660" s="15">
        <v>813.36</v>
      </c>
      <c r="M660" s="15">
        <v>701.17</v>
      </c>
      <c r="N660" s="15">
        <v>0</v>
      </c>
      <c r="O660" s="15">
        <v>112.19</v>
      </c>
      <c r="P660" s="2" t="s">
        <v>55</v>
      </c>
      <c r="Q660" s="16"/>
    </row>
    <row r="661" spans="1:17" x14ac:dyDescent="0.3">
      <c r="A661" s="10">
        <v>21733</v>
      </c>
      <c r="B661" s="2" t="s">
        <v>4012</v>
      </c>
      <c r="C661" s="13">
        <v>5681</v>
      </c>
      <c r="D661" s="2" t="s">
        <v>44</v>
      </c>
      <c r="E661" s="14">
        <v>44326</v>
      </c>
      <c r="F661" s="10" t="s">
        <v>1990</v>
      </c>
      <c r="G661" s="25">
        <v>44331</v>
      </c>
      <c r="H661" s="10" t="s">
        <v>1991</v>
      </c>
      <c r="I661" s="10" t="s">
        <v>1992</v>
      </c>
      <c r="J661" s="15">
        <v>83169.509999999995</v>
      </c>
      <c r="K661" s="15">
        <v>82352.110840000023</v>
      </c>
      <c r="L661" s="15">
        <v>817.4</v>
      </c>
      <c r="M661" s="15">
        <v>704.65</v>
      </c>
      <c r="N661" s="15">
        <v>0</v>
      </c>
      <c r="O661" s="15">
        <v>112.74</v>
      </c>
      <c r="P661" s="2" t="s">
        <v>55</v>
      </c>
      <c r="Q661" s="16"/>
    </row>
    <row r="662" spans="1:17" x14ac:dyDescent="0.3">
      <c r="A662" s="10">
        <v>21733</v>
      </c>
      <c r="B662" s="2" t="s">
        <v>4013</v>
      </c>
      <c r="C662" s="13">
        <v>5537</v>
      </c>
      <c r="D662" s="2" t="s">
        <v>44</v>
      </c>
      <c r="E662" s="14">
        <v>44466</v>
      </c>
      <c r="F662" s="10" t="s">
        <v>1993</v>
      </c>
      <c r="G662" s="25">
        <v>44470</v>
      </c>
      <c r="H662" s="10" t="s">
        <v>1994</v>
      </c>
      <c r="I662" s="10" t="s">
        <v>1995</v>
      </c>
      <c r="J662" s="15">
        <v>426356.7</v>
      </c>
      <c r="K662" s="15">
        <v>425538.67808000004</v>
      </c>
      <c r="L662" s="15">
        <v>818.02</v>
      </c>
      <c r="M662" s="15">
        <v>705.19</v>
      </c>
      <c r="N662" s="15">
        <v>0</v>
      </c>
      <c r="O662" s="15">
        <v>112.83</v>
      </c>
      <c r="P662" s="2" t="s">
        <v>55</v>
      </c>
      <c r="Q662" s="16"/>
    </row>
    <row r="663" spans="1:17" x14ac:dyDescent="0.3">
      <c r="A663" s="10">
        <v>21733</v>
      </c>
      <c r="B663" s="2" t="s">
        <v>4014</v>
      </c>
      <c r="C663" s="13">
        <v>5549</v>
      </c>
      <c r="D663" s="2" t="s">
        <v>44</v>
      </c>
      <c r="E663" s="14">
        <v>44809</v>
      </c>
      <c r="F663" s="10" t="s">
        <v>684</v>
      </c>
      <c r="G663" s="25">
        <v>44815</v>
      </c>
      <c r="H663" s="10" t="s">
        <v>1996</v>
      </c>
      <c r="I663" s="10" t="s">
        <v>1997</v>
      </c>
      <c r="J663" s="15">
        <v>794899.19</v>
      </c>
      <c r="K663" s="15">
        <v>794074.06992000015</v>
      </c>
      <c r="L663" s="15">
        <v>825.12</v>
      </c>
      <c r="M663" s="15">
        <v>711.31</v>
      </c>
      <c r="N663" s="15">
        <v>0</v>
      </c>
      <c r="O663" s="15">
        <v>113.81</v>
      </c>
      <c r="P663" s="2" t="s">
        <v>55</v>
      </c>
      <c r="Q663" s="16"/>
    </row>
    <row r="664" spans="1:17" x14ac:dyDescent="0.3">
      <c r="A664" s="10">
        <v>21733</v>
      </c>
      <c r="B664" s="2" t="s">
        <v>4015</v>
      </c>
      <c r="C664" s="13">
        <v>5556</v>
      </c>
      <c r="D664" s="2" t="s">
        <v>44</v>
      </c>
      <c r="E664" s="14">
        <v>44874</v>
      </c>
      <c r="F664" s="10" t="s">
        <v>1998</v>
      </c>
      <c r="G664" s="25">
        <v>44882</v>
      </c>
      <c r="H664" s="10" t="s">
        <v>1999</v>
      </c>
      <c r="I664" s="10" t="s">
        <v>2000</v>
      </c>
      <c r="J664" s="15">
        <v>153601.82</v>
      </c>
      <c r="K664" s="15">
        <v>152776.43236000001</v>
      </c>
      <c r="L664" s="15">
        <v>825.39</v>
      </c>
      <c r="M664" s="15">
        <v>711.54</v>
      </c>
      <c r="N664" s="15">
        <v>0</v>
      </c>
      <c r="O664" s="15">
        <v>113.85</v>
      </c>
      <c r="P664" s="2" t="s">
        <v>55</v>
      </c>
      <c r="Q664" s="16"/>
    </row>
    <row r="665" spans="1:17" x14ac:dyDescent="0.3">
      <c r="A665" s="10">
        <v>21733</v>
      </c>
      <c r="B665" s="2" t="s">
        <v>4016</v>
      </c>
      <c r="C665" s="13">
        <v>5681</v>
      </c>
      <c r="D665" s="2" t="s">
        <v>44</v>
      </c>
      <c r="E665" s="14">
        <v>44746</v>
      </c>
      <c r="F665" s="10" t="s">
        <v>2001</v>
      </c>
      <c r="G665" s="25">
        <v>44751</v>
      </c>
      <c r="H665" s="10" t="s">
        <v>2002</v>
      </c>
      <c r="I665" s="10" t="s">
        <v>2003</v>
      </c>
      <c r="J665" s="15">
        <v>231107.92</v>
      </c>
      <c r="K665" s="15">
        <v>230281.33008000001</v>
      </c>
      <c r="L665" s="15">
        <v>826.59</v>
      </c>
      <c r="M665" s="15">
        <v>712.58</v>
      </c>
      <c r="N665" s="15">
        <v>0</v>
      </c>
      <c r="O665" s="15">
        <v>114.01</v>
      </c>
      <c r="P665" s="2" t="s">
        <v>55</v>
      </c>
      <c r="Q665" s="16"/>
    </row>
    <row r="666" spans="1:17" x14ac:dyDescent="0.3">
      <c r="A666" s="10">
        <v>21733</v>
      </c>
      <c r="B666" s="2" t="s">
        <v>4017</v>
      </c>
      <c r="C666" s="13">
        <v>5681</v>
      </c>
      <c r="D666" s="2" t="s">
        <v>44</v>
      </c>
      <c r="E666" s="14">
        <v>44718</v>
      </c>
      <c r="F666" s="10" t="s">
        <v>2004</v>
      </c>
      <c r="G666" s="25">
        <v>44723</v>
      </c>
      <c r="H666" s="10" t="s">
        <v>2005</v>
      </c>
      <c r="I666" s="10" t="s">
        <v>2006</v>
      </c>
      <c r="J666" s="15">
        <v>381937.25</v>
      </c>
      <c r="K666" s="15">
        <v>381108.06112000003</v>
      </c>
      <c r="L666" s="15">
        <v>829.19</v>
      </c>
      <c r="M666" s="15">
        <v>714.82</v>
      </c>
      <c r="N666" s="15">
        <v>0</v>
      </c>
      <c r="O666" s="15">
        <v>114.37</v>
      </c>
      <c r="P666" s="2" t="s">
        <v>55</v>
      </c>
      <c r="Q666" s="16"/>
    </row>
    <row r="667" spans="1:17" x14ac:dyDescent="0.3">
      <c r="A667" s="10">
        <v>21733</v>
      </c>
      <c r="B667" s="2" t="s">
        <v>4018</v>
      </c>
      <c r="C667" s="13">
        <v>5556</v>
      </c>
      <c r="D667" s="2" t="s">
        <v>44</v>
      </c>
      <c r="E667" s="14">
        <v>44657</v>
      </c>
      <c r="F667" s="10" t="s">
        <v>2007</v>
      </c>
      <c r="G667" s="25">
        <v>44663</v>
      </c>
      <c r="H667" s="10" t="s">
        <v>2008</v>
      </c>
      <c r="I667" s="10" t="s">
        <v>2009</v>
      </c>
      <c r="J667" s="15">
        <v>311914.5</v>
      </c>
      <c r="K667" s="15">
        <v>311078.12800000003</v>
      </c>
      <c r="L667" s="15">
        <v>836.37</v>
      </c>
      <c r="M667" s="15">
        <v>721.01</v>
      </c>
      <c r="N667" s="15">
        <v>0</v>
      </c>
      <c r="O667" s="15">
        <v>115.36</v>
      </c>
      <c r="P667" s="2" t="s">
        <v>55</v>
      </c>
      <c r="Q667" s="16"/>
    </row>
    <row r="668" spans="1:17" x14ac:dyDescent="0.3">
      <c r="A668" s="10">
        <v>21733</v>
      </c>
      <c r="B668" s="2" t="s">
        <v>4019</v>
      </c>
      <c r="C668" s="13">
        <v>5556</v>
      </c>
      <c r="D668" s="2" t="s">
        <v>44</v>
      </c>
      <c r="E668" s="14">
        <v>44888</v>
      </c>
      <c r="F668" s="10" t="s">
        <v>2010</v>
      </c>
      <c r="G668" s="25">
        <v>44896</v>
      </c>
      <c r="H668" s="10" t="s">
        <v>2011</v>
      </c>
      <c r="I668" s="10" t="s">
        <v>2012</v>
      </c>
      <c r="J668" s="15">
        <v>269543.77</v>
      </c>
      <c r="K668" s="15">
        <v>268705.08076000004</v>
      </c>
      <c r="L668" s="15">
        <v>838.69</v>
      </c>
      <c r="M668" s="15">
        <v>723.01</v>
      </c>
      <c r="N668" s="15">
        <v>0</v>
      </c>
      <c r="O668" s="15">
        <v>115.68</v>
      </c>
      <c r="P668" s="2" t="s">
        <v>55</v>
      </c>
      <c r="Q668" s="16"/>
    </row>
    <row r="669" spans="1:17" x14ac:dyDescent="0.3">
      <c r="A669" s="10">
        <v>21733</v>
      </c>
      <c r="B669" s="2" t="s">
        <v>4020</v>
      </c>
      <c r="C669" s="13">
        <v>5556</v>
      </c>
      <c r="D669" s="2" t="s">
        <v>44</v>
      </c>
      <c r="E669" s="14">
        <v>45035</v>
      </c>
      <c r="F669" s="10" t="s">
        <v>511</v>
      </c>
      <c r="G669" s="25">
        <v>45043</v>
      </c>
      <c r="H669" s="10" t="s">
        <v>2013</v>
      </c>
      <c r="I669" s="10" t="s">
        <v>2014</v>
      </c>
      <c r="J669" s="15">
        <v>786891.08</v>
      </c>
      <c r="K669" s="15">
        <v>786052.21752000018</v>
      </c>
      <c r="L669" s="15">
        <v>838.86</v>
      </c>
      <c r="M669" s="15">
        <v>723.16</v>
      </c>
      <c r="N669" s="15">
        <v>0</v>
      </c>
      <c r="O669" s="15">
        <v>115.71</v>
      </c>
      <c r="P669" s="2" t="s">
        <v>55</v>
      </c>
      <c r="Q669" s="16"/>
    </row>
    <row r="670" spans="1:17" x14ac:dyDescent="0.3">
      <c r="A670" s="10">
        <v>21733</v>
      </c>
      <c r="B670" s="2" t="s">
        <v>4021</v>
      </c>
      <c r="C670" s="13">
        <v>5537</v>
      </c>
      <c r="D670" s="2" t="s">
        <v>44</v>
      </c>
      <c r="E670" s="14">
        <v>44879</v>
      </c>
      <c r="F670" s="10" t="s">
        <v>2015</v>
      </c>
      <c r="G670" s="25">
        <v>44888</v>
      </c>
      <c r="H670" s="10" t="s">
        <v>2016</v>
      </c>
      <c r="I670" s="10" t="s">
        <v>2017</v>
      </c>
      <c r="J670" s="15">
        <v>857841.8</v>
      </c>
      <c r="K670" s="15">
        <v>857001.03884000017</v>
      </c>
      <c r="L670" s="15">
        <v>840.76</v>
      </c>
      <c r="M670" s="15">
        <v>724.79</v>
      </c>
      <c r="N670" s="15">
        <v>0</v>
      </c>
      <c r="O670" s="15">
        <v>115.97</v>
      </c>
      <c r="P670" s="2" t="s">
        <v>55</v>
      </c>
      <c r="Q670" s="16"/>
    </row>
    <row r="671" spans="1:17" x14ac:dyDescent="0.3">
      <c r="A671" s="10">
        <v>21733</v>
      </c>
      <c r="B671" s="2" t="s">
        <v>4022</v>
      </c>
      <c r="C671" s="13">
        <v>5537</v>
      </c>
      <c r="D671" s="2" t="s">
        <v>44</v>
      </c>
      <c r="E671" s="14">
        <v>44739</v>
      </c>
      <c r="F671" s="10" t="s">
        <v>2018</v>
      </c>
      <c r="G671" s="25">
        <v>44746</v>
      </c>
      <c r="H671" s="10" t="s">
        <v>2019</v>
      </c>
      <c r="I671" s="10" t="s">
        <v>2020</v>
      </c>
      <c r="J671" s="15">
        <v>274037.01</v>
      </c>
      <c r="K671" s="15">
        <v>273192.61731999996</v>
      </c>
      <c r="L671" s="15">
        <v>844.39</v>
      </c>
      <c r="M671" s="15">
        <v>727.92</v>
      </c>
      <c r="N671" s="15">
        <v>0</v>
      </c>
      <c r="O671" s="15">
        <v>116.47</v>
      </c>
      <c r="P671" s="2" t="s">
        <v>55</v>
      </c>
      <c r="Q671" s="16"/>
    </row>
    <row r="672" spans="1:17" x14ac:dyDescent="0.3">
      <c r="A672" s="10">
        <v>21733</v>
      </c>
      <c r="B672" s="2" t="s">
        <v>4023</v>
      </c>
      <c r="C672" s="13">
        <v>5557</v>
      </c>
      <c r="D672" s="2" t="s">
        <v>44</v>
      </c>
      <c r="E672" s="14">
        <v>44711</v>
      </c>
      <c r="F672" s="10" t="s">
        <v>2021</v>
      </c>
      <c r="G672" s="25">
        <v>44717</v>
      </c>
      <c r="H672" s="10" t="s">
        <v>2022</v>
      </c>
      <c r="I672" s="10" t="s">
        <v>2023</v>
      </c>
      <c r="J672" s="15">
        <v>937630.45</v>
      </c>
      <c r="K672" s="15">
        <v>936785.38643999991</v>
      </c>
      <c r="L672" s="15">
        <v>845.06</v>
      </c>
      <c r="M672" s="15">
        <v>728.5</v>
      </c>
      <c r="N672" s="15">
        <v>0</v>
      </c>
      <c r="O672" s="15">
        <v>116.56</v>
      </c>
      <c r="P672" s="2" t="s">
        <v>55</v>
      </c>
      <c r="Q672" s="16"/>
    </row>
    <row r="673" spans="1:17" x14ac:dyDescent="0.3">
      <c r="A673" s="10">
        <v>21733</v>
      </c>
      <c r="B673" s="2" t="s">
        <v>4024</v>
      </c>
      <c r="C673" s="13">
        <v>5557</v>
      </c>
      <c r="D673" s="2" t="s">
        <v>44</v>
      </c>
      <c r="E673" s="14">
        <v>44634</v>
      </c>
      <c r="F673" s="10" t="s">
        <v>2024</v>
      </c>
      <c r="G673" s="25">
        <v>44638</v>
      </c>
      <c r="H673" s="10" t="s">
        <v>2025</v>
      </c>
      <c r="I673" s="10" t="s">
        <v>2026</v>
      </c>
      <c r="J673" s="15">
        <v>469232.51</v>
      </c>
      <c r="K673" s="15">
        <v>468387.38332000008</v>
      </c>
      <c r="L673" s="15">
        <v>845.13</v>
      </c>
      <c r="M673" s="15">
        <v>728.56</v>
      </c>
      <c r="N673" s="15">
        <v>0</v>
      </c>
      <c r="O673" s="15">
        <v>116.57</v>
      </c>
      <c r="P673" s="2" t="s">
        <v>55</v>
      </c>
      <c r="Q673" s="16"/>
    </row>
    <row r="674" spans="1:17" x14ac:dyDescent="0.3">
      <c r="A674" s="10">
        <v>21733</v>
      </c>
      <c r="B674" s="2" t="s">
        <v>4025</v>
      </c>
      <c r="C674" s="13">
        <v>5557</v>
      </c>
      <c r="D674" s="2" t="s">
        <v>44</v>
      </c>
      <c r="E674" s="14">
        <v>44291</v>
      </c>
      <c r="F674" s="10" t="s">
        <v>2027</v>
      </c>
      <c r="G674" s="25">
        <v>44300</v>
      </c>
      <c r="H674" s="10" t="s">
        <v>2028</v>
      </c>
      <c r="I674" s="10" t="s">
        <v>2029</v>
      </c>
      <c r="J674" s="15">
        <v>173207.56</v>
      </c>
      <c r="K674" s="15">
        <v>172359.23916000003</v>
      </c>
      <c r="L674" s="15">
        <v>848.32</v>
      </c>
      <c r="M674" s="15">
        <v>731.31</v>
      </c>
      <c r="N674" s="15">
        <v>0</v>
      </c>
      <c r="O674" s="15">
        <v>117.01</v>
      </c>
      <c r="P674" s="2" t="s">
        <v>55</v>
      </c>
      <c r="Q674" s="16"/>
    </row>
    <row r="675" spans="1:17" x14ac:dyDescent="0.3">
      <c r="A675" s="10">
        <v>21733</v>
      </c>
      <c r="B675" s="2" t="s">
        <v>4026</v>
      </c>
      <c r="C675" s="13">
        <v>5548</v>
      </c>
      <c r="D675" s="2" t="s">
        <v>44</v>
      </c>
      <c r="E675" s="14">
        <v>44578</v>
      </c>
      <c r="F675" s="10" t="s">
        <v>2030</v>
      </c>
      <c r="G675" s="25">
        <v>44582</v>
      </c>
      <c r="H675" s="10" t="s">
        <v>2031</v>
      </c>
      <c r="I675" s="10" t="s">
        <v>2032</v>
      </c>
      <c r="J675" s="15">
        <v>109032.64</v>
      </c>
      <c r="K675" s="15">
        <v>108183.06624</v>
      </c>
      <c r="L675" s="15">
        <v>849.57</v>
      </c>
      <c r="M675" s="15">
        <v>732.39</v>
      </c>
      <c r="N675" s="15">
        <v>0</v>
      </c>
      <c r="O675" s="15">
        <v>117.18</v>
      </c>
      <c r="P675" s="2" t="s">
        <v>55</v>
      </c>
      <c r="Q675" s="16"/>
    </row>
    <row r="676" spans="1:17" x14ac:dyDescent="0.3">
      <c r="A676" s="10">
        <v>21733</v>
      </c>
      <c r="B676" s="2" t="s">
        <v>4027</v>
      </c>
      <c r="C676" s="13">
        <v>5556</v>
      </c>
      <c r="D676" s="2" t="s">
        <v>44</v>
      </c>
      <c r="E676" s="14">
        <v>44342</v>
      </c>
      <c r="F676" s="10" t="s">
        <v>2033</v>
      </c>
      <c r="G676" s="25">
        <v>44348</v>
      </c>
      <c r="H676" s="10" t="s">
        <v>2034</v>
      </c>
      <c r="I676" s="10" t="s">
        <v>2035</v>
      </c>
      <c r="J676" s="15">
        <v>117866.66</v>
      </c>
      <c r="K676" s="15">
        <v>117016.6704</v>
      </c>
      <c r="L676" s="15">
        <v>849.99</v>
      </c>
      <c r="M676" s="15">
        <v>732.75</v>
      </c>
      <c r="N676" s="15">
        <v>0</v>
      </c>
      <c r="O676" s="15">
        <v>117.24</v>
      </c>
      <c r="P676" s="2" t="s">
        <v>55</v>
      </c>
      <c r="Q676" s="16"/>
    </row>
    <row r="677" spans="1:17" x14ac:dyDescent="0.3">
      <c r="A677" s="10">
        <v>21733</v>
      </c>
      <c r="B677" s="2" t="s">
        <v>4028</v>
      </c>
      <c r="C677" s="13">
        <v>5557</v>
      </c>
      <c r="D677" s="2" t="s">
        <v>44</v>
      </c>
      <c r="E677" s="14">
        <v>44305</v>
      </c>
      <c r="F677" s="10" t="s">
        <v>2036</v>
      </c>
      <c r="G677" s="25">
        <v>44310</v>
      </c>
      <c r="H677" s="10" t="s">
        <v>2037</v>
      </c>
      <c r="I677" s="10" t="s">
        <v>2038</v>
      </c>
      <c r="J677" s="15">
        <v>270733.2</v>
      </c>
      <c r="K677" s="15">
        <v>269882.88792000001</v>
      </c>
      <c r="L677" s="15">
        <v>850.31</v>
      </c>
      <c r="M677" s="15">
        <v>733.03</v>
      </c>
      <c r="N677" s="15">
        <v>0</v>
      </c>
      <c r="O677" s="15">
        <v>117.28</v>
      </c>
      <c r="P677" s="2" t="s">
        <v>55</v>
      </c>
      <c r="Q677" s="16"/>
    </row>
    <row r="678" spans="1:17" x14ac:dyDescent="0.3">
      <c r="A678" s="10">
        <v>21733</v>
      </c>
      <c r="B678" s="2" t="s">
        <v>4029</v>
      </c>
      <c r="C678" s="13">
        <v>5557</v>
      </c>
      <c r="D678" s="2" t="s">
        <v>44</v>
      </c>
      <c r="E678" s="14">
        <v>44767</v>
      </c>
      <c r="F678" s="10" t="s">
        <v>2039</v>
      </c>
      <c r="G678" s="25">
        <v>44772</v>
      </c>
      <c r="H678" s="10" t="s">
        <v>2040</v>
      </c>
      <c r="I678" s="10" t="s">
        <v>2041</v>
      </c>
      <c r="J678" s="15">
        <v>210786.65</v>
      </c>
      <c r="K678" s="15">
        <v>209933.85824000003</v>
      </c>
      <c r="L678" s="15">
        <v>852.79</v>
      </c>
      <c r="M678" s="15">
        <v>735.17</v>
      </c>
      <c r="N678" s="15">
        <v>0</v>
      </c>
      <c r="O678" s="15">
        <v>117.63</v>
      </c>
      <c r="P678" s="2" t="s">
        <v>55</v>
      </c>
      <c r="Q678" s="16"/>
    </row>
    <row r="679" spans="1:17" x14ac:dyDescent="0.3">
      <c r="A679" s="10">
        <v>21733</v>
      </c>
      <c r="B679" s="2" t="s">
        <v>4030</v>
      </c>
      <c r="C679" s="13">
        <v>5681</v>
      </c>
      <c r="D679" s="2" t="s">
        <v>44</v>
      </c>
      <c r="E679" s="14">
        <v>44984</v>
      </c>
      <c r="F679" s="10" t="s">
        <v>2042</v>
      </c>
      <c r="G679" s="25">
        <v>44989</v>
      </c>
      <c r="H679" s="10" t="s">
        <v>2043</v>
      </c>
      <c r="I679" s="10" t="s">
        <v>2044</v>
      </c>
      <c r="J679" s="15">
        <v>391559.55</v>
      </c>
      <c r="K679" s="15">
        <v>390706.45443999983</v>
      </c>
      <c r="L679" s="15">
        <v>853.1</v>
      </c>
      <c r="M679" s="15">
        <v>735.43</v>
      </c>
      <c r="N679" s="15">
        <v>0</v>
      </c>
      <c r="O679" s="15">
        <v>117.67</v>
      </c>
      <c r="P679" s="2" t="s">
        <v>55</v>
      </c>
      <c r="Q679" s="16"/>
    </row>
    <row r="680" spans="1:17" x14ac:dyDescent="0.3">
      <c r="A680" s="10">
        <v>21733</v>
      </c>
      <c r="B680" s="2" t="s">
        <v>4031</v>
      </c>
      <c r="C680" s="13">
        <v>5556</v>
      </c>
      <c r="D680" s="2" t="s">
        <v>44</v>
      </c>
      <c r="E680" s="14">
        <v>44342</v>
      </c>
      <c r="F680" s="10" t="s">
        <v>2045</v>
      </c>
      <c r="G680" s="25">
        <v>44349</v>
      </c>
      <c r="H680" s="10" t="s">
        <v>2046</v>
      </c>
      <c r="I680" s="10" t="s">
        <v>2047</v>
      </c>
      <c r="J680" s="15">
        <v>161773.19</v>
      </c>
      <c r="K680" s="15">
        <v>160917.68935999999</v>
      </c>
      <c r="L680" s="15">
        <v>855.5</v>
      </c>
      <c r="M680" s="15">
        <v>737.5</v>
      </c>
      <c r="N680" s="15">
        <v>0</v>
      </c>
      <c r="O680" s="15">
        <v>118</v>
      </c>
      <c r="P680" s="2" t="s">
        <v>55</v>
      </c>
      <c r="Q680" s="16"/>
    </row>
    <row r="681" spans="1:17" x14ac:dyDescent="0.3">
      <c r="A681" s="10">
        <v>21733</v>
      </c>
      <c r="B681" s="2" t="s">
        <v>4032</v>
      </c>
      <c r="C681" s="13">
        <v>5548</v>
      </c>
      <c r="D681" s="2" t="s">
        <v>44</v>
      </c>
      <c r="E681" s="14">
        <v>44333</v>
      </c>
      <c r="F681" s="10" t="s">
        <v>2048</v>
      </c>
      <c r="G681" s="25">
        <v>44338</v>
      </c>
      <c r="H681" s="10" t="s">
        <v>2049</v>
      </c>
      <c r="I681" s="10" t="s">
        <v>2050</v>
      </c>
      <c r="J681" s="15">
        <v>138773.38</v>
      </c>
      <c r="K681" s="15">
        <v>137916.39040000003</v>
      </c>
      <c r="L681" s="15">
        <v>856.99</v>
      </c>
      <c r="M681" s="15">
        <v>738.78</v>
      </c>
      <c r="N681" s="15">
        <v>0</v>
      </c>
      <c r="O681" s="15">
        <v>118.21</v>
      </c>
      <c r="P681" s="2" t="s">
        <v>55</v>
      </c>
      <c r="Q681" s="16"/>
    </row>
    <row r="682" spans="1:17" x14ac:dyDescent="0.3">
      <c r="A682" s="10">
        <v>21733</v>
      </c>
      <c r="B682" s="2" t="s">
        <v>4033</v>
      </c>
      <c r="C682" s="13">
        <v>5556</v>
      </c>
      <c r="D682" s="2" t="s">
        <v>44</v>
      </c>
      <c r="E682" s="14">
        <v>44804</v>
      </c>
      <c r="F682" s="10" t="s">
        <v>2051</v>
      </c>
      <c r="G682" s="25">
        <v>44812</v>
      </c>
      <c r="H682" s="10" t="s">
        <v>2052</v>
      </c>
      <c r="I682" s="10" t="s">
        <v>2053</v>
      </c>
      <c r="J682" s="15">
        <v>337030.84</v>
      </c>
      <c r="K682" s="15">
        <v>336173.50304000004</v>
      </c>
      <c r="L682" s="15">
        <v>857.34</v>
      </c>
      <c r="M682" s="15">
        <v>739.08</v>
      </c>
      <c r="N682" s="15">
        <v>0</v>
      </c>
      <c r="O682" s="15">
        <v>118.25</v>
      </c>
      <c r="P682" s="2" t="s">
        <v>55</v>
      </c>
      <c r="Q682" s="16"/>
    </row>
    <row r="683" spans="1:17" x14ac:dyDescent="0.3">
      <c r="A683" s="10">
        <v>21733</v>
      </c>
      <c r="B683" s="2" t="s">
        <v>4034</v>
      </c>
      <c r="C683" s="13">
        <v>5548</v>
      </c>
      <c r="D683" s="2" t="s">
        <v>44</v>
      </c>
      <c r="E683" s="14">
        <v>44837</v>
      </c>
      <c r="F683" s="10" t="s">
        <v>2054</v>
      </c>
      <c r="G683" s="25">
        <v>44842</v>
      </c>
      <c r="H683" s="10" t="s">
        <v>2055</v>
      </c>
      <c r="I683" s="10" t="s">
        <v>2056</v>
      </c>
      <c r="J683" s="15">
        <v>1582052.98</v>
      </c>
      <c r="K683" s="15">
        <v>1581195.6160399991</v>
      </c>
      <c r="L683" s="15">
        <v>857.36</v>
      </c>
      <c r="M683" s="15">
        <v>739.11</v>
      </c>
      <c r="N683" s="15">
        <v>0</v>
      </c>
      <c r="O683" s="15">
        <v>118.26</v>
      </c>
      <c r="P683" s="2" t="s">
        <v>55</v>
      </c>
      <c r="Q683" s="16"/>
    </row>
    <row r="684" spans="1:17" x14ac:dyDescent="0.3">
      <c r="A684" s="10">
        <v>21733</v>
      </c>
      <c r="B684" s="2" t="s">
        <v>4035</v>
      </c>
      <c r="C684" s="13">
        <v>5557</v>
      </c>
      <c r="D684" s="2" t="s">
        <v>44</v>
      </c>
      <c r="E684" s="14">
        <v>44466</v>
      </c>
      <c r="F684" s="10" t="s">
        <v>2057</v>
      </c>
      <c r="G684" s="25">
        <v>44470</v>
      </c>
      <c r="H684" s="10" t="s">
        <v>2058</v>
      </c>
      <c r="I684" s="10" t="s">
        <v>2059</v>
      </c>
      <c r="J684" s="15">
        <v>347021.35</v>
      </c>
      <c r="K684" s="15">
        <v>346160.18663999997</v>
      </c>
      <c r="L684" s="15">
        <v>861.16</v>
      </c>
      <c r="M684" s="15">
        <v>742.38</v>
      </c>
      <c r="N684" s="15">
        <v>0</v>
      </c>
      <c r="O684" s="15">
        <v>118.78</v>
      </c>
      <c r="P684" s="2" t="s">
        <v>55</v>
      </c>
      <c r="Q684" s="16"/>
    </row>
    <row r="685" spans="1:17" x14ac:dyDescent="0.3">
      <c r="A685" s="10">
        <v>21733</v>
      </c>
      <c r="B685" s="2" t="s">
        <v>4036</v>
      </c>
      <c r="C685" s="13">
        <v>5548</v>
      </c>
      <c r="D685" s="2" t="s">
        <v>44</v>
      </c>
      <c r="E685" s="14">
        <v>44375</v>
      </c>
      <c r="F685" s="10" t="s">
        <v>2060</v>
      </c>
      <c r="G685" s="25">
        <v>44379</v>
      </c>
      <c r="H685" s="10" t="s">
        <v>2061</v>
      </c>
      <c r="I685" s="10" t="s">
        <v>2062</v>
      </c>
      <c r="J685" s="15">
        <v>874579.4</v>
      </c>
      <c r="K685" s="15">
        <v>873717.16780000005</v>
      </c>
      <c r="L685" s="15">
        <v>862.23</v>
      </c>
      <c r="M685" s="15">
        <v>743.3</v>
      </c>
      <c r="N685" s="15">
        <v>0</v>
      </c>
      <c r="O685" s="15">
        <v>118.93</v>
      </c>
      <c r="P685" s="2" t="s">
        <v>55</v>
      </c>
      <c r="Q685" s="16"/>
    </row>
    <row r="686" spans="1:17" x14ac:dyDescent="0.3">
      <c r="A686" s="10">
        <v>21733</v>
      </c>
      <c r="B686" s="2" t="s">
        <v>4037</v>
      </c>
      <c r="C686" s="13">
        <v>5548</v>
      </c>
      <c r="D686" s="2" t="s">
        <v>44</v>
      </c>
      <c r="E686" s="14">
        <v>44354</v>
      </c>
      <c r="F686" s="10" t="s">
        <v>2063</v>
      </c>
      <c r="G686" s="25">
        <v>44358</v>
      </c>
      <c r="H686" s="10" t="s">
        <v>2064</v>
      </c>
      <c r="I686" s="10" t="s">
        <v>2065</v>
      </c>
      <c r="J686" s="15">
        <v>576998.11</v>
      </c>
      <c r="K686" s="15">
        <v>576131.70855999994</v>
      </c>
      <c r="L686" s="15">
        <v>866.4</v>
      </c>
      <c r="M686" s="15">
        <v>746.9</v>
      </c>
      <c r="N686" s="15">
        <v>0</v>
      </c>
      <c r="O686" s="15">
        <v>119.5</v>
      </c>
      <c r="P686" s="2" t="s">
        <v>55</v>
      </c>
      <c r="Q686" s="16"/>
    </row>
    <row r="687" spans="1:17" x14ac:dyDescent="0.3">
      <c r="A687" s="10">
        <v>21733</v>
      </c>
      <c r="B687" s="2" t="s">
        <v>4038</v>
      </c>
      <c r="C687" s="13">
        <v>5556</v>
      </c>
      <c r="D687" s="2" t="s">
        <v>44</v>
      </c>
      <c r="E687" s="14">
        <v>44664</v>
      </c>
      <c r="F687" s="10" t="s">
        <v>2066</v>
      </c>
      <c r="G687" s="25">
        <v>44670</v>
      </c>
      <c r="H687" s="10" t="s">
        <v>2067</v>
      </c>
      <c r="I687" s="10" t="s">
        <v>2068</v>
      </c>
      <c r="J687" s="15">
        <v>233827.6</v>
      </c>
      <c r="K687" s="15">
        <v>232959.69119999997</v>
      </c>
      <c r="L687" s="15">
        <v>867.91</v>
      </c>
      <c r="M687" s="15">
        <v>748.2</v>
      </c>
      <c r="N687" s="15">
        <v>0</v>
      </c>
      <c r="O687" s="15">
        <v>119.71</v>
      </c>
      <c r="P687" s="2" t="s">
        <v>55</v>
      </c>
      <c r="Q687" s="16"/>
    </row>
    <row r="688" spans="1:17" x14ac:dyDescent="0.3">
      <c r="A688" s="10">
        <v>21733</v>
      </c>
      <c r="B688" s="2" t="s">
        <v>4039</v>
      </c>
      <c r="C688" s="13">
        <v>5537</v>
      </c>
      <c r="D688" s="2" t="s">
        <v>44</v>
      </c>
      <c r="E688" s="14">
        <v>44893</v>
      </c>
      <c r="F688" s="10" t="s">
        <v>2069</v>
      </c>
      <c r="G688" s="25">
        <v>44898</v>
      </c>
      <c r="H688" s="10" t="s">
        <v>2070</v>
      </c>
      <c r="I688" s="10" t="s">
        <v>2071</v>
      </c>
      <c r="J688" s="15">
        <v>1100223.77</v>
      </c>
      <c r="K688" s="15">
        <v>1099353.4646399997</v>
      </c>
      <c r="L688" s="15">
        <v>870.31</v>
      </c>
      <c r="M688" s="15">
        <v>750.26</v>
      </c>
      <c r="N688" s="15">
        <v>0</v>
      </c>
      <c r="O688" s="15">
        <v>120.04</v>
      </c>
      <c r="P688" s="2" t="s">
        <v>55</v>
      </c>
      <c r="Q688" s="16"/>
    </row>
    <row r="689" spans="1:17" x14ac:dyDescent="0.3">
      <c r="A689" s="10">
        <v>21733</v>
      </c>
      <c r="B689" s="2" t="s">
        <v>4040</v>
      </c>
      <c r="C689" s="13">
        <v>5548</v>
      </c>
      <c r="D689" s="2" t="s">
        <v>44</v>
      </c>
      <c r="E689" s="14">
        <v>44537</v>
      </c>
      <c r="F689" s="10" t="s">
        <v>2072</v>
      </c>
      <c r="G689" s="25">
        <v>44553</v>
      </c>
      <c r="H689" s="10" t="s">
        <v>2073</v>
      </c>
      <c r="I689" s="10" t="s">
        <v>2074</v>
      </c>
      <c r="J689" s="15">
        <v>139729.76</v>
      </c>
      <c r="K689" s="15">
        <v>138858.51455999998</v>
      </c>
      <c r="L689" s="15">
        <v>871.25</v>
      </c>
      <c r="M689" s="15">
        <v>751.07</v>
      </c>
      <c r="N689" s="15">
        <v>0</v>
      </c>
      <c r="O689" s="15">
        <v>120.17</v>
      </c>
      <c r="P689" s="2" t="s">
        <v>55</v>
      </c>
      <c r="Q689" s="16"/>
    </row>
    <row r="690" spans="1:17" x14ac:dyDescent="0.3">
      <c r="A690" s="10">
        <v>21733</v>
      </c>
      <c r="B690" s="2" t="s">
        <v>4041</v>
      </c>
      <c r="C690" s="13">
        <v>5549</v>
      </c>
      <c r="D690" s="2" t="s">
        <v>44</v>
      </c>
      <c r="E690" s="14">
        <v>44648</v>
      </c>
      <c r="F690" s="10" t="s">
        <v>2075</v>
      </c>
      <c r="G690" s="25">
        <v>44653</v>
      </c>
      <c r="H690" s="10" t="s">
        <v>2076</v>
      </c>
      <c r="I690" s="10" t="s">
        <v>2077</v>
      </c>
      <c r="J690" s="15">
        <v>87284.23</v>
      </c>
      <c r="K690" s="15">
        <v>86411.750080000013</v>
      </c>
      <c r="L690" s="15">
        <v>872.48</v>
      </c>
      <c r="M690" s="15">
        <v>752.14</v>
      </c>
      <c r="N690" s="15">
        <v>0</v>
      </c>
      <c r="O690" s="15">
        <v>120.34</v>
      </c>
      <c r="P690" s="2" t="s">
        <v>55</v>
      </c>
      <c r="Q690" s="16"/>
    </row>
    <row r="691" spans="1:17" x14ac:dyDescent="0.3">
      <c r="A691" s="10">
        <v>21733</v>
      </c>
      <c r="B691" s="2" t="s">
        <v>4042</v>
      </c>
      <c r="C691" s="13">
        <v>5681</v>
      </c>
      <c r="D691" s="2" t="s">
        <v>44</v>
      </c>
      <c r="E691" s="14">
        <v>44473</v>
      </c>
      <c r="F691" s="10" t="s">
        <v>2078</v>
      </c>
      <c r="G691" s="25">
        <v>44478</v>
      </c>
      <c r="H691" s="10" t="s">
        <v>2079</v>
      </c>
      <c r="I691" s="10" t="s">
        <v>2080</v>
      </c>
      <c r="J691" s="15">
        <v>234060.7</v>
      </c>
      <c r="K691" s="15">
        <v>233187.49199999997</v>
      </c>
      <c r="L691" s="15">
        <v>873.21</v>
      </c>
      <c r="M691" s="15">
        <v>752.77</v>
      </c>
      <c r="N691" s="15">
        <v>0</v>
      </c>
      <c r="O691" s="15">
        <v>120.44</v>
      </c>
      <c r="P691" s="2" t="s">
        <v>55</v>
      </c>
      <c r="Q691" s="16"/>
    </row>
    <row r="692" spans="1:17" x14ac:dyDescent="0.3">
      <c r="A692" s="10">
        <v>21733</v>
      </c>
      <c r="B692" s="2" t="s">
        <v>4043</v>
      </c>
      <c r="C692" s="13">
        <v>5681</v>
      </c>
      <c r="D692" s="2" t="s">
        <v>44</v>
      </c>
      <c r="E692" s="14">
        <v>44725</v>
      </c>
      <c r="F692" s="10" t="s">
        <v>2081</v>
      </c>
      <c r="G692" s="25">
        <v>44730</v>
      </c>
      <c r="H692" s="10" t="s">
        <v>2082</v>
      </c>
      <c r="I692" s="10" t="s">
        <v>2083</v>
      </c>
      <c r="J692" s="15">
        <v>670523.1</v>
      </c>
      <c r="K692" s="15">
        <v>669643.59128000005</v>
      </c>
      <c r="L692" s="15">
        <v>879.51</v>
      </c>
      <c r="M692" s="15">
        <v>758.2</v>
      </c>
      <c r="N692" s="15">
        <v>0</v>
      </c>
      <c r="O692" s="15">
        <v>121.31</v>
      </c>
      <c r="P692" s="2" t="s">
        <v>55</v>
      </c>
      <c r="Q692" s="16"/>
    </row>
    <row r="693" spans="1:17" x14ac:dyDescent="0.3">
      <c r="A693" s="10">
        <v>21733</v>
      </c>
      <c r="B693" s="2" t="s">
        <v>4044</v>
      </c>
      <c r="C693" s="13">
        <v>5556</v>
      </c>
      <c r="D693" s="2" t="s">
        <v>44</v>
      </c>
      <c r="E693" s="14">
        <v>44622</v>
      </c>
      <c r="F693" s="10" t="s">
        <v>2084</v>
      </c>
      <c r="G693" s="25">
        <v>44628</v>
      </c>
      <c r="H693" s="10" t="s">
        <v>2085</v>
      </c>
      <c r="I693" s="10" t="s">
        <v>2086</v>
      </c>
      <c r="J693" s="15">
        <v>436940.94</v>
      </c>
      <c r="K693" s="15">
        <v>436057.20543999993</v>
      </c>
      <c r="L693" s="15">
        <v>883.73</v>
      </c>
      <c r="M693" s="15">
        <v>761.84</v>
      </c>
      <c r="N693" s="15">
        <v>0</v>
      </c>
      <c r="O693" s="15">
        <v>121.89</v>
      </c>
      <c r="P693" s="2" t="s">
        <v>55</v>
      </c>
      <c r="Q693" s="16"/>
    </row>
    <row r="694" spans="1:17" x14ac:dyDescent="0.3">
      <c r="A694" s="10">
        <v>21733</v>
      </c>
      <c r="B694" s="2" t="s">
        <v>4045</v>
      </c>
      <c r="C694" s="13">
        <v>5556</v>
      </c>
      <c r="D694" s="2" t="s">
        <v>44</v>
      </c>
      <c r="E694" s="14">
        <v>44811</v>
      </c>
      <c r="F694" s="10" t="s">
        <v>2087</v>
      </c>
      <c r="G694" s="25">
        <v>44819</v>
      </c>
      <c r="H694" s="10" t="s">
        <v>2088</v>
      </c>
      <c r="I694" s="10" t="s">
        <v>2089</v>
      </c>
      <c r="J694" s="15">
        <v>306343.13</v>
      </c>
      <c r="K694" s="15">
        <v>305457.45123999997</v>
      </c>
      <c r="L694" s="15">
        <v>885.68</v>
      </c>
      <c r="M694" s="15">
        <v>763.52</v>
      </c>
      <c r="N694" s="15">
        <v>0</v>
      </c>
      <c r="O694" s="15">
        <v>122.16</v>
      </c>
      <c r="P694" s="2" t="s">
        <v>55</v>
      </c>
      <c r="Q694" s="16"/>
    </row>
    <row r="695" spans="1:17" x14ac:dyDescent="0.3">
      <c r="A695" s="10">
        <v>21733</v>
      </c>
      <c r="B695" s="2" t="s">
        <v>4046</v>
      </c>
      <c r="C695" s="13">
        <v>5681</v>
      </c>
      <c r="D695" s="2" t="s">
        <v>44</v>
      </c>
      <c r="E695" s="14">
        <v>44480</v>
      </c>
      <c r="F695" s="10" t="s">
        <v>2090</v>
      </c>
      <c r="G695" s="25">
        <v>44485</v>
      </c>
      <c r="H695" s="10" t="s">
        <v>2091</v>
      </c>
      <c r="I695" s="10" t="s">
        <v>2092</v>
      </c>
      <c r="J695" s="15">
        <v>475838.91</v>
      </c>
      <c r="K695" s="15">
        <v>474945.85164000018</v>
      </c>
      <c r="L695" s="15">
        <v>893.06</v>
      </c>
      <c r="M695" s="15">
        <v>769.88</v>
      </c>
      <c r="N695" s="15">
        <v>0</v>
      </c>
      <c r="O695" s="15">
        <v>123.18</v>
      </c>
      <c r="P695" s="2" t="s">
        <v>55</v>
      </c>
      <c r="Q695" s="16"/>
    </row>
    <row r="696" spans="1:17" x14ac:dyDescent="0.3">
      <c r="A696" s="10">
        <v>21733</v>
      </c>
      <c r="B696" s="2" t="s">
        <v>4047</v>
      </c>
      <c r="C696" s="13">
        <v>5548</v>
      </c>
      <c r="D696" s="2" t="s">
        <v>44</v>
      </c>
      <c r="E696" s="14">
        <v>44564</v>
      </c>
      <c r="F696" s="10" t="s">
        <v>2093</v>
      </c>
      <c r="G696" s="25">
        <v>44568</v>
      </c>
      <c r="H696" s="10" t="s">
        <v>2094</v>
      </c>
      <c r="I696" s="10" t="s">
        <v>2095</v>
      </c>
      <c r="J696" s="15">
        <v>841454.69</v>
      </c>
      <c r="K696" s="15">
        <v>840556.75008000014</v>
      </c>
      <c r="L696" s="15">
        <v>897.94</v>
      </c>
      <c r="M696" s="15">
        <v>774.09</v>
      </c>
      <c r="N696" s="15">
        <v>0</v>
      </c>
      <c r="O696" s="15">
        <v>123.85</v>
      </c>
      <c r="P696" s="2" t="s">
        <v>55</v>
      </c>
      <c r="Q696" s="16"/>
    </row>
    <row r="697" spans="1:17" x14ac:dyDescent="0.3">
      <c r="A697" s="10">
        <v>21733</v>
      </c>
      <c r="B697" s="2" t="s">
        <v>4048</v>
      </c>
      <c r="C697" s="13">
        <v>5549</v>
      </c>
      <c r="D697" s="2" t="s">
        <v>44</v>
      </c>
      <c r="E697" s="14">
        <v>44627</v>
      </c>
      <c r="F697" s="10" t="s">
        <v>2096</v>
      </c>
      <c r="G697" s="25">
        <v>44632</v>
      </c>
      <c r="H697" s="10" t="s">
        <v>2097</v>
      </c>
      <c r="I697" s="10" t="s">
        <v>2098</v>
      </c>
      <c r="J697" s="15">
        <v>135432.26999999999</v>
      </c>
      <c r="K697" s="15">
        <v>134533.37568</v>
      </c>
      <c r="L697" s="15">
        <v>898.89</v>
      </c>
      <c r="M697" s="15">
        <v>774.91</v>
      </c>
      <c r="N697" s="15">
        <v>0</v>
      </c>
      <c r="O697" s="15">
        <v>123.99</v>
      </c>
      <c r="P697" s="2" t="s">
        <v>55</v>
      </c>
      <c r="Q697" s="16"/>
    </row>
    <row r="698" spans="1:17" x14ac:dyDescent="0.3">
      <c r="A698" s="10">
        <v>21733</v>
      </c>
      <c r="B698" s="2" t="s">
        <v>4049</v>
      </c>
      <c r="C698" s="13">
        <v>5556</v>
      </c>
      <c r="D698" s="2" t="s">
        <v>44</v>
      </c>
      <c r="E698" s="14">
        <v>44727</v>
      </c>
      <c r="F698" s="10" t="s">
        <v>2099</v>
      </c>
      <c r="G698" s="25">
        <v>44734</v>
      </c>
      <c r="H698" s="10" t="s">
        <v>2100</v>
      </c>
      <c r="I698" s="10" t="s">
        <v>2101</v>
      </c>
      <c r="J698" s="15">
        <v>147678.56</v>
      </c>
      <c r="K698" s="15">
        <v>146778.74864000001</v>
      </c>
      <c r="L698" s="15">
        <v>899.81</v>
      </c>
      <c r="M698" s="15">
        <v>775.7</v>
      </c>
      <c r="N698" s="15">
        <v>0</v>
      </c>
      <c r="O698" s="15">
        <v>124.11</v>
      </c>
      <c r="P698" s="2" t="s">
        <v>55</v>
      </c>
      <c r="Q698" s="16"/>
    </row>
    <row r="699" spans="1:17" x14ac:dyDescent="0.3">
      <c r="A699" s="10">
        <v>21733</v>
      </c>
      <c r="B699" s="2" t="s">
        <v>4050</v>
      </c>
      <c r="C699" s="13">
        <v>5548</v>
      </c>
      <c r="D699" s="2" t="s">
        <v>44</v>
      </c>
      <c r="E699" s="14">
        <v>44494</v>
      </c>
      <c r="F699" s="10" t="s">
        <v>2102</v>
      </c>
      <c r="G699" s="25">
        <v>44498</v>
      </c>
      <c r="H699" s="10" t="s">
        <v>2103</v>
      </c>
      <c r="I699" s="10" t="s">
        <v>2104</v>
      </c>
      <c r="J699" s="15">
        <v>199392.72</v>
      </c>
      <c r="K699" s="15">
        <v>198491.96044</v>
      </c>
      <c r="L699" s="15">
        <v>900.76</v>
      </c>
      <c r="M699" s="15">
        <v>776.52</v>
      </c>
      <c r="N699" s="15">
        <v>0</v>
      </c>
      <c r="O699" s="15">
        <v>124.24</v>
      </c>
      <c r="P699" s="2" t="s">
        <v>55</v>
      </c>
      <c r="Q699" s="16"/>
    </row>
    <row r="700" spans="1:17" x14ac:dyDescent="0.3">
      <c r="A700" s="10">
        <v>21733</v>
      </c>
      <c r="B700" s="2" t="s">
        <v>4051</v>
      </c>
      <c r="C700" s="13">
        <v>5556</v>
      </c>
      <c r="D700" s="2" t="s">
        <v>44</v>
      </c>
      <c r="E700" s="14">
        <v>44846</v>
      </c>
      <c r="F700" s="10" t="s">
        <v>2105</v>
      </c>
      <c r="G700" s="25">
        <v>44852</v>
      </c>
      <c r="H700" s="10" t="s">
        <v>2106</v>
      </c>
      <c r="I700" s="10" t="s">
        <v>2107</v>
      </c>
      <c r="J700" s="15">
        <v>215131.35</v>
      </c>
      <c r="K700" s="15">
        <v>214230.07136000012</v>
      </c>
      <c r="L700" s="15">
        <v>901.28</v>
      </c>
      <c r="M700" s="15">
        <v>776.96</v>
      </c>
      <c r="N700" s="15">
        <v>0</v>
      </c>
      <c r="O700" s="15">
        <v>124.31</v>
      </c>
      <c r="P700" s="2" t="s">
        <v>55</v>
      </c>
      <c r="Q700" s="16"/>
    </row>
    <row r="701" spans="1:17" x14ac:dyDescent="0.3">
      <c r="A701" s="10">
        <v>21733</v>
      </c>
      <c r="B701" s="2" t="s">
        <v>4052</v>
      </c>
      <c r="C701" s="13">
        <v>5556</v>
      </c>
      <c r="D701" s="2" t="s">
        <v>44</v>
      </c>
      <c r="E701" s="14">
        <v>44720</v>
      </c>
      <c r="F701" s="10" t="s">
        <v>2108</v>
      </c>
      <c r="G701" s="25">
        <v>44726</v>
      </c>
      <c r="H701" s="10" t="s">
        <v>2109</v>
      </c>
      <c r="I701" s="10" t="s">
        <v>2110</v>
      </c>
      <c r="J701" s="15">
        <v>300457.92</v>
      </c>
      <c r="K701" s="15">
        <v>299551.99679999996</v>
      </c>
      <c r="L701" s="15">
        <v>905.92</v>
      </c>
      <c r="M701" s="15">
        <v>780.97</v>
      </c>
      <c r="N701" s="15">
        <v>0</v>
      </c>
      <c r="O701" s="15">
        <v>124.95</v>
      </c>
      <c r="P701" s="2" t="s">
        <v>55</v>
      </c>
      <c r="Q701" s="16"/>
    </row>
    <row r="702" spans="1:17" x14ac:dyDescent="0.3">
      <c r="A702" s="10">
        <v>21733</v>
      </c>
      <c r="B702" s="2" t="s">
        <v>4053</v>
      </c>
      <c r="C702" s="13">
        <v>5548</v>
      </c>
      <c r="D702" s="2" t="s">
        <v>44</v>
      </c>
      <c r="E702" s="14">
        <v>44641</v>
      </c>
      <c r="F702" s="10" t="s">
        <v>880</v>
      </c>
      <c r="G702" s="25">
        <v>44645</v>
      </c>
      <c r="H702" s="10" t="s">
        <v>2111</v>
      </c>
      <c r="I702" s="10" t="s">
        <v>2112</v>
      </c>
      <c r="J702" s="15">
        <v>581776.29</v>
      </c>
      <c r="K702" s="15">
        <v>580868.53259999992</v>
      </c>
      <c r="L702" s="15">
        <v>907.76</v>
      </c>
      <c r="M702" s="15">
        <v>782.55</v>
      </c>
      <c r="N702" s="15">
        <v>0</v>
      </c>
      <c r="O702" s="15">
        <v>125.21</v>
      </c>
      <c r="P702" s="2" t="s">
        <v>55</v>
      </c>
      <c r="Q702" s="16"/>
    </row>
    <row r="703" spans="1:17" x14ac:dyDescent="0.3">
      <c r="A703" s="10">
        <v>21733</v>
      </c>
      <c r="B703" s="2" t="s">
        <v>4054</v>
      </c>
      <c r="C703" s="13">
        <v>5557</v>
      </c>
      <c r="D703" s="2" t="s">
        <v>44</v>
      </c>
      <c r="E703" s="14">
        <v>44375</v>
      </c>
      <c r="F703" s="10" t="s">
        <v>2113</v>
      </c>
      <c r="G703" s="25">
        <v>44380</v>
      </c>
      <c r="H703" s="10" t="s">
        <v>2114</v>
      </c>
      <c r="I703" s="10" t="s">
        <v>2115</v>
      </c>
      <c r="J703" s="15">
        <v>28700.28</v>
      </c>
      <c r="K703" s="15">
        <v>27791.0828</v>
      </c>
      <c r="L703" s="15">
        <v>909.2</v>
      </c>
      <c r="M703" s="15">
        <v>783.79</v>
      </c>
      <c r="N703" s="15">
        <v>0</v>
      </c>
      <c r="O703" s="15">
        <v>125.41</v>
      </c>
      <c r="P703" s="2" t="s">
        <v>55</v>
      </c>
      <c r="Q703" s="16"/>
    </row>
    <row r="704" spans="1:17" x14ac:dyDescent="0.3">
      <c r="A704" s="10">
        <v>21733</v>
      </c>
      <c r="B704" s="2" t="s">
        <v>4055</v>
      </c>
      <c r="C704" s="13">
        <v>5537</v>
      </c>
      <c r="D704" s="2" t="s">
        <v>44</v>
      </c>
      <c r="E704" s="14">
        <v>44697</v>
      </c>
      <c r="F704" s="10" t="s">
        <v>2116</v>
      </c>
      <c r="G704" s="25">
        <v>44703</v>
      </c>
      <c r="H704" s="10" t="s">
        <v>2117</v>
      </c>
      <c r="I704" s="10" t="s">
        <v>2118</v>
      </c>
      <c r="J704" s="15">
        <v>615652.07999999996</v>
      </c>
      <c r="K704" s="15">
        <v>614741.31327999965</v>
      </c>
      <c r="L704" s="15">
        <v>910.77</v>
      </c>
      <c r="M704" s="15">
        <v>785.14</v>
      </c>
      <c r="N704" s="15">
        <v>0</v>
      </c>
      <c r="O704" s="15">
        <v>125.62</v>
      </c>
      <c r="P704" s="2" t="s">
        <v>55</v>
      </c>
      <c r="Q704" s="16"/>
    </row>
    <row r="705" spans="1:17" x14ac:dyDescent="0.3">
      <c r="A705" s="10">
        <v>21733</v>
      </c>
      <c r="B705" s="2" t="s">
        <v>4056</v>
      </c>
      <c r="C705" s="13">
        <v>5556</v>
      </c>
      <c r="D705" s="2" t="s">
        <v>44</v>
      </c>
      <c r="E705" s="14">
        <v>45007</v>
      </c>
      <c r="F705" s="10" t="s">
        <v>547</v>
      </c>
      <c r="G705" s="25">
        <v>45014</v>
      </c>
      <c r="H705" s="10" t="s">
        <v>2119</v>
      </c>
      <c r="I705" s="10" t="s">
        <v>2120</v>
      </c>
      <c r="J705" s="15">
        <v>947442.23</v>
      </c>
      <c r="K705" s="15">
        <v>946527.86452000018</v>
      </c>
      <c r="L705" s="15">
        <v>914.37</v>
      </c>
      <c r="M705" s="15">
        <v>788.25</v>
      </c>
      <c r="N705" s="15">
        <v>0</v>
      </c>
      <c r="O705" s="15">
        <v>126.12</v>
      </c>
      <c r="P705" s="2" t="s">
        <v>55</v>
      </c>
      <c r="Q705" s="16"/>
    </row>
    <row r="706" spans="1:17" x14ac:dyDescent="0.3">
      <c r="A706" s="10">
        <v>21733</v>
      </c>
      <c r="B706" s="2" t="s">
        <v>4057</v>
      </c>
      <c r="C706" s="13">
        <v>5556</v>
      </c>
      <c r="D706" s="2" t="s">
        <v>44</v>
      </c>
      <c r="E706" s="14">
        <v>44734</v>
      </c>
      <c r="F706" s="10" t="s">
        <v>2121</v>
      </c>
      <c r="G706" s="25">
        <v>44741</v>
      </c>
      <c r="H706" s="10" t="s">
        <v>2122</v>
      </c>
      <c r="I706" s="10" t="s">
        <v>2123</v>
      </c>
      <c r="J706" s="15">
        <v>420915.74</v>
      </c>
      <c r="K706" s="15">
        <v>419998.83591999998</v>
      </c>
      <c r="L706" s="15">
        <v>916.9</v>
      </c>
      <c r="M706" s="15">
        <v>790.43</v>
      </c>
      <c r="N706" s="15">
        <v>0</v>
      </c>
      <c r="O706" s="15">
        <v>126.47</v>
      </c>
      <c r="P706" s="2" t="s">
        <v>55</v>
      </c>
      <c r="Q706" s="16"/>
    </row>
    <row r="707" spans="1:17" x14ac:dyDescent="0.3">
      <c r="A707" s="10">
        <v>21733</v>
      </c>
      <c r="B707" s="2" t="s">
        <v>4058</v>
      </c>
      <c r="C707" s="13">
        <v>5537</v>
      </c>
      <c r="D707" s="2" t="s">
        <v>44</v>
      </c>
      <c r="E707" s="14">
        <v>44473</v>
      </c>
      <c r="F707" s="10" t="s">
        <v>2124</v>
      </c>
      <c r="G707" s="25">
        <v>44477</v>
      </c>
      <c r="H707" s="10" t="s">
        <v>2125</v>
      </c>
      <c r="I707" s="10" t="s">
        <v>2126</v>
      </c>
      <c r="J707" s="15">
        <v>403428.96</v>
      </c>
      <c r="K707" s="15">
        <v>402511.71643999987</v>
      </c>
      <c r="L707" s="15">
        <v>917.24</v>
      </c>
      <c r="M707" s="15">
        <v>790.73</v>
      </c>
      <c r="N707" s="15">
        <v>0</v>
      </c>
      <c r="O707" s="15">
        <v>126.52</v>
      </c>
      <c r="P707" s="2" t="s">
        <v>55</v>
      </c>
      <c r="Q707" s="16"/>
    </row>
    <row r="708" spans="1:17" x14ac:dyDescent="0.3">
      <c r="A708" s="10">
        <v>21733</v>
      </c>
      <c r="B708" s="2" t="s">
        <v>4059</v>
      </c>
      <c r="C708" s="13">
        <v>5556</v>
      </c>
      <c r="D708" s="2" t="s">
        <v>44</v>
      </c>
      <c r="E708" s="14">
        <v>44664</v>
      </c>
      <c r="F708" s="10" t="s">
        <v>2127</v>
      </c>
      <c r="G708" s="25">
        <v>44670</v>
      </c>
      <c r="H708" s="10" t="s">
        <v>2128</v>
      </c>
      <c r="I708" s="10" t="s">
        <v>2129</v>
      </c>
      <c r="J708" s="15">
        <v>330772.43</v>
      </c>
      <c r="K708" s="15">
        <v>329853.73719999997</v>
      </c>
      <c r="L708" s="15">
        <v>918.69</v>
      </c>
      <c r="M708" s="15">
        <v>791.98</v>
      </c>
      <c r="N708" s="15">
        <v>0</v>
      </c>
      <c r="O708" s="15">
        <v>126.72</v>
      </c>
      <c r="P708" s="2" t="s">
        <v>55</v>
      </c>
      <c r="Q708" s="16"/>
    </row>
    <row r="709" spans="1:17" x14ac:dyDescent="0.3">
      <c r="A709" s="10">
        <v>21733</v>
      </c>
      <c r="B709" s="2" t="s">
        <v>4060</v>
      </c>
      <c r="C709" s="13">
        <v>5681</v>
      </c>
      <c r="D709" s="2" t="s">
        <v>44</v>
      </c>
      <c r="E709" s="14">
        <v>44620</v>
      </c>
      <c r="F709" s="10" t="s">
        <v>2130</v>
      </c>
      <c r="G709" s="25">
        <v>44625</v>
      </c>
      <c r="H709" s="10" t="s">
        <v>2131</v>
      </c>
      <c r="I709" s="10" t="s">
        <v>2132</v>
      </c>
      <c r="J709" s="15">
        <v>1084306.95</v>
      </c>
      <c r="K709" s="15">
        <v>1083383.5149600001</v>
      </c>
      <c r="L709" s="15">
        <v>923.44</v>
      </c>
      <c r="M709" s="15">
        <v>796.06</v>
      </c>
      <c r="N709" s="15">
        <v>0</v>
      </c>
      <c r="O709" s="15">
        <v>127.37</v>
      </c>
      <c r="P709" s="2" t="s">
        <v>55</v>
      </c>
      <c r="Q709" s="16"/>
    </row>
    <row r="710" spans="1:17" x14ac:dyDescent="0.3">
      <c r="A710" s="10">
        <v>21733</v>
      </c>
      <c r="B710" s="2" t="s">
        <v>4061</v>
      </c>
      <c r="C710" s="13">
        <v>5537</v>
      </c>
      <c r="D710" s="2" t="s">
        <v>44</v>
      </c>
      <c r="E710" s="14">
        <v>44606</v>
      </c>
      <c r="F710" s="10" t="s">
        <v>170</v>
      </c>
      <c r="G710" s="25">
        <v>44610</v>
      </c>
      <c r="H710" s="10" t="s">
        <v>2133</v>
      </c>
      <c r="I710" s="10" t="s">
        <v>2134</v>
      </c>
      <c r="J710" s="15">
        <v>796580.64</v>
      </c>
      <c r="K710" s="15">
        <v>795655.85172000004</v>
      </c>
      <c r="L710" s="15">
        <v>924.79</v>
      </c>
      <c r="M710" s="15">
        <v>797.23</v>
      </c>
      <c r="N710" s="15">
        <v>0</v>
      </c>
      <c r="O710" s="15">
        <v>127.55</v>
      </c>
      <c r="P710" s="2" t="s">
        <v>55</v>
      </c>
      <c r="Q710" s="16"/>
    </row>
    <row r="711" spans="1:17" x14ac:dyDescent="0.3">
      <c r="A711" s="10">
        <v>21733</v>
      </c>
      <c r="B711" s="2" t="s">
        <v>4062</v>
      </c>
      <c r="C711" s="13">
        <v>5537</v>
      </c>
      <c r="D711" s="2" t="s">
        <v>44</v>
      </c>
      <c r="E711" s="14">
        <v>44676</v>
      </c>
      <c r="F711" s="10" t="s">
        <v>2135</v>
      </c>
      <c r="G711" s="25">
        <v>44680</v>
      </c>
      <c r="H711" s="10" t="s">
        <v>2136</v>
      </c>
      <c r="I711" s="10" t="s">
        <v>2137</v>
      </c>
      <c r="J711" s="15">
        <v>507272.36</v>
      </c>
      <c r="K711" s="15">
        <v>506347.5098399999</v>
      </c>
      <c r="L711" s="15">
        <v>924.85</v>
      </c>
      <c r="M711" s="15">
        <v>797.28</v>
      </c>
      <c r="N711" s="15">
        <v>0</v>
      </c>
      <c r="O711" s="15">
        <v>127.57</v>
      </c>
      <c r="P711" s="2" t="s">
        <v>55</v>
      </c>
      <c r="Q711" s="16"/>
    </row>
    <row r="712" spans="1:17" x14ac:dyDescent="0.3">
      <c r="A712" s="10">
        <v>21733</v>
      </c>
      <c r="B712" s="2" t="s">
        <v>4063</v>
      </c>
      <c r="C712" s="13">
        <v>5537</v>
      </c>
      <c r="D712" s="2" t="s">
        <v>44</v>
      </c>
      <c r="E712" s="14">
        <v>44537</v>
      </c>
      <c r="F712" s="10" t="s">
        <v>1186</v>
      </c>
      <c r="G712" s="25">
        <v>44547</v>
      </c>
      <c r="H712" s="10" t="s">
        <v>2138</v>
      </c>
      <c r="I712" s="10" t="s">
        <v>2139</v>
      </c>
      <c r="J712" s="15">
        <v>1027167.59</v>
      </c>
      <c r="K712" s="15">
        <v>1026235.1104000001</v>
      </c>
      <c r="L712" s="15">
        <v>932.48</v>
      </c>
      <c r="M712" s="15">
        <v>803.86</v>
      </c>
      <c r="N712" s="15">
        <v>0</v>
      </c>
      <c r="O712" s="15">
        <v>128.62</v>
      </c>
      <c r="P712" s="2" t="s">
        <v>55</v>
      </c>
      <c r="Q712" s="16"/>
    </row>
    <row r="713" spans="1:17" x14ac:dyDescent="0.3">
      <c r="A713" s="10">
        <v>21733</v>
      </c>
      <c r="B713" s="2" t="s">
        <v>4064</v>
      </c>
      <c r="C713" s="13">
        <v>5549</v>
      </c>
      <c r="D713" s="2" t="s">
        <v>44</v>
      </c>
      <c r="E713" s="14">
        <v>44698</v>
      </c>
      <c r="F713" s="10" t="s">
        <v>2140</v>
      </c>
      <c r="G713" s="25">
        <v>44720</v>
      </c>
      <c r="H713" s="10" t="s">
        <v>2141</v>
      </c>
      <c r="I713" s="10" t="s">
        <v>2142</v>
      </c>
      <c r="J713" s="15">
        <v>1013660.01</v>
      </c>
      <c r="K713" s="15">
        <v>1012725.4023999998</v>
      </c>
      <c r="L713" s="15">
        <v>934.61</v>
      </c>
      <c r="M713" s="15">
        <v>805.7</v>
      </c>
      <c r="N713" s="15">
        <v>0</v>
      </c>
      <c r="O713" s="15">
        <v>128.91</v>
      </c>
      <c r="P713" s="2" t="s">
        <v>55</v>
      </c>
      <c r="Q713" s="16"/>
    </row>
    <row r="714" spans="1:17" x14ac:dyDescent="0.3">
      <c r="A714" s="10">
        <v>21733</v>
      </c>
      <c r="B714" s="2" t="s">
        <v>4065</v>
      </c>
      <c r="C714" s="13">
        <v>5681</v>
      </c>
      <c r="D714" s="2" t="s">
        <v>44</v>
      </c>
      <c r="E714" s="14">
        <v>44669</v>
      </c>
      <c r="F714" s="10" t="s">
        <v>2143</v>
      </c>
      <c r="G714" s="25">
        <v>44674</v>
      </c>
      <c r="H714" s="10" t="s">
        <v>2144</v>
      </c>
      <c r="I714" s="10" t="s">
        <v>2145</v>
      </c>
      <c r="J714" s="15">
        <v>441419.44</v>
      </c>
      <c r="K714" s="15">
        <v>440483.37800000003</v>
      </c>
      <c r="L714" s="15">
        <v>936.06</v>
      </c>
      <c r="M714" s="15">
        <v>806.95</v>
      </c>
      <c r="N714" s="15">
        <v>0</v>
      </c>
      <c r="O714" s="15">
        <v>129.11000000000001</v>
      </c>
      <c r="P714" s="2" t="s">
        <v>55</v>
      </c>
      <c r="Q714" s="16"/>
    </row>
    <row r="715" spans="1:17" x14ac:dyDescent="0.3">
      <c r="A715" s="10">
        <v>21733</v>
      </c>
      <c r="B715" s="2" t="s">
        <v>4066</v>
      </c>
      <c r="C715" s="13">
        <v>5681</v>
      </c>
      <c r="D715" s="2" t="s">
        <v>44</v>
      </c>
      <c r="E715" s="14">
        <v>44809</v>
      </c>
      <c r="F715" s="10" t="s">
        <v>2146</v>
      </c>
      <c r="G715" s="25">
        <v>44814</v>
      </c>
      <c r="H715" s="10" t="s">
        <v>2147</v>
      </c>
      <c r="I715" s="10" t="s">
        <v>2148</v>
      </c>
      <c r="J715" s="15">
        <v>212191.4</v>
      </c>
      <c r="K715" s="15">
        <v>211253.21904</v>
      </c>
      <c r="L715" s="15">
        <v>938.18</v>
      </c>
      <c r="M715" s="15">
        <v>808.78</v>
      </c>
      <c r="N715" s="15">
        <v>0</v>
      </c>
      <c r="O715" s="15">
        <v>129.4</v>
      </c>
      <c r="P715" s="2" t="s">
        <v>55</v>
      </c>
      <c r="Q715" s="16"/>
    </row>
    <row r="716" spans="1:17" x14ac:dyDescent="0.3">
      <c r="A716" s="10">
        <v>21733</v>
      </c>
      <c r="B716" s="2" t="s">
        <v>4067</v>
      </c>
      <c r="C716" s="13">
        <v>5681</v>
      </c>
      <c r="D716" s="2" t="s">
        <v>44</v>
      </c>
      <c r="E716" s="14">
        <v>44347</v>
      </c>
      <c r="F716" s="10" t="s">
        <v>2149</v>
      </c>
      <c r="G716" s="25">
        <v>44352</v>
      </c>
      <c r="H716" s="10" t="s">
        <v>2150</v>
      </c>
      <c r="I716" s="10" t="s">
        <v>2151</v>
      </c>
      <c r="J716" s="15">
        <v>62702.17</v>
      </c>
      <c r="K716" s="15">
        <v>61763.256919999993</v>
      </c>
      <c r="L716" s="15">
        <v>938.91</v>
      </c>
      <c r="M716" s="15">
        <v>809.41</v>
      </c>
      <c r="N716" s="15">
        <v>0</v>
      </c>
      <c r="O716" s="15">
        <v>129.51</v>
      </c>
      <c r="P716" s="2" t="s">
        <v>55</v>
      </c>
      <c r="Q716" s="16"/>
    </row>
    <row r="717" spans="1:17" x14ac:dyDescent="0.3">
      <c r="A717" s="10">
        <v>21733</v>
      </c>
      <c r="B717" s="2" t="s">
        <v>4068</v>
      </c>
      <c r="C717" s="13">
        <v>5681</v>
      </c>
      <c r="D717" s="2" t="s">
        <v>44</v>
      </c>
      <c r="E717" s="14">
        <v>44459</v>
      </c>
      <c r="F717" s="10" t="s">
        <v>2152</v>
      </c>
      <c r="G717" s="25">
        <v>44464</v>
      </c>
      <c r="H717" s="10" t="s">
        <v>2153</v>
      </c>
      <c r="I717" s="10" t="s">
        <v>2154</v>
      </c>
      <c r="J717" s="15">
        <v>381342.75</v>
      </c>
      <c r="K717" s="15">
        <v>380402.45631999988</v>
      </c>
      <c r="L717" s="15">
        <v>940.29</v>
      </c>
      <c r="M717" s="15">
        <v>810.6</v>
      </c>
      <c r="N717" s="15">
        <v>0</v>
      </c>
      <c r="O717" s="15">
        <v>129.69999999999999</v>
      </c>
      <c r="P717" s="2" t="s">
        <v>55</v>
      </c>
      <c r="Q717" s="16"/>
    </row>
    <row r="718" spans="1:17" x14ac:dyDescent="0.3">
      <c r="A718" s="10">
        <v>21733</v>
      </c>
      <c r="B718" s="2" t="s">
        <v>4069</v>
      </c>
      <c r="C718" s="13">
        <v>5556</v>
      </c>
      <c r="D718" s="2" t="s">
        <v>44</v>
      </c>
      <c r="E718" s="14">
        <v>44694</v>
      </c>
      <c r="F718" s="10" t="s">
        <v>2155</v>
      </c>
      <c r="G718" s="25">
        <v>44704</v>
      </c>
      <c r="H718" s="10" t="s">
        <v>2156</v>
      </c>
      <c r="I718" s="10" t="s">
        <v>2157</v>
      </c>
      <c r="J718" s="15">
        <v>350014.7</v>
      </c>
      <c r="K718" s="15">
        <v>349070.79599999997</v>
      </c>
      <c r="L718" s="15">
        <v>943.9</v>
      </c>
      <c r="M718" s="15">
        <v>813.71</v>
      </c>
      <c r="N718" s="15">
        <v>0</v>
      </c>
      <c r="O718" s="15">
        <v>130.19</v>
      </c>
      <c r="P718" s="2" t="s">
        <v>55</v>
      </c>
      <c r="Q718" s="16"/>
    </row>
    <row r="719" spans="1:17" x14ac:dyDescent="0.3">
      <c r="A719" s="10">
        <v>21733</v>
      </c>
      <c r="B719" s="2" t="s">
        <v>4070</v>
      </c>
      <c r="C719" s="13">
        <v>5557</v>
      </c>
      <c r="D719" s="2" t="s">
        <v>44</v>
      </c>
      <c r="E719" s="14">
        <v>44774</v>
      </c>
      <c r="F719" s="10" t="s">
        <v>2158</v>
      </c>
      <c r="G719" s="25">
        <v>44778</v>
      </c>
      <c r="H719" s="10" t="s">
        <v>2159</v>
      </c>
      <c r="I719" s="10" t="s">
        <v>2160</v>
      </c>
      <c r="J719" s="15">
        <v>285693.96999999997</v>
      </c>
      <c r="K719" s="15">
        <v>284744.9181200001</v>
      </c>
      <c r="L719" s="15">
        <v>949.05</v>
      </c>
      <c r="M719" s="15">
        <v>818.15</v>
      </c>
      <c r="N719" s="15">
        <v>0</v>
      </c>
      <c r="O719" s="15">
        <v>130.9</v>
      </c>
      <c r="P719" s="2" t="s">
        <v>55</v>
      </c>
      <c r="Q719" s="16"/>
    </row>
    <row r="720" spans="1:17" x14ac:dyDescent="0.3">
      <c r="A720" s="10">
        <v>21733</v>
      </c>
      <c r="B720" s="2" t="s">
        <v>4071</v>
      </c>
      <c r="C720" s="13">
        <v>5548</v>
      </c>
      <c r="D720" s="2" t="s">
        <v>44</v>
      </c>
      <c r="E720" s="14">
        <v>44690</v>
      </c>
      <c r="F720" s="10" t="s">
        <v>2161</v>
      </c>
      <c r="G720" s="25">
        <v>44695</v>
      </c>
      <c r="H720" s="10" t="s">
        <v>2162</v>
      </c>
      <c r="I720" s="10" t="s">
        <v>2163</v>
      </c>
      <c r="J720" s="15">
        <v>29291.35</v>
      </c>
      <c r="K720" s="15">
        <v>28337.862719999997</v>
      </c>
      <c r="L720" s="15">
        <v>953.49</v>
      </c>
      <c r="M720" s="15">
        <v>821.97</v>
      </c>
      <c r="N720" s="15">
        <v>0</v>
      </c>
      <c r="O720" s="15">
        <v>131.52000000000001</v>
      </c>
      <c r="P720" s="2" t="s">
        <v>55</v>
      </c>
      <c r="Q720" s="16"/>
    </row>
    <row r="721" spans="1:17" x14ac:dyDescent="0.3">
      <c r="A721" s="10">
        <v>21733</v>
      </c>
      <c r="B721" s="2" t="s">
        <v>4072</v>
      </c>
      <c r="C721" s="13">
        <v>5681</v>
      </c>
      <c r="D721" s="2" t="s">
        <v>44</v>
      </c>
      <c r="E721" s="14">
        <v>44781</v>
      </c>
      <c r="F721" s="10" t="s">
        <v>2164</v>
      </c>
      <c r="G721" s="25">
        <v>44786</v>
      </c>
      <c r="H721" s="10" t="s">
        <v>2165</v>
      </c>
      <c r="I721" s="10" t="s">
        <v>2166</v>
      </c>
      <c r="J721" s="15">
        <v>218416.58</v>
      </c>
      <c r="K721" s="15">
        <v>217461.49031999998</v>
      </c>
      <c r="L721" s="15">
        <v>955.09</v>
      </c>
      <c r="M721" s="15">
        <v>823.35</v>
      </c>
      <c r="N721" s="15">
        <v>0</v>
      </c>
      <c r="O721" s="15">
        <v>131.74</v>
      </c>
      <c r="P721" s="2" t="s">
        <v>55</v>
      </c>
      <c r="Q721" s="16"/>
    </row>
    <row r="722" spans="1:17" x14ac:dyDescent="0.3">
      <c r="A722" s="10">
        <v>21733</v>
      </c>
      <c r="B722" s="2" t="s">
        <v>4073</v>
      </c>
      <c r="C722" s="13">
        <v>5681</v>
      </c>
      <c r="D722" s="2" t="s">
        <v>44</v>
      </c>
      <c r="E722" s="14">
        <v>44816</v>
      </c>
      <c r="F722" s="10" t="s">
        <v>2167</v>
      </c>
      <c r="G722" s="25">
        <v>44821</v>
      </c>
      <c r="H722" s="10" t="s">
        <v>2168</v>
      </c>
      <c r="I722" s="10" t="s">
        <v>2169</v>
      </c>
      <c r="J722" s="15">
        <v>49583.88</v>
      </c>
      <c r="K722" s="15">
        <v>48628.372759999998</v>
      </c>
      <c r="L722" s="15">
        <v>955.51</v>
      </c>
      <c r="M722" s="15">
        <v>823.71</v>
      </c>
      <c r="N722" s="15">
        <v>0</v>
      </c>
      <c r="O722" s="15">
        <v>131.79</v>
      </c>
      <c r="P722" s="2" t="s">
        <v>55</v>
      </c>
      <c r="Q722" s="16"/>
    </row>
    <row r="723" spans="1:17" x14ac:dyDescent="0.3">
      <c r="A723" s="10">
        <v>21733</v>
      </c>
      <c r="B723" s="2" t="s">
        <v>4074</v>
      </c>
      <c r="C723" s="13">
        <v>5549</v>
      </c>
      <c r="D723" s="2" t="s">
        <v>44</v>
      </c>
      <c r="E723" s="14">
        <v>44648</v>
      </c>
      <c r="F723" s="10" t="s">
        <v>520</v>
      </c>
      <c r="G723" s="25">
        <v>44653</v>
      </c>
      <c r="H723" s="10" t="s">
        <v>2170</v>
      </c>
      <c r="I723" s="10" t="s">
        <v>2171</v>
      </c>
      <c r="J723" s="15">
        <v>908240.98</v>
      </c>
      <c r="K723" s="15">
        <v>907276.18471999967</v>
      </c>
      <c r="L723" s="15">
        <v>964.8</v>
      </c>
      <c r="M723" s="15">
        <v>831.72</v>
      </c>
      <c r="N723" s="15">
        <v>0</v>
      </c>
      <c r="O723" s="15">
        <v>133.08000000000001</v>
      </c>
      <c r="P723" s="2" t="s">
        <v>55</v>
      </c>
      <c r="Q723" s="16"/>
    </row>
    <row r="724" spans="1:17" x14ac:dyDescent="0.3">
      <c r="A724" s="10">
        <v>21733</v>
      </c>
      <c r="B724" s="2" t="s">
        <v>4075</v>
      </c>
      <c r="C724" s="13">
        <v>5681</v>
      </c>
      <c r="D724" s="2" t="s">
        <v>44</v>
      </c>
      <c r="E724" s="14">
        <v>44617</v>
      </c>
      <c r="F724" s="10" t="s">
        <v>2172</v>
      </c>
      <c r="G724" s="25">
        <v>44624</v>
      </c>
      <c r="H724" s="10" t="s">
        <v>2173</v>
      </c>
      <c r="I724" s="10" t="s">
        <v>2174</v>
      </c>
      <c r="J724" s="15">
        <v>243182.6</v>
      </c>
      <c r="K724" s="15">
        <v>242217.30319999999</v>
      </c>
      <c r="L724" s="15">
        <v>965.3</v>
      </c>
      <c r="M724" s="15">
        <v>832.15</v>
      </c>
      <c r="N724" s="15">
        <v>0</v>
      </c>
      <c r="O724" s="15">
        <v>133.13</v>
      </c>
      <c r="P724" s="2" t="s">
        <v>55</v>
      </c>
      <c r="Q724" s="16"/>
    </row>
    <row r="725" spans="1:17" x14ac:dyDescent="0.3">
      <c r="A725" s="10">
        <v>21733</v>
      </c>
      <c r="B725" s="2" t="s">
        <v>4076</v>
      </c>
      <c r="C725" s="13">
        <v>5681</v>
      </c>
      <c r="D725" s="2" t="s">
        <v>44</v>
      </c>
      <c r="E725" s="14">
        <v>45089</v>
      </c>
      <c r="F725" s="10" t="s">
        <v>2175</v>
      </c>
      <c r="G725" s="25">
        <v>45094</v>
      </c>
      <c r="H725" s="10" t="s">
        <v>2176</v>
      </c>
      <c r="I725" s="10" t="s">
        <v>2177</v>
      </c>
      <c r="J725" s="15">
        <v>2290.12</v>
      </c>
      <c r="K725" s="15">
        <v>1320.1728000000001</v>
      </c>
      <c r="L725" s="15">
        <v>969.95</v>
      </c>
      <c r="M725" s="15">
        <v>836.16</v>
      </c>
      <c r="N725" s="15">
        <v>0</v>
      </c>
      <c r="O725" s="15">
        <v>133.79</v>
      </c>
      <c r="P725" s="2" t="s">
        <v>55</v>
      </c>
      <c r="Q725" s="16"/>
    </row>
    <row r="726" spans="1:17" x14ac:dyDescent="0.3">
      <c r="A726" s="10">
        <v>21733</v>
      </c>
      <c r="B726" s="2" t="s">
        <v>4077</v>
      </c>
      <c r="C726" s="13">
        <v>5557</v>
      </c>
      <c r="D726" s="2" t="s">
        <v>44</v>
      </c>
      <c r="E726" s="14">
        <v>44840</v>
      </c>
      <c r="F726" s="10" t="s">
        <v>2178</v>
      </c>
      <c r="G726" s="25">
        <v>44847</v>
      </c>
      <c r="H726" s="10" t="s">
        <v>2179</v>
      </c>
      <c r="I726" s="10" t="s">
        <v>2180</v>
      </c>
      <c r="J726" s="15">
        <v>678655.04</v>
      </c>
      <c r="K726" s="15">
        <v>677677.97167999996</v>
      </c>
      <c r="L726" s="15">
        <v>977.07</v>
      </c>
      <c r="M726" s="15">
        <v>842.3</v>
      </c>
      <c r="N726" s="15">
        <v>0</v>
      </c>
      <c r="O726" s="15">
        <v>134.77000000000001</v>
      </c>
      <c r="P726" s="2" t="s">
        <v>55</v>
      </c>
      <c r="Q726" s="16"/>
    </row>
    <row r="727" spans="1:17" x14ac:dyDescent="0.3">
      <c r="A727" s="10">
        <v>21733</v>
      </c>
      <c r="B727" s="2" t="s">
        <v>4078</v>
      </c>
      <c r="C727" s="13">
        <v>5556</v>
      </c>
      <c r="D727" s="2" t="s">
        <v>44</v>
      </c>
      <c r="E727" s="14">
        <v>44671</v>
      </c>
      <c r="F727" s="10" t="s">
        <v>2181</v>
      </c>
      <c r="G727" s="25">
        <v>44677</v>
      </c>
      <c r="H727" s="10" t="s">
        <v>2182</v>
      </c>
      <c r="I727" s="10" t="s">
        <v>2183</v>
      </c>
      <c r="J727" s="15">
        <v>244463.61</v>
      </c>
      <c r="K727" s="15">
        <v>243482.41428</v>
      </c>
      <c r="L727" s="15">
        <v>981.2</v>
      </c>
      <c r="M727" s="15">
        <v>845.86</v>
      </c>
      <c r="N727" s="15">
        <v>0</v>
      </c>
      <c r="O727" s="15">
        <v>135.34</v>
      </c>
      <c r="P727" s="2" t="s">
        <v>55</v>
      </c>
      <c r="Q727" s="16"/>
    </row>
    <row r="728" spans="1:17" x14ac:dyDescent="0.3">
      <c r="A728" s="10">
        <v>21733</v>
      </c>
      <c r="B728" s="2" t="s">
        <v>4079</v>
      </c>
      <c r="C728" s="13">
        <v>5548</v>
      </c>
      <c r="D728" s="2" t="s">
        <v>44</v>
      </c>
      <c r="E728" s="14">
        <v>44459</v>
      </c>
      <c r="F728" s="10" t="s">
        <v>2184</v>
      </c>
      <c r="G728" s="25">
        <v>44464</v>
      </c>
      <c r="H728" s="10" t="s">
        <v>2185</v>
      </c>
      <c r="I728" s="10" t="s">
        <v>2186</v>
      </c>
      <c r="J728" s="15">
        <v>1321330.45</v>
      </c>
      <c r="K728" s="15">
        <v>1320344.9498000001</v>
      </c>
      <c r="L728" s="15">
        <v>985.5</v>
      </c>
      <c r="M728" s="15">
        <v>849.57</v>
      </c>
      <c r="N728" s="15">
        <v>0</v>
      </c>
      <c r="O728" s="15">
        <v>135.93</v>
      </c>
      <c r="P728" s="2" t="s">
        <v>55</v>
      </c>
      <c r="Q728" s="16"/>
    </row>
    <row r="729" spans="1:17" x14ac:dyDescent="0.3">
      <c r="A729" s="10">
        <v>21733</v>
      </c>
      <c r="B729" s="2" t="s">
        <v>4080</v>
      </c>
      <c r="C729" s="13">
        <v>5681</v>
      </c>
      <c r="D729" s="2" t="s">
        <v>44</v>
      </c>
      <c r="E729" s="14">
        <v>44648</v>
      </c>
      <c r="F729" s="10" t="s">
        <v>2187</v>
      </c>
      <c r="G729" s="25">
        <v>44653</v>
      </c>
      <c r="H729" s="10" t="s">
        <v>2188</v>
      </c>
      <c r="I729" s="10" t="s">
        <v>2189</v>
      </c>
      <c r="J729" s="15">
        <v>163956.18</v>
      </c>
      <c r="K729" s="15">
        <v>162969.16211999999</v>
      </c>
      <c r="L729" s="15">
        <v>987.02</v>
      </c>
      <c r="M729" s="15">
        <v>850.88</v>
      </c>
      <c r="N729" s="15">
        <v>0</v>
      </c>
      <c r="O729" s="15">
        <v>136.13999999999999</v>
      </c>
      <c r="P729" s="2" t="s">
        <v>55</v>
      </c>
      <c r="Q729" s="16"/>
    </row>
    <row r="730" spans="1:17" x14ac:dyDescent="0.3">
      <c r="A730" s="10">
        <v>21733</v>
      </c>
      <c r="B730" s="2" t="s">
        <v>4081</v>
      </c>
      <c r="C730" s="13">
        <v>5537</v>
      </c>
      <c r="D730" s="2" t="s">
        <v>44</v>
      </c>
      <c r="E730" s="14">
        <v>44984</v>
      </c>
      <c r="F730" s="10" t="s">
        <v>2190</v>
      </c>
      <c r="G730" s="25">
        <v>44989</v>
      </c>
      <c r="H730" s="10" t="s">
        <v>2191</v>
      </c>
      <c r="I730" s="10" t="s">
        <v>2192</v>
      </c>
      <c r="J730" s="15">
        <v>683555.76</v>
      </c>
      <c r="K730" s="15">
        <v>682561.50439999998</v>
      </c>
      <c r="L730" s="15">
        <v>994.26</v>
      </c>
      <c r="M730" s="15">
        <v>857.12</v>
      </c>
      <c r="N730" s="15">
        <v>0</v>
      </c>
      <c r="O730" s="15">
        <v>137.13999999999999</v>
      </c>
      <c r="P730" s="2" t="s">
        <v>55</v>
      </c>
      <c r="Q730" s="16"/>
    </row>
    <row r="731" spans="1:17" x14ac:dyDescent="0.3">
      <c r="A731" s="10">
        <v>21733</v>
      </c>
      <c r="B731" s="2" t="s">
        <v>4082</v>
      </c>
      <c r="C731" s="13">
        <v>5548</v>
      </c>
      <c r="D731" s="2" t="s">
        <v>44</v>
      </c>
      <c r="E731" s="14">
        <v>44459</v>
      </c>
      <c r="F731" s="10" t="s">
        <v>2193</v>
      </c>
      <c r="G731" s="25">
        <v>44463</v>
      </c>
      <c r="H731" s="10" t="s">
        <v>2194</v>
      </c>
      <c r="I731" s="10" t="s">
        <v>2195</v>
      </c>
      <c r="J731" s="15">
        <v>818380.95</v>
      </c>
      <c r="K731" s="15">
        <v>817383.15863999992</v>
      </c>
      <c r="L731" s="15">
        <v>997.79</v>
      </c>
      <c r="M731" s="15">
        <v>860.16</v>
      </c>
      <c r="N731" s="15">
        <v>0</v>
      </c>
      <c r="O731" s="15">
        <v>137.63</v>
      </c>
      <c r="P731" s="2" t="s">
        <v>55</v>
      </c>
      <c r="Q731" s="16"/>
    </row>
    <row r="732" spans="1:17" x14ac:dyDescent="0.3">
      <c r="A732" s="10">
        <v>21733</v>
      </c>
      <c r="B732" s="2" t="s">
        <v>4083</v>
      </c>
      <c r="C732" s="13">
        <v>5557</v>
      </c>
      <c r="D732" s="2" t="s">
        <v>44</v>
      </c>
      <c r="E732" s="14">
        <v>44977</v>
      </c>
      <c r="F732" s="10" t="s">
        <v>2196</v>
      </c>
      <c r="G732" s="25">
        <v>44985</v>
      </c>
      <c r="H732" s="10" t="s">
        <v>2197</v>
      </c>
      <c r="I732" s="10" t="s">
        <v>2198</v>
      </c>
      <c r="J732" s="15">
        <v>1015382.93</v>
      </c>
      <c r="K732" s="15">
        <v>1014380.1574799999</v>
      </c>
      <c r="L732" s="15">
        <v>1002.77</v>
      </c>
      <c r="M732" s="15">
        <v>864.46</v>
      </c>
      <c r="N732" s="15">
        <v>0</v>
      </c>
      <c r="O732" s="15">
        <v>138.31</v>
      </c>
      <c r="P732" s="2" t="s">
        <v>55</v>
      </c>
      <c r="Q732" s="16"/>
    </row>
    <row r="733" spans="1:17" x14ac:dyDescent="0.3">
      <c r="A733" s="10">
        <v>21733</v>
      </c>
      <c r="B733" s="2" t="s">
        <v>4084</v>
      </c>
      <c r="C733" s="13">
        <v>5549</v>
      </c>
      <c r="D733" s="2" t="s">
        <v>44</v>
      </c>
      <c r="E733" s="14">
        <v>44746</v>
      </c>
      <c r="F733" s="10" t="s">
        <v>2199</v>
      </c>
      <c r="G733" s="25">
        <v>44752</v>
      </c>
      <c r="H733" s="10" t="s">
        <v>2200</v>
      </c>
      <c r="I733" s="10" t="s">
        <v>2201</v>
      </c>
      <c r="J733" s="15">
        <v>955752.05</v>
      </c>
      <c r="K733" s="15">
        <v>954747.98064000008</v>
      </c>
      <c r="L733" s="15">
        <v>1004.07</v>
      </c>
      <c r="M733" s="15">
        <v>865.58</v>
      </c>
      <c r="N733" s="15">
        <v>0</v>
      </c>
      <c r="O733" s="15">
        <v>138.49</v>
      </c>
      <c r="P733" s="2" t="s">
        <v>55</v>
      </c>
      <c r="Q733" s="16"/>
    </row>
    <row r="734" spans="1:17" x14ac:dyDescent="0.3">
      <c r="A734" s="10">
        <v>21733</v>
      </c>
      <c r="B734" s="2" t="s">
        <v>4085</v>
      </c>
      <c r="C734" s="13">
        <v>5548</v>
      </c>
      <c r="D734" s="2" t="s">
        <v>44</v>
      </c>
      <c r="E734" s="14">
        <v>44438</v>
      </c>
      <c r="F734" s="10" t="s">
        <v>2202</v>
      </c>
      <c r="G734" s="25">
        <v>44449</v>
      </c>
      <c r="H734" s="10" t="s">
        <v>2203</v>
      </c>
      <c r="I734" s="10" t="s">
        <v>2204</v>
      </c>
      <c r="J734" s="15">
        <v>136558.07999999999</v>
      </c>
      <c r="K734" s="15">
        <v>135550.17599999998</v>
      </c>
      <c r="L734" s="15">
        <v>1007.9</v>
      </c>
      <c r="M734" s="15">
        <v>868.88</v>
      </c>
      <c r="N734" s="15">
        <v>0</v>
      </c>
      <c r="O734" s="15">
        <v>139.02000000000001</v>
      </c>
      <c r="P734" s="2" t="s">
        <v>55</v>
      </c>
      <c r="Q734" s="16"/>
    </row>
    <row r="735" spans="1:17" x14ac:dyDescent="0.3">
      <c r="A735" s="10">
        <v>21733</v>
      </c>
      <c r="B735" s="2" t="s">
        <v>4086</v>
      </c>
      <c r="C735" s="13">
        <v>5557</v>
      </c>
      <c r="D735" s="2" t="s">
        <v>44</v>
      </c>
      <c r="E735" s="14">
        <v>44480</v>
      </c>
      <c r="F735" s="10" t="s">
        <v>2205</v>
      </c>
      <c r="G735" s="25">
        <v>44484</v>
      </c>
      <c r="H735" s="10" t="s">
        <v>2206</v>
      </c>
      <c r="I735" s="10" t="s">
        <v>2207</v>
      </c>
      <c r="J735" s="15">
        <v>773513.11</v>
      </c>
      <c r="K735" s="15">
        <v>772496.12691999995</v>
      </c>
      <c r="L735" s="15">
        <v>1016.98</v>
      </c>
      <c r="M735" s="15">
        <v>876.71</v>
      </c>
      <c r="N735" s="15">
        <v>0</v>
      </c>
      <c r="O735" s="15">
        <v>140.27000000000001</v>
      </c>
      <c r="P735" s="2" t="s">
        <v>55</v>
      </c>
      <c r="Q735" s="16"/>
    </row>
    <row r="736" spans="1:17" x14ac:dyDescent="0.3">
      <c r="A736" s="10">
        <v>21733</v>
      </c>
      <c r="B736" s="2" t="s">
        <v>4087</v>
      </c>
      <c r="C736" s="13">
        <v>5557</v>
      </c>
      <c r="D736" s="2" t="s">
        <v>44</v>
      </c>
      <c r="E736" s="14">
        <v>44375</v>
      </c>
      <c r="F736" s="10" t="s">
        <v>2208</v>
      </c>
      <c r="G736" s="25">
        <v>44380</v>
      </c>
      <c r="H736" s="10" t="s">
        <v>2209</v>
      </c>
      <c r="I736" s="10" t="s">
        <v>2210</v>
      </c>
      <c r="J736" s="15">
        <v>93829.96</v>
      </c>
      <c r="K736" s="15">
        <v>92808.781200000012</v>
      </c>
      <c r="L736" s="15">
        <v>1021.18</v>
      </c>
      <c r="M736" s="15">
        <v>880.33</v>
      </c>
      <c r="N736" s="15">
        <v>0</v>
      </c>
      <c r="O736" s="15">
        <v>140.85</v>
      </c>
      <c r="P736" s="2" t="s">
        <v>55</v>
      </c>
      <c r="Q736" s="16"/>
    </row>
    <row r="737" spans="1:17" x14ac:dyDescent="0.3">
      <c r="A737" s="10">
        <v>21733</v>
      </c>
      <c r="B737" s="2" t="s">
        <v>4088</v>
      </c>
      <c r="C737" s="13">
        <v>5548</v>
      </c>
      <c r="D737" s="2" t="s">
        <v>44</v>
      </c>
      <c r="E737" s="14">
        <v>44445</v>
      </c>
      <c r="F737" s="10" t="s">
        <v>2211</v>
      </c>
      <c r="G737" s="25">
        <v>44450</v>
      </c>
      <c r="H737" s="10" t="s">
        <v>2212</v>
      </c>
      <c r="I737" s="10" t="s">
        <v>2213</v>
      </c>
      <c r="J737" s="15">
        <v>935186.26</v>
      </c>
      <c r="K737" s="15">
        <v>934154.13639999984</v>
      </c>
      <c r="L737" s="15">
        <v>1032.1199999999999</v>
      </c>
      <c r="M737" s="15">
        <v>889.76</v>
      </c>
      <c r="N737" s="15">
        <v>0</v>
      </c>
      <c r="O737" s="15">
        <v>142.36000000000001</v>
      </c>
      <c r="P737" s="2" t="s">
        <v>55</v>
      </c>
      <c r="Q737" s="16"/>
    </row>
    <row r="738" spans="1:17" x14ac:dyDescent="0.3">
      <c r="A738" s="10">
        <v>21733</v>
      </c>
      <c r="B738" s="2" t="s">
        <v>4089</v>
      </c>
      <c r="C738" s="13">
        <v>5548</v>
      </c>
      <c r="D738" s="2" t="s">
        <v>44</v>
      </c>
      <c r="E738" s="14">
        <v>44802</v>
      </c>
      <c r="F738" s="10" t="s">
        <v>2214</v>
      </c>
      <c r="G738" s="25">
        <v>44806</v>
      </c>
      <c r="H738" s="10" t="s">
        <v>2215</v>
      </c>
      <c r="I738" s="10" t="s">
        <v>2216</v>
      </c>
      <c r="J738" s="15">
        <v>821326.22</v>
      </c>
      <c r="K738" s="15">
        <v>820292.86551999999</v>
      </c>
      <c r="L738" s="15">
        <v>1033.3499999999999</v>
      </c>
      <c r="M738" s="15">
        <v>890.82</v>
      </c>
      <c r="N738" s="15">
        <v>0</v>
      </c>
      <c r="O738" s="15">
        <v>142.53</v>
      </c>
      <c r="P738" s="2" t="s">
        <v>55</v>
      </c>
      <c r="Q738" s="16"/>
    </row>
    <row r="739" spans="1:17" x14ac:dyDescent="0.3">
      <c r="A739" s="10">
        <v>21733</v>
      </c>
      <c r="B739" s="2" t="s">
        <v>4090</v>
      </c>
      <c r="C739" s="13">
        <v>5556</v>
      </c>
      <c r="D739" s="2" t="s">
        <v>44</v>
      </c>
      <c r="E739" s="14">
        <v>44769</v>
      </c>
      <c r="F739" s="10" t="s">
        <v>2217</v>
      </c>
      <c r="G739" s="25">
        <v>44778</v>
      </c>
      <c r="H739" s="10" t="s">
        <v>2218</v>
      </c>
      <c r="I739" s="10" t="s">
        <v>2219</v>
      </c>
      <c r="J739" s="15">
        <v>550852.84</v>
      </c>
      <c r="K739" s="15">
        <v>549818.66760000004</v>
      </c>
      <c r="L739" s="15">
        <v>1034.17</v>
      </c>
      <c r="M739" s="15">
        <v>891.53</v>
      </c>
      <c r="N739" s="15">
        <v>0</v>
      </c>
      <c r="O739" s="15">
        <v>142.63999999999999</v>
      </c>
      <c r="P739" s="2" t="s">
        <v>55</v>
      </c>
      <c r="Q739" s="16"/>
    </row>
    <row r="740" spans="1:17" x14ac:dyDescent="0.3">
      <c r="A740" s="10">
        <v>21733</v>
      </c>
      <c r="B740" s="2" t="s">
        <v>4091</v>
      </c>
      <c r="C740" s="13">
        <v>5537</v>
      </c>
      <c r="D740" s="2" t="s">
        <v>44</v>
      </c>
      <c r="E740" s="14">
        <v>45047</v>
      </c>
      <c r="F740" s="10" t="s">
        <v>2220</v>
      </c>
      <c r="G740" s="25">
        <v>45056</v>
      </c>
      <c r="H740" s="10" t="s">
        <v>2221</v>
      </c>
      <c r="I740" s="10" t="s">
        <v>2222</v>
      </c>
      <c r="J740" s="15">
        <v>1085160.79</v>
      </c>
      <c r="K740" s="15">
        <v>1084124.4290000002</v>
      </c>
      <c r="L740" s="15">
        <v>1036.3599999999999</v>
      </c>
      <c r="M740" s="15">
        <v>893.41</v>
      </c>
      <c r="N740" s="15">
        <v>0</v>
      </c>
      <c r="O740" s="15">
        <v>142.94999999999999</v>
      </c>
      <c r="P740" s="2" t="s">
        <v>55</v>
      </c>
      <c r="Q740" s="16"/>
    </row>
    <row r="741" spans="1:17" x14ac:dyDescent="0.3">
      <c r="A741" s="10">
        <v>21733</v>
      </c>
      <c r="B741" s="2" t="s">
        <v>4092</v>
      </c>
      <c r="C741" s="13">
        <v>5681</v>
      </c>
      <c r="D741" s="2" t="s">
        <v>44</v>
      </c>
      <c r="E741" s="14">
        <v>44522</v>
      </c>
      <c r="F741" s="10" t="s">
        <v>2223</v>
      </c>
      <c r="G741" s="25">
        <v>44527</v>
      </c>
      <c r="H741" s="10" t="s">
        <v>2224</v>
      </c>
      <c r="I741" s="10" t="s">
        <v>2225</v>
      </c>
      <c r="J741" s="15">
        <v>787308.55</v>
      </c>
      <c r="K741" s="15">
        <v>786267.56687999994</v>
      </c>
      <c r="L741" s="15">
        <v>1040.98</v>
      </c>
      <c r="M741" s="15">
        <v>897.4</v>
      </c>
      <c r="N741" s="15">
        <v>0</v>
      </c>
      <c r="O741" s="15">
        <v>143.58000000000001</v>
      </c>
      <c r="P741" s="2" t="s">
        <v>55</v>
      </c>
      <c r="Q741" s="16"/>
    </row>
    <row r="742" spans="1:17" x14ac:dyDescent="0.3">
      <c r="A742" s="10">
        <v>21733</v>
      </c>
      <c r="B742" s="2" t="s">
        <v>4093</v>
      </c>
      <c r="C742" s="13">
        <v>5681</v>
      </c>
      <c r="D742" s="2" t="s">
        <v>44</v>
      </c>
      <c r="E742" s="14">
        <v>44305</v>
      </c>
      <c r="F742" s="10" t="s">
        <v>862</v>
      </c>
      <c r="G742" s="25">
        <v>44310</v>
      </c>
      <c r="H742" s="10" t="s">
        <v>2226</v>
      </c>
      <c r="I742" s="10" t="s">
        <v>2227</v>
      </c>
      <c r="J742" s="15">
        <v>100155.52</v>
      </c>
      <c r="K742" s="15">
        <v>99114.471600000004</v>
      </c>
      <c r="L742" s="15">
        <v>1041.05</v>
      </c>
      <c r="M742" s="15">
        <v>897.46</v>
      </c>
      <c r="N742" s="15">
        <v>0</v>
      </c>
      <c r="O742" s="15">
        <v>143.59</v>
      </c>
      <c r="P742" s="2" t="s">
        <v>55</v>
      </c>
      <c r="Q742" s="16"/>
    </row>
    <row r="743" spans="1:17" x14ac:dyDescent="0.3">
      <c r="A743" s="10">
        <v>21733</v>
      </c>
      <c r="B743" s="2" t="s">
        <v>4094</v>
      </c>
      <c r="C743" s="13">
        <v>5557</v>
      </c>
      <c r="D743" s="2" t="s">
        <v>44</v>
      </c>
      <c r="E743" s="14">
        <v>44977</v>
      </c>
      <c r="F743" s="10" t="s">
        <v>2196</v>
      </c>
      <c r="G743" s="25">
        <v>44984</v>
      </c>
      <c r="H743" s="10" t="s">
        <v>2228</v>
      </c>
      <c r="I743" s="10" t="s">
        <v>2229</v>
      </c>
      <c r="J743" s="15">
        <v>1095457.6200000001</v>
      </c>
      <c r="K743" s="15">
        <v>1094414.2820799998</v>
      </c>
      <c r="L743" s="15">
        <v>1043.3399999999999</v>
      </c>
      <c r="M743" s="15">
        <v>899.43</v>
      </c>
      <c r="N743" s="15">
        <v>0</v>
      </c>
      <c r="O743" s="15">
        <v>143.91</v>
      </c>
      <c r="P743" s="2" t="s">
        <v>55</v>
      </c>
      <c r="Q743" s="16"/>
    </row>
    <row r="744" spans="1:17" x14ac:dyDescent="0.3">
      <c r="A744" s="10">
        <v>21733</v>
      </c>
      <c r="B744" s="2" t="s">
        <v>4095</v>
      </c>
      <c r="C744" s="13">
        <v>5537</v>
      </c>
      <c r="D744" s="2" t="s">
        <v>44</v>
      </c>
      <c r="E744" s="14">
        <v>44711</v>
      </c>
      <c r="F744" s="10" t="s">
        <v>2230</v>
      </c>
      <c r="G744" s="25">
        <v>44717</v>
      </c>
      <c r="H744" s="10" t="s">
        <v>2231</v>
      </c>
      <c r="I744" s="10" t="s">
        <v>2232</v>
      </c>
      <c r="J744" s="15">
        <v>666157.12</v>
      </c>
      <c r="K744" s="15">
        <v>665111.16735999985</v>
      </c>
      <c r="L744" s="15">
        <v>1045.95</v>
      </c>
      <c r="M744" s="15">
        <v>901.68</v>
      </c>
      <c r="N744" s="15">
        <v>0</v>
      </c>
      <c r="O744" s="15">
        <v>144.27000000000001</v>
      </c>
      <c r="P744" s="2" t="s">
        <v>55</v>
      </c>
      <c r="Q744" s="16"/>
    </row>
    <row r="745" spans="1:17" x14ac:dyDescent="0.3">
      <c r="A745" s="10">
        <v>21733</v>
      </c>
      <c r="B745" s="2" t="s">
        <v>4096</v>
      </c>
      <c r="C745" s="13">
        <v>5681</v>
      </c>
      <c r="D745" s="2" t="s">
        <v>44</v>
      </c>
      <c r="E745" s="14">
        <v>44620</v>
      </c>
      <c r="F745" s="10" t="s">
        <v>2233</v>
      </c>
      <c r="G745" s="25">
        <v>44624</v>
      </c>
      <c r="H745" s="10" t="s">
        <v>2234</v>
      </c>
      <c r="I745" s="10" t="s">
        <v>2235</v>
      </c>
      <c r="J745" s="15">
        <v>168086.02</v>
      </c>
      <c r="K745" s="15">
        <v>167036.76939999996</v>
      </c>
      <c r="L745" s="15">
        <v>1049.25</v>
      </c>
      <c r="M745" s="15">
        <v>904.53</v>
      </c>
      <c r="N745" s="15">
        <v>0</v>
      </c>
      <c r="O745" s="15">
        <v>144.72</v>
      </c>
      <c r="P745" s="2" t="s">
        <v>55</v>
      </c>
      <c r="Q745" s="16"/>
    </row>
    <row r="746" spans="1:17" x14ac:dyDescent="0.3">
      <c r="A746" s="10">
        <v>21733</v>
      </c>
      <c r="B746" s="2" t="s">
        <v>4097</v>
      </c>
      <c r="C746" s="13">
        <v>5549</v>
      </c>
      <c r="D746" s="2" t="s">
        <v>44</v>
      </c>
      <c r="E746" s="14">
        <v>44942</v>
      </c>
      <c r="F746" s="10" t="s">
        <v>2236</v>
      </c>
      <c r="G746" s="25">
        <v>44948</v>
      </c>
      <c r="H746" s="10" t="s">
        <v>2237</v>
      </c>
      <c r="I746" s="10" t="s">
        <v>2238</v>
      </c>
      <c r="J746" s="15">
        <v>1323138.46</v>
      </c>
      <c r="K746" s="15">
        <v>1322086.4311199996</v>
      </c>
      <c r="L746" s="15">
        <v>1052.03</v>
      </c>
      <c r="M746" s="15">
        <v>906.92</v>
      </c>
      <c r="N746" s="15">
        <v>0</v>
      </c>
      <c r="O746" s="15">
        <v>145.11000000000001</v>
      </c>
      <c r="P746" s="2" t="s">
        <v>55</v>
      </c>
      <c r="Q746" s="16"/>
    </row>
    <row r="747" spans="1:17" x14ac:dyDescent="0.3">
      <c r="A747" s="10">
        <v>21733</v>
      </c>
      <c r="B747" s="2" t="s">
        <v>4098</v>
      </c>
      <c r="C747" s="13">
        <v>5548</v>
      </c>
      <c r="D747" s="2" t="s">
        <v>44</v>
      </c>
      <c r="E747" s="14">
        <v>44886</v>
      </c>
      <c r="F747" s="10" t="s">
        <v>2239</v>
      </c>
      <c r="G747" s="25">
        <v>44892</v>
      </c>
      <c r="H747" s="10" t="s">
        <v>2240</v>
      </c>
      <c r="I747" s="10" t="s">
        <v>2241</v>
      </c>
      <c r="J747" s="15">
        <v>1022668.48</v>
      </c>
      <c r="K747" s="15">
        <v>1021614.4928400003</v>
      </c>
      <c r="L747" s="15">
        <v>1053.99</v>
      </c>
      <c r="M747" s="15">
        <v>908.61</v>
      </c>
      <c r="N747" s="15">
        <v>0</v>
      </c>
      <c r="O747" s="15">
        <v>145.38</v>
      </c>
      <c r="P747" s="2" t="s">
        <v>55</v>
      </c>
      <c r="Q747" s="16"/>
    </row>
    <row r="748" spans="1:17" x14ac:dyDescent="0.3">
      <c r="A748" s="10">
        <v>21733</v>
      </c>
      <c r="B748" s="2" t="s">
        <v>4099</v>
      </c>
      <c r="C748" s="13">
        <v>5549</v>
      </c>
      <c r="D748" s="2" t="s">
        <v>44</v>
      </c>
      <c r="E748" s="14">
        <v>44750</v>
      </c>
      <c r="F748" s="10" t="s">
        <v>1257</v>
      </c>
      <c r="G748" s="25">
        <v>44757</v>
      </c>
      <c r="H748" s="10" t="s">
        <v>2242</v>
      </c>
      <c r="I748" s="10" t="s">
        <v>2243</v>
      </c>
      <c r="J748" s="15">
        <v>931684.35</v>
      </c>
      <c r="K748" s="15">
        <v>930628.66208000015</v>
      </c>
      <c r="L748" s="15">
        <v>1055.69</v>
      </c>
      <c r="M748" s="15">
        <v>910.08</v>
      </c>
      <c r="N748" s="15">
        <v>0</v>
      </c>
      <c r="O748" s="15">
        <v>145.61000000000001</v>
      </c>
      <c r="P748" s="2" t="s">
        <v>55</v>
      </c>
      <c r="Q748" s="16"/>
    </row>
    <row r="749" spans="1:17" x14ac:dyDescent="0.3">
      <c r="A749" s="10">
        <v>21733</v>
      </c>
      <c r="B749" s="2" t="s">
        <v>4100</v>
      </c>
      <c r="C749" s="13">
        <v>5556</v>
      </c>
      <c r="D749" s="2" t="s">
        <v>44</v>
      </c>
      <c r="E749" s="14">
        <v>44979</v>
      </c>
      <c r="F749" s="10" t="s">
        <v>1446</v>
      </c>
      <c r="G749" s="25">
        <v>44987</v>
      </c>
      <c r="H749" s="10" t="s">
        <v>2244</v>
      </c>
      <c r="I749" s="10" t="s">
        <v>2245</v>
      </c>
      <c r="J749" s="15">
        <v>727448.69</v>
      </c>
      <c r="K749" s="15">
        <v>726391.87820000004</v>
      </c>
      <c r="L749" s="15">
        <v>1056.81</v>
      </c>
      <c r="M749" s="15">
        <v>911.04</v>
      </c>
      <c r="N749" s="15">
        <v>0</v>
      </c>
      <c r="O749" s="15">
        <v>145.77000000000001</v>
      </c>
      <c r="P749" s="2" t="s">
        <v>55</v>
      </c>
      <c r="Q749" s="16"/>
    </row>
    <row r="750" spans="1:17" x14ac:dyDescent="0.3">
      <c r="A750" s="10">
        <v>21733</v>
      </c>
      <c r="B750" s="2" t="s">
        <v>4101</v>
      </c>
      <c r="C750" s="13">
        <v>5549</v>
      </c>
      <c r="D750" s="2" t="s">
        <v>44</v>
      </c>
      <c r="E750" s="14">
        <v>44326</v>
      </c>
      <c r="F750" s="10" t="s">
        <v>454</v>
      </c>
      <c r="G750" s="25">
        <v>44331</v>
      </c>
      <c r="H750" s="10" t="s">
        <v>2246</v>
      </c>
      <c r="I750" s="10" t="s">
        <v>2247</v>
      </c>
      <c r="J750" s="15">
        <v>1156078.02</v>
      </c>
      <c r="K750" s="15">
        <v>1155019.7604000003</v>
      </c>
      <c r="L750" s="15">
        <v>1058.26</v>
      </c>
      <c r="M750" s="15">
        <v>912.29</v>
      </c>
      <c r="N750" s="15">
        <v>0</v>
      </c>
      <c r="O750" s="15">
        <v>145.97</v>
      </c>
      <c r="P750" s="2" t="s">
        <v>55</v>
      </c>
      <c r="Q750" s="16"/>
    </row>
    <row r="751" spans="1:17" x14ac:dyDescent="0.3">
      <c r="A751" s="10">
        <v>21733</v>
      </c>
      <c r="B751" s="2" t="s">
        <v>4102</v>
      </c>
      <c r="C751" s="13">
        <v>5557</v>
      </c>
      <c r="D751" s="2" t="s">
        <v>44</v>
      </c>
      <c r="E751" s="14">
        <v>44984</v>
      </c>
      <c r="F751" s="10" t="s">
        <v>2248</v>
      </c>
      <c r="G751" s="25">
        <v>44989</v>
      </c>
      <c r="H751" s="10" t="s">
        <v>2249</v>
      </c>
      <c r="I751" s="10" t="s">
        <v>2250</v>
      </c>
      <c r="J751" s="15">
        <v>986344.23</v>
      </c>
      <c r="K751" s="15">
        <v>985280.89048000006</v>
      </c>
      <c r="L751" s="15">
        <v>1063.3399999999999</v>
      </c>
      <c r="M751" s="15">
        <v>916.67</v>
      </c>
      <c r="N751" s="15">
        <v>0</v>
      </c>
      <c r="O751" s="15">
        <v>146.66999999999999</v>
      </c>
      <c r="P751" s="2" t="s">
        <v>55</v>
      </c>
      <c r="Q751" s="16"/>
    </row>
    <row r="752" spans="1:17" x14ac:dyDescent="0.3">
      <c r="A752" s="10">
        <v>21733</v>
      </c>
      <c r="B752" s="2" t="s">
        <v>4103</v>
      </c>
      <c r="C752" s="13">
        <v>5557</v>
      </c>
      <c r="D752" s="2" t="s">
        <v>44</v>
      </c>
      <c r="E752" s="14">
        <v>44726</v>
      </c>
      <c r="F752" s="10" t="s">
        <v>1796</v>
      </c>
      <c r="G752" s="25">
        <v>44735</v>
      </c>
      <c r="H752" s="10" t="s">
        <v>2251</v>
      </c>
      <c r="I752" s="10" t="s">
        <v>2252</v>
      </c>
      <c r="J752" s="15">
        <v>869313.1</v>
      </c>
      <c r="K752" s="15">
        <v>868249.20272000006</v>
      </c>
      <c r="L752" s="15">
        <v>1063.9000000000001</v>
      </c>
      <c r="M752" s="15">
        <v>917.15</v>
      </c>
      <c r="N752" s="15">
        <v>0</v>
      </c>
      <c r="O752" s="15">
        <v>146.74</v>
      </c>
      <c r="P752" s="2" t="s">
        <v>55</v>
      </c>
      <c r="Q752" s="16"/>
    </row>
    <row r="753" spans="1:17" x14ac:dyDescent="0.3">
      <c r="A753" s="10">
        <v>21733</v>
      </c>
      <c r="B753" s="2" t="s">
        <v>4104</v>
      </c>
      <c r="C753" s="13">
        <v>5556</v>
      </c>
      <c r="D753" s="2" t="s">
        <v>44</v>
      </c>
      <c r="E753" s="14">
        <v>44622</v>
      </c>
      <c r="F753" s="10" t="s">
        <v>1422</v>
      </c>
      <c r="G753" s="25">
        <v>44628</v>
      </c>
      <c r="H753" s="10" t="s">
        <v>2253</v>
      </c>
      <c r="I753" s="10" t="s">
        <v>2254</v>
      </c>
      <c r="J753" s="15">
        <v>157890.9</v>
      </c>
      <c r="K753" s="15">
        <v>156824.03312000001</v>
      </c>
      <c r="L753" s="15">
        <v>1066.8699999999999</v>
      </c>
      <c r="M753" s="15">
        <v>919.71</v>
      </c>
      <c r="N753" s="15">
        <v>0</v>
      </c>
      <c r="O753" s="15">
        <v>147.15</v>
      </c>
      <c r="P753" s="2" t="s">
        <v>55</v>
      </c>
      <c r="Q753" s="16"/>
    </row>
    <row r="754" spans="1:17" x14ac:dyDescent="0.3">
      <c r="A754" s="10">
        <v>21733</v>
      </c>
      <c r="B754" s="2" t="s">
        <v>4105</v>
      </c>
      <c r="C754" s="13">
        <v>5681</v>
      </c>
      <c r="D754" s="2" t="s">
        <v>44</v>
      </c>
      <c r="E754" s="14">
        <v>44354</v>
      </c>
      <c r="F754" s="10" t="s">
        <v>2255</v>
      </c>
      <c r="G754" s="25">
        <v>44359</v>
      </c>
      <c r="H754" s="10" t="s">
        <v>2256</v>
      </c>
      <c r="I754" s="10" t="s">
        <v>2257</v>
      </c>
      <c r="J754" s="15">
        <v>233829.93</v>
      </c>
      <c r="K754" s="15">
        <v>232762.77424</v>
      </c>
      <c r="L754" s="15">
        <v>1067.1600000000001</v>
      </c>
      <c r="M754" s="15">
        <v>919.96</v>
      </c>
      <c r="N754" s="15">
        <v>0</v>
      </c>
      <c r="O754" s="15">
        <v>147.19</v>
      </c>
      <c r="P754" s="2" t="s">
        <v>55</v>
      </c>
      <c r="Q754" s="16"/>
    </row>
    <row r="755" spans="1:17" x14ac:dyDescent="0.3">
      <c r="A755" s="10">
        <v>21733</v>
      </c>
      <c r="B755" s="2" t="s">
        <v>4106</v>
      </c>
      <c r="C755" s="13">
        <v>5537</v>
      </c>
      <c r="D755" s="2" t="s">
        <v>44</v>
      </c>
      <c r="E755" s="14">
        <v>44901</v>
      </c>
      <c r="F755" s="10" t="s">
        <v>2258</v>
      </c>
      <c r="G755" s="25">
        <v>44907</v>
      </c>
      <c r="H755" s="10" t="s">
        <v>2259</v>
      </c>
      <c r="I755" s="10" t="s">
        <v>2260</v>
      </c>
      <c r="J755" s="15">
        <v>1083944.83</v>
      </c>
      <c r="K755" s="15">
        <v>1082876.2133199996</v>
      </c>
      <c r="L755" s="15">
        <v>1068.6199999999999</v>
      </c>
      <c r="M755" s="15">
        <v>921.22</v>
      </c>
      <c r="N755" s="15">
        <v>0</v>
      </c>
      <c r="O755" s="15">
        <v>147.4</v>
      </c>
      <c r="P755" s="2" t="s">
        <v>55</v>
      </c>
      <c r="Q755" s="16"/>
    </row>
    <row r="756" spans="1:17" x14ac:dyDescent="0.3">
      <c r="A756" s="10">
        <v>21733</v>
      </c>
      <c r="B756" s="2" t="s">
        <v>4107</v>
      </c>
      <c r="C756" s="13">
        <v>5549</v>
      </c>
      <c r="D756" s="2" t="s">
        <v>44</v>
      </c>
      <c r="E756" s="14">
        <v>44375</v>
      </c>
      <c r="F756" s="10" t="s">
        <v>409</v>
      </c>
      <c r="G756" s="25">
        <v>44379</v>
      </c>
      <c r="H756" s="10" t="s">
        <v>2261</v>
      </c>
      <c r="I756" s="10" t="s">
        <v>2262</v>
      </c>
      <c r="J756" s="15">
        <v>278533.7</v>
      </c>
      <c r="K756" s="15">
        <v>277462.54252000002</v>
      </c>
      <c r="L756" s="15">
        <v>1071.1600000000001</v>
      </c>
      <c r="M756" s="15">
        <v>923.41</v>
      </c>
      <c r="N756" s="15">
        <v>0</v>
      </c>
      <c r="O756" s="15">
        <v>147.75</v>
      </c>
      <c r="P756" s="2" t="s">
        <v>55</v>
      </c>
      <c r="Q756" s="16"/>
    </row>
    <row r="757" spans="1:17" x14ac:dyDescent="0.3">
      <c r="A757" s="10">
        <v>21733</v>
      </c>
      <c r="B757" s="2" t="s">
        <v>4108</v>
      </c>
      <c r="C757" s="13">
        <v>5557</v>
      </c>
      <c r="D757" s="2" t="s">
        <v>44</v>
      </c>
      <c r="E757" s="14">
        <v>44487</v>
      </c>
      <c r="F757" s="10" t="s">
        <v>2263</v>
      </c>
      <c r="G757" s="25">
        <v>44491</v>
      </c>
      <c r="H757" s="10" t="s">
        <v>2264</v>
      </c>
      <c r="I757" s="10" t="s">
        <v>2265</v>
      </c>
      <c r="J757" s="15">
        <v>370743.63</v>
      </c>
      <c r="K757" s="15">
        <v>369665.09264000022</v>
      </c>
      <c r="L757" s="15">
        <v>1078.54</v>
      </c>
      <c r="M757" s="15">
        <v>929.77</v>
      </c>
      <c r="N757" s="15">
        <v>0</v>
      </c>
      <c r="O757" s="15">
        <v>148.76</v>
      </c>
      <c r="P757" s="2" t="s">
        <v>55</v>
      </c>
      <c r="Q757" s="16"/>
    </row>
    <row r="758" spans="1:17" x14ac:dyDescent="0.3">
      <c r="A758" s="10">
        <v>21733</v>
      </c>
      <c r="B758" s="2" t="s">
        <v>4109</v>
      </c>
      <c r="C758" s="13">
        <v>5549</v>
      </c>
      <c r="D758" s="2" t="s">
        <v>44</v>
      </c>
      <c r="E758" s="14">
        <v>44893</v>
      </c>
      <c r="F758" s="10" t="s">
        <v>272</v>
      </c>
      <c r="G758" s="25">
        <v>44898</v>
      </c>
      <c r="H758" s="10" t="s">
        <v>2266</v>
      </c>
      <c r="I758" s="10" t="s">
        <v>2267</v>
      </c>
      <c r="J758" s="15">
        <v>1109540.97</v>
      </c>
      <c r="K758" s="15">
        <v>1108458.2373599999</v>
      </c>
      <c r="L758" s="15">
        <v>1082.73</v>
      </c>
      <c r="M758" s="15">
        <v>933.39</v>
      </c>
      <c r="N758" s="15">
        <v>0</v>
      </c>
      <c r="O758" s="15">
        <v>149.34</v>
      </c>
      <c r="P758" s="2" t="s">
        <v>55</v>
      </c>
      <c r="Q758" s="16"/>
    </row>
    <row r="759" spans="1:17" x14ac:dyDescent="0.3">
      <c r="A759" s="10">
        <v>21733</v>
      </c>
      <c r="B759" s="2" t="s">
        <v>4110</v>
      </c>
      <c r="C759" s="13">
        <v>5681</v>
      </c>
      <c r="D759" s="2" t="s">
        <v>44</v>
      </c>
      <c r="E759" s="14">
        <v>44670</v>
      </c>
      <c r="F759" s="10" t="s">
        <v>2268</v>
      </c>
      <c r="G759" s="25">
        <v>44680</v>
      </c>
      <c r="H759" s="10" t="s">
        <v>2269</v>
      </c>
      <c r="I759" s="10" t="s">
        <v>2270</v>
      </c>
      <c r="J759" s="15">
        <v>593725.71</v>
      </c>
      <c r="K759" s="15">
        <v>592641.17423999996</v>
      </c>
      <c r="L759" s="15">
        <v>1084.54</v>
      </c>
      <c r="M759" s="15">
        <v>934.94</v>
      </c>
      <c r="N759" s="15">
        <v>0</v>
      </c>
      <c r="O759" s="15">
        <v>149.59</v>
      </c>
      <c r="P759" s="2" t="s">
        <v>55</v>
      </c>
      <c r="Q759" s="16"/>
    </row>
    <row r="760" spans="1:17" x14ac:dyDescent="0.3">
      <c r="A760" s="10">
        <v>21733</v>
      </c>
      <c r="B760" s="2" t="s">
        <v>4111</v>
      </c>
      <c r="C760" s="13">
        <v>5681</v>
      </c>
      <c r="D760" s="2" t="s">
        <v>44</v>
      </c>
      <c r="E760" s="14">
        <v>44942</v>
      </c>
      <c r="F760" s="10" t="s">
        <v>2271</v>
      </c>
      <c r="G760" s="25">
        <v>44947</v>
      </c>
      <c r="H760" s="10" t="s">
        <v>2272</v>
      </c>
      <c r="I760" s="10" t="s">
        <v>2273</v>
      </c>
      <c r="J760" s="15">
        <v>409630.84</v>
      </c>
      <c r="K760" s="15">
        <v>408538.32824000012</v>
      </c>
      <c r="L760" s="15">
        <v>1092.51</v>
      </c>
      <c r="M760" s="15">
        <v>941.82</v>
      </c>
      <c r="N760" s="15">
        <v>0</v>
      </c>
      <c r="O760" s="15">
        <v>150.69</v>
      </c>
      <c r="P760" s="2" t="s">
        <v>55</v>
      </c>
      <c r="Q760" s="16"/>
    </row>
    <row r="761" spans="1:17" x14ac:dyDescent="0.3">
      <c r="A761" s="10">
        <v>21733</v>
      </c>
      <c r="B761" s="2" t="s">
        <v>4112</v>
      </c>
      <c r="C761" s="13">
        <v>5548</v>
      </c>
      <c r="D761" s="2" t="s">
        <v>44</v>
      </c>
      <c r="E761" s="14">
        <v>44466</v>
      </c>
      <c r="F761" s="10" t="s">
        <v>2274</v>
      </c>
      <c r="G761" s="25">
        <v>44470</v>
      </c>
      <c r="H761" s="10" t="s">
        <v>2275</v>
      </c>
      <c r="I761" s="10" t="s">
        <v>2276</v>
      </c>
      <c r="J761" s="15">
        <v>627555.18000000005</v>
      </c>
      <c r="K761" s="15">
        <v>626460.2503999999</v>
      </c>
      <c r="L761" s="15">
        <v>1094.93</v>
      </c>
      <c r="M761" s="15">
        <v>943.9</v>
      </c>
      <c r="N761" s="15">
        <v>0</v>
      </c>
      <c r="O761" s="15">
        <v>151.02000000000001</v>
      </c>
      <c r="P761" s="2" t="s">
        <v>55</v>
      </c>
      <c r="Q761" s="16"/>
    </row>
    <row r="762" spans="1:17" x14ac:dyDescent="0.3">
      <c r="A762" s="10">
        <v>21733</v>
      </c>
      <c r="B762" s="2" t="s">
        <v>4113</v>
      </c>
      <c r="C762" s="13">
        <v>5537</v>
      </c>
      <c r="D762" s="2" t="s">
        <v>44</v>
      </c>
      <c r="E762" s="14">
        <v>44480</v>
      </c>
      <c r="F762" s="10" t="s">
        <v>2277</v>
      </c>
      <c r="G762" s="25">
        <v>44484</v>
      </c>
      <c r="H762" s="10" t="s">
        <v>2278</v>
      </c>
      <c r="I762" s="10" t="s">
        <v>2279</v>
      </c>
      <c r="J762" s="15">
        <v>482836.68</v>
      </c>
      <c r="K762" s="15">
        <v>481740.0795200002</v>
      </c>
      <c r="L762" s="15">
        <v>1096.5999999999999</v>
      </c>
      <c r="M762" s="15">
        <v>945.35</v>
      </c>
      <c r="N762" s="15">
        <v>0</v>
      </c>
      <c r="O762" s="15">
        <v>151.26</v>
      </c>
      <c r="P762" s="2" t="s">
        <v>55</v>
      </c>
      <c r="Q762" s="16"/>
    </row>
    <row r="763" spans="1:17" x14ac:dyDescent="0.3">
      <c r="A763" s="10">
        <v>21733</v>
      </c>
      <c r="B763" s="2" t="s">
        <v>4114</v>
      </c>
      <c r="C763" s="13">
        <v>5556</v>
      </c>
      <c r="D763" s="2" t="s">
        <v>44</v>
      </c>
      <c r="E763" s="14">
        <v>44391</v>
      </c>
      <c r="F763" s="10" t="s">
        <v>2280</v>
      </c>
      <c r="G763" s="25">
        <v>44397</v>
      </c>
      <c r="H763" s="10" t="s">
        <v>2281</v>
      </c>
      <c r="I763" s="10" t="s">
        <v>2282</v>
      </c>
      <c r="J763" s="15">
        <v>26247.29</v>
      </c>
      <c r="K763" s="15">
        <v>25150.405440000002</v>
      </c>
      <c r="L763" s="15">
        <v>1096.8800000000001</v>
      </c>
      <c r="M763" s="15">
        <v>945.59</v>
      </c>
      <c r="N763" s="15">
        <v>0</v>
      </c>
      <c r="O763" s="15">
        <v>151.29</v>
      </c>
      <c r="P763" s="2" t="s">
        <v>55</v>
      </c>
      <c r="Q763" s="16"/>
    </row>
    <row r="764" spans="1:17" x14ac:dyDescent="0.3">
      <c r="A764" s="10">
        <v>21733</v>
      </c>
      <c r="B764" s="2" t="s">
        <v>4115</v>
      </c>
      <c r="C764" s="13">
        <v>5556</v>
      </c>
      <c r="D764" s="2" t="s">
        <v>44</v>
      </c>
      <c r="E764" s="14">
        <v>44699</v>
      </c>
      <c r="F764" s="10" t="s">
        <v>2283</v>
      </c>
      <c r="G764" s="25">
        <v>44705</v>
      </c>
      <c r="H764" s="10" t="s">
        <v>2284</v>
      </c>
      <c r="I764" s="10" t="s">
        <v>2285</v>
      </c>
      <c r="J764" s="15">
        <v>191035.41</v>
      </c>
      <c r="K764" s="15">
        <v>189926.18288000001</v>
      </c>
      <c r="L764" s="15">
        <v>1109.23</v>
      </c>
      <c r="M764" s="15">
        <v>956.23</v>
      </c>
      <c r="N764" s="15">
        <v>0</v>
      </c>
      <c r="O764" s="15">
        <v>153</v>
      </c>
      <c r="P764" s="2" t="s">
        <v>55</v>
      </c>
      <c r="Q764" s="16"/>
    </row>
    <row r="765" spans="1:17" x14ac:dyDescent="0.3">
      <c r="A765" s="10">
        <v>21733</v>
      </c>
      <c r="B765" s="2" t="s">
        <v>4116</v>
      </c>
      <c r="C765" s="13">
        <v>5549</v>
      </c>
      <c r="D765" s="2" t="s">
        <v>44</v>
      </c>
      <c r="E765" s="14">
        <v>45033</v>
      </c>
      <c r="F765" s="10" t="s">
        <v>2286</v>
      </c>
      <c r="G765" s="25">
        <v>45042</v>
      </c>
      <c r="H765" s="10" t="s">
        <v>2287</v>
      </c>
      <c r="I765" s="10" t="s">
        <v>2288</v>
      </c>
      <c r="J765" s="15">
        <v>574311.87</v>
      </c>
      <c r="K765" s="15">
        <v>573194.74632000003</v>
      </c>
      <c r="L765" s="15">
        <v>1117.1199999999999</v>
      </c>
      <c r="M765" s="15">
        <v>963.04</v>
      </c>
      <c r="N765" s="15">
        <v>0</v>
      </c>
      <c r="O765" s="15">
        <v>154.09</v>
      </c>
      <c r="P765" s="2" t="s">
        <v>55</v>
      </c>
      <c r="Q765" s="16"/>
    </row>
    <row r="766" spans="1:17" x14ac:dyDescent="0.3">
      <c r="A766" s="10">
        <v>21733</v>
      </c>
      <c r="B766" s="2" t="s">
        <v>4117</v>
      </c>
      <c r="C766" s="13">
        <v>5537</v>
      </c>
      <c r="D766" s="2" t="s">
        <v>44</v>
      </c>
      <c r="E766" s="14">
        <v>44438</v>
      </c>
      <c r="F766" s="10" t="s">
        <v>2289</v>
      </c>
      <c r="G766" s="25">
        <v>44442</v>
      </c>
      <c r="H766" s="10" t="s">
        <v>2290</v>
      </c>
      <c r="I766" s="10" t="s">
        <v>2291</v>
      </c>
      <c r="J766" s="15">
        <v>254246.84</v>
      </c>
      <c r="K766" s="15">
        <v>253126.43156</v>
      </c>
      <c r="L766" s="15">
        <v>1120.4100000000001</v>
      </c>
      <c r="M766" s="15">
        <v>965.87</v>
      </c>
      <c r="N766" s="15">
        <v>0</v>
      </c>
      <c r="O766" s="15">
        <v>154.54</v>
      </c>
      <c r="P766" s="2" t="s">
        <v>55</v>
      </c>
      <c r="Q766" s="16"/>
    </row>
    <row r="767" spans="1:17" x14ac:dyDescent="0.3">
      <c r="A767" s="10">
        <v>21733</v>
      </c>
      <c r="B767" s="2" t="s">
        <v>4118</v>
      </c>
      <c r="C767" s="13">
        <v>5548</v>
      </c>
      <c r="D767" s="2" t="s">
        <v>44</v>
      </c>
      <c r="E767" s="14">
        <v>44893</v>
      </c>
      <c r="F767" s="10" t="s">
        <v>655</v>
      </c>
      <c r="G767" s="25">
        <v>44897</v>
      </c>
      <c r="H767" s="10" t="s">
        <v>2292</v>
      </c>
      <c r="I767" s="10" t="s">
        <v>2293</v>
      </c>
      <c r="J767" s="15">
        <v>1162530.29</v>
      </c>
      <c r="K767" s="15">
        <v>1161406.4187999996</v>
      </c>
      <c r="L767" s="15">
        <v>1123.8699999999999</v>
      </c>
      <c r="M767" s="15">
        <v>968.85</v>
      </c>
      <c r="N767" s="15">
        <v>0</v>
      </c>
      <c r="O767" s="15">
        <v>155.02000000000001</v>
      </c>
      <c r="P767" s="2" t="s">
        <v>55</v>
      </c>
      <c r="Q767" s="16"/>
    </row>
    <row r="768" spans="1:17" x14ac:dyDescent="0.3">
      <c r="A768" s="10">
        <v>21733</v>
      </c>
      <c r="B768" s="2" t="s">
        <v>4119</v>
      </c>
      <c r="C768" s="13">
        <v>5556</v>
      </c>
      <c r="D768" s="2" t="s">
        <v>44</v>
      </c>
      <c r="E768" s="14">
        <v>44790</v>
      </c>
      <c r="F768" s="10" t="s">
        <v>2294</v>
      </c>
      <c r="G768" s="25">
        <v>44798</v>
      </c>
      <c r="H768" s="10" t="s">
        <v>2295</v>
      </c>
      <c r="I768" s="10" t="s">
        <v>2296</v>
      </c>
      <c r="J768" s="15">
        <v>730177.43</v>
      </c>
      <c r="K768" s="15">
        <v>729043.70200000016</v>
      </c>
      <c r="L768" s="15">
        <v>1133.73</v>
      </c>
      <c r="M768" s="15">
        <v>977.35</v>
      </c>
      <c r="N768" s="15">
        <v>0</v>
      </c>
      <c r="O768" s="15">
        <v>156.38</v>
      </c>
      <c r="P768" s="2" t="s">
        <v>55</v>
      </c>
      <c r="Q768" s="16"/>
    </row>
    <row r="769" spans="1:17" x14ac:dyDescent="0.3">
      <c r="A769" s="10">
        <v>21733</v>
      </c>
      <c r="B769" s="2" t="s">
        <v>4120</v>
      </c>
      <c r="C769" s="13">
        <v>5556</v>
      </c>
      <c r="D769" s="2" t="s">
        <v>44</v>
      </c>
      <c r="E769" s="14">
        <v>44748</v>
      </c>
      <c r="F769" s="10" t="s">
        <v>2297</v>
      </c>
      <c r="G769" s="25">
        <v>44756</v>
      </c>
      <c r="H769" s="10" t="s">
        <v>2298</v>
      </c>
      <c r="I769" s="10" t="s">
        <v>2299</v>
      </c>
      <c r="J769" s="15">
        <v>677816.65</v>
      </c>
      <c r="K769" s="15">
        <v>676682.19751999993</v>
      </c>
      <c r="L769" s="15">
        <v>1134.45</v>
      </c>
      <c r="M769" s="15">
        <v>977.98</v>
      </c>
      <c r="N769" s="15">
        <v>0</v>
      </c>
      <c r="O769" s="15">
        <v>156.47999999999999</v>
      </c>
      <c r="P769" s="2" t="s">
        <v>55</v>
      </c>
      <c r="Q769" s="16"/>
    </row>
    <row r="770" spans="1:17" x14ac:dyDescent="0.3">
      <c r="A770" s="10">
        <v>21733</v>
      </c>
      <c r="B770" s="2" t="s">
        <v>4121</v>
      </c>
      <c r="C770" s="13">
        <v>5549</v>
      </c>
      <c r="D770" s="2" t="s">
        <v>44</v>
      </c>
      <c r="E770" s="14">
        <v>45047</v>
      </c>
      <c r="F770" s="10" t="s">
        <v>1355</v>
      </c>
      <c r="G770" s="25">
        <v>45056</v>
      </c>
      <c r="H770" s="10" t="s">
        <v>2300</v>
      </c>
      <c r="I770" s="10" t="s">
        <v>2301</v>
      </c>
      <c r="J770" s="15">
        <v>1002854.63</v>
      </c>
      <c r="K770" s="15">
        <v>1001717.9280800001</v>
      </c>
      <c r="L770" s="15">
        <v>1136.7</v>
      </c>
      <c r="M770" s="15">
        <v>979.92</v>
      </c>
      <c r="N770" s="15">
        <v>0</v>
      </c>
      <c r="O770" s="15">
        <v>156.79</v>
      </c>
      <c r="P770" s="2" t="s">
        <v>55</v>
      </c>
      <c r="Q770" s="16"/>
    </row>
    <row r="771" spans="1:17" x14ac:dyDescent="0.3">
      <c r="A771" s="10">
        <v>21733</v>
      </c>
      <c r="B771" s="2" t="s">
        <v>4122</v>
      </c>
      <c r="C771" s="13">
        <v>5548</v>
      </c>
      <c r="D771" s="2" t="s">
        <v>44</v>
      </c>
      <c r="E771" s="14">
        <v>44669</v>
      </c>
      <c r="F771" s="10" t="s">
        <v>2302</v>
      </c>
      <c r="G771" s="25">
        <v>44674</v>
      </c>
      <c r="H771" s="10" t="s">
        <v>2303</v>
      </c>
      <c r="I771" s="10" t="s">
        <v>2304</v>
      </c>
      <c r="J771" s="15">
        <v>822159.59</v>
      </c>
      <c r="K771" s="15">
        <v>821017.05352000007</v>
      </c>
      <c r="L771" s="15">
        <v>1142.54</v>
      </c>
      <c r="M771" s="15">
        <v>984.95</v>
      </c>
      <c r="N771" s="15">
        <v>0</v>
      </c>
      <c r="O771" s="15">
        <v>157.59</v>
      </c>
      <c r="P771" s="2" t="s">
        <v>55</v>
      </c>
      <c r="Q771" s="16"/>
    </row>
    <row r="772" spans="1:17" x14ac:dyDescent="0.3">
      <c r="A772" s="10">
        <v>21733</v>
      </c>
      <c r="B772" s="2" t="s">
        <v>4123</v>
      </c>
      <c r="C772" s="13">
        <v>5557</v>
      </c>
      <c r="D772" s="2" t="s">
        <v>44</v>
      </c>
      <c r="E772" s="14">
        <v>44816</v>
      </c>
      <c r="F772" s="10" t="s">
        <v>2305</v>
      </c>
      <c r="G772" s="25">
        <v>44821</v>
      </c>
      <c r="H772" s="10" t="s">
        <v>2306</v>
      </c>
      <c r="I772" s="10" t="s">
        <v>2307</v>
      </c>
      <c r="J772" s="15">
        <v>178018.19</v>
      </c>
      <c r="K772" s="15">
        <v>176871.28767999998</v>
      </c>
      <c r="L772" s="15">
        <v>1146.9000000000001</v>
      </c>
      <c r="M772" s="15">
        <v>988.71</v>
      </c>
      <c r="N772" s="15">
        <v>0</v>
      </c>
      <c r="O772" s="15">
        <v>158.19</v>
      </c>
      <c r="P772" s="2" t="s">
        <v>55</v>
      </c>
      <c r="Q772" s="16"/>
    </row>
    <row r="773" spans="1:17" x14ac:dyDescent="0.3">
      <c r="A773" s="10">
        <v>21733</v>
      </c>
      <c r="B773" s="2" t="s">
        <v>4124</v>
      </c>
      <c r="C773" s="13">
        <v>5557</v>
      </c>
      <c r="D773" s="2" t="s">
        <v>44</v>
      </c>
      <c r="E773" s="14">
        <v>44683</v>
      </c>
      <c r="F773" s="10" t="s">
        <v>2308</v>
      </c>
      <c r="G773" s="25">
        <v>44687</v>
      </c>
      <c r="H773" s="10" t="s">
        <v>2309</v>
      </c>
      <c r="I773" s="10" t="s">
        <v>2310</v>
      </c>
      <c r="J773" s="15">
        <v>485796.25</v>
      </c>
      <c r="K773" s="15">
        <v>484642.17912000004</v>
      </c>
      <c r="L773" s="15">
        <v>1154.07</v>
      </c>
      <c r="M773" s="15">
        <v>994.89</v>
      </c>
      <c r="N773" s="15">
        <v>0</v>
      </c>
      <c r="O773" s="15">
        <v>159.18</v>
      </c>
      <c r="P773" s="2" t="s">
        <v>55</v>
      </c>
      <c r="Q773" s="16"/>
    </row>
    <row r="774" spans="1:17" x14ac:dyDescent="0.3">
      <c r="A774" s="10">
        <v>21733</v>
      </c>
      <c r="B774" s="2" t="s">
        <v>4125</v>
      </c>
      <c r="C774" s="13">
        <v>5557</v>
      </c>
      <c r="D774" s="2" t="s">
        <v>44</v>
      </c>
      <c r="E774" s="14">
        <v>44361</v>
      </c>
      <c r="F774" s="10" t="s">
        <v>2311</v>
      </c>
      <c r="G774" s="25">
        <v>44366</v>
      </c>
      <c r="H774" s="10" t="s">
        <v>2312</v>
      </c>
      <c r="I774" s="10" t="s">
        <v>2313</v>
      </c>
      <c r="J774" s="15">
        <v>483268.25</v>
      </c>
      <c r="K774" s="15">
        <v>482111.10551999992</v>
      </c>
      <c r="L774" s="15">
        <v>1157.1400000000001</v>
      </c>
      <c r="M774" s="15">
        <v>997.54</v>
      </c>
      <c r="N774" s="15">
        <v>0</v>
      </c>
      <c r="O774" s="15">
        <v>159.61000000000001</v>
      </c>
      <c r="P774" s="2" t="s">
        <v>55</v>
      </c>
      <c r="Q774" s="16"/>
    </row>
    <row r="775" spans="1:17" x14ac:dyDescent="0.3">
      <c r="A775" s="10">
        <v>21733</v>
      </c>
      <c r="B775" s="2" t="s">
        <v>4126</v>
      </c>
      <c r="C775" s="13">
        <v>5557</v>
      </c>
      <c r="D775" s="2" t="s">
        <v>44</v>
      </c>
      <c r="E775" s="14">
        <v>44739</v>
      </c>
      <c r="F775" s="10" t="s">
        <v>2314</v>
      </c>
      <c r="G775" s="25">
        <v>44744</v>
      </c>
      <c r="H775" s="10" t="s">
        <v>2315</v>
      </c>
      <c r="I775" s="10" t="s">
        <v>2316</v>
      </c>
      <c r="J775" s="15">
        <v>415842.17</v>
      </c>
      <c r="K775" s="15">
        <v>414685.01744000003</v>
      </c>
      <c r="L775" s="15">
        <v>1157.1500000000001</v>
      </c>
      <c r="M775" s="15">
        <v>997.55</v>
      </c>
      <c r="N775" s="15">
        <v>0</v>
      </c>
      <c r="O775" s="15">
        <v>159.61000000000001</v>
      </c>
      <c r="P775" s="2" t="s">
        <v>55</v>
      </c>
      <c r="Q775" s="16"/>
    </row>
    <row r="776" spans="1:17" x14ac:dyDescent="0.3">
      <c r="A776" s="10">
        <v>21733</v>
      </c>
      <c r="B776" s="2" t="s">
        <v>4127</v>
      </c>
      <c r="C776" s="13">
        <v>5537</v>
      </c>
      <c r="D776" s="2" t="s">
        <v>44</v>
      </c>
      <c r="E776" s="14">
        <v>44459</v>
      </c>
      <c r="F776" s="10" t="s">
        <v>2317</v>
      </c>
      <c r="G776" s="25">
        <v>44463</v>
      </c>
      <c r="H776" s="10" t="s">
        <v>2318</v>
      </c>
      <c r="I776" s="10" t="s">
        <v>2319</v>
      </c>
      <c r="J776" s="15">
        <v>603962.59</v>
      </c>
      <c r="K776" s="15">
        <v>602795.14028000005</v>
      </c>
      <c r="L776" s="15">
        <v>1167.45</v>
      </c>
      <c r="M776" s="15">
        <v>1006.42</v>
      </c>
      <c r="N776" s="15">
        <v>0</v>
      </c>
      <c r="O776" s="15">
        <v>161.03</v>
      </c>
      <c r="P776" s="2" t="s">
        <v>55</v>
      </c>
      <c r="Q776" s="16"/>
    </row>
    <row r="777" spans="1:17" x14ac:dyDescent="0.3">
      <c r="A777" s="10">
        <v>21733</v>
      </c>
      <c r="B777" s="2" t="s">
        <v>4128</v>
      </c>
      <c r="C777" s="13">
        <v>5681</v>
      </c>
      <c r="D777" s="2" t="s">
        <v>44</v>
      </c>
      <c r="E777" s="14">
        <v>44571</v>
      </c>
      <c r="F777" s="10" t="s">
        <v>2320</v>
      </c>
      <c r="G777" s="25">
        <v>44577</v>
      </c>
      <c r="H777" s="10" t="s">
        <v>2321</v>
      </c>
      <c r="I777" s="10" t="s">
        <v>2322</v>
      </c>
      <c r="J777" s="15">
        <v>85519.42</v>
      </c>
      <c r="K777" s="15">
        <v>84351.863839999991</v>
      </c>
      <c r="L777" s="15">
        <v>1167.56</v>
      </c>
      <c r="M777" s="15">
        <v>1006.51</v>
      </c>
      <c r="N777" s="15">
        <v>0</v>
      </c>
      <c r="O777" s="15">
        <v>161.04</v>
      </c>
      <c r="P777" s="2" t="s">
        <v>55</v>
      </c>
      <c r="Q777" s="16"/>
    </row>
    <row r="778" spans="1:17" x14ac:dyDescent="0.3">
      <c r="A778" s="10">
        <v>21733</v>
      </c>
      <c r="B778" s="2" t="s">
        <v>4129</v>
      </c>
      <c r="C778" s="13">
        <v>5549</v>
      </c>
      <c r="D778" s="2" t="s">
        <v>44</v>
      </c>
      <c r="E778" s="14">
        <v>44627</v>
      </c>
      <c r="F778" s="10" t="s">
        <v>1165</v>
      </c>
      <c r="G778" s="25">
        <v>44633</v>
      </c>
      <c r="H778" s="10" t="s">
        <v>2323</v>
      </c>
      <c r="I778" s="10" t="s">
        <v>2324</v>
      </c>
      <c r="J778" s="15">
        <v>1087453.8</v>
      </c>
      <c r="K778" s="15">
        <v>1086284.4742800002</v>
      </c>
      <c r="L778" s="15">
        <v>1169.33</v>
      </c>
      <c r="M778" s="15">
        <v>1008.04</v>
      </c>
      <c r="N778" s="15">
        <v>0</v>
      </c>
      <c r="O778" s="15">
        <v>161.29</v>
      </c>
      <c r="P778" s="2" t="s">
        <v>55</v>
      </c>
      <c r="Q778" s="16"/>
    </row>
    <row r="779" spans="1:17" x14ac:dyDescent="0.3">
      <c r="A779" s="10">
        <v>21733</v>
      </c>
      <c r="B779" s="2" t="s">
        <v>4130</v>
      </c>
      <c r="C779" s="13">
        <v>5557</v>
      </c>
      <c r="D779" s="2" t="s">
        <v>44</v>
      </c>
      <c r="E779" s="14">
        <v>44431</v>
      </c>
      <c r="F779" s="10" t="s">
        <v>2325</v>
      </c>
      <c r="G779" s="25">
        <v>44436</v>
      </c>
      <c r="H779" s="10" t="s">
        <v>2326</v>
      </c>
      <c r="I779" s="10" t="s">
        <v>2327</v>
      </c>
      <c r="J779" s="15">
        <v>321625.23</v>
      </c>
      <c r="K779" s="15">
        <v>320445.27763999999</v>
      </c>
      <c r="L779" s="15">
        <v>1179.95</v>
      </c>
      <c r="M779" s="15">
        <v>1017.2</v>
      </c>
      <c r="N779" s="15">
        <v>0</v>
      </c>
      <c r="O779" s="15">
        <v>162.75</v>
      </c>
      <c r="P779" s="2" t="s">
        <v>55</v>
      </c>
      <c r="Q779" s="16"/>
    </row>
    <row r="780" spans="1:17" x14ac:dyDescent="0.3">
      <c r="A780" s="10">
        <v>21733</v>
      </c>
      <c r="B780" s="2" t="s">
        <v>4131</v>
      </c>
      <c r="C780" s="13">
        <v>5548</v>
      </c>
      <c r="D780" s="2" t="s">
        <v>44</v>
      </c>
      <c r="E780" s="14">
        <v>44942</v>
      </c>
      <c r="F780" s="10" t="s">
        <v>1323</v>
      </c>
      <c r="G780" s="25">
        <v>44948</v>
      </c>
      <c r="H780" s="10" t="s">
        <v>2328</v>
      </c>
      <c r="I780" s="10" t="s">
        <v>2329</v>
      </c>
      <c r="J780" s="15">
        <v>914190.4</v>
      </c>
      <c r="K780" s="15">
        <v>913007.39555999998</v>
      </c>
      <c r="L780" s="15">
        <v>1183</v>
      </c>
      <c r="M780" s="15">
        <v>1019.83</v>
      </c>
      <c r="N780" s="15">
        <v>0</v>
      </c>
      <c r="O780" s="15">
        <v>163.16999999999999</v>
      </c>
      <c r="P780" s="2" t="s">
        <v>55</v>
      </c>
      <c r="Q780" s="16"/>
    </row>
    <row r="781" spans="1:17" x14ac:dyDescent="0.3">
      <c r="A781" s="10">
        <v>21733</v>
      </c>
      <c r="B781" s="2" t="s">
        <v>4132</v>
      </c>
      <c r="C781" s="13">
        <v>5548</v>
      </c>
      <c r="D781" s="2" t="s">
        <v>44</v>
      </c>
      <c r="E781" s="14">
        <v>44403</v>
      </c>
      <c r="F781" s="10" t="s">
        <v>2330</v>
      </c>
      <c r="G781" s="25">
        <v>44407</v>
      </c>
      <c r="H781" s="10" t="s">
        <v>2331</v>
      </c>
      <c r="I781" s="10" t="s">
        <v>2332</v>
      </c>
      <c r="J781" s="15">
        <v>155339.24</v>
      </c>
      <c r="K781" s="15">
        <v>154155.24432</v>
      </c>
      <c r="L781" s="15">
        <v>1184</v>
      </c>
      <c r="M781" s="15">
        <v>1020.69</v>
      </c>
      <c r="N781" s="15">
        <v>0</v>
      </c>
      <c r="O781" s="15">
        <v>163.31</v>
      </c>
      <c r="P781" s="2" t="s">
        <v>55</v>
      </c>
      <c r="Q781" s="16"/>
    </row>
    <row r="782" spans="1:17" x14ac:dyDescent="0.3">
      <c r="A782" s="10">
        <v>21733</v>
      </c>
      <c r="B782" s="2" t="s">
        <v>4133</v>
      </c>
      <c r="C782" s="13">
        <v>5557</v>
      </c>
      <c r="D782" s="2" t="s">
        <v>44</v>
      </c>
      <c r="E782" s="14">
        <v>44718</v>
      </c>
      <c r="F782" s="10" t="s">
        <v>1681</v>
      </c>
      <c r="G782" s="25">
        <v>44723</v>
      </c>
      <c r="H782" s="10" t="s">
        <v>2333</v>
      </c>
      <c r="I782" s="10" t="s">
        <v>2334</v>
      </c>
      <c r="J782" s="15">
        <v>685989.24</v>
      </c>
      <c r="K782" s="15">
        <v>684796.08779999975</v>
      </c>
      <c r="L782" s="15">
        <v>1193.1500000000001</v>
      </c>
      <c r="M782" s="15">
        <v>1028.58</v>
      </c>
      <c r="N782" s="15">
        <v>0</v>
      </c>
      <c r="O782" s="15">
        <v>164.57</v>
      </c>
      <c r="P782" s="2" t="s">
        <v>55</v>
      </c>
      <c r="Q782" s="16"/>
    </row>
    <row r="783" spans="1:17" x14ac:dyDescent="0.3">
      <c r="A783" s="10">
        <v>21733</v>
      </c>
      <c r="B783" s="2" t="s">
        <v>4134</v>
      </c>
      <c r="C783" s="13">
        <v>5549</v>
      </c>
      <c r="D783" s="2" t="s">
        <v>44</v>
      </c>
      <c r="E783" s="14">
        <v>44403</v>
      </c>
      <c r="F783" s="10" t="s">
        <v>2335</v>
      </c>
      <c r="G783" s="25">
        <v>44408</v>
      </c>
      <c r="H783" s="10" t="s">
        <v>2336</v>
      </c>
      <c r="I783" s="10" t="s">
        <v>2337</v>
      </c>
      <c r="J783" s="15">
        <v>485445.06</v>
      </c>
      <c r="K783" s="15">
        <v>484249.2697200001</v>
      </c>
      <c r="L783" s="15">
        <v>1195.79</v>
      </c>
      <c r="M783" s="15">
        <v>1030.8499999999999</v>
      </c>
      <c r="N783" s="15">
        <v>0</v>
      </c>
      <c r="O783" s="15">
        <v>164.94</v>
      </c>
      <c r="P783" s="2" t="s">
        <v>55</v>
      </c>
      <c r="Q783" s="16"/>
    </row>
    <row r="784" spans="1:17" x14ac:dyDescent="0.3">
      <c r="A784" s="10">
        <v>21733</v>
      </c>
      <c r="B784" s="2" t="s">
        <v>4135</v>
      </c>
      <c r="C784" s="13">
        <v>5537</v>
      </c>
      <c r="D784" s="2" t="s">
        <v>44</v>
      </c>
      <c r="E784" s="14">
        <v>44683</v>
      </c>
      <c r="F784" s="10" t="s">
        <v>2338</v>
      </c>
      <c r="G784" s="25">
        <v>44687</v>
      </c>
      <c r="H784" s="10" t="s">
        <v>2339</v>
      </c>
      <c r="I784" s="10" t="s">
        <v>2340</v>
      </c>
      <c r="J784" s="15">
        <v>606735.78</v>
      </c>
      <c r="K784" s="15">
        <v>605536.79911999987</v>
      </c>
      <c r="L784" s="15">
        <v>1198.98</v>
      </c>
      <c r="M784" s="15">
        <v>1033.5999999999999</v>
      </c>
      <c r="N784" s="15">
        <v>0</v>
      </c>
      <c r="O784" s="15">
        <v>165.38</v>
      </c>
      <c r="P784" s="2" t="s">
        <v>55</v>
      </c>
      <c r="Q784" s="16"/>
    </row>
    <row r="785" spans="1:17" x14ac:dyDescent="0.3">
      <c r="A785" s="10">
        <v>21733</v>
      </c>
      <c r="B785" s="2" t="s">
        <v>4136</v>
      </c>
      <c r="C785" s="13">
        <v>5549</v>
      </c>
      <c r="D785" s="2" t="s">
        <v>44</v>
      </c>
      <c r="E785" s="14">
        <v>44326</v>
      </c>
      <c r="F785" s="10" t="s">
        <v>2341</v>
      </c>
      <c r="G785" s="25">
        <v>44331</v>
      </c>
      <c r="H785" s="10" t="s">
        <v>2342</v>
      </c>
      <c r="I785" s="10" t="s">
        <v>2343</v>
      </c>
      <c r="J785" s="15">
        <v>89878.21</v>
      </c>
      <c r="K785" s="15">
        <v>88661.574720000004</v>
      </c>
      <c r="L785" s="15">
        <v>1216.6400000000001</v>
      </c>
      <c r="M785" s="15">
        <v>1048.82</v>
      </c>
      <c r="N785" s="15">
        <v>0</v>
      </c>
      <c r="O785" s="15">
        <v>167.81</v>
      </c>
      <c r="P785" s="2" t="s">
        <v>55</v>
      </c>
      <c r="Q785" s="16"/>
    </row>
    <row r="786" spans="1:17" x14ac:dyDescent="0.3">
      <c r="A786" s="10">
        <v>21733</v>
      </c>
      <c r="B786" s="2" t="s">
        <v>4137</v>
      </c>
      <c r="C786" s="13">
        <v>5556</v>
      </c>
      <c r="D786" s="2" t="s">
        <v>44</v>
      </c>
      <c r="E786" s="14">
        <v>45028</v>
      </c>
      <c r="F786" s="10" t="s">
        <v>753</v>
      </c>
      <c r="G786" s="25">
        <v>45036</v>
      </c>
      <c r="H786" s="10" t="s">
        <v>2344</v>
      </c>
      <c r="I786" s="10" t="s">
        <v>2345</v>
      </c>
      <c r="J786" s="15">
        <v>629078.28</v>
      </c>
      <c r="K786" s="15">
        <v>627861.12903999991</v>
      </c>
      <c r="L786" s="15">
        <v>1217.1500000000001</v>
      </c>
      <c r="M786" s="15">
        <v>1049.27</v>
      </c>
      <c r="N786" s="15">
        <v>0</v>
      </c>
      <c r="O786" s="15">
        <v>167.88</v>
      </c>
      <c r="P786" s="2" t="s">
        <v>55</v>
      </c>
      <c r="Q786" s="16"/>
    </row>
    <row r="787" spans="1:17" x14ac:dyDescent="0.3">
      <c r="A787" s="10">
        <v>21733</v>
      </c>
      <c r="B787" s="2" t="s">
        <v>4138</v>
      </c>
      <c r="C787" s="13">
        <v>5556</v>
      </c>
      <c r="D787" s="2" t="s">
        <v>44</v>
      </c>
      <c r="E787" s="14">
        <v>44956</v>
      </c>
      <c r="F787" s="10" t="s">
        <v>2346</v>
      </c>
      <c r="G787" s="25">
        <v>44970</v>
      </c>
      <c r="H787" s="10" t="s">
        <v>2347</v>
      </c>
      <c r="I787" s="10" t="s">
        <v>2348</v>
      </c>
      <c r="J787" s="15">
        <v>218011.91</v>
      </c>
      <c r="K787" s="15">
        <v>216794.12375999996</v>
      </c>
      <c r="L787" s="15">
        <v>1217.79</v>
      </c>
      <c r="M787" s="15">
        <v>1049.82</v>
      </c>
      <c r="N787" s="15">
        <v>0</v>
      </c>
      <c r="O787" s="15">
        <v>167.97</v>
      </c>
      <c r="P787" s="2" t="s">
        <v>55</v>
      </c>
      <c r="Q787" s="16"/>
    </row>
    <row r="788" spans="1:17" x14ac:dyDescent="0.3">
      <c r="A788" s="10">
        <v>21733</v>
      </c>
      <c r="B788" s="2" t="s">
        <v>4139</v>
      </c>
      <c r="C788" s="13">
        <v>5681</v>
      </c>
      <c r="D788" s="2" t="s">
        <v>44</v>
      </c>
      <c r="E788" s="14">
        <v>44354</v>
      </c>
      <c r="F788" s="10" t="s">
        <v>2349</v>
      </c>
      <c r="G788" s="25">
        <v>44359</v>
      </c>
      <c r="H788" s="10" t="s">
        <v>2350</v>
      </c>
      <c r="I788" s="10" t="s">
        <v>2351</v>
      </c>
      <c r="J788" s="15">
        <v>353629.85</v>
      </c>
      <c r="K788" s="15">
        <v>352411.46492</v>
      </c>
      <c r="L788" s="15">
        <v>1218.3900000000001</v>
      </c>
      <c r="M788" s="15">
        <v>1050.33</v>
      </c>
      <c r="N788" s="15">
        <v>0</v>
      </c>
      <c r="O788" s="15">
        <v>168.05</v>
      </c>
      <c r="P788" s="2" t="s">
        <v>55</v>
      </c>
      <c r="Q788" s="16"/>
    </row>
    <row r="789" spans="1:17" x14ac:dyDescent="0.3">
      <c r="A789" s="10">
        <v>21733</v>
      </c>
      <c r="B789" s="2" t="s">
        <v>4140</v>
      </c>
      <c r="C789" s="13">
        <v>5556</v>
      </c>
      <c r="D789" s="2" t="s">
        <v>44</v>
      </c>
      <c r="E789" s="14">
        <v>45581</v>
      </c>
      <c r="F789" s="10" t="s">
        <v>2352</v>
      </c>
      <c r="G789" s="25">
        <v>45589</v>
      </c>
      <c r="H789" s="10" t="s">
        <v>2353</v>
      </c>
      <c r="I789" s="10" t="s">
        <v>2354</v>
      </c>
      <c r="J789" s="15">
        <v>2448.8999999999996</v>
      </c>
      <c r="K789" s="15">
        <v>1224.4032</v>
      </c>
      <c r="L789" s="15">
        <v>1224.5</v>
      </c>
      <c r="M789" s="15">
        <v>1055.5999999999999</v>
      </c>
      <c r="N789" s="15">
        <v>0</v>
      </c>
      <c r="O789" s="15">
        <v>168.9</v>
      </c>
      <c r="P789" s="2" t="s">
        <v>55</v>
      </c>
      <c r="Q789" s="16"/>
    </row>
    <row r="790" spans="1:17" x14ac:dyDescent="0.3">
      <c r="A790" s="10">
        <v>21733</v>
      </c>
      <c r="B790" s="2" t="s">
        <v>4141</v>
      </c>
      <c r="C790" s="13">
        <v>5537</v>
      </c>
      <c r="D790" s="2" t="s">
        <v>44</v>
      </c>
      <c r="E790" s="14">
        <v>44361</v>
      </c>
      <c r="F790" s="10" t="s">
        <v>2355</v>
      </c>
      <c r="G790" s="25">
        <v>44366</v>
      </c>
      <c r="H790" s="10" t="s">
        <v>2356</v>
      </c>
      <c r="I790" s="10" t="s">
        <v>2357</v>
      </c>
      <c r="J790" s="15">
        <v>417961.77</v>
      </c>
      <c r="K790" s="15">
        <v>416737.12703999988</v>
      </c>
      <c r="L790" s="15">
        <v>1224.6400000000001</v>
      </c>
      <c r="M790" s="15">
        <v>1055.73</v>
      </c>
      <c r="N790" s="15">
        <v>0</v>
      </c>
      <c r="O790" s="15">
        <v>168.92</v>
      </c>
      <c r="P790" s="2" t="s">
        <v>55</v>
      </c>
      <c r="Q790" s="16"/>
    </row>
    <row r="791" spans="1:17" x14ac:dyDescent="0.3">
      <c r="A791" s="10">
        <v>21733</v>
      </c>
      <c r="B791" s="2" t="s">
        <v>4142</v>
      </c>
      <c r="C791" s="13">
        <v>5681</v>
      </c>
      <c r="D791" s="2" t="s">
        <v>44</v>
      </c>
      <c r="E791" s="14">
        <v>44711</v>
      </c>
      <c r="F791" s="10" t="s">
        <v>2358</v>
      </c>
      <c r="G791" s="25">
        <v>44716</v>
      </c>
      <c r="H791" s="10" t="s">
        <v>2359</v>
      </c>
      <c r="I791" s="10" t="s">
        <v>2360</v>
      </c>
      <c r="J791" s="15">
        <v>110370.74</v>
      </c>
      <c r="K791" s="15">
        <v>109144.43015999999</v>
      </c>
      <c r="L791" s="15">
        <v>1226.31</v>
      </c>
      <c r="M791" s="15">
        <v>1057.1600000000001</v>
      </c>
      <c r="N791" s="15">
        <v>0</v>
      </c>
      <c r="O791" s="15">
        <v>169.15</v>
      </c>
      <c r="P791" s="2" t="s">
        <v>55</v>
      </c>
      <c r="Q791" s="16"/>
    </row>
    <row r="792" spans="1:17" x14ac:dyDescent="0.3">
      <c r="A792" s="10">
        <v>21733</v>
      </c>
      <c r="B792" s="2" t="s">
        <v>4143</v>
      </c>
      <c r="C792" s="13">
        <v>5557</v>
      </c>
      <c r="D792" s="2" t="s">
        <v>44</v>
      </c>
      <c r="E792" s="14">
        <v>44711</v>
      </c>
      <c r="F792" s="10" t="s">
        <v>2361</v>
      </c>
      <c r="G792" s="25">
        <v>44717</v>
      </c>
      <c r="H792" s="10" t="s">
        <v>2362</v>
      </c>
      <c r="I792" s="10" t="s">
        <v>2363</v>
      </c>
      <c r="J792" s="15">
        <v>113132.71</v>
      </c>
      <c r="K792" s="15">
        <v>111905.52827999998</v>
      </c>
      <c r="L792" s="15">
        <v>1227.18</v>
      </c>
      <c r="M792" s="15">
        <v>1057.92</v>
      </c>
      <c r="N792" s="15">
        <v>0</v>
      </c>
      <c r="O792" s="15">
        <v>169.27</v>
      </c>
      <c r="P792" s="2" t="s">
        <v>55</v>
      </c>
      <c r="Q792" s="16"/>
    </row>
    <row r="793" spans="1:17" x14ac:dyDescent="0.3">
      <c r="A793" s="10">
        <v>21733</v>
      </c>
      <c r="B793" s="2" t="s">
        <v>4144</v>
      </c>
      <c r="C793" s="13">
        <v>5548</v>
      </c>
      <c r="D793" s="2" t="s">
        <v>44</v>
      </c>
      <c r="E793" s="14">
        <v>44480</v>
      </c>
      <c r="F793" s="10" t="s">
        <v>2364</v>
      </c>
      <c r="G793" s="25">
        <v>44484</v>
      </c>
      <c r="H793" s="10" t="s">
        <v>2365</v>
      </c>
      <c r="I793" s="10" t="s">
        <v>2366</v>
      </c>
      <c r="J793" s="15">
        <v>845420.75</v>
      </c>
      <c r="K793" s="15">
        <v>844189.12304000009</v>
      </c>
      <c r="L793" s="15">
        <v>1231.6300000000001</v>
      </c>
      <c r="M793" s="15">
        <v>1061.75</v>
      </c>
      <c r="N793" s="15">
        <v>0</v>
      </c>
      <c r="O793" s="15">
        <v>169.88</v>
      </c>
      <c r="P793" s="2" t="s">
        <v>55</v>
      </c>
      <c r="Q793" s="16"/>
    </row>
    <row r="794" spans="1:17" x14ac:dyDescent="0.3">
      <c r="A794" s="10">
        <v>21733</v>
      </c>
      <c r="B794" s="2" t="s">
        <v>4145</v>
      </c>
      <c r="C794" s="13">
        <v>5556</v>
      </c>
      <c r="D794" s="2" t="s">
        <v>44</v>
      </c>
      <c r="E794" s="14">
        <v>44328</v>
      </c>
      <c r="F794" s="10" t="s">
        <v>2367</v>
      </c>
      <c r="G794" s="25">
        <v>44334</v>
      </c>
      <c r="H794" s="10" t="s">
        <v>2368</v>
      </c>
      <c r="I794" s="10" t="s">
        <v>2369</v>
      </c>
      <c r="J794" s="15">
        <v>197660.71</v>
      </c>
      <c r="K794" s="15">
        <v>196428.06640000001</v>
      </c>
      <c r="L794" s="15">
        <v>1232.6400000000001</v>
      </c>
      <c r="M794" s="15">
        <v>1062.6199999999999</v>
      </c>
      <c r="N794" s="15">
        <v>0</v>
      </c>
      <c r="O794" s="15">
        <v>170.02</v>
      </c>
      <c r="P794" s="2" t="s">
        <v>55</v>
      </c>
      <c r="Q794" s="16"/>
    </row>
    <row r="795" spans="1:17" x14ac:dyDescent="0.3">
      <c r="A795" s="10">
        <v>21733</v>
      </c>
      <c r="B795" s="2" t="s">
        <v>4146</v>
      </c>
      <c r="C795" s="13">
        <v>5681</v>
      </c>
      <c r="D795" s="2" t="s">
        <v>44</v>
      </c>
      <c r="E795" s="14">
        <v>44726</v>
      </c>
      <c r="F795" s="10" t="s">
        <v>2370</v>
      </c>
      <c r="G795" s="25">
        <v>44737</v>
      </c>
      <c r="H795" s="10" t="s">
        <v>2371</v>
      </c>
      <c r="I795" s="10" t="s">
        <v>2372</v>
      </c>
      <c r="J795" s="15">
        <v>1209060.56</v>
      </c>
      <c r="K795" s="15">
        <v>1207826.2141999998</v>
      </c>
      <c r="L795" s="15">
        <v>1234.3499999999999</v>
      </c>
      <c r="M795" s="15">
        <v>1064.0899999999999</v>
      </c>
      <c r="N795" s="15">
        <v>0</v>
      </c>
      <c r="O795" s="15">
        <v>170.25</v>
      </c>
      <c r="P795" s="2" t="s">
        <v>55</v>
      </c>
      <c r="Q795" s="16"/>
    </row>
    <row r="796" spans="1:17" x14ac:dyDescent="0.3">
      <c r="A796" s="10">
        <v>21733</v>
      </c>
      <c r="B796" s="2" t="s">
        <v>4147</v>
      </c>
      <c r="C796" s="13">
        <v>5537</v>
      </c>
      <c r="D796" s="2" t="s">
        <v>44</v>
      </c>
      <c r="E796" s="14">
        <v>44998</v>
      </c>
      <c r="F796" s="10" t="s">
        <v>2373</v>
      </c>
      <c r="G796" s="25">
        <v>45003</v>
      </c>
      <c r="H796" s="10" t="s">
        <v>2374</v>
      </c>
      <c r="I796" s="10" t="s">
        <v>2375</v>
      </c>
      <c r="J796" s="15">
        <v>929997.83</v>
      </c>
      <c r="K796" s="15">
        <v>928756.25155999989</v>
      </c>
      <c r="L796" s="15">
        <v>1241.58</v>
      </c>
      <c r="M796" s="15">
        <v>1070.33</v>
      </c>
      <c r="N796" s="15">
        <v>0</v>
      </c>
      <c r="O796" s="15">
        <v>171.25</v>
      </c>
      <c r="P796" s="2" t="s">
        <v>55</v>
      </c>
      <c r="Q796" s="16"/>
    </row>
    <row r="797" spans="1:17" x14ac:dyDescent="0.3">
      <c r="A797" s="10">
        <v>21733</v>
      </c>
      <c r="B797" s="2" t="s">
        <v>4148</v>
      </c>
      <c r="C797" s="13">
        <v>5537</v>
      </c>
      <c r="D797" s="2" t="s">
        <v>44</v>
      </c>
      <c r="E797" s="14">
        <v>45033</v>
      </c>
      <c r="F797" s="10" t="s">
        <v>1210</v>
      </c>
      <c r="G797" s="25">
        <v>45043</v>
      </c>
      <c r="H797" s="10" t="s">
        <v>2376</v>
      </c>
      <c r="I797" s="10" t="s">
        <v>2377</v>
      </c>
      <c r="J797" s="15">
        <v>471164.62</v>
      </c>
      <c r="K797" s="15">
        <v>469919.81292000005</v>
      </c>
      <c r="L797" s="15">
        <v>1244.81</v>
      </c>
      <c r="M797" s="15">
        <v>1073.1099999999999</v>
      </c>
      <c r="N797" s="15">
        <v>0</v>
      </c>
      <c r="O797" s="15">
        <v>171.7</v>
      </c>
      <c r="P797" s="2" t="s">
        <v>55</v>
      </c>
      <c r="Q797" s="16"/>
    </row>
    <row r="798" spans="1:17" x14ac:dyDescent="0.3">
      <c r="A798" s="10">
        <v>21733</v>
      </c>
      <c r="B798" s="2" t="s">
        <v>4149</v>
      </c>
      <c r="C798" s="13">
        <v>5537</v>
      </c>
      <c r="D798" s="2" t="s">
        <v>44</v>
      </c>
      <c r="E798" s="14">
        <v>44326</v>
      </c>
      <c r="F798" s="10" t="s">
        <v>2378</v>
      </c>
      <c r="G798" s="25">
        <v>44330</v>
      </c>
      <c r="H798" s="10" t="s">
        <v>2379</v>
      </c>
      <c r="I798" s="10" t="s">
        <v>2380</v>
      </c>
      <c r="J798" s="15">
        <v>143770.1</v>
      </c>
      <c r="K798" s="15">
        <v>142523.11463999999</v>
      </c>
      <c r="L798" s="15">
        <v>1246.99</v>
      </c>
      <c r="M798" s="15">
        <v>1074.99</v>
      </c>
      <c r="N798" s="15">
        <v>0</v>
      </c>
      <c r="O798" s="15">
        <v>172</v>
      </c>
      <c r="P798" s="2" t="s">
        <v>55</v>
      </c>
      <c r="Q798" s="16"/>
    </row>
    <row r="799" spans="1:17" x14ac:dyDescent="0.3">
      <c r="A799" s="10">
        <v>21733</v>
      </c>
      <c r="B799" s="2" t="s">
        <v>4150</v>
      </c>
      <c r="C799" s="13">
        <v>5681</v>
      </c>
      <c r="D799" s="2" t="s">
        <v>44</v>
      </c>
      <c r="E799" s="14">
        <v>44284</v>
      </c>
      <c r="F799" s="10" t="s">
        <v>2381</v>
      </c>
      <c r="G799" s="25">
        <v>44292</v>
      </c>
      <c r="H799" s="10" t="s">
        <v>2382</v>
      </c>
      <c r="I799" s="10" t="s">
        <v>2383</v>
      </c>
      <c r="J799" s="15">
        <v>6527.18</v>
      </c>
      <c r="K799" s="15">
        <v>5271.6988799999999</v>
      </c>
      <c r="L799" s="15">
        <v>1255.48</v>
      </c>
      <c r="M799" s="15">
        <v>1082.31</v>
      </c>
      <c r="N799" s="15">
        <v>0</v>
      </c>
      <c r="O799" s="15">
        <v>173.17</v>
      </c>
      <c r="P799" s="2" t="s">
        <v>55</v>
      </c>
      <c r="Q799" s="16"/>
    </row>
    <row r="800" spans="1:17" x14ac:dyDescent="0.3">
      <c r="A800" s="10">
        <v>21733</v>
      </c>
      <c r="B800" s="2" t="s">
        <v>4151</v>
      </c>
      <c r="C800" s="13">
        <v>5556</v>
      </c>
      <c r="D800" s="2" t="s">
        <v>44</v>
      </c>
      <c r="E800" s="14">
        <v>44993</v>
      </c>
      <c r="F800" s="10" t="s">
        <v>535</v>
      </c>
      <c r="G800" s="25">
        <v>45001</v>
      </c>
      <c r="H800" s="10" t="s">
        <v>2384</v>
      </c>
      <c r="I800" s="10" t="s">
        <v>2385</v>
      </c>
      <c r="J800" s="15">
        <v>990372.23</v>
      </c>
      <c r="K800" s="15">
        <v>989110.56203999987</v>
      </c>
      <c r="L800" s="15">
        <v>1261.67</v>
      </c>
      <c r="M800" s="15">
        <v>1087.6400000000001</v>
      </c>
      <c r="N800" s="15">
        <v>0</v>
      </c>
      <c r="O800" s="15">
        <v>174.02</v>
      </c>
      <c r="P800" s="2" t="s">
        <v>55</v>
      </c>
      <c r="Q800" s="16"/>
    </row>
    <row r="801" spans="1:17" x14ac:dyDescent="0.3">
      <c r="A801" s="10">
        <v>21733</v>
      </c>
      <c r="B801" s="2" t="s">
        <v>4152</v>
      </c>
      <c r="C801" s="13">
        <v>5557</v>
      </c>
      <c r="D801" s="2" t="s">
        <v>44</v>
      </c>
      <c r="E801" s="14">
        <v>44879</v>
      </c>
      <c r="F801" s="10" t="s">
        <v>2386</v>
      </c>
      <c r="G801" s="25">
        <v>44884</v>
      </c>
      <c r="H801" s="10" t="s">
        <v>2387</v>
      </c>
      <c r="I801" s="10" t="s">
        <v>2388</v>
      </c>
      <c r="J801" s="15">
        <v>425989.85</v>
      </c>
      <c r="K801" s="15">
        <v>424726.9982400001</v>
      </c>
      <c r="L801" s="15">
        <v>1262.8499999999999</v>
      </c>
      <c r="M801" s="15">
        <v>1088.67</v>
      </c>
      <c r="N801" s="15">
        <v>0</v>
      </c>
      <c r="O801" s="15">
        <v>174.19</v>
      </c>
      <c r="P801" s="2" t="s">
        <v>55</v>
      </c>
      <c r="Q801" s="16"/>
    </row>
    <row r="802" spans="1:17" x14ac:dyDescent="0.3">
      <c r="A802" s="10">
        <v>21733</v>
      </c>
      <c r="B802" s="2" t="s">
        <v>4153</v>
      </c>
      <c r="C802" s="13">
        <v>5549</v>
      </c>
      <c r="D802" s="2" t="s">
        <v>44</v>
      </c>
      <c r="E802" s="14">
        <v>44970</v>
      </c>
      <c r="F802" s="10" t="s">
        <v>2389</v>
      </c>
      <c r="G802" s="25">
        <v>44978</v>
      </c>
      <c r="H802" s="10" t="s">
        <v>2390</v>
      </c>
      <c r="I802" s="10" t="s">
        <v>2391</v>
      </c>
      <c r="J802" s="15">
        <v>1306168.22</v>
      </c>
      <c r="K802" s="15">
        <v>1304904.5714399994</v>
      </c>
      <c r="L802" s="15">
        <v>1263.6500000000001</v>
      </c>
      <c r="M802" s="15">
        <v>1089.3499999999999</v>
      </c>
      <c r="N802" s="15">
        <v>0</v>
      </c>
      <c r="O802" s="15">
        <v>174.3</v>
      </c>
      <c r="P802" s="2" t="s">
        <v>55</v>
      </c>
      <c r="Q802" s="16"/>
    </row>
    <row r="803" spans="1:17" x14ac:dyDescent="0.3">
      <c r="A803" s="10">
        <v>21733</v>
      </c>
      <c r="B803" s="2" t="s">
        <v>4154</v>
      </c>
      <c r="C803" s="13">
        <v>5549</v>
      </c>
      <c r="D803" s="2" t="s">
        <v>44</v>
      </c>
      <c r="E803" s="14">
        <v>44340</v>
      </c>
      <c r="F803" s="10" t="s">
        <v>708</v>
      </c>
      <c r="G803" s="25">
        <v>44350</v>
      </c>
      <c r="H803" s="10" t="s">
        <v>2392</v>
      </c>
      <c r="I803" s="10" t="s">
        <v>2393</v>
      </c>
      <c r="J803" s="15">
        <v>853781.73</v>
      </c>
      <c r="K803" s="15">
        <v>852517.77920000011</v>
      </c>
      <c r="L803" s="15">
        <v>1263.95</v>
      </c>
      <c r="M803" s="15">
        <v>1089.6099999999999</v>
      </c>
      <c r="N803" s="15">
        <v>0</v>
      </c>
      <c r="O803" s="15">
        <v>174.34</v>
      </c>
      <c r="P803" s="2" t="s">
        <v>55</v>
      </c>
      <c r="Q803" s="16"/>
    </row>
    <row r="804" spans="1:17" x14ac:dyDescent="0.3">
      <c r="A804" s="10">
        <v>21733</v>
      </c>
      <c r="B804" s="2" t="s">
        <v>4155</v>
      </c>
      <c r="C804" s="13">
        <v>5537</v>
      </c>
      <c r="D804" s="2" t="s">
        <v>44</v>
      </c>
      <c r="E804" s="14">
        <v>44977</v>
      </c>
      <c r="F804" s="10" t="s">
        <v>2394</v>
      </c>
      <c r="G804" s="25">
        <v>44981</v>
      </c>
      <c r="H804" s="10" t="s">
        <v>2395</v>
      </c>
      <c r="I804" s="10" t="s">
        <v>2396</v>
      </c>
      <c r="J804" s="15">
        <v>729028.04</v>
      </c>
      <c r="K804" s="15">
        <v>727760.8661200006</v>
      </c>
      <c r="L804" s="15">
        <v>1267.17</v>
      </c>
      <c r="M804" s="15">
        <v>1092.3900000000001</v>
      </c>
      <c r="N804" s="15">
        <v>0</v>
      </c>
      <c r="O804" s="15">
        <v>174.78</v>
      </c>
      <c r="P804" s="2" t="s">
        <v>55</v>
      </c>
      <c r="Q804" s="16"/>
    </row>
    <row r="805" spans="1:17" x14ac:dyDescent="0.3">
      <c r="A805" s="10">
        <v>21733</v>
      </c>
      <c r="B805" s="2" t="s">
        <v>4156</v>
      </c>
      <c r="C805" s="13">
        <v>5681</v>
      </c>
      <c r="D805" s="2" t="s">
        <v>44</v>
      </c>
      <c r="E805" s="14">
        <v>44676</v>
      </c>
      <c r="F805" s="10" t="s">
        <v>2397</v>
      </c>
      <c r="G805" s="25">
        <v>44681</v>
      </c>
      <c r="H805" s="10" t="s">
        <v>2398</v>
      </c>
      <c r="I805" s="10" t="s">
        <v>2399</v>
      </c>
      <c r="J805" s="15">
        <v>407317.41</v>
      </c>
      <c r="K805" s="15">
        <v>406046.97071999998</v>
      </c>
      <c r="L805" s="15">
        <v>1270.44</v>
      </c>
      <c r="M805" s="15">
        <v>1095.21</v>
      </c>
      <c r="N805" s="15">
        <v>0</v>
      </c>
      <c r="O805" s="15">
        <v>175.23</v>
      </c>
      <c r="P805" s="2" t="s">
        <v>55</v>
      </c>
      <c r="Q805" s="16"/>
    </row>
    <row r="806" spans="1:17" x14ac:dyDescent="0.3">
      <c r="A806" s="10">
        <v>21733</v>
      </c>
      <c r="B806" s="2" t="s">
        <v>4157</v>
      </c>
      <c r="C806" s="13">
        <v>5557</v>
      </c>
      <c r="D806" s="2" t="s">
        <v>44</v>
      </c>
      <c r="E806" s="14">
        <v>44886</v>
      </c>
      <c r="F806" s="10" t="s">
        <v>2400</v>
      </c>
      <c r="G806" s="25">
        <v>44893</v>
      </c>
      <c r="H806" s="10" t="s">
        <v>2401</v>
      </c>
      <c r="I806" s="10" t="s">
        <v>2402</v>
      </c>
      <c r="J806" s="15">
        <v>520299.83</v>
      </c>
      <c r="K806" s="15">
        <v>519016.46028</v>
      </c>
      <c r="L806" s="15">
        <v>1283.3699999999999</v>
      </c>
      <c r="M806" s="15">
        <v>1106.3499999999999</v>
      </c>
      <c r="N806" s="15">
        <v>0</v>
      </c>
      <c r="O806" s="15">
        <v>177.02</v>
      </c>
      <c r="P806" s="2" t="s">
        <v>55</v>
      </c>
      <c r="Q806" s="16"/>
    </row>
    <row r="807" spans="1:17" x14ac:dyDescent="0.3">
      <c r="A807" s="10">
        <v>21733</v>
      </c>
      <c r="B807" s="2" t="s">
        <v>4158</v>
      </c>
      <c r="C807" s="13">
        <v>5549</v>
      </c>
      <c r="D807" s="2" t="s">
        <v>44</v>
      </c>
      <c r="E807" s="14">
        <v>44480</v>
      </c>
      <c r="F807" s="10" t="s">
        <v>2403</v>
      </c>
      <c r="G807" s="25">
        <v>44484</v>
      </c>
      <c r="H807" s="10" t="s">
        <v>2404</v>
      </c>
      <c r="I807" s="10" t="s">
        <v>2405</v>
      </c>
      <c r="J807" s="15">
        <v>459847.49</v>
      </c>
      <c r="K807" s="15">
        <v>458561.86779999995</v>
      </c>
      <c r="L807" s="15">
        <v>1285.6199999999999</v>
      </c>
      <c r="M807" s="15">
        <v>1108.3</v>
      </c>
      <c r="N807" s="15">
        <v>0</v>
      </c>
      <c r="O807" s="15">
        <v>177.33</v>
      </c>
      <c r="P807" s="2" t="s">
        <v>55</v>
      </c>
      <c r="Q807" s="16"/>
    </row>
    <row r="808" spans="1:17" x14ac:dyDescent="0.3">
      <c r="A808" s="10">
        <v>21733</v>
      </c>
      <c r="B808" s="2" t="s">
        <v>4159</v>
      </c>
      <c r="C808" s="13">
        <v>5548</v>
      </c>
      <c r="D808" s="2" t="s">
        <v>44</v>
      </c>
      <c r="E808" s="14">
        <v>44480</v>
      </c>
      <c r="F808" s="10" t="s">
        <v>2406</v>
      </c>
      <c r="G808" s="25">
        <v>44484</v>
      </c>
      <c r="H808" s="10" t="s">
        <v>2407</v>
      </c>
      <c r="I808" s="10" t="s">
        <v>2408</v>
      </c>
      <c r="J808" s="15">
        <v>164186.91</v>
      </c>
      <c r="K808" s="15">
        <v>162898.92180000001</v>
      </c>
      <c r="L808" s="15">
        <v>1287.99</v>
      </c>
      <c r="M808" s="15">
        <v>1110.33</v>
      </c>
      <c r="N808" s="15">
        <v>0</v>
      </c>
      <c r="O808" s="15">
        <v>177.65</v>
      </c>
      <c r="P808" s="2" t="s">
        <v>55</v>
      </c>
      <c r="Q808" s="16"/>
    </row>
    <row r="809" spans="1:17" x14ac:dyDescent="0.3">
      <c r="A809" s="10">
        <v>21733</v>
      </c>
      <c r="B809" s="2" t="s">
        <v>4160</v>
      </c>
      <c r="C809" s="13">
        <v>5548</v>
      </c>
      <c r="D809" s="2" t="s">
        <v>44</v>
      </c>
      <c r="E809" s="14">
        <v>44900</v>
      </c>
      <c r="F809" s="10" t="s">
        <v>2409</v>
      </c>
      <c r="G809" s="25">
        <v>44905</v>
      </c>
      <c r="H809" s="10" t="s">
        <v>2410</v>
      </c>
      <c r="I809" s="10" t="s">
        <v>2411</v>
      </c>
      <c r="J809" s="15">
        <v>754740.71</v>
      </c>
      <c r="K809" s="15">
        <v>753450.60196</v>
      </c>
      <c r="L809" s="15">
        <v>1290.1099999999999</v>
      </c>
      <c r="M809" s="15">
        <v>1112.1600000000001</v>
      </c>
      <c r="N809" s="15">
        <v>0</v>
      </c>
      <c r="O809" s="15">
        <v>177.95</v>
      </c>
      <c r="P809" s="2" t="s">
        <v>55</v>
      </c>
      <c r="Q809" s="16"/>
    </row>
    <row r="810" spans="1:17" x14ac:dyDescent="0.3">
      <c r="A810" s="10">
        <v>21733</v>
      </c>
      <c r="B810" s="2" t="s">
        <v>4161</v>
      </c>
      <c r="C810" s="13">
        <v>5556</v>
      </c>
      <c r="D810" s="2" t="s">
        <v>44</v>
      </c>
      <c r="E810" s="14">
        <v>44433</v>
      </c>
      <c r="F810" s="10" t="s">
        <v>2412</v>
      </c>
      <c r="G810" s="25">
        <v>44439</v>
      </c>
      <c r="H810" s="10" t="s">
        <v>2413</v>
      </c>
      <c r="I810" s="10" t="s">
        <v>2414</v>
      </c>
      <c r="J810" s="15">
        <v>102443.6</v>
      </c>
      <c r="K810" s="15">
        <v>101147.34608</v>
      </c>
      <c r="L810" s="15">
        <v>1296.25</v>
      </c>
      <c r="M810" s="15">
        <v>1117.46</v>
      </c>
      <c r="N810" s="15">
        <v>0</v>
      </c>
      <c r="O810" s="15">
        <v>178.79</v>
      </c>
      <c r="P810" s="2" t="s">
        <v>55</v>
      </c>
      <c r="Q810" s="16"/>
    </row>
    <row r="811" spans="1:17" x14ac:dyDescent="0.3">
      <c r="A811" s="10">
        <v>21733</v>
      </c>
      <c r="B811" s="2" t="s">
        <v>4162</v>
      </c>
      <c r="C811" s="13">
        <v>5548</v>
      </c>
      <c r="D811" s="2" t="s">
        <v>44</v>
      </c>
      <c r="E811" s="14">
        <v>44823</v>
      </c>
      <c r="F811" s="10" t="s">
        <v>1567</v>
      </c>
      <c r="G811" s="25">
        <v>44829</v>
      </c>
      <c r="H811" s="10" t="s">
        <v>2415</v>
      </c>
      <c r="I811" s="10" t="s">
        <v>2416</v>
      </c>
      <c r="J811" s="15">
        <v>1130521.26</v>
      </c>
      <c r="K811" s="15">
        <v>1129216.5777199999</v>
      </c>
      <c r="L811" s="15">
        <v>1304.68</v>
      </c>
      <c r="M811" s="15">
        <v>1124.73</v>
      </c>
      <c r="N811" s="15">
        <v>0</v>
      </c>
      <c r="O811" s="15">
        <v>179.96</v>
      </c>
      <c r="P811" s="2" t="s">
        <v>55</v>
      </c>
      <c r="Q811" s="16"/>
    </row>
    <row r="812" spans="1:17" x14ac:dyDescent="0.3">
      <c r="A812" s="10">
        <v>21733</v>
      </c>
      <c r="B812" s="2" t="s">
        <v>4163</v>
      </c>
      <c r="C812" s="13">
        <v>5681</v>
      </c>
      <c r="D812" s="2" t="s">
        <v>44</v>
      </c>
      <c r="E812" s="14">
        <v>44697</v>
      </c>
      <c r="F812" s="10" t="s">
        <v>2417</v>
      </c>
      <c r="G812" s="25">
        <v>44703</v>
      </c>
      <c r="H812" s="10" t="s">
        <v>2418</v>
      </c>
      <c r="I812" s="10" t="s">
        <v>2419</v>
      </c>
      <c r="J812" s="15">
        <v>669085.62</v>
      </c>
      <c r="K812" s="15">
        <v>667778.91216000007</v>
      </c>
      <c r="L812" s="15">
        <v>1306.71</v>
      </c>
      <c r="M812" s="15">
        <v>1126.47</v>
      </c>
      <c r="N812" s="15">
        <v>0</v>
      </c>
      <c r="O812" s="15">
        <v>180.24</v>
      </c>
      <c r="P812" s="2" t="s">
        <v>55</v>
      </c>
      <c r="Q812" s="16"/>
    </row>
    <row r="813" spans="1:17" x14ac:dyDescent="0.3">
      <c r="A813" s="10">
        <v>21733</v>
      </c>
      <c r="B813" s="2" t="s">
        <v>4164</v>
      </c>
      <c r="C813" s="13">
        <v>5548</v>
      </c>
      <c r="D813" s="2" t="s">
        <v>44</v>
      </c>
      <c r="E813" s="14">
        <v>44788</v>
      </c>
      <c r="F813" s="10" t="s">
        <v>296</v>
      </c>
      <c r="G813" s="25">
        <v>44793</v>
      </c>
      <c r="H813" s="10" t="s">
        <v>2420</v>
      </c>
      <c r="I813" s="10" t="s">
        <v>2421</v>
      </c>
      <c r="J813" s="15">
        <v>909588.44</v>
      </c>
      <c r="K813" s="15">
        <v>908279.33532000019</v>
      </c>
      <c r="L813" s="15">
        <v>1309.0999999999999</v>
      </c>
      <c r="M813" s="15">
        <v>1128.54</v>
      </c>
      <c r="N813" s="15">
        <v>0</v>
      </c>
      <c r="O813" s="15">
        <v>180.57</v>
      </c>
      <c r="P813" s="2" t="s">
        <v>55</v>
      </c>
      <c r="Q813" s="16"/>
    </row>
    <row r="814" spans="1:17" x14ac:dyDescent="0.3">
      <c r="A814" s="10">
        <v>21733</v>
      </c>
      <c r="B814" s="2" t="s">
        <v>4165</v>
      </c>
      <c r="C814" s="13">
        <v>5557</v>
      </c>
      <c r="D814" s="2" t="s">
        <v>44</v>
      </c>
      <c r="E814" s="14">
        <v>44837</v>
      </c>
      <c r="F814" s="10" t="s">
        <v>2422</v>
      </c>
      <c r="G814" s="25">
        <v>44842</v>
      </c>
      <c r="H814" s="10" t="s">
        <v>2423</v>
      </c>
      <c r="I814" s="10" t="s">
        <v>2424</v>
      </c>
      <c r="J814" s="15">
        <v>1183072.75</v>
      </c>
      <c r="K814" s="15">
        <v>1181760.4527600005</v>
      </c>
      <c r="L814" s="15">
        <v>1312.3</v>
      </c>
      <c r="M814" s="15">
        <v>1131.29</v>
      </c>
      <c r="N814" s="15">
        <v>0</v>
      </c>
      <c r="O814" s="15">
        <v>181.01</v>
      </c>
      <c r="P814" s="2" t="s">
        <v>55</v>
      </c>
      <c r="Q814" s="16"/>
    </row>
    <row r="815" spans="1:17" x14ac:dyDescent="0.3">
      <c r="A815" s="10">
        <v>21733</v>
      </c>
      <c r="B815" s="2" t="s">
        <v>4166</v>
      </c>
      <c r="C815" s="13">
        <v>5557</v>
      </c>
      <c r="D815" s="2" t="s">
        <v>44</v>
      </c>
      <c r="E815" s="14">
        <v>44760</v>
      </c>
      <c r="F815" s="10" t="s">
        <v>2425</v>
      </c>
      <c r="G815" s="25">
        <v>44764</v>
      </c>
      <c r="H815" s="10" t="s">
        <v>2426</v>
      </c>
      <c r="I815" s="10" t="s">
        <v>2427</v>
      </c>
      <c r="J815" s="15">
        <v>782950.61</v>
      </c>
      <c r="K815" s="15">
        <v>781632.89591999992</v>
      </c>
      <c r="L815" s="15">
        <v>1317.71</v>
      </c>
      <c r="M815" s="15">
        <v>1135.96</v>
      </c>
      <c r="N815" s="15">
        <v>0</v>
      </c>
      <c r="O815" s="15">
        <v>181.75</v>
      </c>
      <c r="P815" s="2" t="s">
        <v>55</v>
      </c>
      <c r="Q815" s="16"/>
    </row>
    <row r="816" spans="1:17" x14ac:dyDescent="0.3">
      <c r="A816" s="10">
        <v>21733</v>
      </c>
      <c r="B816" s="2" t="s">
        <v>4167</v>
      </c>
      <c r="C816" s="13">
        <v>5537</v>
      </c>
      <c r="D816" s="2" t="s">
        <v>44</v>
      </c>
      <c r="E816" s="14">
        <v>45054</v>
      </c>
      <c r="F816" s="10" t="s">
        <v>2428</v>
      </c>
      <c r="G816" s="25">
        <v>45064</v>
      </c>
      <c r="H816" s="10" t="s">
        <v>2429</v>
      </c>
      <c r="I816" s="10" t="s">
        <v>2430</v>
      </c>
      <c r="J816" s="15">
        <v>842810.11</v>
      </c>
      <c r="K816" s="15">
        <v>841479.80964000023</v>
      </c>
      <c r="L816" s="15">
        <v>1330.3</v>
      </c>
      <c r="M816" s="15">
        <v>1146.81</v>
      </c>
      <c r="N816" s="15">
        <v>0</v>
      </c>
      <c r="O816" s="15">
        <v>183.49</v>
      </c>
      <c r="P816" s="2" t="s">
        <v>55</v>
      </c>
      <c r="Q816" s="16"/>
    </row>
    <row r="817" spans="1:17" x14ac:dyDescent="0.3">
      <c r="A817" s="10">
        <v>21733</v>
      </c>
      <c r="B817" s="2" t="s">
        <v>4168</v>
      </c>
      <c r="C817" s="13">
        <v>5557</v>
      </c>
      <c r="D817" s="2" t="s">
        <v>44</v>
      </c>
      <c r="E817" s="14">
        <v>44690</v>
      </c>
      <c r="F817" s="10" t="s">
        <v>2431</v>
      </c>
      <c r="G817" s="25">
        <v>44694</v>
      </c>
      <c r="H817" s="10" t="s">
        <v>2432</v>
      </c>
      <c r="I817" s="10" t="s">
        <v>2433</v>
      </c>
      <c r="J817" s="15">
        <v>385267.85</v>
      </c>
      <c r="K817" s="15">
        <v>383929.80983999994</v>
      </c>
      <c r="L817" s="15">
        <v>1338.04</v>
      </c>
      <c r="M817" s="15">
        <v>1153.48</v>
      </c>
      <c r="N817" s="15">
        <v>0</v>
      </c>
      <c r="O817" s="15">
        <v>184.56</v>
      </c>
      <c r="P817" s="2" t="s">
        <v>55</v>
      </c>
      <c r="Q817" s="16"/>
    </row>
    <row r="818" spans="1:17" x14ac:dyDescent="0.3">
      <c r="A818" s="10">
        <v>21733</v>
      </c>
      <c r="B818" s="2" t="s">
        <v>4169</v>
      </c>
      <c r="C818" s="13">
        <v>5548</v>
      </c>
      <c r="D818" s="2" t="s">
        <v>44</v>
      </c>
      <c r="E818" s="14">
        <v>44781</v>
      </c>
      <c r="F818" s="10" t="s">
        <v>481</v>
      </c>
      <c r="G818" s="25">
        <v>44785</v>
      </c>
      <c r="H818" s="10" t="s">
        <v>2434</v>
      </c>
      <c r="I818" s="10" t="s">
        <v>2435</v>
      </c>
      <c r="J818" s="15">
        <v>1062254.19</v>
      </c>
      <c r="K818" s="15">
        <v>1060908.6994000003</v>
      </c>
      <c r="L818" s="15">
        <v>1345.49</v>
      </c>
      <c r="M818" s="15">
        <v>1159.9100000000001</v>
      </c>
      <c r="N818" s="15">
        <v>0</v>
      </c>
      <c r="O818" s="15">
        <v>185.58</v>
      </c>
      <c r="P818" s="2" t="s">
        <v>55</v>
      </c>
      <c r="Q818" s="16"/>
    </row>
    <row r="819" spans="1:17" x14ac:dyDescent="0.3">
      <c r="A819" s="10">
        <v>21733</v>
      </c>
      <c r="B819" s="2" t="s">
        <v>4170</v>
      </c>
      <c r="C819" s="13">
        <v>5537</v>
      </c>
      <c r="D819" s="2" t="s">
        <v>44</v>
      </c>
      <c r="E819" s="14">
        <v>44655</v>
      </c>
      <c r="F819" s="10" t="s">
        <v>2436</v>
      </c>
      <c r="G819" s="25">
        <v>44660</v>
      </c>
      <c r="H819" s="10" t="s">
        <v>2437</v>
      </c>
      <c r="I819" s="10" t="s">
        <v>2438</v>
      </c>
      <c r="J819" s="15">
        <v>442013.73</v>
      </c>
      <c r="K819" s="15">
        <v>440662.70240000001</v>
      </c>
      <c r="L819" s="15">
        <v>1351.03</v>
      </c>
      <c r="M819" s="15">
        <v>1164.68</v>
      </c>
      <c r="N819" s="15">
        <v>0</v>
      </c>
      <c r="O819" s="15">
        <v>186.35</v>
      </c>
      <c r="P819" s="2" t="s">
        <v>55</v>
      </c>
      <c r="Q819" s="16"/>
    </row>
    <row r="820" spans="1:17" x14ac:dyDescent="0.3">
      <c r="A820" s="10">
        <v>21733</v>
      </c>
      <c r="B820" s="2" t="s">
        <v>4171</v>
      </c>
      <c r="C820" s="13">
        <v>5681</v>
      </c>
      <c r="D820" s="2" t="s">
        <v>44</v>
      </c>
      <c r="E820" s="14">
        <v>44683</v>
      </c>
      <c r="F820" s="10" t="s">
        <v>2439</v>
      </c>
      <c r="G820" s="25">
        <v>44688</v>
      </c>
      <c r="H820" s="10" t="s">
        <v>2440</v>
      </c>
      <c r="I820" s="10" t="s">
        <v>2441</v>
      </c>
      <c r="J820" s="15">
        <v>778513.08</v>
      </c>
      <c r="K820" s="15">
        <v>777160.4208000002</v>
      </c>
      <c r="L820" s="15">
        <v>1352.66</v>
      </c>
      <c r="M820" s="15">
        <v>1166.0899999999999</v>
      </c>
      <c r="N820" s="15">
        <v>0</v>
      </c>
      <c r="O820" s="15">
        <v>186.57</v>
      </c>
      <c r="P820" s="2" t="s">
        <v>55</v>
      </c>
      <c r="Q820" s="16"/>
    </row>
    <row r="821" spans="1:17" x14ac:dyDescent="0.3">
      <c r="A821" s="10">
        <v>21733</v>
      </c>
      <c r="B821" s="2" t="s">
        <v>4172</v>
      </c>
      <c r="C821" s="13">
        <v>5681</v>
      </c>
      <c r="D821" s="2" t="s">
        <v>44</v>
      </c>
      <c r="E821" s="14">
        <v>44508</v>
      </c>
      <c r="F821" s="10" t="s">
        <v>2442</v>
      </c>
      <c r="G821" s="25">
        <v>44513</v>
      </c>
      <c r="H821" s="10" t="s">
        <v>2443</v>
      </c>
      <c r="I821" s="10" t="s">
        <v>2444</v>
      </c>
      <c r="J821" s="15">
        <v>378123.83</v>
      </c>
      <c r="K821" s="15">
        <v>376765.0466399999</v>
      </c>
      <c r="L821" s="15">
        <v>1358.78</v>
      </c>
      <c r="M821" s="15">
        <v>1171.3599999999999</v>
      </c>
      <c r="N821" s="15">
        <v>0</v>
      </c>
      <c r="O821" s="15">
        <v>187.42</v>
      </c>
      <c r="P821" s="2" t="s">
        <v>55</v>
      </c>
      <c r="Q821" s="16"/>
    </row>
    <row r="822" spans="1:17" x14ac:dyDescent="0.3">
      <c r="A822" s="10">
        <v>21733</v>
      </c>
      <c r="B822" s="2" t="s">
        <v>4173</v>
      </c>
      <c r="C822" s="13">
        <v>5548</v>
      </c>
      <c r="D822" s="2" t="s">
        <v>44</v>
      </c>
      <c r="E822" s="14">
        <v>45047</v>
      </c>
      <c r="F822" s="10" t="s">
        <v>974</v>
      </c>
      <c r="G822" s="25">
        <v>45055</v>
      </c>
      <c r="H822" s="10" t="s">
        <v>2445</v>
      </c>
      <c r="I822" s="10" t="s">
        <v>2446</v>
      </c>
      <c r="J822" s="15">
        <v>1191135.73</v>
      </c>
      <c r="K822" s="15">
        <v>1189763.3310400001</v>
      </c>
      <c r="L822" s="15">
        <v>1372.4</v>
      </c>
      <c r="M822" s="15">
        <v>1183.0999999999999</v>
      </c>
      <c r="N822" s="15">
        <v>0</v>
      </c>
      <c r="O822" s="15">
        <v>189.3</v>
      </c>
      <c r="P822" s="2" t="s">
        <v>55</v>
      </c>
      <c r="Q822" s="16"/>
    </row>
    <row r="823" spans="1:17" x14ac:dyDescent="0.3">
      <c r="A823" s="10">
        <v>21733</v>
      </c>
      <c r="B823" s="2" t="s">
        <v>4174</v>
      </c>
      <c r="C823" s="13">
        <v>5556</v>
      </c>
      <c r="D823" s="2" t="s">
        <v>44</v>
      </c>
      <c r="E823" s="14">
        <v>44629</v>
      </c>
      <c r="F823" s="10" t="s">
        <v>2447</v>
      </c>
      <c r="G823" s="25">
        <v>44635</v>
      </c>
      <c r="H823" s="10" t="s">
        <v>2448</v>
      </c>
      <c r="I823" s="10" t="s">
        <v>2449</v>
      </c>
      <c r="J823" s="15">
        <v>115556.64</v>
      </c>
      <c r="K823" s="15">
        <v>114166.91696</v>
      </c>
      <c r="L823" s="15">
        <v>1389.72</v>
      </c>
      <c r="M823" s="15">
        <v>1198.04</v>
      </c>
      <c r="N823" s="15">
        <v>0</v>
      </c>
      <c r="O823" s="15">
        <v>191.69</v>
      </c>
      <c r="P823" s="2" t="s">
        <v>55</v>
      </c>
      <c r="Q823" s="16"/>
    </row>
    <row r="824" spans="1:17" x14ac:dyDescent="0.3">
      <c r="A824" s="10">
        <v>21733</v>
      </c>
      <c r="B824" s="2" t="s">
        <v>4175</v>
      </c>
      <c r="C824" s="13">
        <v>5557</v>
      </c>
      <c r="D824" s="2" t="s">
        <v>44</v>
      </c>
      <c r="E824" s="14">
        <v>44711</v>
      </c>
      <c r="F824" s="10" t="s">
        <v>2021</v>
      </c>
      <c r="G824" s="25">
        <v>44717</v>
      </c>
      <c r="H824" s="10" t="s">
        <v>2450</v>
      </c>
      <c r="I824" s="10" t="s">
        <v>2451</v>
      </c>
      <c r="J824" s="15">
        <v>662521.18000000005</v>
      </c>
      <c r="K824" s="15">
        <v>661128.63911999983</v>
      </c>
      <c r="L824" s="15">
        <v>1392.54</v>
      </c>
      <c r="M824" s="15">
        <v>1200.47</v>
      </c>
      <c r="N824" s="15">
        <v>0</v>
      </c>
      <c r="O824" s="15">
        <v>192.07</v>
      </c>
      <c r="P824" s="2" t="s">
        <v>55</v>
      </c>
      <c r="Q824" s="16"/>
    </row>
    <row r="825" spans="1:17" x14ac:dyDescent="0.3">
      <c r="A825" s="10">
        <v>21733</v>
      </c>
      <c r="B825" s="2" t="s">
        <v>4176</v>
      </c>
      <c r="C825" s="13">
        <v>5681</v>
      </c>
      <c r="D825" s="2" t="s">
        <v>44</v>
      </c>
      <c r="E825" s="14">
        <v>44354</v>
      </c>
      <c r="F825" s="10" t="s">
        <v>2452</v>
      </c>
      <c r="G825" s="25">
        <v>44359</v>
      </c>
      <c r="H825" s="10" t="s">
        <v>2453</v>
      </c>
      <c r="I825" s="10" t="s">
        <v>2454</v>
      </c>
      <c r="J825" s="15">
        <v>177353.06</v>
      </c>
      <c r="K825" s="15">
        <v>175957.67748000001</v>
      </c>
      <c r="L825" s="15">
        <v>1395.38</v>
      </c>
      <c r="M825" s="15">
        <v>1202.92</v>
      </c>
      <c r="N825" s="15">
        <v>0</v>
      </c>
      <c r="O825" s="15">
        <v>192.47</v>
      </c>
      <c r="P825" s="2" t="s">
        <v>55</v>
      </c>
      <c r="Q825" s="16"/>
    </row>
    <row r="826" spans="1:17" x14ac:dyDescent="0.3">
      <c r="A826" s="10">
        <v>21733</v>
      </c>
      <c r="B826" s="2" t="s">
        <v>4177</v>
      </c>
      <c r="C826" s="13">
        <v>5537</v>
      </c>
      <c r="D826" s="2" t="s">
        <v>44</v>
      </c>
      <c r="E826" s="14">
        <v>44305</v>
      </c>
      <c r="F826" s="10" t="s">
        <v>2455</v>
      </c>
      <c r="G826" s="25">
        <v>44309</v>
      </c>
      <c r="H826" s="10" t="s">
        <v>2456</v>
      </c>
      <c r="I826" s="10" t="s">
        <v>2457</v>
      </c>
      <c r="J826" s="15">
        <v>10476.5</v>
      </c>
      <c r="K826" s="15">
        <v>9075.6915200000003</v>
      </c>
      <c r="L826" s="15">
        <v>1400.81</v>
      </c>
      <c r="M826" s="15">
        <v>1207.5899999999999</v>
      </c>
      <c r="N826" s="15">
        <v>0</v>
      </c>
      <c r="O826" s="15">
        <v>193.21</v>
      </c>
      <c r="P826" s="2" t="s">
        <v>55</v>
      </c>
      <c r="Q826" s="16"/>
    </row>
    <row r="827" spans="1:17" x14ac:dyDescent="0.3">
      <c r="A827" s="10">
        <v>21733</v>
      </c>
      <c r="B827" s="2" t="s">
        <v>4178</v>
      </c>
      <c r="C827" s="13">
        <v>5549</v>
      </c>
      <c r="D827" s="2" t="s">
        <v>44</v>
      </c>
      <c r="E827" s="14">
        <v>44781</v>
      </c>
      <c r="F827" s="10" t="s">
        <v>2458</v>
      </c>
      <c r="G827" s="25">
        <v>44786</v>
      </c>
      <c r="H827" s="10" t="s">
        <v>2459</v>
      </c>
      <c r="I827" s="10" t="s">
        <v>2460</v>
      </c>
      <c r="J827" s="15">
        <v>244372.76</v>
      </c>
      <c r="K827" s="15">
        <v>242959.99900000001</v>
      </c>
      <c r="L827" s="15">
        <v>1412.76</v>
      </c>
      <c r="M827" s="15">
        <v>1217.9000000000001</v>
      </c>
      <c r="N827" s="15">
        <v>0</v>
      </c>
      <c r="O827" s="15">
        <v>194.86</v>
      </c>
      <c r="P827" s="2" t="s">
        <v>55</v>
      </c>
      <c r="Q827" s="16"/>
    </row>
    <row r="828" spans="1:17" x14ac:dyDescent="0.3">
      <c r="A828" s="10">
        <v>21733</v>
      </c>
      <c r="B828" s="2" t="s">
        <v>4179</v>
      </c>
      <c r="C828" s="13">
        <v>5537</v>
      </c>
      <c r="D828" s="2" t="s">
        <v>44</v>
      </c>
      <c r="E828" s="14">
        <v>44872</v>
      </c>
      <c r="F828" s="10" t="s">
        <v>817</v>
      </c>
      <c r="G828" s="25">
        <v>44879</v>
      </c>
      <c r="H828" s="10" t="s">
        <v>2461</v>
      </c>
      <c r="I828" s="10" t="s">
        <v>2462</v>
      </c>
      <c r="J828" s="15">
        <v>307840.61</v>
      </c>
      <c r="K828" s="15">
        <v>306418.95319999993</v>
      </c>
      <c r="L828" s="15">
        <v>1421.66</v>
      </c>
      <c r="M828" s="15">
        <v>1225.57</v>
      </c>
      <c r="N828" s="15">
        <v>0</v>
      </c>
      <c r="O828" s="15">
        <v>196.09</v>
      </c>
      <c r="P828" s="2" t="s">
        <v>55</v>
      </c>
      <c r="Q828" s="16"/>
    </row>
    <row r="829" spans="1:17" x14ac:dyDescent="0.3">
      <c r="A829" s="10">
        <v>21733</v>
      </c>
      <c r="B829" s="2" t="s">
        <v>4180</v>
      </c>
      <c r="C829" s="13">
        <v>5557</v>
      </c>
      <c r="D829" s="2" t="s">
        <v>44</v>
      </c>
      <c r="E829" s="14">
        <v>44298</v>
      </c>
      <c r="F829" s="10" t="s">
        <v>2463</v>
      </c>
      <c r="G829" s="25">
        <v>44303</v>
      </c>
      <c r="H829" s="10" t="s">
        <v>2464</v>
      </c>
      <c r="I829" s="10" t="s">
        <v>2465</v>
      </c>
      <c r="J829" s="15">
        <v>477864.46000000008</v>
      </c>
      <c r="K829" s="15">
        <v>476431.77800000005</v>
      </c>
      <c r="L829" s="15">
        <v>1432.68</v>
      </c>
      <c r="M829" s="15">
        <v>1235.07</v>
      </c>
      <c r="N829" s="15">
        <v>0</v>
      </c>
      <c r="O829" s="15">
        <v>197.61</v>
      </c>
      <c r="P829" s="2" t="s">
        <v>55</v>
      </c>
      <c r="Q829" s="16"/>
    </row>
    <row r="830" spans="1:17" x14ac:dyDescent="0.3">
      <c r="A830" s="10">
        <v>21733</v>
      </c>
      <c r="B830" s="2" t="s">
        <v>4181</v>
      </c>
      <c r="C830" s="13">
        <v>5549</v>
      </c>
      <c r="D830" s="2" t="s">
        <v>44</v>
      </c>
      <c r="E830" s="14">
        <v>44662</v>
      </c>
      <c r="F830" s="10" t="s">
        <v>2466</v>
      </c>
      <c r="G830" s="25">
        <v>44674</v>
      </c>
      <c r="H830" s="10" t="s">
        <v>2467</v>
      </c>
      <c r="I830" s="10" t="s">
        <v>2468</v>
      </c>
      <c r="J830" s="15">
        <v>971395.53</v>
      </c>
      <c r="K830" s="15">
        <v>969957.57120000012</v>
      </c>
      <c r="L830" s="15">
        <v>1437.96</v>
      </c>
      <c r="M830" s="15">
        <v>1239.6199999999999</v>
      </c>
      <c r="N830" s="15">
        <v>0</v>
      </c>
      <c r="O830" s="15">
        <v>198.34</v>
      </c>
      <c r="P830" s="2" t="s">
        <v>55</v>
      </c>
      <c r="Q830" s="16"/>
    </row>
    <row r="831" spans="1:17" x14ac:dyDescent="0.3">
      <c r="A831" s="10">
        <v>21733</v>
      </c>
      <c r="B831" s="2" t="s">
        <v>4182</v>
      </c>
      <c r="C831" s="13">
        <v>5537</v>
      </c>
      <c r="D831" s="2" t="s">
        <v>44</v>
      </c>
      <c r="E831" s="14">
        <v>44816</v>
      </c>
      <c r="F831" s="10" t="s">
        <v>2469</v>
      </c>
      <c r="G831" s="25">
        <v>44822</v>
      </c>
      <c r="H831" s="10" t="s">
        <v>2470</v>
      </c>
      <c r="I831" s="10" t="s">
        <v>2471</v>
      </c>
      <c r="J831" s="15">
        <v>941776.2</v>
      </c>
      <c r="K831" s="15">
        <v>940337.5256800002</v>
      </c>
      <c r="L831" s="15">
        <v>1438.67</v>
      </c>
      <c r="M831" s="15">
        <v>1240.24</v>
      </c>
      <c r="N831" s="15">
        <v>0</v>
      </c>
      <c r="O831" s="15">
        <v>198.44</v>
      </c>
      <c r="P831" s="2" t="s">
        <v>55</v>
      </c>
      <c r="Q831" s="16"/>
    </row>
    <row r="832" spans="1:17" x14ac:dyDescent="0.3">
      <c r="A832" s="10">
        <v>21733</v>
      </c>
      <c r="B832" s="2" t="s">
        <v>4183</v>
      </c>
      <c r="C832" s="13">
        <v>5554</v>
      </c>
      <c r="D832" s="2" t="s">
        <v>44</v>
      </c>
      <c r="E832" s="14">
        <v>43878</v>
      </c>
      <c r="F832" s="10" t="s">
        <v>2472</v>
      </c>
      <c r="G832" s="25">
        <v>43882</v>
      </c>
      <c r="H832" s="10" t="s">
        <v>2473</v>
      </c>
      <c r="I832" s="10" t="s">
        <v>2474</v>
      </c>
      <c r="J832" s="15">
        <v>150243.92000000001</v>
      </c>
      <c r="K832" s="15">
        <v>148803.56808</v>
      </c>
      <c r="L832" s="15">
        <v>1440.35</v>
      </c>
      <c r="M832" s="15">
        <v>1241.68</v>
      </c>
      <c r="N832" s="15">
        <v>0</v>
      </c>
      <c r="O832" s="15">
        <v>198.67</v>
      </c>
      <c r="P832" s="2" t="s">
        <v>55</v>
      </c>
      <c r="Q832" s="16"/>
    </row>
    <row r="833" spans="1:17" x14ac:dyDescent="0.3">
      <c r="A833" s="10">
        <v>21733</v>
      </c>
      <c r="B833" s="2" t="s">
        <v>4184</v>
      </c>
      <c r="C833" s="13">
        <v>5537</v>
      </c>
      <c r="D833" s="2" t="s">
        <v>44</v>
      </c>
      <c r="E833" s="14">
        <v>44991</v>
      </c>
      <c r="F833" s="10" t="s">
        <v>2475</v>
      </c>
      <c r="G833" s="25">
        <v>44997</v>
      </c>
      <c r="H833" s="10" t="s">
        <v>2476</v>
      </c>
      <c r="I833" s="10" t="s">
        <v>2477</v>
      </c>
      <c r="J833" s="15">
        <v>994055.53</v>
      </c>
      <c r="K833" s="15">
        <v>992606.44708000007</v>
      </c>
      <c r="L833" s="15">
        <v>1449.08</v>
      </c>
      <c r="M833" s="15">
        <v>1249.21</v>
      </c>
      <c r="N833" s="15">
        <v>0</v>
      </c>
      <c r="O833" s="15">
        <v>199.87</v>
      </c>
      <c r="P833" s="2" t="s">
        <v>55</v>
      </c>
      <c r="Q833" s="16"/>
    </row>
    <row r="834" spans="1:17" x14ac:dyDescent="0.3">
      <c r="A834" s="10">
        <v>21733</v>
      </c>
      <c r="B834" s="2" t="s">
        <v>4185</v>
      </c>
      <c r="C834" s="13">
        <v>5681</v>
      </c>
      <c r="D834" s="2" t="s">
        <v>44</v>
      </c>
      <c r="E834" s="14">
        <v>44362</v>
      </c>
      <c r="F834" s="10" t="s">
        <v>1370</v>
      </c>
      <c r="G834" s="25">
        <v>44378</v>
      </c>
      <c r="H834" s="10" t="s">
        <v>2478</v>
      </c>
      <c r="I834" s="10" t="s">
        <v>2479</v>
      </c>
      <c r="J834" s="15">
        <v>991197.34</v>
      </c>
      <c r="K834" s="15">
        <v>989722.53511999967</v>
      </c>
      <c r="L834" s="15">
        <v>1474.8</v>
      </c>
      <c r="M834" s="15">
        <v>1271.3800000000001</v>
      </c>
      <c r="N834" s="15">
        <v>0</v>
      </c>
      <c r="O834" s="15">
        <v>203.42</v>
      </c>
      <c r="P834" s="2" t="s">
        <v>55</v>
      </c>
      <c r="Q834" s="16"/>
    </row>
    <row r="835" spans="1:17" x14ac:dyDescent="0.3">
      <c r="A835" s="10">
        <v>21733</v>
      </c>
      <c r="B835" s="2" t="s">
        <v>4186</v>
      </c>
      <c r="C835" s="13">
        <v>5548</v>
      </c>
      <c r="D835" s="2" t="s">
        <v>44</v>
      </c>
      <c r="E835" s="14">
        <v>44396</v>
      </c>
      <c r="F835" s="10" t="s">
        <v>2480</v>
      </c>
      <c r="G835" s="25">
        <v>44400</v>
      </c>
      <c r="H835" s="10" t="s">
        <v>2481</v>
      </c>
      <c r="I835" s="10" t="s">
        <v>2482</v>
      </c>
      <c r="J835" s="15">
        <v>1368563.13</v>
      </c>
      <c r="K835" s="15">
        <v>1367071.1870400002</v>
      </c>
      <c r="L835" s="15">
        <v>1491.94</v>
      </c>
      <c r="M835" s="15">
        <v>1286.1600000000001</v>
      </c>
      <c r="N835" s="15">
        <v>0</v>
      </c>
      <c r="O835" s="15">
        <v>205.79</v>
      </c>
      <c r="P835" s="2" t="s">
        <v>55</v>
      </c>
      <c r="Q835" s="16"/>
    </row>
    <row r="836" spans="1:17" x14ac:dyDescent="0.3">
      <c r="A836" s="10">
        <v>21733</v>
      </c>
      <c r="B836" s="2" t="s">
        <v>4187</v>
      </c>
      <c r="C836" s="13">
        <v>5548</v>
      </c>
      <c r="D836" s="2" t="s">
        <v>44</v>
      </c>
      <c r="E836" s="14">
        <v>44473</v>
      </c>
      <c r="F836" s="10" t="s">
        <v>2483</v>
      </c>
      <c r="G836" s="25">
        <v>44478</v>
      </c>
      <c r="H836" s="10" t="s">
        <v>2484</v>
      </c>
      <c r="I836" s="10" t="s">
        <v>2485</v>
      </c>
      <c r="J836" s="15">
        <v>386931.47</v>
      </c>
      <c r="K836" s="15">
        <v>385439.32247999997</v>
      </c>
      <c r="L836" s="15">
        <v>1492.15</v>
      </c>
      <c r="M836" s="15">
        <v>1286.33</v>
      </c>
      <c r="N836" s="15">
        <v>0</v>
      </c>
      <c r="O836" s="15">
        <v>205.81</v>
      </c>
      <c r="P836" s="2" t="s">
        <v>55</v>
      </c>
      <c r="Q836" s="16"/>
    </row>
    <row r="837" spans="1:17" x14ac:dyDescent="0.3">
      <c r="A837" s="10">
        <v>21733</v>
      </c>
      <c r="B837" s="2" t="s">
        <v>4188</v>
      </c>
      <c r="C837" s="13">
        <v>5549</v>
      </c>
      <c r="D837" s="2" t="s">
        <v>44</v>
      </c>
      <c r="E837" s="14">
        <v>45019</v>
      </c>
      <c r="F837" s="10" t="s">
        <v>944</v>
      </c>
      <c r="G837" s="25">
        <v>45030</v>
      </c>
      <c r="H837" s="10" t="s">
        <v>2486</v>
      </c>
      <c r="I837" s="10" t="s">
        <v>2487</v>
      </c>
      <c r="J837" s="15">
        <v>1005418.59</v>
      </c>
      <c r="K837" s="15">
        <v>1003924.5230000003</v>
      </c>
      <c r="L837" s="15">
        <v>1494.07</v>
      </c>
      <c r="M837" s="15">
        <v>1287.99</v>
      </c>
      <c r="N837" s="15">
        <v>0</v>
      </c>
      <c r="O837" s="15">
        <v>206.08</v>
      </c>
      <c r="P837" s="2" t="s">
        <v>55</v>
      </c>
      <c r="Q837" s="16"/>
    </row>
    <row r="838" spans="1:17" x14ac:dyDescent="0.3">
      <c r="A838" s="10">
        <v>21733</v>
      </c>
      <c r="B838" s="2" t="s">
        <v>4189</v>
      </c>
      <c r="C838" s="13">
        <v>5681</v>
      </c>
      <c r="D838" s="2" t="s">
        <v>44</v>
      </c>
      <c r="E838" s="14">
        <v>44459</v>
      </c>
      <c r="F838" s="10" t="s">
        <v>2488</v>
      </c>
      <c r="G838" s="25">
        <v>44464</v>
      </c>
      <c r="H838" s="10" t="s">
        <v>2489</v>
      </c>
      <c r="I838" s="10" t="s">
        <v>2490</v>
      </c>
      <c r="J838" s="15">
        <v>822202.68</v>
      </c>
      <c r="K838" s="15">
        <v>820700.08931999991</v>
      </c>
      <c r="L838" s="15">
        <v>1502.59</v>
      </c>
      <c r="M838" s="15">
        <v>1295.3399999999999</v>
      </c>
      <c r="N838" s="15">
        <v>0</v>
      </c>
      <c r="O838" s="15">
        <v>207.25</v>
      </c>
      <c r="P838" s="2" t="s">
        <v>55</v>
      </c>
      <c r="Q838" s="16"/>
    </row>
    <row r="839" spans="1:17" x14ac:dyDescent="0.3">
      <c r="A839" s="10">
        <v>21733</v>
      </c>
      <c r="B839" s="2" t="s">
        <v>4190</v>
      </c>
      <c r="C839" s="13">
        <v>5556</v>
      </c>
      <c r="D839" s="2" t="s">
        <v>44</v>
      </c>
      <c r="E839" s="14">
        <v>44944</v>
      </c>
      <c r="F839" s="10" t="s">
        <v>2491</v>
      </c>
      <c r="G839" s="25">
        <v>44950</v>
      </c>
      <c r="H839" s="10" t="s">
        <v>2492</v>
      </c>
      <c r="I839" s="10" t="s">
        <v>2493</v>
      </c>
      <c r="J839" s="15">
        <v>561193.6</v>
      </c>
      <c r="K839" s="15">
        <v>559690.45203999989</v>
      </c>
      <c r="L839" s="15">
        <v>1503.15</v>
      </c>
      <c r="M839" s="15">
        <v>1295.82</v>
      </c>
      <c r="N839" s="15">
        <v>0</v>
      </c>
      <c r="O839" s="15">
        <v>207.33</v>
      </c>
      <c r="P839" s="2" t="s">
        <v>55</v>
      </c>
      <c r="Q839" s="16"/>
    </row>
    <row r="840" spans="1:17" x14ac:dyDescent="0.3">
      <c r="A840" s="10">
        <v>21733</v>
      </c>
      <c r="B840" s="2" t="s">
        <v>4191</v>
      </c>
      <c r="C840" s="13">
        <v>5549</v>
      </c>
      <c r="D840" s="2" t="s">
        <v>44</v>
      </c>
      <c r="E840" s="14">
        <v>44641</v>
      </c>
      <c r="F840" s="10" t="s">
        <v>1004</v>
      </c>
      <c r="G840" s="25">
        <v>44645</v>
      </c>
      <c r="H840" s="10" t="s">
        <v>2494</v>
      </c>
      <c r="I840" s="10" t="s">
        <v>2495</v>
      </c>
      <c r="J840" s="15">
        <v>927294.96</v>
      </c>
      <c r="K840" s="15">
        <v>925783.53927999991</v>
      </c>
      <c r="L840" s="15">
        <v>1511.42</v>
      </c>
      <c r="M840" s="15">
        <v>1302.95</v>
      </c>
      <c r="N840" s="15">
        <v>0</v>
      </c>
      <c r="O840" s="15">
        <v>208.47</v>
      </c>
      <c r="P840" s="2" t="s">
        <v>55</v>
      </c>
      <c r="Q840" s="16"/>
    </row>
    <row r="841" spans="1:17" x14ac:dyDescent="0.3">
      <c r="A841" s="10">
        <v>21733</v>
      </c>
      <c r="B841" s="2" t="s">
        <v>4192</v>
      </c>
      <c r="C841" s="13">
        <v>5681</v>
      </c>
      <c r="D841" s="2" t="s">
        <v>44</v>
      </c>
      <c r="E841" s="14">
        <v>44480</v>
      </c>
      <c r="F841" s="10" t="s">
        <v>2496</v>
      </c>
      <c r="G841" s="25">
        <v>44485</v>
      </c>
      <c r="H841" s="10" t="s">
        <v>2497</v>
      </c>
      <c r="I841" s="10" t="s">
        <v>2498</v>
      </c>
      <c r="J841" s="15">
        <v>1019297.19</v>
      </c>
      <c r="K841" s="15">
        <v>1017781.2670400002</v>
      </c>
      <c r="L841" s="15">
        <v>1515.92</v>
      </c>
      <c r="M841" s="15">
        <v>1306.83</v>
      </c>
      <c r="N841" s="15">
        <v>0</v>
      </c>
      <c r="O841" s="15">
        <v>209.09</v>
      </c>
      <c r="P841" s="2" t="s">
        <v>55</v>
      </c>
      <c r="Q841" s="16"/>
    </row>
    <row r="842" spans="1:17" x14ac:dyDescent="0.3">
      <c r="A842" s="10">
        <v>21733</v>
      </c>
      <c r="B842" s="2" t="s">
        <v>4193</v>
      </c>
      <c r="C842" s="13">
        <v>5556</v>
      </c>
      <c r="D842" s="2" t="s">
        <v>44</v>
      </c>
      <c r="E842" s="14">
        <v>44538</v>
      </c>
      <c r="F842" s="10" t="s">
        <v>2499</v>
      </c>
      <c r="G842" s="25">
        <v>44544</v>
      </c>
      <c r="H842" s="10" t="s">
        <v>2500</v>
      </c>
      <c r="I842" s="10" t="s">
        <v>2501</v>
      </c>
      <c r="J842" s="15">
        <v>179341.04</v>
      </c>
      <c r="K842" s="15">
        <v>177820.88339999999</v>
      </c>
      <c r="L842" s="15">
        <v>1520.16</v>
      </c>
      <c r="M842" s="15">
        <v>1310.48</v>
      </c>
      <c r="N842" s="15">
        <v>0</v>
      </c>
      <c r="O842" s="15">
        <v>209.68</v>
      </c>
      <c r="P842" s="2" t="s">
        <v>55</v>
      </c>
      <c r="Q842" s="16"/>
    </row>
    <row r="843" spans="1:17" x14ac:dyDescent="0.3">
      <c r="A843" s="10">
        <v>21733</v>
      </c>
      <c r="B843" s="2" t="s">
        <v>4194</v>
      </c>
      <c r="C843" s="13">
        <v>5537</v>
      </c>
      <c r="D843" s="2" t="s">
        <v>44</v>
      </c>
      <c r="E843" s="14">
        <v>44508</v>
      </c>
      <c r="F843" s="10" t="s">
        <v>2502</v>
      </c>
      <c r="G843" s="25">
        <v>44512</v>
      </c>
      <c r="H843" s="10" t="s">
        <v>2503</v>
      </c>
      <c r="I843" s="10" t="s">
        <v>2504</v>
      </c>
      <c r="J843" s="15">
        <v>340245.47</v>
      </c>
      <c r="K843" s="15">
        <v>338722.5798399999</v>
      </c>
      <c r="L843" s="15">
        <v>1522.89</v>
      </c>
      <c r="M843" s="15">
        <v>1312.84</v>
      </c>
      <c r="N843" s="15">
        <v>0</v>
      </c>
      <c r="O843" s="15">
        <v>210.05</v>
      </c>
      <c r="P843" s="2" t="s">
        <v>55</v>
      </c>
      <c r="Q843" s="16"/>
    </row>
    <row r="844" spans="1:17" x14ac:dyDescent="0.3">
      <c r="A844" s="10">
        <v>21733</v>
      </c>
      <c r="B844" s="2" t="s">
        <v>4195</v>
      </c>
      <c r="C844" s="13">
        <v>5681</v>
      </c>
      <c r="D844" s="2" t="s">
        <v>44</v>
      </c>
      <c r="E844" s="14">
        <v>44403</v>
      </c>
      <c r="F844" s="10" t="s">
        <v>2505</v>
      </c>
      <c r="G844" s="25">
        <v>44408</v>
      </c>
      <c r="H844" s="10" t="s">
        <v>2506</v>
      </c>
      <c r="I844" s="10" t="s">
        <v>2507</v>
      </c>
      <c r="J844" s="15">
        <v>146367.26</v>
      </c>
      <c r="K844" s="15">
        <v>144821.84951999999</v>
      </c>
      <c r="L844" s="15">
        <v>1545.41</v>
      </c>
      <c r="M844" s="15">
        <v>1332.25</v>
      </c>
      <c r="N844" s="15">
        <v>0</v>
      </c>
      <c r="O844" s="15">
        <v>213.16</v>
      </c>
      <c r="P844" s="2" t="s">
        <v>55</v>
      </c>
      <c r="Q844" s="16"/>
    </row>
    <row r="845" spans="1:17" x14ac:dyDescent="0.3">
      <c r="A845" s="10">
        <v>21733</v>
      </c>
      <c r="B845" s="2" t="s">
        <v>4196</v>
      </c>
      <c r="C845" s="13">
        <v>5557</v>
      </c>
      <c r="D845" s="2" t="s">
        <v>44</v>
      </c>
      <c r="E845" s="14">
        <v>44620</v>
      </c>
      <c r="F845" s="10" t="s">
        <v>905</v>
      </c>
      <c r="G845" s="25">
        <v>44624</v>
      </c>
      <c r="H845" s="10" t="s">
        <v>2508</v>
      </c>
      <c r="I845" s="10" t="s">
        <v>2509</v>
      </c>
      <c r="J845" s="15">
        <v>867483.88</v>
      </c>
      <c r="K845" s="15">
        <v>865929.04727999982</v>
      </c>
      <c r="L845" s="15">
        <v>1554.83</v>
      </c>
      <c r="M845" s="15">
        <v>1340.37</v>
      </c>
      <c r="N845" s="15">
        <v>0</v>
      </c>
      <c r="O845" s="15">
        <v>214.46</v>
      </c>
      <c r="P845" s="2" t="s">
        <v>55</v>
      </c>
      <c r="Q845" s="16"/>
    </row>
    <row r="846" spans="1:17" x14ac:dyDescent="0.3">
      <c r="A846" s="10">
        <v>21733</v>
      </c>
      <c r="B846" s="2" t="s">
        <v>4197</v>
      </c>
      <c r="C846" s="13">
        <v>5548</v>
      </c>
      <c r="D846" s="2" t="s">
        <v>44</v>
      </c>
      <c r="E846" s="14">
        <v>44914</v>
      </c>
      <c r="F846" s="10" t="s">
        <v>2510</v>
      </c>
      <c r="G846" s="25">
        <v>44929</v>
      </c>
      <c r="H846" s="10" t="s">
        <v>2511</v>
      </c>
      <c r="I846" s="10" t="s">
        <v>2512</v>
      </c>
      <c r="J846" s="15">
        <v>1233055.97</v>
      </c>
      <c r="K846" s="15">
        <v>1231498.7343999997</v>
      </c>
      <c r="L846" s="15">
        <v>1557.24</v>
      </c>
      <c r="M846" s="15">
        <v>1342.44</v>
      </c>
      <c r="N846" s="15">
        <v>0</v>
      </c>
      <c r="O846" s="15">
        <v>214.79</v>
      </c>
      <c r="P846" s="2" t="s">
        <v>55</v>
      </c>
      <c r="Q846" s="16"/>
    </row>
    <row r="847" spans="1:17" x14ac:dyDescent="0.3">
      <c r="A847" s="10">
        <v>21733</v>
      </c>
      <c r="B847" s="2" t="s">
        <v>4198</v>
      </c>
      <c r="C847" s="13">
        <v>5548</v>
      </c>
      <c r="D847" s="2" t="s">
        <v>44</v>
      </c>
      <c r="E847" s="14">
        <v>44515</v>
      </c>
      <c r="F847" s="10" t="s">
        <v>2513</v>
      </c>
      <c r="G847" s="25">
        <v>44519</v>
      </c>
      <c r="H847" s="10" t="s">
        <v>2514</v>
      </c>
      <c r="I847" s="10" t="s">
        <v>2515</v>
      </c>
      <c r="J847" s="15">
        <v>428011.28</v>
      </c>
      <c r="K847" s="15">
        <v>426444.02096000005</v>
      </c>
      <c r="L847" s="15">
        <v>1567.26</v>
      </c>
      <c r="M847" s="15">
        <v>1351.09</v>
      </c>
      <c r="N847" s="15">
        <v>0</v>
      </c>
      <c r="O847" s="15">
        <v>216.17</v>
      </c>
      <c r="P847" s="2" t="s">
        <v>55</v>
      </c>
      <c r="Q847" s="16"/>
    </row>
    <row r="848" spans="1:17" x14ac:dyDescent="0.3">
      <c r="A848" s="10">
        <v>21733</v>
      </c>
      <c r="B848" s="2" t="s">
        <v>4199</v>
      </c>
      <c r="C848" s="13">
        <v>5681</v>
      </c>
      <c r="D848" s="2" t="s">
        <v>44</v>
      </c>
      <c r="E848" s="14">
        <v>44970</v>
      </c>
      <c r="F848" s="10" t="s">
        <v>802</v>
      </c>
      <c r="G848" s="25">
        <v>44977</v>
      </c>
      <c r="H848" s="10" t="s">
        <v>2516</v>
      </c>
      <c r="I848" s="10" t="s">
        <v>2517</v>
      </c>
      <c r="J848" s="15">
        <v>792358.52</v>
      </c>
      <c r="K848" s="15">
        <v>790784.13360000006</v>
      </c>
      <c r="L848" s="15">
        <v>1574.39</v>
      </c>
      <c r="M848" s="15">
        <v>1357.23</v>
      </c>
      <c r="N848" s="15">
        <v>0</v>
      </c>
      <c r="O848" s="15">
        <v>217.16</v>
      </c>
      <c r="P848" s="2" t="s">
        <v>55</v>
      </c>
      <c r="Q848" s="16"/>
    </row>
    <row r="849" spans="1:17" x14ac:dyDescent="0.3">
      <c r="A849" s="10">
        <v>21733</v>
      </c>
      <c r="B849" s="2" t="s">
        <v>4200</v>
      </c>
      <c r="C849" s="13">
        <v>5548</v>
      </c>
      <c r="D849" s="2" t="s">
        <v>44</v>
      </c>
      <c r="E849" s="14">
        <v>44508</v>
      </c>
      <c r="F849" s="10" t="s">
        <v>2518</v>
      </c>
      <c r="G849" s="25">
        <v>44512</v>
      </c>
      <c r="H849" s="10" t="s">
        <v>2519</v>
      </c>
      <c r="I849" s="10" t="s">
        <v>2520</v>
      </c>
      <c r="J849" s="15">
        <v>211618.52</v>
      </c>
      <c r="K849" s="15">
        <v>210013.50963999997</v>
      </c>
      <c r="L849" s="15">
        <v>1605.01</v>
      </c>
      <c r="M849" s="15">
        <v>1383.63</v>
      </c>
      <c r="N849" s="15">
        <v>0</v>
      </c>
      <c r="O849" s="15">
        <v>221.38</v>
      </c>
      <c r="P849" s="2" t="s">
        <v>55</v>
      </c>
      <c r="Q849" s="16"/>
    </row>
    <row r="850" spans="1:17" x14ac:dyDescent="0.3">
      <c r="A850" s="10">
        <v>21733</v>
      </c>
      <c r="B850" s="2" t="s">
        <v>4201</v>
      </c>
      <c r="C850" s="13">
        <v>5537</v>
      </c>
      <c r="D850" s="2" t="s">
        <v>44</v>
      </c>
      <c r="E850" s="14">
        <v>44868</v>
      </c>
      <c r="F850" s="10" t="s">
        <v>2521</v>
      </c>
      <c r="G850" s="25">
        <v>44879</v>
      </c>
      <c r="H850" s="10" t="s">
        <v>2522</v>
      </c>
      <c r="I850" s="10" t="s">
        <v>2523</v>
      </c>
      <c r="J850" s="15">
        <v>191596.32</v>
      </c>
      <c r="K850" s="15">
        <v>189987.66288000005</v>
      </c>
      <c r="L850" s="15">
        <v>1608.66</v>
      </c>
      <c r="M850" s="15">
        <v>1386.77</v>
      </c>
      <c r="N850" s="15">
        <v>0</v>
      </c>
      <c r="O850" s="15">
        <v>221.88</v>
      </c>
      <c r="P850" s="2" t="s">
        <v>55</v>
      </c>
      <c r="Q850" s="16"/>
    </row>
    <row r="851" spans="1:17" x14ac:dyDescent="0.3">
      <c r="A851" s="10">
        <v>21733</v>
      </c>
      <c r="B851" s="2" t="s">
        <v>4202</v>
      </c>
      <c r="C851" s="13">
        <v>5681</v>
      </c>
      <c r="D851" s="2" t="s">
        <v>44</v>
      </c>
      <c r="E851" s="14">
        <v>44361</v>
      </c>
      <c r="F851" s="10" t="s">
        <v>2524</v>
      </c>
      <c r="G851" s="25">
        <v>44366</v>
      </c>
      <c r="H851" s="10" t="s">
        <v>2525</v>
      </c>
      <c r="I851" s="10" t="s">
        <v>2526</v>
      </c>
      <c r="J851" s="15">
        <v>865793.33</v>
      </c>
      <c r="K851" s="15">
        <v>864176.52507999993</v>
      </c>
      <c r="L851" s="15">
        <v>1616.8</v>
      </c>
      <c r="M851" s="15">
        <v>1393.8</v>
      </c>
      <c r="N851" s="15">
        <v>0</v>
      </c>
      <c r="O851" s="15">
        <v>223.01</v>
      </c>
      <c r="P851" s="2" t="s">
        <v>55</v>
      </c>
      <c r="Q851" s="16"/>
    </row>
    <row r="852" spans="1:17" x14ac:dyDescent="0.3">
      <c r="A852" s="10">
        <v>21733</v>
      </c>
      <c r="B852" s="2" t="s">
        <v>4203</v>
      </c>
      <c r="C852" s="13">
        <v>5537</v>
      </c>
      <c r="D852" s="2" t="s">
        <v>44</v>
      </c>
      <c r="E852" s="14">
        <v>44767</v>
      </c>
      <c r="F852" s="10" t="s">
        <v>2527</v>
      </c>
      <c r="G852" s="25">
        <v>44773</v>
      </c>
      <c r="H852" s="10" t="s">
        <v>2528</v>
      </c>
      <c r="I852" s="10" t="s">
        <v>2529</v>
      </c>
      <c r="J852" s="15">
        <v>316964.67</v>
      </c>
      <c r="K852" s="15">
        <v>315345.56615999993</v>
      </c>
      <c r="L852" s="15">
        <v>1619.1</v>
      </c>
      <c r="M852" s="15">
        <v>1395.78</v>
      </c>
      <c r="N852" s="15">
        <v>0</v>
      </c>
      <c r="O852" s="15">
        <v>223.32</v>
      </c>
      <c r="P852" s="2" t="s">
        <v>55</v>
      </c>
      <c r="Q852" s="16"/>
    </row>
    <row r="853" spans="1:17" x14ac:dyDescent="0.3">
      <c r="A853" s="10">
        <v>21733</v>
      </c>
      <c r="B853" s="2" t="s">
        <v>4204</v>
      </c>
      <c r="C853" s="13">
        <v>5549</v>
      </c>
      <c r="D853" s="2" t="s">
        <v>44</v>
      </c>
      <c r="E853" s="14">
        <v>44382</v>
      </c>
      <c r="F853" s="10" t="s">
        <v>2530</v>
      </c>
      <c r="G853" s="25">
        <v>44388</v>
      </c>
      <c r="H853" s="10" t="s">
        <v>2531</v>
      </c>
      <c r="I853" s="10" t="s">
        <v>2532</v>
      </c>
      <c r="J853" s="15">
        <v>484408.5</v>
      </c>
      <c r="K853" s="15">
        <v>482788.22767999972</v>
      </c>
      <c r="L853" s="15">
        <v>1620.27</v>
      </c>
      <c r="M853" s="15">
        <v>1396.79</v>
      </c>
      <c r="N853" s="15">
        <v>0</v>
      </c>
      <c r="O853" s="15">
        <v>223.49</v>
      </c>
      <c r="P853" s="2" t="s">
        <v>55</v>
      </c>
      <c r="Q853" s="16"/>
    </row>
    <row r="854" spans="1:17" x14ac:dyDescent="0.3">
      <c r="A854" s="10">
        <v>21733</v>
      </c>
      <c r="B854" s="2" t="s">
        <v>4205</v>
      </c>
      <c r="C854" s="13">
        <v>5549</v>
      </c>
      <c r="D854" s="2" t="s">
        <v>44</v>
      </c>
      <c r="E854" s="14">
        <v>44963</v>
      </c>
      <c r="F854" s="10" t="s">
        <v>89</v>
      </c>
      <c r="G854" s="25">
        <v>44968</v>
      </c>
      <c r="H854" s="10" t="s">
        <v>2533</v>
      </c>
      <c r="I854" s="10" t="s">
        <v>2534</v>
      </c>
      <c r="J854" s="15">
        <v>1098769.76</v>
      </c>
      <c r="K854" s="15">
        <v>1097138.17552</v>
      </c>
      <c r="L854" s="15">
        <v>1631.58</v>
      </c>
      <c r="M854" s="15">
        <v>1406.54</v>
      </c>
      <c r="N854" s="15">
        <v>0</v>
      </c>
      <c r="O854" s="15">
        <v>225.05</v>
      </c>
      <c r="P854" s="2" t="s">
        <v>55</v>
      </c>
      <c r="Q854" s="16"/>
    </row>
    <row r="855" spans="1:17" x14ac:dyDescent="0.3">
      <c r="A855" s="10">
        <v>21733</v>
      </c>
      <c r="B855" s="2" t="s">
        <v>4206</v>
      </c>
      <c r="C855" s="13">
        <v>5681</v>
      </c>
      <c r="D855" s="2" t="s">
        <v>44</v>
      </c>
      <c r="E855" s="14">
        <v>44362</v>
      </c>
      <c r="F855" s="10" t="s">
        <v>1370</v>
      </c>
      <c r="G855" s="25">
        <v>44372</v>
      </c>
      <c r="H855" s="10" t="s">
        <v>2535</v>
      </c>
      <c r="I855" s="10" t="s">
        <v>2536</v>
      </c>
      <c r="J855" s="15">
        <v>913647.27</v>
      </c>
      <c r="K855" s="15">
        <v>912011.14928000001</v>
      </c>
      <c r="L855" s="15">
        <v>1636.12</v>
      </c>
      <c r="M855" s="15">
        <v>1410.45</v>
      </c>
      <c r="N855" s="15">
        <v>0</v>
      </c>
      <c r="O855" s="15">
        <v>225.67</v>
      </c>
      <c r="P855" s="2" t="s">
        <v>55</v>
      </c>
      <c r="Q855" s="16"/>
    </row>
    <row r="856" spans="1:17" x14ac:dyDescent="0.3">
      <c r="A856" s="10">
        <v>21733</v>
      </c>
      <c r="B856" s="2" t="s">
        <v>4207</v>
      </c>
      <c r="C856" s="13">
        <v>5537</v>
      </c>
      <c r="D856" s="2" t="s">
        <v>44</v>
      </c>
      <c r="E856" s="14">
        <v>44571</v>
      </c>
      <c r="F856" s="10" t="s">
        <v>2537</v>
      </c>
      <c r="G856" s="25">
        <v>44575</v>
      </c>
      <c r="H856" s="10" t="s">
        <v>2538</v>
      </c>
      <c r="I856" s="10" t="s">
        <v>2539</v>
      </c>
      <c r="J856" s="15">
        <v>428194.53</v>
      </c>
      <c r="K856" s="15">
        <v>426557.30076000001</v>
      </c>
      <c r="L856" s="15">
        <v>1637.23</v>
      </c>
      <c r="M856" s="15">
        <v>1411.4</v>
      </c>
      <c r="N856" s="15">
        <v>0</v>
      </c>
      <c r="O856" s="15">
        <v>225.82</v>
      </c>
      <c r="P856" s="2" t="s">
        <v>55</v>
      </c>
      <c r="Q856" s="16"/>
    </row>
    <row r="857" spans="1:17" x14ac:dyDescent="0.3">
      <c r="A857" s="10">
        <v>21733</v>
      </c>
      <c r="B857" s="2" t="s">
        <v>4208</v>
      </c>
      <c r="C857" s="13">
        <v>5537</v>
      </c>
      <c r="D857" s="2" t="s">
        <v>44</v>
      </c>
      <c r="E857" s="14">
        <v>44662</v>
      </c>
      <c r="F857" s="10" t="s">
        <v>2540</v>
      </c>
      <c r="G857" s="25">
        <v>44666</v>
      </c>
      <c r="H857" s="10" t="s">
        <v>2541</v>
      </c>
      <c r="I857" s="10" t="s">
        <v>2542</v>
      </c>
      <c r="J857" s="15">
        <v>420251.16</v>
      </c>
      <c r="K857" s="15">
        <v>418612.98275999998</v>
      </c>
      <c r="L857" s="15">
        <v>1638.18</v>
      </c>
      <c r="M857" s="15">
        <v>1412.22</v>
      </c>
      <c r="N857" s="15">
        <v>0</v>
      </c>
      <c r="O857" s="15">
        <v>225.96</v>
      </c>
      <c r="P857" s="2" t="s">
        <v>55</v>
      </c>
      <c r="Q857" s="16"/>
    </row>
    <row r="858" spans="1:17" x14ac:dyDescent="0.3">
      <c r="A858" s="10">
        <v>21733</v>
      </c>
      <c r="B858" s="2" t="s">
        <v>4209</v>
      </c>
      <c r="C858" s="13">
        <v>5548</v>
      </c>
      <c r="D858" s="2" t="s">
        <v>44</v>
      </c>
      <c r="E858" s="14">
        <v>44537</v>
      </c>
      <c r="F858" s="10" t="s">
        <v>1343</v>
      </c>
      <c r="G858" s="25">
        <v>44544</v>
      </c>
      <c r="H858" s="10" t="s">
        <v>2543</v>
      </c>
      <c r="I858" s="10" t="s">
        <v>2544</v>
      </c>
      <c r="J858" s="15">
        <v>963844.69</v>
      </c>
      <c r="K858" s="15">
        <v>962203.49552000011</v>
      </c>
      <c r="L858" s="15">
        <v>1641.19</v>
      </c>
      <c r="M858" s="15">
        <v>1414.82</v>
      </c>
      <c r="N858" s="15">
        <v>0</v>
      </c>
      <c r="O858" s="15">
        <v>226.37</v>
      </c>
      <c r="P858" s="2" t="s">
        <v>55</v>
      </c>
      <c r="Q858" s="16"/>
    </row>
    <row r="859" spans="1:17" x14ac:dyDescent="0.3">
      <c r="A859" s="10">
        <v>21733</v>
      </c>
      <c r="B859" s="2" t="s">
        <v>4210</v>
      </c>
      <c r="C859" s="13">
        <v>5556</v>
      </c>
      <c r="D859" s="2" t="s">
        <v>44</v>
      </c>
      <c r="E859" s="14">
        <v>44965</v>
      </c>
      <c r="F859" s="10" t="s">
        <v>1663</v>
      </c>
      <c r="G859" s="25">
        <v>44973</v>
      </c>
      <c r="H859" s="10" t="s">
        <v>2545</v>
      </c>
      <c r="I859" s="10" t="s">
        <v>2546</v>
      </c>
      <c r="J859" s="15">
        <v>496163.17</v>
      </c>
      <c r="K859" s="15">
        <v>494514.90780000004</v>
      </c>
      <c r="L859" s="15">
        <v>1648.26</v>
      </c>
      <c r="M859" s="15">
        <v>1420.92</v>
      </c>
      <c r="N859" s="15">
        <v>0</v>
      </c>
      <c r="O859" s="15">
        <v>227.35</v>
      </c>
      <c r="P859" s="2" t="s">
        <v>55</v>
      </c>
      <c r="Q859" s="16"/>
    </row>
    <row r="860" spans="1:17" x14ac:dyDescent="0.3">
      <c r="A860" s="10">
        <v>21733</v>
      </c>
      <c r="B860" s="2" t="s">
        <v>4211</v>
      </c>
      <c r="C860" s="13">
        <v>5548</v>
      </c>
      <c r="D860" s="2" t="s">
        <v>44</v>
      </c>
      <c r="E860" s="14">
        <v>44516</v>
      </c>
      <c r="F860" s="10" t="s">
        <v>2547</v>
      </c>
      <c r="G860" s="25">
        <v>44528</v>
      </c>
      <c r="H860" s="10" t="s">
        <v>2548</v>
      </c>
      <c r="I860" s="10" t="s">
        <v>2549</v>
      </c>
      <c r="J860" s="15">
        <v>325713.24</v>
      </c>
      <c r="K860" s="15">
        <v>324060.67864000011</v>
      </c>
      <c r="L860" s="15">
        <v>1652.56</v>
      </c>
      <c r="M860" s="15">
        <v>1424.62</v>
      </c>
      <c r="N860" s="15">
        <v>0</v>
      </c>
      <c r="O860" s="15">
        <v>227.94</v>
      </c>
      <c r="P860" s="2" t="s">
        <v>55</v>
      </c>
      <c r="Q860" s="16"/>
    </row>
    <row r="861" spans="1:17" x14ac:dyDescent="0.3">
      <c r="A861" s="10">
        <v>21733</v>
      </c>
      <c r="B861" s="2" t="s">
        <v>4212</v>
      </c>
      <c r="C861" s="13">
        <v>5681</v>
      </c>
      <c r="D861" s="2" t="s">
        <v>44</v>
      </c>
      <c r="E861" s="14">
        <v>45019</v>
      </c>
      <c r="F861" s="10" t="s">
        <v>2550</v>
      </c>
      <c r="G861" s="25">
        <v>45028</v>
      </c>
      <c r="H861" s="10" t="s">
        <v>2551</v>
      </c>
      <c r="I861" s="10" t="s">
        <v>2552</v>
      </c>
      <c r="J861" s="15">
        <v>836721.42</v>
      </c>
      <c r="K861" s="15">
        <v>835068.37248000049</v>
      </c>
      <c r="L861" s="15">
        <v>1653.05</v>
      </c>
      <c r="M861" s="15">
        <v>1425.04</v>
      </c>
      <c r="N861" s="15">
        <v>0</v>
      </c>
      <c r="O861" s="15">
        <v>228.01</v>
      </c>
      <c r="P861" s="2" t="s">
        <v>55</v>
      </c>
      <c r="Q861" s="16"/>
    </row>
    <row r="862" spans="1:17" x14ac:dyDescent="0.3">
      <c r="A862" s="10">
        <v>21733</v>
      </c>
      <c r="B862" s="2" t="s">
        <v>4213</v>
      </c>
      <c r="C862" s="13">
        <v>5557</v>
      </c>
      <c r="D862" s="2" t="s">
        <v>44</v>
      </c>
      <c r="E862" s="14">
        <v>44900</v>
      </c>
      <c r="F862" s="10" t="s">
        <v>2553</v>
      </c>
      <c r="G862" s="25">
        <v>44905</v>
      </c>
      <c r="H862" s="10" t="s">
        <v>2554</v>
      </c>
      <c r="I862" s="10" t="s">
        <v>2555</v>
      </c>
      <c r="J862" s="15">
        <v>825368.45</v>
      </c>
      <c r="K862" s="15">
        <v>823707.95540000021</v>
      </c>
      <c r="L862" s="15">
        <v>1660.49</v>
      </c>
      <c r="M862" s="15">
        <v>1431.46</v>
      </c>
      <c r="N862" s="15">
        <v>0</v>
      </c>
      <c r="O862" s="15">
        <v>229.03</v>
      </c>
      <c r="P862" s="2" t="s">
        <v>55</v>
      </c>
      <c r="Q862" s="16"/>
    </row>
    <row r="863" spans="1:17" x14ac:dyDescent="0.3">
      <c r="A863" s="10">
        <v>21733</v>
      </c>
      <c r="B863" s="2" t="s">
        <v>4214</v>
      </c>
      <c r="C863" s="13">
        <v>5537</v>
      </c>
      <c r="D863" s="2" t="s">
        <v>44</v>
      </c>
      <c r="E863" s="14">
        <v>44760</v>
      </c>
      <c r="F863" s="10" t="s">
        <v>2556</v>
      </c>
      <c r="G863" s="25">
        <v>44764</v>
      </c>
      <c r="H863" s="10" t="s">
        <v>2557</v>
      </c>
      <c r="I863" s="10" t="s">
        <v>2558</v>
      </c>
      <c r="J863" s="15">
        <v>664590.55000000005</v>
      </c>
      <c r="K863" s="15">
        <v>662929.56928000017</v>
      </c>
      <c r="L863" s="15">
        <v>1660.98</v>
      </c>
      <c r="M863" s="15">
        <v>1431.88</v>
      </c>
      <c r="N863" s="15">
        <v>0</v>
      </c>
      <c r="O863" s="15">
        <v>229.1</v>
      </c>
      <c r="P863" s="2" t="s">
        <v>55</v>
      </c>
      <c r="Q863" s="16"/>
    </row>
    <row r="864" spans="1:17" x14ac:dyDescent="0.3">
      <c r="A864" s="10">
        <v>21733</v>
      </c>
      <c r="B864" s="2" t="s">
        <v>4215</v>
      </c>
      <c r="C864" s="13">
        <v>5537</v>
      </c>
      <c r="D864" s="2" t="s">
        <v>44</v>
      </c>
      <c r="E864" s="14">
        <v>44522</v>
      </c>
      <c r="F864" s="10" t="s">
        <v>2559</v>
      </c>
      <c r="G864" s="25">
        <v>44526</v>
      </c>
      <c r="H864" s="10" t="s">
        <v>2560</v>
      </c>
      <c r="I864" s="10" t="s">
        <v>2561</v>
      </c>
      <c r="J864" s="15">
        <v>407813.88</v>
      </c>
      <c r="K864" s="15">
        <v>406137.96924000001</v>
      </c>
      <c r="L864" s="15">
        <v>1675.91</v>
      </c>
      <c r="M864" s="15">
        <v>1444.75</v>
      </c>
      <c r="N864" s="15">
        <v>0</v>
      </c>
      <c r="O864" s="15">
        <v>231.16</v>
      </c>
      <c r="P864" s="2" t="s">
        <v>55</v>
      </c>
      <c r="Q864" s="16"/>
    </row>
    <row r="865" spans="1:17" x14ac:dyDescent="0.3">
      <c r="A865" s="10">
        <v>21733</v>
      </c>
      <c r="B865" s="2" t="s">
        <v>4216</v>
      </c>
      <c r="C865" s="13">
        <v>5681</v>
      </c>
      <c r="D865" s="2" t="s">
        <v>44</v>
      </c>
      <c r="E865" s="14">
        <v>44726</v>
      </c>
      <c r="F865" s="10" t="s">
        <v>2370</v>
      </c>
      <c r="G865" s="25">
        <v>44741</v>
      </c>
      <c r="H865" s="10" t="s">
        <v>2562</v>
      </c>
      <c r="I865" s="10" t="s">
        <v>2563</v>
      </c>
      <c r="J865" s="15">
        <v>876012.61</v>
      </c>
      <c r="K865" s="15">
        <v>874323.7538399999</v>
      </c>
      <c r="L865" s="15">
        <v>1688.86</v>
      </c>
      <c r="M865" s="15">
        <v>1455.91</v>
      </c>
      <c r="N865" s="15">
        <v>0</v>
      </c>
      <c r="O865" s="15">
        <v>232.95</v>
      </c>
      <c r="P865" s="2" t="s">
        <v>55</v>
      </c>
      <c r="Q865" s="16"/>
    </row>
    <row r="866" spans="1:17" x14ac:dyDescent="0.3">
      <c r="A866" s="10">
        <v>21733</v>
      </c>
      <c r="B866" s="2" t="s">
        <v>4217</v>
      </c>
      <c r="C866" s="13">
        <v>5681</v>
      </c>
      <c r="D866" s="2" t="s">
        <v>44</v>
      </c>
      <c r="E866" s="14">
        <v>44522</v>
      </c>
      <c r="F866" s="10" t="s">
        <v>2564</v>
      </c>
      <c r="G866" s="25">
        <v>44527</v>
      </c>
      <c r="H866" s="10" t="s">
        <v>2565</v>
      </c>
      <c r="I866" s="10" t="s">
        <v>2566</v>
      </c>
      <c r="J866" s="15">
        <v>432130</v>
      </c>
      <c r="K866" s="15">
        <v>430431.39335999987</v>
      </c>
      <c r="L866" s="15">
        <v>1698.61</v>
      </c>
      <c r="M866" s="15">
        <v>1464.32</v>
      </c>
      <c r="N866" s="15">
        <v>0</v>
      </c>
      <c r="O866" s="15">
        <v>234.29</v>
      </c>
      <c r="P866" s="2" t="s">
        <v>55</v>
      </c>
      <c r="Q866" s="16"/>
    </row>
    <row r="867" spans="1:17" x14ac:dyDescent="0.3">
      <c r="A867" s="10">
        <v>21733</v>
      </c>
      <c r="B867" s="2" t="s">
        <v>4218</v>
      </c>
      <c r="C867" s="13">
        <v>5557</v>
      </c>
      <c r="D867" s="2" t="s">
        <v>44</v>
      </c>
      <c r="E867" s="14">
        <v>44459</v>
      </c>
      <c r="F867" s="10" t="s">
        <v>2567</v>
      </c>
      <c r="G867" s="25">
        <v>44463</v>
      </c>
      <c r="H867" s="10" t="s">
        <v>2568</v>
      </c>
      <c r="I867" s="10" t="s">
        <v>2569</v>
      </c>
      <c r="J867" s="15">
        <v>671620.09</v>
      </c>
      <c r="K867" s="15">
        <v>669910.59311999963</v>
      </c>
      <c r="L867" s="15">
        <v>1709.5</v>
      </c>
      <c r="M867" s="15">
        <v>1473.7</v>
      </c>
      <c r="N867" s="15">
        <v>0</v>
      </c>
      <c r="O867" s="15">
        <v>235.79</v>
      </c>
      <c r="P867" s="2" t="s">
        <v>55</v>
      </c>
      <c r="Q867" s="16"/>
    </row>
    <row r="868" spans="1:17" x14ac:dyDescent="0.3">
      <c r="A868" s="10">
        <v>21733</v>
      </c>
      <c r="B868" s="2" t="s">
        <v>4219</v>
      </c>
      <c r="C868" s="13">
        <v>5548</v>
      </c>
      <c r="D868" s="2" t="s">
        <v>44</v>
      </c>
      <c r="E868" s="14">
        <v>44564</v>
      </c>
      <c r="F868" s="10" t="s">
        <v>2570</v>
      </c>
      <c r="G868" s="25">
        <v>44569</v>
      </c>
      <c r="H868" s="10" t="s">
        <v>2571</v>
      </c>
      <c r="I868" s="10" t="s">
        <v>2572</v>
      </c>
      <c r="J868" s="15">
        <v>1230350.3999999999</v>
      </c>
      <c r="K868" s="15">
        <v>1228631.59488</v>
      </c>
      <c r="L868" s="15">
        <v>1718.81</v>
      </c>
      <c r="M868" s="15">
        <v>1481.73</v>
      </c>
      <c r="N868" s="15">
        <v>0</v>
      </c>
      <c r="O868" s="15">
        <v>237.08</v>
      </c>
      <c r="P868" s="2" t="s">
        <v>55</v>
      </c>
      <c r="Q868" s="16"/>
    </row>
    <row r="869" spans="1:17" x14ac:dyDescent="0.3">
      <c r="A869" s="10">
        <v>21733</v>
      </c>
      <c r="B869" s="2" t="s">
        <v>4220</v>
      </c>
      <c r="C869" s="13">
        <v>5557</v>
      </c>
      <c r="D869" s="2" t="s">
        <v>44</v>
      </c>
      <c r="E869" s="14">
        <v>44364</v>
      </c>
      <c r="F869" s="10" t="s">
        <v>2573</v>
      </c>
      <c r="G869" s="25">
        <v>44379</v>
      </c>
      <c r="H869" s="10" t="s">
        <v>2574</v>
      </c>
      <c r="I869" s="10" t="s">
        <v>2575</v>
      </c>
      <c r="J869" s="15">
        <v>842495.06</v>
      </c>
      <c r="K869" s="15">
        <v>840766.33423999988</v>
      </c>
      <c r="L869" s="15">
        <v>1728.73</v>
      </c>
      <c r="M869" s="15">
        <v>1490.28</v>
      </c>
      <c r="N869" s="15">
        <v>0</v>
      </c>
      <c r="O869" s="15">
        <v>238.44</v>
      </c>
      <c r="P869" s="2" t="s">
        <v>55</v>
      </c>
      <c r="Q869" s="16"/>
    </row>
    <row r="870" spans="1:17" x14ac:dyDescent="0.3">
      <c r="A870" s="10">
        <v>21733</v>
      </c>
      <c r="B870" s="2" t="s">
        <v>4221</v>
      </c>
      <c r="C870" s="13">
        <v>5537</v>
      </c>
      <c r="D870" s="2" t="s">
        <v>44</v>
      </c>
      <c r="E870" s="14">
        <v>44788</v>
      </c>
      <c r="F870" s="10" t="s">
        <v>2576</v>
      </c>
      <c r="G870" s="25">
        <v>44793</v>
      </c>
      <c r="H870" s="10" t="s">
        <v>2577</v>
      </c>
      <c r="I870" s="10" t="s">
        <v>2578</v>
      </c>
      <c r="J870" s="15">
        <v>735413.85</v>
      </c>
      <c r="K870" s="15">
        <v>733660.78968000005</v>
      </c>
      <c r="L870" s="15">
        <v>1753.06</v>
      </c>
      <c r="M870" s="15">
        <v>1511.26</v>
      </c>
      <c r="N870" s="15">
        <v>0</v>
      </c>
      <c r="O870" s="15">
        <v>241.8</v>
      </c>
      <c r="P870" s="2" t="s">
        <v>55</v>
      </c>
      <c r="Q870" s="16"/>
    </row>
    <row r="871" spans="1:17" x14ac:dyDescent="0.3">
      <c r="A871" s="10">
        <v>21733</v>
      </c>
      <c r="B871" s="2" t="s">
        <v>4222</v>
      </c>
      <c r="C871" s="13">
        <v>5556</v>
      </c>
      <c r="D871" s="2" t="s">
        <v>44</v>
      </c>
      <c r="E871" s="14">
        <v>44762</v>
      </c>
      <c r="F871" s="10" t="s">
        <v>2579</v>
      </c>
      <c r="G871" s="25">
        <v>44770</v>
      </c>
      <c r="H871" s="10" t="s">
        <v>2580</v>
      </c>
      <c r="I871" s="10" t="s">
        <v>2581</v>
      </c>
      <c r="J871" s="15">
        <v>690820.14</v>
      </c>
      <c r="K871" s="15">
        <v>689066.45727999997</v>
      </c>
      <c r="L871" s="15">
        <v>1753.68</v>
      </c>
      <c r="M871" s="15">
        <v>1511.8</v>
      </c>
      <c r="N871" s="15">
        <v>0</v>
      </c>
      <c r="O871" s="15">
        <v>241.89</v>
      </c>
      <c r="P871" s="2" t="s">
        <v>55</v>
      </c>
      <c r="Q871" s="16"/>
    </row>
    <row r="872" spans="1:17" x14ac:dyDescent="0.3">
      <c r="A872" s="10">
        <v>21733</v>
      </c>
      <c r="B872" s="2" t="s">
        <v>4223</v>
      </c>
      <c r="C872" s="13">
        <v>5548</v>
      </c>
      <c r="D872" s="2" t="s">
        <v>44</v>
      </c>
      <c r="E872" s="14">
        <v>44739</v>
      </c>
      <c r="F872" s="10" t="s">
        <v>2582</v>
      </c>
      <c r="G872" s="25">
        <v>44749</v>
      </c>
      <c r="H872" s="10" t="s">
        <v>2583</v>
      </c>
      <c r="I872" s="10" t="s">
        <v>2584</v>
      </c>
      <c r="J872" s="15">
        <v>1126612.1399999999</v>
      </c>
      <c r="K872" s="15">
        <v>1124857.0645600006</v>
      </c>
      <c r="L872" s="15">
        <v>1755.08</v>
      </c>
      <c r="M872" s="15">
        <v>1513</v>
      </c>
      <c r="N872" s="15">
        <v>0</v>
      </c>
      <c r="O872" s="15">
        <v>242.08</v>
      </c>
      <c r="P872" s="2" t="s">
        <v>55</v>
      </c>
      <c r="Q872" s="16"/>
    </row>
    <row r="873" spans="1:17" x14ac:dyDescent="0.3">
      <c r="A873" s="10">
        <v>21733</v>
      </c>
      <c r="B873" s="2" t="s">
        <v>4224</v>
      </c>
      <c r="C873" s="13">
        <v>5537</v>
      </c>
      <c r="D873" s="2" t="s">
        <v>44</v>
      </c>
      <c r="E873" s="14">
        <v>44298</v>
      </c>
      <c r="F873" s="10" t="s">
        <v>2585</v>
      </c>
      <c r="G873" s="25">
        <v>44302</v>
      </c>
      <c r="H873" s="10" t="s">
        <v>2586</v>
      </c>
      <c r="I873" s="10" t="s">
        <v>2587</v>
      </c>
      <c r="J873" s="15">
        <v>488180.62</v>
      </c>
      <c r="K873" s="15">
        <v>486417.11599999992</v>
      </c>
      <c r="L873" s="15">
        <v>1763.5</v>
      </c>
      <c r="M873" s="15">
        <v>1520.26</v>
      </c>
      <c r="N873" s="15">
        <v>0</v>
      </c>
      <c r="O873" s="15">
        <v>243.24</v>
      </c>
      <c r="P873" s="2" t="s">
        <v>55</v>
      </c>
      <c r="Q873" s="16"/>
    </row>
    <row r="874" spans="1:17" x14ac:dyDescent="0.3">
      <c r="A874" s="10">
        <v>21733</v>
      </c>
      <c r="B874" s="2" t="s">
        <v>4225</v>
      </c>
      <c r="C874" s="13">
        <v>5548</v>
      </c>
      <c r="D874" s="2" t="s">
        <v>44</v>
      </c>
      <c r="E874" s="14">
        <v>44809</v>
      </c>
      <c r="F874" s="10" t="s">
        <v>254</v>
      </c>
      <c r="G874" s="25">
        <v>44814</v>
      </c>
      <c r="H874" s="10" t="s">
        <v>2588</v>
      </c>
      <c r="I874" s="10" t="s">
        <v>2589</v>
      </c>
      <c r="J874" s="15">
        <v>1214077.97</v>
      </c>
      <c r="K874" s="15">
        <v>1212314.4293599997</v>
      </c>
      <c r="L874" s="15">
        <v>1763.54</v>
      </c>
      <c r="M874" s="15">
        <v>1520.29</v>
      </c>
      <c r="N874" s="15">
        <v>0</v>
      </c>
      <c r="O874" s="15">
        <v>243.25</v>
      </c>
      <c r="P874" s="2" t="s">
        <v>55</v>
      </c>
      <c r="Q874" s="16"/>
    </row>
    <row r="875" spans="1:17" x14ac:dyDescent="0.3">
      <c r="A875" s="10">
        <v>21733</v>
      </c>
      <c r="B875" s="2" t="s">
        <v>4226</v>
      </c>
      <c r="C875" s="13">
        <v>5681</v>
      </c>
      <c r="D875" s="2" t="s">
        <v>44</v>
      </c>
      <c r="E875" s="14">
        <v>44519</v>
      </c>
      <c r="F875" s="10" t="s">
        <v>2590</v>
      </c>
      <c r="G875" s="25">
        <v>44529</v>
      </c>
      <c r="H875" s="10" t="s">
        <v>2591</v>
      </c>
      <c r="I875" s="10" t="s">
        <v>2592</v>
      </c>
      <c r="J875" s="15">
        <v>590856.73</v>
      </c>
      <c r="K875" s="15">
        <v>589087.67431999987</v>
      </c>
      <c r="L875" s="15">
        <v>1769.06</v>
      </c>
      <c r="M875" s="15">
        <v>1525.05</v>
      </c>
      <c r="N875" s="15">
        <v>0</v>
      </c>
      <c r="O875" s="15">
        <v>244.01</v>
      </c>
      <c r="P875" s="2" t="s">
        <v>55</v>
      </c>
      <c r="Q875" s="16"/>
    </row>
    <row r="876" spans="1:17" x14ac:dyDescent="0.3">
      <c r="A876" s="10">
        <v>21733</v>
      </c>
      <c r="B876" s="2" t="s">
        <v>4227</v>
      </c>
      <c r="C876" s="13">
        <v>5681</v>
      </c>
      <c r="D876" s="2" t="s">
        <v>44</v>
      </c>
      <c r="E876" s="14">
        <v>44914</v>
      </c>
      <c r="F876" s="10" t="s">
        <v>1722</v>
      </c>
      <c r="G876" s="25">
        <v>44930</v>
      </c>
      <c r="H876" s="10" t="s">
        <v>2593</v>
      </c>
      <c r="I876" s="10" t="s">
        <v>2594</v>
      </c>
      <c r="J876" s="15">
        <v>998802.49</v>
      </c>
      <c r="K876" s="15">
        <v>997029.81359999999</v>
      </c>
      <c r="L876" s="15">
        <v>1772.68</v>
      </c>
      <c r="M876" s="15">
        <v>1528.17</v>
      </c>
      <c r="N876" s="15">
        <v>0</v>
      </c>
      <c r="O876" s="15">
        <v>244.51</v>
      </c>
      <c r="P876" s="2" t="s">
        <v>55</v>
      </c>
      <c r="Q876" s="16"/>
    </row>
    <row r="877" spans="1:17" x14ac:dyDescent="0.3">
      <c r="A877" s="10">
        <v>21733</v>
      </c>
      <c r="B877" s="2" t="s">
        <v>4228</v>
      </c>
      <c r="C877" s="13">
        <v>5681</v>
      </c>
      <c r="D877" s="2" t="s">
        <v>44</v>
      </c>
      <c r="E877" s="14">
        <v>44564</v>
      </c>
      <c r="F877" s="10" t="s">
        <v>2595</v>
      </c>
      <c r="G877" s="25">
        <v>44569</v>
      </c>
      <c r="H877" s="10" t="s">
        <v>2596</v>
      </c>
      <c r="I877" s="10" t="s">
        <v>2597</v>
      </c>
      <c r="J877" s="15">
        <v>304436.45</v>
      </c>
      <c r="K877" s="15">
        <v>302661.20164000004</v>
      </c>
      <c r="L877" s="15">
        <v>1775.25</v>
      </c>
      <c r="M877" s="15">
        <v>1530.39</v>
      </c>
      <c r="N877" s="15">
        <v>0</v>
      </c>
      <c r="O877" s="15">
        <v>244.86</v>
      </c>
      <c r="P877" s="2" t="s">
        <v>55</v>
      </c>
      <c r="Q877" s="16"/>
    </row>
    <row r="878" spans="1:17" x14ac:dyDescent="0.3">
      <c r="A878" s="10">
        <v>21733</v>
      </c>
      <c r="B878" s="2" t="s">
        <v>4229</v>
      </c>
      <c r="C878" s="13">
        <v>5548</v>
      </c>
      <c r="D878" s="2" t="s">
        <v>44</v>
      </c>
      <c r="E878" s="14">
        <v>44333</v>
      </c>
      <c r="F878" s="10" t="s">
        <v>2598</v>
      </c>
      <c r="G878" s="25">
        <v>44338</v>
      </c>
      <c r="H878" s="10" t="s">
        <v>2599</v>
      </c>
      <c r="I878" s="10" t="s">
        <v>2600</v>
      </c>
      <c r="J878" s="15">
        <v>288006.68</v>
      </c>
      <c r="K878" s="15">
        <v>286218.00559999997</v>
      </c>
      <c r="L878" s="15">
        <v>1788.67</v>
      </c>
      <c r="M878" s="15">
        <v>1541.96</v>
      </c>
      <c r="N878" s="15">
        <v>0</v>
      </c>
      <c r="O878" s="15">
        <v>246.71</v>
      </c>
      <c r="P878" s="2" t="s">
        <v>55</v>
      </c>
      <c r="Q878" s="16"/>
    </row>
    <row r="879" spans="1:17" x14ac:dyDescent="0.3">
      <c r="A879" s="10">
        <v>21733</v>
      </c>
      <c r="B879" s="2" t="s">
        <v>4230</v>
      </c>
      <c r="C879" s="13">
        <v>5556</v>
      </c>
      <c r="D879" s="2" t="s">
        <v>44</v>
      </c>
      <c r="E879" s="14">
        <v>44972</v>
      </c>
      <c r="F879" s="10" t="s">
        <v>457</v>
      </c>
      <c r="G879" s="25">
        <v>44978</v>
      </c>
      <c r="H879" s="10" t="s">
        <v>2601</v>
      </c>
      <c r="I879" s="10" t="s">
        <v>2602</v>
      </c>
      <c r="J879" s="15">
        <v>794509.06</v>
      </c>
      <c r="K879" s="15">
        <v>792704.3894799999</v>
      </c>
      <c r="L879" s="15">
        <v>1804.67</v>
      </c>
      <c r="M879" s="15">
        <v>1555.75</v>
      </c>
      <c r="N879" s="15">
        <v>0</v>
      </c>
      <c r="O879" s="15">
        <v>248.92</v>
      </c>
      <c r="P879" s="2" t="s">
        <v>55</v>
      </c>
      <c r="Q879" s="16"/>
    </row>
    <row r="880" spans="1:17" x14ac:dyDescent="0.3">
      <c r="A880" s="10">
        <v>21733</v>
      </c>
      <c r="B880" s="2" t="s">
        <v>4231</v>
      </c>
      <c r="C880" s="13">
        <v>5549</v>
      </c>
      <c r="D880" s="2" t="s">
        <v>44</v>
      </c>
      <c r="E880" s="14">
        <v>44634</v>
      </c>
      <c r="F880" s="10" t="s">
        <v>2603</v>
      </c>
      <c r="G880" s="25">
        <v>44639</v>
      </c>
      <c r="H880" s="10" t="s">
        <v>2604</v>
      </c>
      <c r="I880" s="10" t="s">
        <v>2605</v>
      </c>
      <c r="J880" s="15">
        <v>1018732.9</v>
      </c>
      <c r="K880" s="15">
        <v>1016926.6324</v>
      </c>
      <c r="L880" s="15">
        <v>1806.27</v>
      </c>
      <c r="M880" s="15">
        <v>1557.13</v>
      </c>
      <c r="N880" s="15">
        <v>0</v>
      </c>
      <c r="O880" s="15">
        <v>249.14</v>
      </c>
      <c r="P880" s="2" t="s">
        <v>55</v>
      </c>
      <c r="Q880" s="16"/>
    </row>
    <row r="881" spans="1:17" x14ac:dyDescent="0.3">
      <c r="A881" s="10">
        <v>21733</v>
      </c>
      <c r="B881" s="2" t="s">
        <v>4232</v>
      </c>
      <c r="C881" s="13">
        <v>5548</v>
      </c>
      <c r="D881" s="2" t="s">
        <v>44</v>
      </c>
      <c r="E881" s="14">
        <v>44886</v>
      </c>
      <c r="F881" s="10" t="s">
        <v>2239</v>
      </c>
      <c r="G881" s="25">
        <v>44892</v>
      </c>
      <c r="H881" s="10" t="s">
        <v>2606</v>
      </c>
      <c r="I881" s="10" t="s">
        <v>2607</v>
      </c>
      <c r="J881" s="15">
        <v>1338478.29</v>
      </c>
      <c r="K881" s="15">
        <v>1336670.4626800001</v>
      </c>
      <c r="L881" s="15">
        <v>1807.83</v>
      </c>
      <c r="M881" s="15">
        <v>1558.47</v>
      </c>
      <c r="N881" s="15">
        <v>0</v>
      </c>
      <c r="O881" s="15">
        <v>249.36</v>
      </c>
      <c r="P881" s="2" t="s">
        <v>55</v>
      </c>
      <c r="Q881" s="16"/>
    </row>
    <row r="882" spans="1:17" x14ac:dyDescent="0.3">
      <c r="A882" s="10">
        <v>21733</v>
      </c>
      <c r="B882" s="2" t="s">
        <v>4233</v>
      </c>
      <c r="C882" s="13">
        <v>5548</v>
      </c>
      <c r="D882" s="2" t="s">
        <v>44</v>
      </c>
      <c r="E882" s="14">
        <v>44537</v>
      </c>
      <c r="F882" s="10" t="s">
        <v>2072</v>
      </c>
      <c r="G882" s="25">
        <v>44547</v>
      </c>
      <c r="H882" s="10" t="s">
        <v>2608</v>
      </c>
      <c r="I882" s="10" t="s">
        <v>2609</v>
      </c>
      <c r="J882" s="15">
        <v>654267.14</v>
      </c>
      <c r="K882" s="15">
        <v>652459.24919999996</v>
      </c>
      <c r="L882" s="15">
        <v>1807.89</v>
      </c>
      <c r="M882" s="15">
        <v>1558.53</v>
      </c>
      <c r="N882" s="15">
        <v>0</v>
      </c>
      <c r="O882" s="15">
        <v>249.36</v>
      </c>
      <c r="P882" s="2" t="s">
        <v>55</v>
      </c>
      <c r="Q882" s="16"/>
    </row>
    <row r="883" spans="1:17" x14ac:dyDescent="0.3">
      <c r="A883" s="10">
        <v>21733</v>
      </c>
      <c r="B883" s="2" t="s">
        <v>4234</v>
      </c>
      <c r="C883" s="13">
        <v>5681</v>
      </c>
      <c r="D883" s="2" t="s">
        <v>44</v>
      </c>
      <c r="E883" s="14">
        <v>44473</v>
      </c>
      <c r="F883" s="10" t="s">
        <v>2610</v>
      </c>
      <c r="G883" s="25">
        <v>44478</v>
      </c>
      <c r="H883" s="10" t="s">
        <v>2611</v>
      </c>
      <c r="I883" s="10" t="s">
        <v>2612</v>
      </c>
      <c r="J883" s="15">
        <v>840989.18</v>
      </c>
      <c r="K883" s="15">
        <v>839179.32200000016</v>
      </c>
      <c r="L883" s="15">
        <v>1809.86</v>
      </c>
      <c r="M883" s="15">
        <v>1560.22</v>
      </c>
      <c r="N883" s="15">
        <v>0</v>
      </c>
      <c r="O883" s="15">
        <v>249.64</v>
      </c>
      <c r="P883" s="2" t="s">
        <v>55</v>
      </c>
      <c r="Q883" s="16"/>
    </row>
    <row r="884" spans="1:17" x14ac:dyDescent="0.3">
      <c r="A884" s="10">
        <v>21733</v>
      </c>
      <c r="B884" s="2" t="s">
        <v>4235</v>
      </c>
      <c r="C884" s="13">
        <v>5681</v>
      </c>
      <c r="D884" s="2" t="s">
        <v>44</v>
      </c>
      <c r="E884" s="14">
        <v>44298</v>
      </c>
      <c r="F884" s="10" t="s">
        <v>2613</v>
      </c>
      <c r="G884" s="25">
        <v>44303</v>
      </c>
      <c r="H884" s="10" t="s">
        <v>2614</v>
      </c>
      <c r="I884" s="10" t="s">
        <v>2615</v>
      </c>
      <c r="J884" s="15">
        <v>427472.45</v>
      </c>
      <c r="K884" s="15">
        <v>425658.18823999993</v>
      </c>
      <c r="L884" s="15">
        <v>1814.26</v>
      </c>
      <c r="M884" s="15">
        <v>1564.02</v>
      </c>
      <c r="N884" s="15">
        <v>0</v>
      </c>
      <c r="O884" s="15">
        <v>250.24</v>
      </c>
      <c r="P884" s="2" t="s">
        <v>55</v>
      </c>
      <c r="Q884" s="16"/>
    </row>
    <row r="885" spans="1:17" x14ac:dyDescent="0.3">
      <c r="A885" s="10">
        <v>21733</v>
      </c>
      <c r="B885" s="2" t="s">
        <v>4236</v>
      </c>
      <c r="C885" s="13">
        <v>5548</v>
      </c>
      <c r="D885" s="2" t="s">
        <v>44</v>
      </c>
      <c r="E885" s="14">
        <v>44473</v>
      </c>
      <c r="F885" s="10" t="s">
        <v>2616</v>
      </c>
      <c r="G885" s="25">
        <v>44477</v>
      </c>
      <c r="H885" s="10" t="s">
        <v>2617</v>
      </c>
      <c r="I885" s="10" t="s">
        <v>2618</v>
      </c>
      <c r="J885" s="15">
        <v>503538.21</v>
      </c>
      <c r="K885" s="15">
        <v>501723.25567999994</v>
      </c>
      <c r="L885" s="15">
        <v>1814.95</v>
      </c>
      <c r="M885" s="15">
        <v>1564.62</v>
      </c>
      <c r="N885" s="15">
        <v>0</v>
      </c>
      <c r="O885" s="15">
        <v>250.34</v>
      </c>
      <c r="P885" s="2" t="s">
        <v>55</v>
      </c>
      <c r="Q885" s="16"/>
    </row>
    <row r="886" spans="1:17" x14ac:dyDescent="0.3">
      <c r="A886" s="10">
        <v>21733</v>
      </c>
      <c r="B886" s="2" t="s">
        <v>4237</v>
      </c>
      <c r="C886" s="13">
        <v>5537</v>
      </c>
      <c r="D886" s="2" t="s">
        <v>44</v>
      </c>
      <c r="E886" s="14">
        <v>44697</v>
      </c>
      <c r="F886" s="10" t="s">
        <v>2619</v>
      </c>
      <c r="G886" s="25">
        <v>44703</v>
      </c>
      <c r="H886" s="10" t="s">
        <v>2620</v>
      </c>
      <c r="I886" s="10" t="s">
        <v>2621</v>
      </c>
      <c r="J886" s="15">
        <v>210543.14</v>
      </c>
      <c r="K886" s="15">
        <v>208724.64408000003</v>
      </c>
      <c r="L886" s="15">
        <v>1818.5</v>
      </c>
      <c r="M886" s="15">
        <v>1567.67</v>
      </c>
      <c r="N886" s="15">
        <v>0</v>
      </c>
      <c r="O886" s="15">
        <v>250.83</v>
      </c>
      <c r="P886" s="2" t="s">
        <v>55</v>
      </c>
      <c r="Q886" s="16"/>
    </row>
    <row r="887" spans="1:17" x14ac:dyDescent="0.3">
      <c r="A887" s="10">
        <v>21733</v>
      </c>
      <c r="B887" s="2" t="s">
        <v>4238</v>
      </c>
      <c r="C887" s="13">
        <v>5557</v>
      </c>
      <c r="D887" s="2" t="s">
        <v>44</v>
      </c>
      <c r="E887" s="14">
        <v>44858</v>
      </c>
      <c r="F887" s="10" t="s">
        <v>2622</v>
      </c>
      <c r="G887" s="25">
        <v>44864</v>
      </c>
      <c r="H887" s="10" t="s">
        <v>2623</v>
      </c>
      <c r="I887" s="10" t="s">
        <v>2624</v>
      </c>
      <c r="J887" s="15">
        <v>871691.79</v>
      </c>
      <c r="K887" s="15">
        <v>869859.98103999998</v>
      </c>
      <c r="L887" s="15">
        <v>1831.81</v>
      </c>
      <c r="M887" s="15">
        <v>1579.15</v>
      </c>
      <c r="N887" s="15">
        <v>0</v>
      </c>
      <c r="O887" s="15">
        <v>252.66</v>
      </c>
      <c r="P887" s="2" t="s">
        <v>55</v>
      </c>
      <c r="Q887" s="16"/>
    </row>
    <row r="888" spans="1:17" x14ac:dyDescent="0.3">
      <c r="A888" s="10">
        <v>21733</v>
      </c>
      <c r="B888" s="2" t="s">
        <v>4239</v>
      </c>
      <c r="C888" s="13">
        <v>5557</v>
      </c>
      <c r="D888" s="2" t="s">
        <v>44</v>
      </c>
      <c r="E888" s="14">
        <v>44537</v>
      </c>
      <c r="F888" s="10" t="s">
        <v>2625</v>
      </c>
      <c r="G888" s="25">
        <v>44548</v>
      </c>
      <c r="H888" s="10" t="s">
        <v>2626</v>
      </c>
      <c r="I888" s="10" t="s">
        <v>2627</v>
      </c>
      <c r="J888" s="15">
        <v>858014.55</v>
      </c>
      <c r="K888" s="15">
        <v>856178.70323999994</v>
      </c>
      <c r="L888" s="15">
        <v>1835.85</v>
      </c>
      <c r="M888" s="15">
        <v>1582.63</v>
      </c>
      <c r="N888" s="15">
        <v>0</v>
      </c>
      <c r="O888" s="15">
        <v>253.22</v>
      </c>
      <c r="P888" s="2" t="s">
        <v>55</v>
      </c>
      <c r="Q888" s="16"/>
    </row>
    <row r="889" spans="1:17" x14ac:dyDescent="0.3">
      <c r="A889" s="10">
        <v>21733</v>
      </c>
      <c r="B889" s="2" t="s">
        <v>4240</v>
      </c>
      <c r="C889" s="13">
        <v>5548</v>
      </c>
      <c r="D889" s="2" t="s">
        <v>44</v>
      </c>
      <c r="E889" s="14">
        <v>44816</v>
      </c>
      <c r="F889" s="10" t="s">
        <v>2628</v>
      </c>
      <c r="G889" s="25">
        <v>44820</v>
      </c>
      <c r="H889" s="10" t="s">
        <v>2629</v>
      </c>
      <c r="I889" s="10" t="s">
        <v>2630</v>
      </c>
      <c r="J889" s="15">
        <v>604397.97</v>
      </c>
      <c r="K889" s="15">
        <v>602534.73884000001</v>
      </c>
      <c r="L889" s="15">
        <v>1863.23</v>
      </c>
      <c r="M889" s="15">
        <v>1606.23</v>
      </c>
      <c r="N889" s="15">
        <v>0</v>
      </c>
      <c r="O889" s="15">
        <v>257</v>
      </c>
      <c r="P889" s="2" t="s">
        <v>55</v>
      </c>
      <c r="Q889" s="16"/>
    </row>
    <row r="890" spans="1:17" x14ac:dyDescent="0.3">
      <c r="A890" s="10">
        <v>21733</v>
      </c>
      <c r="B890" s="2" t="s">
        <v>4241</v>
      </c>
      <c r="C890" s="13">
        <v>5556</v>
      </c>
      <c r="D890" s="2" t="s">
        <v>44</v>
      </c>
      <c r="E890" s="14">
        <v>45574</v>
      </c>
      <c r="F890" s="10" t="s">
        <v>2631</v>
      </c>
      <c r="G890" s="25">
        <v>45589</v>
      </c>
      <c r="H890" s="10" t="s">
        <v>2632</v>
      </c>
      <c r="I890" s="10" t="s">
        <v>2633</v>
      </c>
      <c r="J890" s="15">
        <v>3759.58</v>
      </c>
      <c r="K890" s="15">
        <v>1879.2</v>
      </c>
      <c r="L890" s="15">
        <v>1880.38</v>
      </c>
      <c r="M890" s="15">
        <v>1621.02</v>
      </c>
      <c r="N890" s="15">
        <v>0</v>
      </c>
      <c r="O890" s="15">
        <v>259.36</v>
      </c>
      <c r="P890" s="2" t="s">
        <v>55</v>
      </c>
      <c r="Q890" s="16"/>
    </row>
    <row r="891" spans="1:17" x14ac:dyDescent="0.3">
      <c r="A891" s="10">
        <v>21733</v>
      </c>
      <c r="B891" s="2" t="s">
        <v>4242</v>
      </c>
      <c r="C891" s="13">
        <v>5681</v>
      </c>
      <c r="D891" s="2" t="s">
        <v>44</v>
      </c>
      <c r="E891" s="14">
        <v>44746</v>
      </c>
      <c r="F891" s="10" t="s">
        <v>2634</v>
      </c>
      <c r="G891" s="25">
        <v>44751</v>
      </c>
      <c r="H891" s="10" t="s">
        <v>2635</v>
      </c>
      <c r="I891" s="10" t="s">
        <v>2636</v>
      </c>
      <c r="J891" s="15">
        <v>682793.39</v>
      </c>
      <c r="K891" s="15">
        <v>680912.81496000011</v>
      </c>
      <c r="L891" s="15">
        <v>1880.58</v>
      </c>
      <c r="M891" s="15">
        <v>1621.19</v>
      </c>
      <c r="N891" s="15">
        <v>0</v>
      </c>
      <c r="O891" s="15">
        <v>259.39</v>
      </c>
      <c r="P891" s="2" t="s">
        <v>55</v>
      </c>
      <c r="Q891" s="16"/>
    </row>
    <row r="892" spans="1:17" x14ac:dyDescent="0.3">
      <c r="A892" s="10">
        <v>21733</v>
      </c>
      <c r="B892" s="2" t="s">
        <v>4243</v>
      </c>
      <c r="C892" s="13">
        <v>5549</v>
      </c>
      <c r="D892" s="2" t="s">
        <v>44</v>
      </c>
      <c r="E892" s="14">
        <v>45026</v>
      </c>
      <c r="F892" s="10" t="s">
        <v>1561</v>
      </c>
      <c r="G892" s="25">
        <v>45037</v>
      </c>
      <c r="H892" s="10" t="s">
        <v>2637</v>
      </c>
      <c r="I892" s="10" t="s">
        <v>2638</v>
      </c>
      <c r="J892" s="15">
        <v>770569.78</v>
      </c>
      <c r="K892" s="15">
        <v>768682.49352000013</v>
      </c>
      <c r="L892" s="15">
        <v>1887.29</v>
      </c>
      <c r="M892" s="15">
        <v>1626.97</v>
      </c>
      <c r="N892" s="15">
        <v>0</v>
      </c>
      <c r="O892" s="15">
        <v>260.32</v>
      </c>
      <c r="P892" s="2" t="s">
        <v>55</v>
      </c>
      <c r="Q892" s="16"/>
    </row>
    <row r="893" spans="1:17" x14ac:dyDescent="0.3">
      <c r="A893" s="10">
        <v>21733</v>
      </c>
      <c r="B893" s="2" t="s">
        <v>4244</v>
      </c>
      <c r="C893" s="13">
        <v>5557</v>
      </c>
      <c r="D893" s="2" t="s">
        <v>44</v>
      </c>
      <c r="E893" s="14">
        <v>44326</v>
      </c>
      <c r="F893" s="10" t="s">
        <v>2639</v>
      </c>
      <c r="G893" s="25">
        <v>44330</v>
      </c>
      <c r="H893" s="10" t="s">
        <v>2640</v>
      </c>
      <c r="I893" s="10" t="s">
        <v>2641</v>
      </c>
      <c r="J893" s="15">
        <v>979675.92</v>
      </c>
      <c r="K893" s="15">
        <v>977785.15723999962</v>
      </c>
      <c r="L893" s="15">
        <v>1890.76</v>
      </c>
      <c r="M893" s="15">
        <v>1629.97</v>
      </c>
      <c r="N893" s="15">
        <v>0</v>
      </c>
      <c r="O893" s="15">
        <v>260.79000000000002</v>
      </c>
      <c r="P893" s="2" t="s">
        <v>55</v>
      </c>
      <c r="Q893" s="16"/>
    </row>
    <row r="894" spans="1:17" x14ac:dyDescent="0.3">
      <c r="A894" s="10">
        <v>21733</v>
      </c>
      <c r="B894" s="2" t="s">
        <v>4245</v>
      </c>
      <c r="C894" s="13">
        <v>5557</v>
      </c>
      <c r="D894" s="2" t="s">
        <v>44</v>
      </c>
      <c r="E894" s="14">
        <v>44732</v>
      </c>
      <c r="F894" s="10" t="s">
        <v>2642</v>
      </c>
      <c r="G894" s="25">
        <v>44738</v>
      </c>
      <c r="H894" s="10" t="s">
        <v>2643</v>
      </c>
      <c r="I894" s="10" t="s">
        <v>2644</v>
      </c>
      <c r="J894" s="15">
        <v>657493.25</v>
      </c>
      <c r="K894" s="15">
        <v>655601.62655999989</v>
      </c>
      <c r="L894" s="15">
        <v>1891.62</v>
      </c>
      <c r="M894" s="15">
        <v>1630.71</v>
      </c>
      <c r="N894" s="15">
        <v>0</v>
      </c>
      <c r="O894" s="15">
        <v>260.91000000000003</v>
      </c>
      <c r="P894" s="2" t="s">
        <v>55</v>
      </c>
      <c r="Q894" s="16"/>
    </row>
    <row r="895" spans="1:17" x14ac:dyDescent="0.3">
      <c r="A895" s="10">
        <v>21733</v>
      </c>
      <c r="B895" s="2" t="s">
        <v>4246</v>
      </c>
      <c r="C895" s="13">
        <v>5556</v>
      </c>
      <c r="D895" s="2" t="s">
        <v>44</v>
      </c>
      <c r="E895" s="14">
        <v>45042</v>
      </c>
      <c r="F895" s="10" t="s">
        <v>847</v>
      </c>
      <c r="G895" s="25">
        <v>45049</v>
      </c>
      <c r="H895" s="10" t="s">
        <v>2645</v>
      </c>
      <c r="I895" s="10" t="s">
        <v>2646</v>
      </c>
      <c r="J895" s="15">
        <v>665079.67000000004</v>
      </c>
      <c r="K895" s="15">
        <v>663185.65203999984</v>
      </c>
      <c r="L895" s="15">
        <v>1894.02</v>
      </c>
      <c r="M895" s="15">
        <v>1632.77</v>
      </c>
      <c r="N895" s="15">
        <v>0</v>
      </c>
      <c r="O895" s="15">
        <v>261.24</v>
      </c>
      <c r="P895" s="2" t="s">
        <v>55</v>
      </c>
      <c r="Q895" s="16"/>
    </row>
    <row r="896" spans="1:17" x14ac:dyDescent="0.3">
      <c r="A896" s="10">
        <v>21733</v>
      </c>
      <c r="B896" s="2" t="s">
        <v>4247</v>
      </c>
      <c r="C896" s="13">
        <v>5556</v>
      </c>
      <c r="D896" s="2" t="s">
        <v>44</v>
      </c>
      <c r="E896" s="14">
        <v>45574</v>
      </c>
      <c r="F896" s="10" t="s">
        <v>2631</v>
      </c>
      <c r="G896" s="25">
        <v>45589</v>
      </c>
      <c r="H896" s="10" t="s">
        <v>2647</v>
      </c>
      <c r="I896" s="10" t="s">
        <v>2648</v>
      </c>
      <c r="J896" s="15">
        <v>3790.76</v>
      </c>
      <c r="K896" s="15">
        <v>1895.44</v>
      </c>
      <c r="L896" s="15">
        <v>1895.32</v>
      </c>
      <c r="M896" s="15">
        <v>1633.9</v>
      </c>
      <c r="N896" s="15">
        <v>0</v>
      </c>
      <c r="O896" s="15">
        <v>261.42</v>
      </c>
      <c r="P896" s="2" t="s">
        <v>55</v>
      </c>
      <c r="Q896" s="16"/>
    </row>
    <row r="897" spans="1:17" x14ac:dyDescent="0.3">
      <c r="A897" s="10">
        <v>21733</v>
      </c>
      <c r="B897" s="2" t="s">
        <v>4248</v>
      </c>
      <c r="C897" s="13">
        <v>5557</v>
      </c>
      <c r="D897" s="2" t="s">
        <v>44</v>
      </c>
      <c r="E897" s="14">
        <v>44670</v>
      </c>
      <c r="F897" s="10" t="s">
        <v>2649</v>
      </c>
      <c r="G897" s="25">
        <v>44680</v>
      </c>
      <c r="H897" s="10" t="s">
        <v>2650</v>
      </c>
      <c r="I897" s="10" t="s">
        <v>2651</v>
      </c>
      <c r="J897" s="15">
        <v>659915.34</v>
      </c>
      <c r="K897" s="15">
        <v>658014.60288000002</v>
      </c>
      <c r="L897" s="15">
        <v>1900.74</v>
      </c>
      <c r="M897" s="15">
        <v>1638.57</v>
      </c>
      <c r="N897" s="15">
        <v>0</v>
      </c>
      <c r="O897" s="15">
        <v>262.17</v>
      </c>
      <c r="P897" s="2" t="s">
        <v>55</v>
      </c>
      <c r="Q897" s="16"/>
    </row>
    <row r="898" spans="1:17" x14ac:dyDescent="0.3">
      <c r="A898" s="10">
        <v>21733</v>
      </c>
      <c r="B898" s="2" t="s">
        <v>4249</v>
      </c>
      <c r="C898" s="13">
        <v>5681</v>
      </c>
      <c r="D898" s="2" t="s">
        <v>44</v>
      </c>
      <c r="E898" s="14">
        <v>44361</v>
      </c>
      <c r="F898" s="10" t="s">
        <v>2652</v>
      </c>
      <c r="G898" s="25">
        <v>44366</v>
      </c>
      <c r="H898" s="10" t="s">
        <v>2653</v>
      </c>
      <c r="I898" s="10" t="s">
        <v>2654</v>
      </c>
      <c r="J898" s="15">
        <v>587402.01</v>
      </c>
      <c r="K898" s="15">
        <v>585501.19212000002</v>
      </c>
      <c r="L898" s="15">
        <v>1900.82</v>
      </c>
      <c r="M898" s="15">
        <v>1638.64</v>
      </c>
      <c r="N898" s="15">
        <v>0</v>
      </c>
      <c r="O898" s="15">
        <v>262.18</v>
      </c>
      <c r="P898" s="2" t="s">
        <v>55</v>
      </c>
      <c r="Q898" s="16"/>
    </row>
    <row r="899" spans="1:17" x14ac:dyDescent="0.3">
      <c r="A899" s="10">
        <v>21733</v>
      </c>
      <c r="B899" s="2" t="s">
        <v>4250</v>
      </c>
      <c r="C899" s="13">
        <v>5549</v>
      </c>
      <c r="D899" s="2" t="s">
        <v>44</v>
      </c>
      <c r="E899" s="14">
        <v>44739</v>
      </c>
      <c r="F899" s="10" t="s">
        <v>2655</v>
      </c>
      <c r="G899" s="25">
        <v>44756</v>
      </c>
      <c r="H899" s="10" t="s">
        <v>2656</v>
      </c>
      <c r="I899" s="10" t="s">
        <v>2657</v>
      </c>
      <c r="J899" s="15">
        <v>1089205.1399999999</v>
      </c>
      <c r="K899" s="15">
        <v>1087299.6239199997</v>
      </c>
      <c r="L899" s="15">
        <v>1905.52</v>
      </c>
      <c r="M899" s="15">
        <v>1642.69</v>
      </c>
      <c r="N899" s="15">
        <v>0</v>
      </c>
      <c r="O899" s="15">
        <v>262.83</v>
      </c>
      <c r="P899" s="2" t="s">
        <v>55</v>
      </c>
      <c r="Q899" s="16"/>
    </row>
    <row r="900" spans="1:17" x14ac:dyDescent="0.3">
      <c r="A900" s="10">
        <v>21733</v>
      </c>
      <c r="B900" s="2" t="s">
        <v>4251</v>
      </c>
      <c r="C900" s="13">
        <v>5556</v>
      </c>
      <c r="D900" s="2" t="s">
        <v>44</v>
      </c>
      <c r="E900" s="14">
        <v>44685</v>
      </c>
      <c r="F900" s="10" t="s">
        <v>2658</v>
      </c>
      <c r="G900" s="25">
        <v>44691</v>
      </c>
      <c r="H900" s="10" t="s">
        <v>2659</v>
      </c>
      <c r="I900" s="10" t="s">
        <v>2660</v>
      </c>
      <c r="J900" s="15">
        <v>452060.8</v>
      </c>
      <c r="K900" s="15">
        <v>450134.77867999999</v>
      </c>
      <c r="L900" s="15">
        <v>1926.02</v>
      </c>
      <c r="M900" s="15">
        <v>1660.36</v>
      </c>
      <c r="N900" s="15">
        <v>0</v>
      </c>
      <c r="O900" s="15">
        <v>265.66000000000003</v>
      </c>
      <c r="P900" s="2" t="s">
        <v>55</v>
      </c>
      <c r="Q900" s="16"/>
    </row>
    <row r="901" spans="1:17" x14ac:dyDescent="0.3">
      <c r="A901" s="10">
        <v>21733</v>
      </c>
      <c r="B901" s="2" t="s">
        <v>4252</v>
      </c>
      <c r="C901" s="13">
        <v>5557</v>
      </c>
      <c r="D901" s="2" t="s">
        <v>44</v>
      </c>
      <c r="E901" s="14">
        <v>44970</v>
      </c>
      <c r="F901" s="10" t="s">
        <v>2661</v>
      </c>
      <c r="G901" s="25">
        <v>44978</v>
      </c>
      <c r="H901" s="10" t="s">
        <v>2662</v>
      </c>
      <c r="I901" s="10" t="s">
        <v>2663</v>
      </c>
      <c r="J901" s="15">
        <v>1087429.3899999999</v>
      </c>
      <c r="K901" s="15">
        <v>1085461.6479999996</v>
      </c>
      <c r="L901" s="15">
        <v>1967.74</v>
      </c>
      <c r="M901" s="15">
        <v>1696.33</v>
      </c>
      <c r="N901" s="15">
        <v>0</v>
      </c>
      <c r="O901" s="15">
        <v>271.41000000000003</v>
      </c>
      <c r="P901" s="2" t="s">
        <v>55</v>
      </c>
      <c r="Q901" s="16"/>
    </row>
    <row r="902" spans="1:17" x14ac:dyDescent="0.3">
      <c r="A902" s="10">
        <v>21733</v>
      </c>
      <c r="B902" s="2" t="s">
        <v>4253</v>
      </c>
      <c r="C902" s="13">
        <v>5548</v>
      </c>
      <c r="D902" s="2" t="s">
        <v>44</v>
      </c>
      <c r="E902" s="14">
        <v>45026</v>
      </c>
      <c r="F902" s="10" t="s">
        <v>1716</v>
      </c>
      <c r="G902" s="25">
        <v>45033</v>
      </c>
      <c r="H902" s="10" t="s">
        <v>2664</v>
      </c>
      <c r="I902" s="10" t="s">
        <v>2665</v>
      </c>
      <c r="J902" s="15">
        <v>1309637.94</v>
      </c>
      <c r="K902" s="15">
        <v>1307651.4004000004</v>
      </c>
      <c r="L902" s="15">
        <v>1986.54</v>
      </c>
      <c r="M902" s="15">
        <v>1712.53</v>
      </c>
      <c r="N902" s="15">
        <v>0</v>
      </c>
      <c r="O902" s="15">
        <v>274.01</v>
      </c>
      <c r="P902" s="2" t="s">
        <v>55</v>
      </c>
      <c r="Q902" s="16"/>
    </row>
    <row r="903" spans="1:17" x14ac:dyDescent="0.3">
      <c r="A903" s="10">
        <v>21733</v>
      </c>
      <c r="B903" s="2" t="s">
        <v>4254</v>
      </c>
      <c r="C903" s="13">
        <v>5681</v>
      </c>
      <c r="D903" s="2" t="s">
        <v>44</v>
      </c>
      <c r="E903" s="14">
        <v>44727</v>
      </c>
      <c r="F903" s="10" t="s">
        <v>2666</v>
      </c>
      <c r="G903" s="25">
        <v>44734</v>
      </c>
      <c r="H903" s="10" t="s">
        <v>2667</v>
      </c>
      <c r="I903" s="10" t="s">
        <v>2668</v>
      </c>
      <c r="J903" s="15">
        <v>1227627.43</v>
      </c>
      <c r="K903" s="15">
        <v>1225638.1789199999</v>
      </c>
      <c r="L903" s="15">
        <v>1989.25</v>
      </c>
      <c r="M903" s="15">
        <v>1714.87</v>
      </c>
      <c r="N903" s="15">
        <v>0</v>
      </c>
      <c r="O903" s="15">
        <v>274.38</v>
      </c>
      <c r="P903" s="2" t="s">
        <v>55</v>
      </c>
      <c r="Q903" s="16"/>
    </row>
    <row r="904" spans="1:17" x14ac:dyDescent="0.3">
      <c r="A904" s="10">
        <v>21733</v>
      </c>
      <c r="B904" s="2" t="s">
        <v>4255</v>
      </c>
      <c r="C904" s="13">
        <v>5557</v>
      </c>
      <c r="D904" s="2" t="s">
        <v>44</v>
      </c>
      <c r="E904" s="14">
        <v>44725</v>
      </c>
      <c r="F904" s="10" t="s">
        <v>2669</v>
      </c>
      <c r="G904" s="25">
        <v>44729</v>
      </c>
      <c r="H904" s="10" t="s">
        <v>2670</v>
      </c>
      <c r="I904" s="10" t="s">
        <v>2671</v>
      </c>
      <c r="J904" s="15">
        <v>630046.43999999994</v>
      </c>
      <c r="K904" s="15">
        <v>628057.02752</v>
      </c>
      <c r="L904" s="15">
        <v>1989.41</v>
      </c>
      <c r="M904" s="15">
        <v>1715.01</v>
      </c>
      <c r="N904" s="15">
        <v>0</v>
      </c>
      <c r="O904" s="15">
        <v>274.39999999999998</v>
      </c>
      <c r="P904" s="2" t="s">
        <v>55</v>
      </c>
      <c r="Q904" s="16"/>
    </row>
    <row r="905" spans="1:17" x14ac:dyDescent="0.3">
      <c r="A905" s="10">
        <v>21733</v>
      </c>
      <c r="B905" s="2" t="s">
        <v>4256</v>
      </c>
      <c r="C905" s="13">
        <v>5681</v>
      </c>
      <c r="D905" s="2" t="s">
        <v>44</v>
      </c>
      <c r="E905" s="14">
        <v>44284</v>
      </c>
      <c r="F905" s="10" t="s">
        <v>2672</v>
      </c>
      <c r="G905" s="25">
        <v>44292</v>
      </c>
      <c r="H905" s="10" t="s">
        <v>2673</v>
      </c>
      <c r="I905" s="10" t="s">
        <v>2674</v>
      </c>
      <c r="J905" s="15">
        <v>6276.14</v>
      </c>
      <c r="K905" s="15">
        <v>4267.7884800000002</v>
      </c>
      <c r="L905" s="15">
        <v>2008.35</v>
      </c>
      <c r="M905" s="15">
        <v>1731.34</v>
      </c>
      <c r="N905" s="15">
        <v>0</v>
      </c>
      <c r="O905" s="15">
        <v>277.01</v>
      </c>
      <c r="P905" s="2" t="s">
        <v>55</v>
      </c>
      <c r="Q905" s="16"/>
    </row>
    <row r="906" spans="1:17" x14ac:dyDescent="0.3">
      <c r="A906" s="10">
        <v>21733</v>
      </c>
      <c r="B906" s="2" t="s">
        <v>4257</v>
      </c>
      <c r="C906" s="13">
        <v>5681</v>
      </c>
      <c r="D906" s="2" t="s">
        <v>44</v>
      </c>
      <c r="E906" s="14">
        <v>44683</v>
      </c>
      <c r="F906" s="10" t="s">
        <v>2675</v>
      </c>
      <c r="G906" s="25">
        <v>44688</v>
      </c>
      <c r="H906" s="10" t="s">
        <v>2676</v>
      </c>
      <c r="I906" s="10" t="s">
        <v>2677</v>
      </c>
      <c r="J906" s="15">
        <v>479177.27</v>
      </c>
      <c r="K906" s="15">
        <v>477163.17540000001</v>
      </c>
      <c r="L906" s="15">
        <v>2014.09</v>
      </c>
      <c r="M906" s="15">
        <v>1736.29</v>
      </c>
      <c r="N906" s="15">
        <v>0</v>
      </c>
      <c r="O906" s="15">
        <v>277.81</v>
      </c>
      <c r="P906" s="2" t="s">
        <v>55</v>
      </c>
      <c r="Q906" s="16"/>
    </row>
    <row r="907" spans="1:17" x14ac:dyDescent="0.3">
      <c r="A907" s="10">
        <v>21733</v>
      </c>
      <c r="B907" s="2" t="s">
        <v>4258</v>
      </c>
      <c r="C907" s="13">
        <v>5537</v>
      </c>
      <c r="D907" s="2" t="s">
        <v>44</v>
      </c>
      <c r="E907" s="14">
        <v>44726</v>
      </c>
      <c r="F907" s="10" t="s">
        <v>1222</v>
      </c>
      <c r="G907" s="25">
        <v>44737</v>
      </c>
      <c r="H907" s="10" t="s">
        <v>2678</v>
      </c>
      <c r="I907" s="10" t="s">
        <v>2679</v>
      </c>
      <c r="J907" s="15">
        <v>1623381.86</v>
      </c>
      <c r="K907" s="15">
        <v>1621358.8470399992</v>
      </c>
      <c r="L907" s="15">
        <v>2023.01</v>
      </c>
      <c r="M907" s="15">
        <v>1743.98</v>
      </c>
      <c r="N907" s="15">
        <v>0</v>
      </c>
      <c r="O907" s="15">
        <v>279.04000000000002</v>
      </c>
      <c r="P907" s="2" t="s">
        <v>55</v>
      </c>
      <c r="Q907" s="16"/>
    </row>
    <row r="908" spans="1:17" x14ac:dyDescent="0.3">
      <c r="A908" s="10">
        <v>21733</v>
      </c>
      <c r="B908" s="2" t="s">
        <v>4259</v>
      </c>
      <c r="C908" s="13">
        <v>5549</v>
      </c>
      <c r="D908" s="2" t="s">
        <v>44</v>
      </c>
      <c r="E908" s="14">
        <v>45586</v>
      </c>
      <c r="F908" s="10" t="s">
        <v>2680</v>
      </c>
      <c r="G908" s="25">
        <v>45594</v>
      </c>
      <c r="H908" s="10" t="s">
        <v>2681</v>
      </c>
      <c r="I908" s="10" t="s">
        <v>2682</v>
      </c>
      <c r="J908" s="15">
        <v>4062.38</v>
      </c>
      <c r="K908" s="15">
        <v>2030.9279999999999</v>
      </c>
      <c r="L908" s="15">
        <v>2031.45</v>
      </c>
      <c r="M908" s="15">
        <v>1751.25</v>
      </c>
      <c r="N908" s="15">
        <v>0</v>
      </c>
      <c r="O908" s="15">
        <v>280.2</v>
      </c>
      <c r="P908" s="2" t="s">
        <v>55</v>
      </c>
      <c r="Q908" s="16"/>
    </row>
    <row r="909" spans="1:17" x14ac:dyDescent="0.3">
      <c r="A909" s="10">
        <v>21733</v>
      </c>
      <c r="B909" s="2" t="s">
        <v>4260</v>
      </c>
      <c r="C909" s="13">
        <v>5557</v>
      </c>
      <c r="D909" s="2" t="s">
        <v>44</v>
      </c>
      <c r="E909" s="14">
        <v>44627</v>
      </c>
      <c r="F909" s="10" t="s">
        <v>896</v>
      </c>
      <c r="G909" s="25">
        <v>44631</v>
      </c>
      <c r="H909" s="10" t="s">
        <v>2683</v>
      </c>
      <c r="I909" s="10" t="s">
        <v>2684</v>
      </c>
      <c r="J909" s="15">
        <v>375794.14</v>
      </c>
      <c r="K909" s="15">
        <v>373760.93896000006</v>
      </c>
      <c r="L909" s="15">
        <v>2033.2</v>
      </c>
      <c r="M909" s="15">
        <v>1752.76</v>
      </c>
      <c r="N909" s="15">
        <v>0</v>
      </c>
      <c r="O909" s="15">
        <v>280.44</v>
      </c>
      <c r="P909" s="2" t="s">
        <v>55</v>
      </c>
      <c r="Q909" s="16"/>
    </row>
    <row r="910" spans="1:17" x14ac:dyDescent="0.3">
      <c r="A910" s="10">
        <v>21733</v>
      </c>
      <c r="B910" s="2" t="s">
        <v>4261</v>
      </c>
      <c r="C910" s="13">
        <v>5549</v>
      </c>
      <c r="D910" s="2" t="s">
        <v>44</v>
      </c>
      <c r="E910" s="14">
        <v>44683</v>
      </c>
      <c r="F910" s="10" t="s">
        <v>2685</v>
      </c>
      <c r="G910" s="25">
        <v>44688</v>
      </c>
      <c r="H910" s="10" t="s">
        <v>2686</v>
      </c>
      <c r="I910" s="10" t="s">
        <v>2687</v>
      </c>
      <c r="J910" s="15">
        <v>1003602.93</v>
      </c>
      <c r="K910" s="15">
        <v>1001565.1932000001</v>
      </c>
      <c r="L910" s="15">
        <v>2037.74</v>
      </c>
      <c r="M910" s="15">
        <v>1756.67</v>
      </c>
      <c r="N910" s="15">
        <v>0</v>
      </c>
      <c r="O910" s="15">
        <v>281.07</v>
      </c>
      <c r="P910" s="2" t="s">
        <v>55</v>
      </c>
      <c r="Q910" s="16"/>
    </row>
    <row r="911" spans="1:17" x14ac:dyDescent="0.3">
      <c r="A911" s="10">
        <v>21733</v>
      </c>
      <c r="B911" s="2" t="s">
        <v>4262</v>
      </c>
      <c r="C911" s="13">
        <v>5681</v>
      </c>
      <c r="D911" s="2" t="s">
        <v>44</v>
      </c>
      <c r="E911" s="14">
        <v>44529</v>
      </c>
      <c r="F911" s="10" t="s">
        <v>2688</v>
      </c>
      <c r="G911" s="25">
        <v>44534</v>
      </c>
      <c r="H911" s="10" t="s">
        <v>2689</v>
      </c>
      <c r="I911" s="10" t="s">
        <v>2690</v>
      </c>
      <c r="J911" s="15">
        <v>432157.68</v>
      </c>
      <c r="K911" s="15">
        <v>430117.10296000005</v>
      </c>
      <c r="L911" s="15">
        <v>2040.58</v>
      </c>
      <c r="M911" s="15">
        <v>1759.12</v>
      </c>
      <c r="N911" s="15">
        <v>0</v>
      </c>
      <c r="O911" s="15">
        <v>281.45999999999998</v>
      </c>
      <c r="P911" s="2" t="s">
        <v>55</v>
      </c>
      <c r="Q911" s="16"/>
    </row>
    <row r="912" spans="1:17" x14ac:dyDescent="0.3">
      <c r="A912" s="10">
        <v>21733</v>
      </c>
      <c r="B912" s="2" t="s">
        <v>4263</v>
      </c>
      <c r="C912" s="13">
        <v>5548</v>
      </c>
      <c r="D912" s="2" t="s">
        <v>44</v>
      </c>
      <c r="E912" s="14">
        <v>44655</v>
      </c>
      <c r="F912" s="10" t="s">
        <v>2691</v>
      </c>
      <c r="G912" s="25">
        <v>44659</v>
      </c>
      <c r="H912" s="10" t="s">
        <v>2692</v>
      </c>
      <c r="I912" s="10" t="s">
        <v>2693</v>
      </c>
      <c r="J912" s="15">
        <v>1240941.51</v>
      </c>
      <c r="K912" s="15">
        <v>1238898.8871199996</v>
      </c>
      <c r="L912" s="15">
        <v>2042.62</v>
      </c>
      <c r="M912" s="15">
        <v>1760.88</v>
      </c>
      <c r="N912" s="15">
        <v>0</v>
      </c>
      <c r="O912" s="15">
        <v>281.74</v>
      </c>
      <c r="P912" s="2" t="s">
        <v>55</v>
      </c>
      <c r="Q912" s="16"/>
    </row>
    <row r="913" spans="1:17" x14ac:dyDescent="0.3">
      <c r="A913" s="10">
        <v>21733</v>
      </c>
      <c r="B913" s="2" t="s">
        <v>4264</v>
      </c>
      <c r="C913" s="13">
        <v>5548</v>
      </c>
      <c r="D913" s="2" t="s">
        <v>44</v>
      </c>
      <c r="E913" s="14">
        <v>44494</v>
      </c>
      <c r="F913" s="10" t="s">
        <v>2102</v>
      </c>
      <c r="G913" s="25">
        <v>44498</v>
      </c>
      <c r="H913" s="10" t="s">
        <v>2694</v>
      </c>
      <c r="I913" s="10" t="s">
        <v>2695</v>
      </c>
      <c r="J913" s="15">
        <v>1002987.9</v>
      </c>
      <c r="K913" s="15">
        <v>1000937.2852000003</v>
      </c>
      <c r="L913" s="15">
        <v>2050.61</v>
      </c>
      <c r="M913" s="15">
        <v>1767.77</v>
      </c>
      <c r="N913" s="15">
        <v>0</v>
      </c>
      <c r="O913" s="15">
        <v>282.83999999999997</v>
      </c>
      <c r="P913" s="2" t="s">
        <v>55</v>
      </c>
      <c r="Q913" s="16"/>
    </row>
    <row r="914" spans="1:17" x14ac:dyDescent="0.3">
      <c r="A914" s="10">
        <v>21733</v>
      </c>
      <c r="B914" s="2" t="s">
        <v>4265</v>
      </c>
      <c r="C914" s="13">
        <v>5681</v>
      </c>
      <c r="D914" s="2" t="s">
        <v>44</v>
      </c>
      <c r="E914" s="14">
        <v>45040</v>
      </c>
      <c r="F914" s="10" t="s">
        <v>1378</v>
      </c>
      <c r="G914" s="25">
        <v>45046</v>
      </c>
      <c r="H914" s="10" t="s">
        <v>2696</v>
      </c>
      <c r="I914" s="10" t="s">
        <v>2697</v>
      </c>
      <c r="J914" s="15">
        <v>834339.96</v>
      </c>
      <c r="K914" s="15">
        <v>832286.04288000055</v>
      </c>
      <c r="L914" s="15">
        <v>2053.92</v>
      </c>
      <c r="M914" s="15">
        <v>1770.62</v>
      </c>
      <c r="N914" s="15">
        <v>0</v>
      </c>
      <c r="O914" s="15">
        <v>283.3</v>
      </c>
      <c r="P914" s="2" t="s">
        <v>55</v>
      </c>
      <c r="Q914" s="16"/>
    </row>
    <row r="915" spans="1:17" x14ac:dyDescent="0.3">
      <c r="A915" s="10">
        <v>21733</v>
      </c>
      <c r="B915" s="2" t="s">
        <v>4266</v>
      </c>
      <c r="C915" s="13">
        <v>5548</v>
      </c>
      <c r="D915" s="2" t="s">
        <v>44</v>
      </c>
      <c r="E915" s="14">
        <v>44578</v>
      </c>
      <c r="F915" s="10" t="s">
        <v>2698</v>
      </c>
      <c r="G915" s="25">
        <v>44583</v>
      </c>
      <c r="H915" s="10" t="s">
        <v>2699</v>
      </c>
      <c r="I915" s="10" t="s">
        <v>2700</v>
      </c>
      <c r="J915" s="15">
        <v>997068.24</v>
      </c>
      <c r="K915" s="15">
        <v>995004.05687999981</v>
      </c>
      <c r="L915" s="15">
        <v>2064.1799999999998</v>
      </c>
      <c r="M915" s="15">
        <v>1779.47</v>
      </c>
      <c r="N915" s="15">
        <v>0</v>
      </c>
      <c r="O915" s="15">
        <v>284.70999999999998</v>
      </c>
      <c r="P915" s="2" t="s">
        <v>55</v>
      </c>
      <c r="Q915" s="16"/>
    </row>
    <row r="916" spans="1:17" x14ac:dyDescent="0.3">
      <c r="A916" s="10">
        <v>21733</v>
      </c>
      <c r="B916" s="2" t="s">
        <v>4267</v>
      </c>
      <c r="C916" s="13">
        <v>5556</v>
      </c>
      <c r="D916" s="2" t="s">
        <v>44</v>
      </c>
      <c r="E916" s="14">
        <v>44657</v>
      </c>
      <c r="F916" s="10" t="s">
        <v>2701</v>
      </c>
      <c r="G916" s="25">
        <v>44663</v>
      </c>
      <c r="H916" s="10" t="s">
        <v>2702</v>
      </c>
      <c r="I916" s="10" t="s">
        <v>2703</v>
      </c>
      <c r="J916" s="15">
        <v>113104.9</v>
      </c>
      <c r="K916" s="15">
        <v>111013.55207999998</v>
      </c>
      <c r="L916" s="15">
        <v>2091.35</v>
      </c>
      <c r="M916" s="15">
        <v>1802.89</v>
      </c>
      <c r="N916" s="15">
        <v>0</v>
      </c>
      <c r="O916" s="15">
        <v>288.45999999999998</v>
      </c>
      <c r="P916" s="2" t="s">
        <v>55</v>
      </c>
      <c r="Q916" s="16"/>
    </row>
    <row r="917" spans="1:17" x14ac:dyDescent="0.3">
      <c r="A917" s="10">
        <v>21733</v>
      </c>
      <c r="B917" s="2" t="s">
        <v>4268</v>
      </c>
      <c r="C917" s="13">
        <v>5537</v>
      </c>
      <c r="D917" s="2" t="s">
        <v>44</v>
      </c>
      <c r="E917" s="14">
        <v>44515</v>
      </c>
      <c r="F917" s="10" t="s">
        <v>2704</v>
      </c>
      <c r="G917" s="25">
        <v>44520</v>
      </c>
      <c r="H917" s="10" t="s">
        <v>2705</v>
      </c>
      <c r="I917" s="10" t="s">
        <v>2706</v>
      </c>
      <c r="J917" s="15">
        <v>519199.55</v>
      </c>
      <c r="K917" s="15">
        <v>517087.88255999982</v>
      </c>
      <c r="L917" s="15">
        <v>2111.67</v>
      </c>
      <c r="M917" s="15">
        <v>1820.4</v>
      </c>
      <c r="N917" s="15">
        <v>0</v>
      </c>
      <c r="O917" s="15">
        <v>291.26</v>
      </c>
      <c r="P917" s="2" t="s">
        <v>55</v>
      </c>
      <c r="Q917" s="16"/>
    </row>
    <row r="918" spans="1:17" x14ac:dyDescent="0.3">
      <c r="A918" s="10">
        <v>21733</v>
      </c>
      <c r="B918" s="2" t="s">
        <v>4269</v>
      </c>
      <c r="C918" s="13">
        <v>5557</v>
      </c>
      <c r="D918" s="2" t="s">
        <v>44</v>
      </c>
      <c r="E918" s="14">
        <v>44942</v>
      </c>
      <c r="F918" s="10" t="s">
        <v>2707</v>
      </c>
      <c r="G918" s="25">
        <v>44947</v>
      </c>
      <c r="H918" s="10" t="s">
        <v>2708</v>
      </c>
      <c r="I918" s="10" t="s">
        <v>2709</v>
      </c>
      <c r="J918" s="15">
        <v>950880.87</v>
      </c>
      <c r="K918" s="15">
        <v>948762.2623200001</v>
      </c>
      <c r="L918" s="15">
        <v>2118.61</v>
      </c>
      <c r="M918" s="15">
        <v>1826.39</v>
      </c>
      <c r="N918" s="15">
        <v>0</v>
      </c>
      <c r="O918" s="15">
        <v>292.22000000000003</v>
      </c>
      <c r="P918" s="2" t="s">
        <v>55</v>
      </c>
      <c r="Q918" s="16"/>
    </row>
    <row r="919" spans="1:17" x14ac:dyDescent="0.3">
      <c r="A919" s="10">
        <v>21733</v>
      </c>
      <c r="B919" s="2" t="s">
        <v>4270</v>
      </c>
      <c r="C919" s="13">
        <v>5548</v>
      </c>
      <c r="D919" s="2" t="s">
        <v>44</v>
      </c>
      <c r="E919" s="14">
        <v>44326</v>
      </c>
      <c r="F919" s="10" t="s">
        <v>2710</v>
      </c>
      <c r="G919" s="25">
        <v>44330</v>
      </c>
      <c r="H919" s="10" t="s">
        <v>2711</v>
      </c>
      <c r="I919" s="10" t="s">
        <v>2712</v>
      </c>
      <c r="J919" s="15">
        <v>1207170.1200000001</v>
      </c>
      <c r="K919" s="15">
        <v>1205040.4765200003</v>
      </c>
      <c r="L919" s="15">
        <v>2129.64</v>
      </c>
      <c r="M919" s="15">
        <v>1835.9</v>
      </c>
      <c r="N919" s="15">
        <v>0</v>
      </c>
      <c r="O919" s="15">
        <v>293.74</v>
      </c>
      <c r="P919" s="2" t="s">
        <v>55</v>
      </c>
      <c r="Q919" s="16"/>
    </row>
    <row r="920" spans="1:17" x14ac:dyDescent="0.3">
      <c r="A920" s="10">
        <v>21733</v>
      </c>
      <c r="B920" s="2" t="s">
        <v>4271</v>
      </c>
      <c r="C920" s="13">
        <v>5681</v>
      </c>
      <c r="D920" s="2" t="s">
        <v>44</v>
      </c>
      <c r="E920" s="14">
        <v>44537</v>
      </c>
      <c r="F920" s="10" t="s">
        <v>1337</v>
      </c>
      <c r="G920" s="25">
        <v>44548</v>
      </c>
      <c r="H920" s="10" t="s">
        <v>2713</v>
      </c>
      <c r="I920" s="10" t="s">
        <v>2714</v>
      </c>
      <c r="J920" s="15">
        <v>175880.95999999999</v>
      </c>
      <c r="K920" s="15">
        <v>173741.38031999997</v>
      </c>
      <c r="L920" s="15">
        <v>2139.58</v>
      </c>
      <c r="M920" s="15">
        <v>1844.47</v>
      </c>
      <c r="N920" s="15">
        <v>0</v>
      </c>
      <c r="O920" s="15">
        <v>295.11</v>
      </c>
      <c r="P920" s="2" t="s">
        <v>55</v>
      </c>
      <c r="Q920" s="16"/>
    </row>
    <row r="921" spans="1:17" x14ac:dyDescent="0.3">
      <c r="A921" s="10">
        <v>21733</v>
      </c>
      <c r="B921" s="2" t="s">
        <v>4272</v>
      </c>
      <c r="C921" s="13">
        <v>5548</v>
      </c>
      <c r="D921" s="2" t="s">
        <v>44</v>
      </c>
      <c r="E921" s="14">
        <v>44683</v>
      </c>
      <c r="F921" s="10" t="s">
        <v>2715</v>
      </c>
      <c r="G921" s="25">
        <v>44687</v>
      </c>
      <c r="H921" s="10" t="s">
        <v>2716</v>
      </c>
      <c r="I921" s="10" t="s">
        <v>2717</v>
      </c>
      <c r="J921" s="15">
        <v>1222222.5</v>
      </c>
      <c r="K921" s="15">
        <v>1220080.7152</v>
      </c>
      <c r="L921" s="15">
        <v>2141.7800000000002</v>
      </c>
      <c r="M921" s="15">
        <v>1846.37</v>
      </c>
      <c r="N921" s="15">
        <v>0</v>
      </c>
      <c r="O921" s="15">
        <v>295.42</v>
      </c>
      <c r="P921" s="2" t="s">
        <v>55</v>
      </c>
      <c r="Q921" s="16"/>
    </row>
    <row r="922" spans="1:17" x14ac:dyDescent="0.3">
      <c r="A922" s="10">
        <v>21733</v>
      </c>
      <c r="B922" s="2" t="s">
        <v>4273</v>
      </c>
      <c r="C922" s="13">
        <v>5548</v>
      </c>
      <c r="D922" s="2" t="s">
        <v>44</v>
      </c>
      <c r="E922" s="14">
        <v>44361</v>
      </c>
      <c r="F922" s="10" t="s">
        <v>2718</v>
      </c>
      <c r="G922" s="25">
        <v>44366</v>
      </c>
      <c r="H922" s="10" t="s">
        <v>2719</v>
      </c>
      <c r="I922" s="10" t="s">
        <v>2720</v>
      </c>
      <c r="J922" s="15">
        <v>593332.66</v>
      </c>
      <c r="K922" s="15">
        <v>591189.58736</v>
      </c>
      <c r="L922" s="15">
        <v>2143.0700000000002</v>
      </c>
      <c r="M922" s="15">
        <v>1847.48</v>
      </c>
      <c r="N922" s="15">
        <v>0</v>
      </c>
      <c r="O922" s="15">
        <v>295.60000000000002</v>
      </c>
      <c r="P922" s="2" t="s">
        <v>55</v>
      </c>
      <c r="Q922" s="16"/>
    </row>
    <row r="923" spans="1:17" x14ac:dyDescent="0.3">
      <c r="A923" s="10">
        <v>21733</v>
      </c>
      <c r="B923" s="2" t="s">
        <v>4274</v>
      </c>
      <c r="C923" s="13">
        <v>5548</v>
      </c>
      <c r="D923" s="2" t="s">
        <v>44</v>
      </c>
      <c r="E923" s="14">
        <v>44501</v>
      </c>
      <c r="F923" s="10" t="s">
        <v>2721</v>
      </c>
      <c r="G923" s="25">
        <v>44505</v>
      </c>
      <c r="H923" s="10" t="s">
        <v>2722</v>
      </c>
      <c r="I923" s="10" t="s">
        <v>2723</v>
      </c>
      <c r="J923" s="15">
        <v>736688.21</v>
      </c>
      <c r="K923" s="15">
        <v>734506.87860000017</v>
      </c>
      <c r="L923" s="15">
        <v>2181.33</v>
      </c>
      <c r="M923" s="15">
        <v>1880.46</v>
      </c>
      <c r="N923" s="15">
        <v>0</v>
      </c>
      <c r="O923" s="15">
        <v>300.87</v>
      </c>
      <c r="P923" s="2" t="s">
        <v>55</v>
      </c>
      <c r="Q923" s="16"/>
    </row>
    <row r="924" spans="1:17" x14ac:dyDescent="0.3">
      <c r="A924" s="10">
        <v>21733</v>
      </c>
      <c r="B924" s="2" t="s">
        <v>4275</v>
      </c>
      <c r="C924" s="13">
        <v>5556</v>
      </c>
      <c r="D924" s="2" t="s">
        <v>44</v>
      </c>
      <c r="E924" s="14">
        <v>44650</v>
      </c>
      <c r="F924" s="10" t="s">
        <v>2724</v>
      </c>
      <c r="G924" s="25">
        <v>44655</v>
      </c>
      <c r="H924" s="10" t="s">
        <v>2725</v>
      </c>
      <c r="I924" s="10" t="s">
        <v>2726</v>
      </c>
      <c r="J924" s="15">
        <v>72977.100000000006</v>
      </c>
      <c r="K924" s="15">
        <v>70782.775440000012</v>
      </c>
      <c r="L924" s="15">
        <v>2194.3200000000002</v>
      </c>
      <c r="M924" s="15">
        <v>1891.66</v>
      </c>
      <c r="N924" s="15">
        <v>0</v>
      </c>
      <c r="O924" s="15">
        <v>302.67</v>
      </c>
      <c r="P924" s="2" t="s">
        <v>55</v>
      </c>
      <c r="Q924" s="16"/>
    </row>
    <row r="925" spans="1:17" x14ac:dyDescent="0.3">
      <c r="A925" s="10">
        <v>21733</v>
      </c>
      <c r="B925" s="2" t="s">
        <v>4276</v>
      </c>
      <c r="C925" s="13">
        <v>5549</v>
      </c>
      <c r="D925" s="2" t="s">
        <v>44</v>
      </c>
      <c r="E925" s="14">
        <v>44326</v>
      </c>
      <c r="F925" s="10" t="s">
        <v>2727</v>
      </c>
      <c r="G925" s="25">
        <v>44330</v>
      </c>
      <c r="H925" s="10" t="s">
        <v>2728</v>
      </c>
      <c r="I925" s="10" t="s">
        <v>2729</v>
      </c>
      <c r="J925" s="15">
        <v>253371.09</v>
      </c>
      <c r="K925" s="15">
        <v>251174.19448000001</v>
      </c>
      <c r="L925" s="15">
        <v>2196.9</v>
      </c>
      <c r="M925" s="15">
        <v>1893.88</v>
      </c>
      <c r="N925" s="15">
        <v>0</v>
      </c>
      <c r="O925" s="15">
        <v>303.02</v>
      </c>
      <c r="P925" s="2" t="s">
        <v>55</v>
      </c>
      <c r="Q925" s="16"/>
    </row>
    <row r="926" spans="1:17" x14ac:dyDescent="0.3">
      <c r="A926" s="10">
        <v>21733</v>
      </c>
      <c r="B926" s="2" t="s">
        <v>4277</v>
      </c>
      <c r="C926" s="13">
        <v>5556</v>
      </c>
      <c r="D926" s="2" t="s">
        <v>44</v>
      </c>
      <c r="E926" s="14">
        <v>44811</v>
      </c>
      <c r="F926" s="10" t="s">
        <v>2730</v>
      </c>
      <c r="G926" s="25">
        <v>44819</v>
      </c>
      <c r="H926" s="10" t="s">
        <v>2731</v>
      </c>
      <c r="I926" s="10" t="s">
        <v>2732</v>
      </c>
      <c r="J926" s="15">
        <v>246840.18</v>
      </c>
      <c r="K926" s="15">
        <v>244612.89228000003</v>
      </c>
      <c r="L926" s="15">
        <v>2227.29</v>
      </c>
      <c r="M926" s="15">
        <v>1920.08</v>
      </c>
      <c r="N926" s="15">
        <v>0</v>
      </c>
      <c r="O926" s="15">
        <v>307.20999999999998</v>
      </c>
      <c r="P926" s="2" t="s">
        <v>55</v>
      </c>
      <c r="Q926" s="16"/>
    </row>
    <row r="927" spans="1:17" x14ac:dyDescent="0.3">
      <c r="A927" s="10">
        <v>21733</v>
      </c>
      <c r="B927" s="2" t="s">
        <v>4278</v>
      </c>
      <c r="C927" s="13">
        <v>5549</v>
      </c>
      <c r="D927" s="2" t="s">
        <v>44</v>
      </c>
      <c r="E927" s="14">
        <v>44816</v>
      </c>
      <c r="F927" s="10" t="s">
        <v>2733</v>
      </c>
      <c r="G927" s="25">
        <v>44822</v>
      </c>
      <c r="H927" s="10" t="s">
        <v>2734</v>
      </c>
      <c r="I927" s="10" t="s">
        <v>2735</v>
      </c>
      <c r="J927" s="15">
        <v>857393.99</v>
      </c>
      <c r="K927" s="15">
        <v>855163.02928000002</v>
      </c>
      <c r="L927" s="15">
        <v>2230.96</v>
      </c>
      <c r="M927" s="15">
        <v>1923.24</v>
      </c>
      <c r="N927" s="15">
        <v>0</v>
      </c>
      <c r="O927" s="15">
        <v>307.72000000000003</v>
      </c>
      <c r="P927" s="2" t="s">
        <v>55</v>
      </c>
      <c r="Q927" s="16"/>
    </row>
    <row r="928" spans="1:17" x14ac:dyDescent="0.3">
      <c r="A928" s="10">
        <v>21733</v>
      </c>
      <c r="B928" s="2" t="s">
        <v>4279</v>
      </c>
      <c r="C928" s="13">
        <v>5681</v>
      </c>
      <c r="D928" s="2" t="s">
        <v>44</v>
      </c>
      <c r="E928" s="14">
        <v>44537</v>
      </c>
      <c r="F928" s="10" t="s">
        <v>1337</v>
      </c>
      <c r="G928" s="25">
        <v>44547</v>
      </c>
      <c r="H928" s="10" t="s">
        <v>2736</v>
      </c>
      <c r="I928" s="10" t="s">
        <v>2737</v>
      </c>
      <c r="J928" s="15">
        <v>1308911.77</v>
      </c>
      <c r="K928" s="15">
        <v>1306678.0351199999</v>
      </c>
      <c r="L928" s="15">
        <v>2233.73</v>
      </c>
      <c r="M928" s="15">
        <v>1925.63</v>
      </c>
      <c r="N928" s="15">
        <v>0</v>
      </c>
      <c r="O928" s="15">
        <v>308.10000000000002</v>
      </c>
      <c r="P928" s="2" t="s">
        <v>55</v>
      </c>
      <c r="Q928" s="16"/>
    </row>
    <row r="929" spans="1:17" x14ac:dyDescent="0.3">
      <c r="A929" s="10">
        <v>21733</v>
      </c>
      <c r="B929" s="2" t="s">
        <v>4280</v>
      </c>
      <c r="C929" s="13">
        <v>5548</v>
      </c>
      <c r="D929" s="2" t="s">
        <v>44</v>
      </c>
      <c r="E929" s="14">
        <v>44382</v>
      </c>
      <c r="F929" s="10" t="s">
        <v>2738</v>
      </c>
      <c r="G929" s="25">
        <v>44389</v>
      </c>
      <c r="H929" s="10" t="s">
        <v>2739</v>
      </c>
      <c r="I929" s="10" t="s">
        <v>2740</v>
      </c>
      <c r="J929" s="15">
        <v>458583.82</v>
      </c>
      <c r="K929" s="15">
        <v>456347.25031999999</v>
      </c>
      <c r="L929" s="15">
        <v>2236.5700000000002</v>
      </c>
      <c r="M929" s="15">
        <v>1928.08</v>
      </c>
      <c r="N929" s="15">
        <v>0</v>
      </c>
      <c r="O929" s="15">
        <v>308.49</v>
      </c>
      <c r="P929" s="2" t="s">
        <v>55</v>
      </c>
      <c r="Q929" s="16"/>
    </row>
    <row r="930" spans="1:17" x14ac:dyDescent="0.3">
      <c r="A930" s="10">
        <v>21733</v>
      </c>
      <c r="B930" s="2" t="s">
        <v>4281</v>
      </c>
      <c r="C930" s="13">
        <v>5548</v>
      </c>
      <c r="D930" s="2" t="s">
        <v>44</v>
      </c>
      <c r="E930" s="14">
        <v>44732</v>
      </c>
      <c r="F930" s="10" t="s">
        <v>2741</v>
      </c>
      <c r="G930" s="25">
        <v>44737</v>
      </c>
      <c r="H930" s="10" t="s">
        <v>2742</v>
      </c>
      <c r="I930" s="10" t="s">
        <v>2743</v>
      </c>
      <c r="J930" s="15">
        <v>1135301.3500000001</v>
      </c>
      <c r="K930" s="15">
        <v>1133037.8276800006</v>
      </c>
      <c r="L930" s="15">
        <v>2263.52</v>
      </c>
      <c r="M930" s="15">
        <v>1951.31</v>
      </c>
      <c r="N930" s="15">
        <v>0</v>
      </c>
      <c r="O930" s="15">
        <v>312.20999999999998</v>
      </c>
      <c r="P930" s="2" t="s">
        <v>55</v>
      </c>
      <c r="Q930" s="16"/>
    </row>
    <row r="931" spans="1:17" x14ac:dyDescent="0.3">
      <c r="A931" s="10">
        <v>21733</v>
      </c>
      <c r="B931" s="2" t="s">
        <v>4282</v>
      </c>
      <c r="C931" s="13">
        <v>5681</v>
      </c>
      <c r="D931" s="2" t="s">
        <v>44</v>
      </c>
      <c r="E931" s="14">
        <v>44389</v>
      </c>
      <c r="F931" s="10" t="s">
        <v>2744</v>
      </c>
      <c r="G931" s="25">
        <v>44394</v>
      </c>
      <c r="H931" s="10" t="s">
        <v>2745</v>
      </c>
      <c r="I931" s="10" t="s">
        <v>2746</v>
      </c>
      <c r="J931" s="15">
        <v>415828.81</v>
      </c>
      <c r="K931" s="15">
        <v>413562.91347999999</v>
      </c>
      <c r="L931" s="15">
        <v>2265.9</v>
      </c>
      <c r="M931" s="15">
        <v>1953.36</v>
      </c>
      <c r="N931" s="15">
        <v>0</v>
      </c>
      <c r="O931" s="15">
        <v>312.54000000000002</v>
      </c>
      <c r="P931" s="2" t="s">
        <v>55</v>
      </c>
      <c r="Q931" s="16"/>
    </row>
    <row r="932" spans="1:17" x14ac:dyDescent="0.3">
      <c r="A932" s="10">
        <v>21733</v>
      </c>
      <c r="B932" s="2" t="s">
        <v>4283</v>
      </c>
      <c r="C932" s="13">
        <v>5548</v>
      </c>
      <c r="D932" s="2" t="s">
        <v>44</v>
      </c>
      <c r="E932" s="14">
        <v>44592</v>
      </c>
      <c r="F932" s="10" t="s">
        <v>2747</v>
      </c>
      <c r="G932" s="25">
        <v>44596</v>
      </c>
      <c r="H932" s="10" t="s">
        <v>2748</v>
      </c>
      <c r="I932" s="10" t="s">
        <v>2749</v>
      </c>
      <c r="J932" s="15">
        <v>1098370.68</v>
      </c>
      <c r="K932" s="15">
        <v>1096094.2114800003</v>
      </c>
      <c r="L932" s="15">
        <v>2276.4699999999998</v>
      </c>
      <c r="M932" s="15">
        <v>1962.47</v>
      </c>
      <c r="N932" s="15">
        <v>0</v>
      </c>
      <c r="O932" s="15">
        <v>314</v>
      </c>
      <c r="P932" s="2" t="s">
        <v>55</v>
      </c>
      <c r="Q932" s="16"/>
    </row>
    <row r="933" spans="1:17" x14ac:dyDescent="0.3">
      <c r="A933" s="10">
        <v>21733</v>
      </c>
      <c r="B933" s="2" t="s">
        <v>4284</v>
      </c>
      <c r="C933" s="13">
        <v>5557</v>
      </c>
      <c r="D933" s="2" t="s">
        <v>44</v>
      </c>
      <c r="E933" s="14">
        <v>45054</v>
      </c>
      <c r="F933" s="10" t="s">
        <v>2750</v>
      </c>
      <c r="G933" s="25">
        <v>45059</v>
      </c>
      <c r="H933" s="10" t="s">
        <v>2751</v>
      </c>
      <c r="I933" s="10" t="s">
        <v>2752</v>
      </c>
      <c r="J933" s="15">
        <v>1034088.73</v>
      </c>
      <c r="K933" s="15">
        <v>1031779.41044</v>
      </c>
      <c r="L933" s="15">
        <v>2309.3200000000002</v>
      </c>
      <c r="M933" s="15">
        <v>1990.79</v>
      </c>
      <c r="N933" s="15">
        <v>0</v>
      </c>
      <c r="O933" s="15">
        <v>318.52999999999997</v>
      </c>
      <c r="P933" s="2" t="s">
        <v>55</v>
      </c>
      <c r="Q933" s="16"/>
    </row>
    <row r="934" spans="1:17" x14ac:dyDescent="0.3">
      <c r="A934" s="10">
        <v>21733</v>
      </c>
      <c r="B934" s="2" t="s">
        <v>4285</v>
      </c>
      <c r="C934" s="13">
        <v>5681</v>
      </c>
      <c r="D934" s="2" t="s">
        <v>44</v>
      </c>
      <c r="E934" s="14">
        <v>44515</v>
      </c>
      <c r="F934" s="10" t="s">
        <v>2753</v>
      </c>
      <c r="G934" s="25">
        <v>44520</v>
      </c>
      <c r="H934" s="10" t="s">
        <v>2754</v>
      </c>
      <c r="I934" s="10" t="s">
        <v>2755</v>
      </c>
      <c r="J934" s="15">
        <v>479145.12</v>
      </c>
      <c r="K934" s="15">
        <v>476834.91396000003</v>
      </c>
      <c r="L934" s="15">
        <v>2310.21</v>
      </c>
      <c r="M934" s="15">
        <v>1991.56</v>
      </c>
      <c r="N934" s="15">
        <v>0</v>
      </c>
      <c r="O934" s="15">
        <v>318.64999999999998</v>
      </c>
      <c r="P934" s="2" t="s">
        <v>55</v>
      </c>
      <c r="Q934" s="16"/>
    </row>
    <row r="935" spans="1:17" x14ac:dyDescent="0.3">
      <c r="A935" s="10">
        <v>21733</v>
      </c>
      <c r="B935" s="2" t="s">
        <v>4286</v>
      </c>
      <c r="C935" s="13">
        <v>5681</v>
      </c>
      <c r="D935" s="2" t="s">
        <v>44</v>
      </c>
      <c r="E935" s="14">
        <v>44564</v>
      </c>
      <c r="F935" s="10" t="s">
        <v>2756</v>
      </c>
      <c r="G935" s="25">
        <v>44569</v>
      </c>
      <c r="H935" s="10" t="s">
        <v>2757</v>
      </c>
      <c r="I935" s="10" t="s">
        <v>2758</v>
      </c>
      <c r="J935" s="15">
        <v>492050.21</v>
      </c>
      <c r="K935" s="15">
        <v>489737.75984000001</v>
      </c>
      <c r="L935" s="15">
        <v>2312.4499999999998</v>
      </c>
      <c r="M935" s="15">
        <v>1993.49</v>
      </c>
      <c r="N935" s="15">
        <v>0</v>
      </c>
      <c r="O935" s="15">
        <v>318.95999999999998</v>
      </c>
      <c r="P935" s="2" t="s">
        <v>55</v>
      </c>
      <c r="Q935" s="16"/>
    </row>
    <row r="936" spans="1:17" x14ac:dyDescent="0.3">
      <c r="A936" s="10">
        <v>21733</v>
      </c>
      <c r="B936" s="2" t="s">
        <v>4287</v>
      </c>
      <c r="C936" s="13">
        <v>5681</v>
      </c>
      <c r="D936" s="2" t="s">
        <v>44</v>
      </c>
      <c r="E936" s="14">
        <v>44382</v>
      </c>
      <c r="F936" s="10" t="s">
        <v>2759</v>
      </c>
      <c r="G936" s="25">
        <v>44387</v>
      </c>
      <c r="H936" s="10" t="s">
        <v>2760</v>
      </c>
      <c r="I936" s="10" t="s">
        <v>2761</v>
      </c>
      <c r="J936" s="15">
        <v>800508.16</v>
      </c>
      <c r="K936" s="15">
        <v>798159.44839999999</v>
      </c>
      <c r="L936" s="15">
        <v>2348.71</v>
      </c>
      <c r="M936" s="15">
        <v>2024.75</v>
      </c>
      <c r="N936" s="15">
        <v>0</v>
      </c>
      <c r="O936" s="15">
        <v>323.95999999999998</v>
      </c>
      <c r="P936" s="2" t="s">
        <v>55</v>
      </c>
      <c r="Q936" s="16"/>
    </row>
    <row r="937" spans="1:17" x14ac:dyDescent="0.3">
      <c r="A937" s="10">
        <v>21733</v>
      </c>
      <c r="B937" s="2" t="s">
        <v>4288</v>
      </c>
      <c r="C937" s="13">
        <v>5537</v>
      </c>
      <c r="D937" s="2" t="s">
        <v>44</v>
      </c>
      <c r="E937" s="14">
        <v>44529</v>
      </c>
      <c r="F937" s="10" t="s">
        <v>2762</v>
      </c>
      <c r="G937" s="25">
        <v>44533</v>
      </c>
      <c r="H937" s="10" t="s">
        <v>2763</v>
      </c>
      <c r="I937" s="10" t="s">
        <v>2764</v>
      </c>
      <c r="J937" s="15">
        <v>360986.29</v>
      </c>
      <c r="K937" s="15">
        <v>358626.72171999974</v>
      </c>
      <c r="L937" s="15">
        <v>2359.5700000000002</v>
      </c>
      <c r="M937" s="15">
        <v>2034.11</v>
      </c>
      <c r="N937" s="15">
        <v>0</v>
      </c>
      <c r="O937" s="15">
        <v>325.45999999999998</v>
      </c>
      <c r="P937" s="2" t="s">
        <v>55</v>
      </c>
      <c r="Q937" s="16"/>
    </row>
    <row r="938" spans="1:17" x14ac:dyDescent="0.3">
      <c r="A938" s="10">
        <v>21733</v>
      </c>
      <c r="B938" s="2" t="s">
        <v>4289</v>
      </c>
      <c r="C938" s="13">
        <v>5557</v>
      </c>
      <c r="D938" s="2" t="s">
        <v>44</v>
      </c>
      <c r="E938" s="14">
        <v>45047</v>
      </c>
      <c r="F938" s="10" t="s">
        <v>2765</v>
      </c>
      <c r="G938" s="25">
        <v>45051</v>
      </c>
      <c r="H938" s="10" t="s">
        <v>2766</v>
      </c>
      <c r="I938" s="10" t="s">
        <v>2767</v>
      </c>
      <c r="J938" s="15">
        <v>1227625.3600000001</v>
      </c>
      <c r="K938" s="15">
        <v>1225254.9868400001</v>
      </c>
      <c r="L938" s="15">
        <v>2370.37</v>
      </c>
      <c r="M938" s="15">
        <v>2043.43</v>
      </c>
      <c r="N938" s="15">
        <v>0</v>
      </c>
      <c r="O938" s="15">
        <v>326.95</v>
      </c>
      <c r="P938" s="2" t="s">
        <v>55</v>
      </c>
      <c r="Q938" s="16"/>
    </row>
    <row r="939" spans="1:17" x14ac:dyDescent="0.3">
      <c r="A939" s="10">
        <v>21733</v>
      </c>
      <c r="B939" s="2" t="s">
        <v>4290</v>
      </c>
      <c r="C939" s="13">
        <v>5557</v>
      </c>
      <c r="D939" s="2" t="s">
        <v>44</v>
      </c>
      <c r="E939" s="14">
        <v>44726</v>
      </c>
      <c r="F939" s="10" t="s">
        <v>1796</v>
      </c>
      <c r="G939" s="25">
        <v>44737</v>
      </c>
      <c r="H939" s="10" t="s">
        <v>2768</v>
      </c>
      <c r="I939" s="10" t="s">
        <v>2769</v>
      </c>
      <c r="J939" s="15">
        <v>1162145.79</v>
      </c>
      <c r="K939" s="15">
        <v>1159769.55904</v>
      </c>
      <c r="L939" s="15">
        <v>2376.23</v>
      </c>
      <c r="M939" s="15">
        <v>2048.4699999999998</v>
      </c>
      <c r="N939" s="15">
        <v>0</v>
      </c>
      <c r="O939" s="15">
        <v>327.76</v>
      </c>
      <c r="P939" s="2" t="s">
        <v>55</v>
      </c>
      <c r="Q939" s="16"/>
    </row>
    <row r="940" spans="1:17" x14ac:dyDescent="0.3">
      <c r="A940" s="10">
        <v>21733</v>
      </c>
      <c r="B940" s="2" t="s">
        <v>4291</v>
      </c>
      <c r="C940" s="13">
        <v>5537</v>
      </c>
      <c r="D940" s="2" t="s">
        <v>44</v>
      </c>
      <c r="E940" s="14">
        <v>44333</v>
      </c>
      <c r="F940" s="10" t="s">
        <v>2770</v>
      </c>
      <c r="G940" s="25">
        <v>44338</v>
      </c>
      <c r="H940" s="10" t="s">
        <v>2771</v>
      </c>
      <c r="I940" s="10" t="s">
        <v>2772</v>
      </c>
      <c r="J940" s="15">
        <v>382176.66</v>
      </c>
      <c r="K940" s="15">
        <v>379799.14959999989</v>
      </c>
      <c r="L940" s="15">
        <v>2377.5100000000002</v>
      </c>
      <c r="M940" s="15">
        <v>2049.58</v>
      </c>
      <c r="N940" s="15">
        <v>0</v>
      </c>
      <c r="O940" s="15">
        <v>327.93</v>
      </c>
      <c r="P940" s="2" t="s">
        <v>55</v>
      </c>
      <c r="Q940" s="16"/>
    </row>
    <row r="941" spans="1:17" x14ac:dyDescent="0.3">
      <c r="A941" s="10">
        <v>21733</v>
      </c>
      <c r="B941" s="2" t="s">
        <v>4292</v>
      </c>
      <c r="C941" s="13">
        <v>5681</v>
      </c>
      <c r="D941" s="2" t="s">
        <v>44</v>
      </c>
      <c r="E941" s="14">
        <v>45026</v>
      </c>
      <c r="F941" s="10" t="s">
        <v>478</v>
      </c>
      <c r="G941" s="25">
        <v>45036</v>
      </c>
      <c r="H941" s="10" t="s">
        <v>2773</v>
      </c>
      <c r="I941" s="10" t="s">
        <v>2774</v>
      </c>
      <c r="J941" s="15">
        <v>915560.23</v>
      </c>
      <c r="K941" s="15">
        <v>913172.88347999984</v>
      </c>
      <c r="L941" s="15">
        <v>2387.35</v>
      </c>
      <c r="M941" s="15">
        <v>2058.06</v>
      </c>
      <c r="N941" s="15">
        <v>0</v>
      </c>
      <c r="O941" s="15">
        <v>329.29</v>
      </c>
      <c r="P941" s="2" t="s">
        <v>55</v>
      </c>
      <c r="Q941" s="16"/>
    </row>
    <row r="942" spans="1:17" x14ac:dyDescent="0.3">
      <c r="A942" s="10">
        <v>21733</v>
      </c>
      <c r="B942" s="2" t="s">
        <v>4293</v>
      </c>
      <c r="C942" s="13">
        <v>5548</v>
      </c>
      <c r="D942" s="2" t="s">
        <v>44</v>
      </c>
      <c r="E942" s="14">
        <v>44730</v>
      </c>
      <c r="F942" s="10" t="s">
        <v>1734</v>
      </c>
      <c r="G942" s="25">
        <v>44747</v>
      </c>
      <c r="H942" s="10" t="s">
        <v>2775</v>
      </c>
      <c r="I942" s="10" t="s">
        <v>2776</v>
      </c>
      <c r="J942" s="15">
        <v>1076338.6100000001</v>
      </c>
      <c r="K942" s="15">
        <v>1073947.7292800003</v>
      </c>
      <c r="L942" s="15">
        <v>2390.88</v>
      </c>
      <c r="M942" s="15">
        <v>2061.1</v>
      </c>
      <c r="N942" s="15">
        <v>0</v>
      </c>
      <c r="O942" s="15">
        <v>329.78</v>
      </c>
      <c r="P942" s="2" t="s">
        <v>55</v>
      </c>
      <c r="Q942" s="16"/>
    </row>
    <row r="943" spans="1:17" x14ac:dyDescent="0.3">
      <c r="A943" s="10">
        <v>21733</v>
      </c>
      <c r="B943" s="2" t="s">
        <v>4294</v>
      </c>
      <c r="C943" s="13">
        <v>5549</v>
      </c>
      <c r="D943" s="2" t="s">
        <v>44</v>
      </c>
      <c r="E943" s="14">
        <v>44739</v>
      </c>
      <c r="F943" s="10" t="s">
        <v>2655</v>
      </c>
      <c r="G943" s="25">
        <v>44755</v>
      </c>
      <c r="H943" s="10" t="s">
        <v>2777</v>
      </c>
      <c r="I943" s="10" t="s">
        <v>2778</v>
      </c>
      <c r="J943" s="15">
        <v>526758.80000000005</v>
      </c>
      <c r="K943" s="15">
        <v>524353.04607999988</v>
      </c>
      <c r="L943" s="15">
        <v>2405.75</v>
      </c>
      <c r="M943" s="15">
        <v>2073.9299999999998</v>
      </c>
      <c r="N943" s="15">
        <v>0</v>
      </c>
      <c r="O943" s="15">
        <v>331.83</v>
      </c>
      <c r="P943" s="2" t="s">
        <v>55</v>
      </c>
      <c r="Q943" s="16"/>
    </row>
    <row r="944" spans="1:17" x14ac:dyDescent="0.3">
      <c r="A944" s="10">
        <v>21733</v>
      </c>
      <c r="B944" s="2" t="s">
        <v>4295</v>
      </c>
      <c r="C944" s="13">
        <v>5557</v>
      </c>
      <c r="D944" s="2" t="s">
        <v>44</v>
      </c>
      <c r="E944" s="14">
        <v>44816</v>
      </c>
      <c r="F944" s="10" t="s">
        <v>2779</v>
      </c>
      <c r="G944" s="25">
        <v>44821</v>
      </c>
      <c r="H944" s="10" t="s">
        <v>2780</v>
      </c>
      <c r="I944" s="10" t="s">
        <v>2781</v>
      </c>
      <c r="J944" s="15">
        <v>1272136.6000000001</v>
      </c>
      <c r="K944" s="15">
        <v>1269690.0338400002</v>
      </c>
      <c r="L944" s="15">
        <v>2446.5700000000002</v>
      </c>
      <c r="M944" s="15">
        <v>2109.11</v>
      </c>
      <c r="N944" s="15">
        <v>0</v>
      </c>
      <c r="O944" s="15">
        <v>337.46</v>
      </c>
      <c r="P944" s="2" t="s">
        <v>55</v>
      </c>
      <c r="Q944" s="16"/>
    </row>
    <row r="945" spans="1:17" x14ac:dyDescent="0.3">
      <c r="A945" s="10">
        <v>21733</v>
      </c>
      <c r="B945" s="2" t="s">
        <v>4296</v>
      </c>
      <c r="C945" s="13">
        <v>5557</v>
      </c>
      <c r="D945" s="2" t="s">
        <v>44</v>
      </c>
      <c r="E945" s="14">
        <v>44711</v>
      </c>
      <c r="F945" s="10" t="s">
        <v>2782</v>
      </c>
      <c r="G945" s="25">
        <v>44717</v>
      </c>
      <c r="H945" s="10" t="s">
        <v>2783</v>
      </c>
      <c r="I945" s="10" t="s">
        <v>2784</v>
      </c>
      <c r="J945" s="15">
        <v>204251.13</v>
      </c>
      <c r="K945" s="15">
        <v>201790.14784000005</v>
      </c>
      <c r="L945" s="15">
        <v>2460.98</v>
      </c>
      <c r="M945" s="15">
        <v>2121.54</v>
      </c>
      <c r="N945" s="15">
        <v>0</v>
      </c>
      <c r="O945" s="15">
        <v>339.45</v>
      </c>
      <c r="P945" s="2" t="s">
        <v>55</v>
      </c>
      <c r="Q945" s="16"/>
    </row>
    <row r="946" spans="1:17" x14ac:dyDescent="0.3">
      <c r="A946" s="10">
        <v>21733</v>
      </c>
      <c r="B946" s="2" t="s">
        <v>4297</v>
      </c>
      <c r="C946" s="13">
        <v>5556</v>
      </c>
      <c r="D946" s="2" t="s">
        <v>44</v>
      </c>
      <c r="E946" s="14">
        <v>44524</v>
      </c>
      <c r="F946" s="10" t="s">
        <v>2785</v>
      </c>
      <c r="G946" s="25">
        <v>44530</v>
      </c>
      <c r="H946" s="10" t="s">
        <v>2786</v>
      </c>
      <c r="I946" s="10" t="s">
        <v>2787</v>
      </c>
      <c r="J946" s="15">
        <v>204095.17</v>
      </c>
      <c r="K946" s="15">
        <v>201632.91679999995</v>
      </c>
      <c r="L946" s="15">
        <v>2462.25</v>
      </c>
      <c r="M946" s="15">
        <v>2122.63</v>
      </c>
      <c r="N946" s="15">
        <v>0</v>
      </c>
      <c r="O946" s="15">
        <v>339.62</v>
      </c>
      <c r="P946" s="2" t="s">
        <v>55</v>
      </c>
      <c r="Q946" s="16"/>
    </row>
    <row r="947" spans="1:17" x14ac:dyDescent="0.3">
      <c r="A947" s="10">
        <v>21733</v>
      </c>
      <c r="B947" s="2" t="s">
        <v>4298</v>
      </c>
      <c r="C947" s="13">
        <v>5681</v>
      </c>
      <c r="D947" s="2" t="s">
        <v>44</v>
      </c>
      <c r="E947" s="14">
        <v>44991</v>
      </c>
      <c r="F947" s="10" t="s">
        <v>2788</v>
      </c>
      <c r="G947" s="25">
        <v>44998</v>
      </c>
      <c r="H947" s="10" t="s">
        <v>2789</v>
      </c>
      <c r="I947" s="10" t="s">
        <v>2790</v>
      </c>
      <c r="J947" s="15">
        <v>989229.12</v>
      </c>
      <c r="K947" s="15">
        <v>986753.84920000017</v>
      </c>
      <c r="L947" s="15">
        <v>2475.27</v>
      </c>
      <c r="M947" s="15">
        <v>2133.85</v>
      </c>
      <c r="N947" s="15">
        <v>0</v>
      </c>
      <c r="O947" s="15">
        <v>341.42</v>
      </c>
      <c r="P947" s="2" t="s">
        <v>55</v>
      </c>
      <c r="Q947" s="16"/>
    </row>
    <row r="948" spans="1:17" x14ac:dyDescent="0.3">
      <c r="A948" s="10">
        <v>21733</v>
      </c>
      <c r="B948" s="2" t="s">
        <v>4299</v>
      </c>
      <c r="C948" s="13">
        <v>5548</v>
      </c>
      <c r="D948" s="2" t="s">
        <v>44</v>
      </c>
      <c r="E948" s="14">
        <v>44382</v>
      </c>
      <c r="F948" s="10" t="s">
        <v>1841</v>
      </c>
      <c r="G948" s="25">
        <v>44386</v>
      </c>
      <c r="H948" s="10" t="s">
        <v>2791</v>
      </c>
      <c r="I948" s="10" t="s">
        <v>2792</v>
      </c>
      <c r="J948" s="15">
        <v>702362.89</v>
      </c>
      <c r="K948" s="15">
        <v>699875.04495999997</v>
      </c>
      <c r="L948" s="15">
        <v>2487.85</v>
      </c>
      <c r="M948" s="15">
        <v>2144.69</v>
      </c>
      <c r="N948" s="15">
        <v>0</v>
      </c>
      <c r="O948" s="15">
        <v>343.15</v>
      </c>
      <c r="P948" s="2" t="s">
        <v>55</v>
      </c>
      <c r="Q948" s="16"/>
    </row>
    <row r="949" spans="1:17" x14ac:dyDescent="0.3">
      <c r="A949" s="10">
        <v>21733</v>
      </c>
      <c r="B949" s="2" t="s">
        <v>4300</v>
      </c>
      <c r="C949" s="13">
        <v>5557</v>
      </c>
      <c r="D949" s="2" t="s">
        <v>44</v>
      </c>
      <c r="E949" s="14">
        <v>44676</v>
      </c>
      <c r="F949" s="10" t="s">
        <v>2793</v>
      </c>
      <c r="G949" s="25">
        <v>44681</v>
      </c>
      <c r="H949" s="10" t="s">
        <v>2794</v>
      </c>
      <c r="I949" s="10" t="s">
        <v>2795</v>
      </c>
      <c r="J949" s="15">
        <v>424059.7</v>
      </c>
      <c r="K949" s="15">
        <v>421562.01944000006</v>
      </c>
      <c r="L949" s="15">
        <v>2497.6799999999998</v>
      </c>
      <c r="M949" s="15">
        <v>2153.17</v>
      </c>
      <c r="N949" s="15">
        <v>0</v>
      </c>
      <c r="O949" s="15">
        <v>344.51</v>
      </c>
      <c r="P949" s="2" t="s">
        <v>55</v>
      </c>
      <c r="Q949" s="16"/>
    </row>
    <row r="950" spans="1:17" x14ac:dyDescent="0.3">
      <c r="A950" s="10">
        <v>21733</v>
      </c>
      <c r="B950" s="2" t="s">
        <v>4301</v>
      </c>
      <c r="C950" s="13">
        <v>5549</v>
      </c>
      <c r="D950" s="2" t="s">
        <v>44</v>
      </c>
      <c r="E950" s="14">
        <v>44361</v>
      </c>
      <c r="F950" s="10" t="s">
        <v>2796</v>
      </c>
      <c r="G950" s="25">
        <v>44366</v>
      </c>
      <c r="H950" s="10" t="s">
        <v>2797</v>
      </c>
      <c r="I950" s="10" t="s">
        <v>2798</v>
      </c>
      <c r="J950" s="15">
        <v>986290.99</v>
      </c>
      <c r="K950" s="15">
        <v>983792.95152</v>
      </c>
      <c r="L950" s="15">
        <v>2498.04</v>
      </c>
      <c r="M950" s="15">
        <v>2153.48</v>
      </c>
      <c r="N950" s="15">
        <v>0</v>
      </c>
      <c r="O950" s="15">
        <v>344.56</v>
      </c>
      <c r="P950" s="2" t="s">
        <v>55</v>
      </c>
      <c r="Q950" s="16"/>
    </row>
    <row r="951" spans="1:17" x14ac:dyDescent="0.3">
      <c r="A951" s="10">
        <v>21733</v>
      </c>
      <c r="B951" s="2" t="s">
        <v>4302</v>
      </c>
      <c r="C951" s="13">
        <v>5650</v>
      </c>
      <c r="D951" s="2" t="s">
        <v>886</v>
      </c>
      <c r="E951" s="14">
        <v>44876</v>
      </c>
      <c r="F951" s="10" t="s">
        <v>2799</v>
      </c>
      <c r="G951" s="25">
        <v>44883</v>
      </c>
      <c r="H951" s="10" t="s">
        <v>2800</v>
      </c>
      <c r="I951" s="10" t="s">
        <v>2801</v>
      </c>
      <c r="J951" s="15">
        <v>316046.73</v>
      </c>
      <c r="K951" s="15">
        <v>313545.46424</v>
      </c>
      <c r="L951" s="15">
        <v>2501.27</v>
      </c>
      <c r="M951" s="15">
        <v>2156.2600000000002</v>
      </c>
      <c r="N951" s="15">
        <v>0</v>
      </c>
      <c r="O951" s="15">
        <v>345</v>
      </c>
      <c r="P951" s="2" t="s">
        <v>55</v>
      </c>
      <c r="Q951" s="16"/>
    </row>
    <row r="952" spans="1:17" x14ac:dyDescent="0.3">
      <c r="A952" s="10">
        <v>21733</v>
      </c>
      <c r="B952" s="2" t="s">
        <v>4303</v>
      </c>
      <c r="C952" s="13">
        <v>5537</v>
      </c>
      <c r="D952" s="2" t="s">
        <v>44</v>
      </c>
      <c r="E952" s="14">
        <v>45019</v>
      </c>
      <c r="F952" s="10" t="s">
        <v>2802</v>
      </c>
      <c r="G952" s="25">
        <v>45029</v>
      </c>
      <c r="H952" s="10" t="s">
        <v>2803</v>
      </c>
      <c r="I952" s="10" t="s">
        <v>2804</v>
      </c>
      <c r="J952" s="15">
        <v>1124675.69</v>
      </c>
      <c r="K952" s="15">
        <v>1122169.18796</v>
      </c>
      <c r="L952" s="15">
        <v>2506.5</v>
      </c>
      <c r="M952" s="15">
        <v>2160.7800000000002</v>
      </c>
      <c r="N952" s="15">
        <v>0</v>
      </c>
      <c r="O952" s="15">
        <v>345.72</v>
      </c>
      <c r="P952" s="2" t="s">
        <v>55</v>
      </c>
      <c r="Q952" s="16"/>
    </row>
    <row r="953" spans="1:17" x14ac:dyDescent="0.3">
      <c r="A953" s="10">
        <v>21733</v>
      </c>
      <c r="B953" s="2" t="s">
        <v>4304</v>
      </c>
      <c r="C953" s="13">
        <v>5537</v>
      </c>
      <c r="D953" s="2" t="s">
        <v>44</v>
      </c>
      <c r="E953" s="14">
        <v>44627</v>
      </c>
      <c r="F953" s="10" t="s">
        <v>2805</v>
      </c>
      <c r="G953" s="25">
        <v>44631</v>
      </c>
      <c r="H953" s="10" t="s">
        <v>2806</v>
      </c>
      <c r="I953" s="10" t="s">
        <v>2807</v>
      </c>
      <c r="J953" s="15">
        <v>1002223.42</v>
      </c>
      <c r="K953" s="15">
        <v>999694.37419999985</v>
      </c>
      <c r="L953" s="15">
        <v>2529.0500000000002</v>
      </c>
      <c r="M953" s="15">
        <v>2180.21</v>
      </c>
      <c r="N953" s="15">
        <v>0</v>
      </c>
      <c r="O953" s="15">
        <v>348.83</v>
      </c>
      <c r="P953" s="2" t="s">
        <v>55</v>
      </c>
      <c r="Q953" s="16"/>
    </row>
    <row r="954" spans="1:17" x14ac:dyDescent="0.3">
      <c r="A954" s="10">
        <v>21733</v>
      </c>
      <c r="B954" s="2" t="s">
        <v>4305</v>
      </c>
      <c r="C954" s="13">
        <v>5556</v>
      </c>
      <c r="D954" s="2" t="s">
        <v>44</v>
      </c>
      <c r="E954" s="14">
        <v>44664</v>
      </c>
      <c r="F954" s="10" t="s">
        <v>2808</v>
      </c>
      <c r="G954" s="25">
        <v>44672</v>
      </c>
      <c r="H954" s="10" t="s">
        <v>2809</v>
      </c>
      <c r="I954" s="10" t="s">
        <v>2810</v>
      </c>
      <c r="J954" s="15">
        <v>676868.87</v>
      </c>
      <c r="K954" s="15">
        <v>674331.99344000011</v>
      </c>
      <c r="L954" s="15">
        <v>2536.88</v>
      </c>
      <c r="M954" s="15">
        <v>2186.96</v>
      </c>
      <c r="N954" s="15">
        <v>0</v>
      </c>
      <c r="O954" s="15">
        <v>349.91</v>
      </c>
      <c r="P954" s="2" t="s">
        <v>55</v>
      </c>
      <c r="Q954" s="16"/>
    </row>
    <row r="955" spans="1:17" x14ac:dyDescent="0.3">
      <c r="A955" s="10">
        <v>21733</v>
      </c>
      <c r="B955" s="2" t="s">
        <v>4306</v>
      </c>
      <c r="C955" s="13">
        <v>5681</v>
      </c>
      <c r="D955" s="2" t="s">
        <v>44</v>
      </c>
      <c r="E955" s="14">
        <v>45012</v>
      </c>
      <c r="F955" s="10" t="s">
        <v>732</v>
      </c>
      <c r="G955" s="25">
        <v>45019</v>
      </c>
      <c r="H955" s="10" t="s">
        <v>2811</v>
      </c>
      <c r="I955" s="10" t="s">
        <v>2812</v>
      </c>
      <c r="J955" s="15">
        <v>957120.22</v>
      </c>
      <c r="K955" s="15">
        <v>954571.95180000027</v>
      </c>
      <c r="L955" s="15">
        <v>2548.27</v>
      </c>
      <c r="M955" s="15">
        <v>2196.7800000000002</v>
      </c>
      <c r="N955" s="15">
        <v>0</v>
      </c>
      <c r="O955" s="15">
        <v>351.49</v>
      </c>
      <c r="P955" s="2" t="s">
        <v>55</v>
      </c>
      <c r="Q955" s="16"/>
    </row>
    <row r="956" spans="1:17" x14ac:dyDescent="0.3">
      <c r="A956" s="10">
        <v>21733</v>
      </c>
      <c r="B956" s="2" t="s">
        <v>4307</v>
      </c>
      <c r="C956" s="13">
        <v>5557</v>
      </c>
      <c r="D956" s="2" t="s">
        <v>44</v>
      </c>
      <c r="E956" s="14">
        <v>44683</v>
      </c>
      <c r="F956" s="10" t="s">
        <v>2308</v>
      </c>
      <c r="G956" s="25">
        <v>44687</v>
      </c>
      <c r="H956" s="10" t="s">
        <v>2813</v>
      </c>
      <c r="I956" s="10" t="s">
        <v>2814</v>
      </c>
      <c r="J956" s="15">
        <v>866174.74</v>
      </c>
      <c r="K956" s="15">
        <v>863611.24199999985</v>
      </c>
      <c r="L956" s="15">
        <v>2563.5</v>
      </c>
      <c r="M956" s="15">
        <v>2209.91</v>
      </c>
      <c r="N956" s="15">
        <v>0</v>
      </c>
      <c r="O956" s="15">
        <v>353.59</v>
      </c>
      <c r="P956" s="2" t="s">
        <v>55</v>
      </c>
      <c r="Q956" s="16"/>
    </row>
    <row r="957" spans="1:17" x14ac:dyDescent="0.3">
      <c r="A957" s="10">
        <v>21733</v>
      </c>
      <c r="B957" s="2" t="s">
        <v>4308</v>
      </c>
      <c r="C957" s="13">
        <v>5681</v>
      </c>
      <c r="D957" s="2" t="s">
        <v>44</v>
      </c>
      <c r="E957" s="14">
        <v>44963</v>
      </c>
      <c r="F957" s="10" t="s">
        <v>1074</v>
      </c>
      <c r="G957" s="25">
        <v>44970</v>
      </c>
      <c r="H957" s="10" t="s">
        <v>2815</v>
      </c>
      <c r="I957" s="10" t="s">
        <v>2816</v>
      </c>
      <c r="J957" s="15">
        <v>1131275.3799999999</v>
      </c>
      <c r="K957" s="15">
        <v>1128694.7865199998</v>
      </c>
      <c r="L957" s="15">
        <v>2580.59</v>
      </c>
      <c r="M957" s="15">
        <v>2224.65</v>
      </c>
      <c r="N957" s="15">
        <v>0</v>
      </c>
      <c r="O957" s="15">
        <v>355.94</v>
      </c>
      <c r="P957" s="2" t="s">
        <v>55</v>
      </c>
      <c r="Q957" s="16"/>
    </row>
    <row r="958" spans="1:17" x14ac:dyDescent="0.3">
      <c r="A958" s="10">
        <v>21733</v>
      </c>
      <c r="B958" s="2" t="s">
        <v>4309</v>
      </c>
      <c r="C958" s="13">
        <v>5548</v>
      </c>
      <c r="D958" s="2" t="s">
        <v>44</v>
      </c>
      <c r="E958" s="14">
        <v>44669</v>
      </c>
      <c r="F958" s="10" t="s">
        <v>2302</v>
      </c>
      <c r="G958" s="25">
        <v>44673</v>
      </c>
      <c r="H958" s="10" t="s">
        <v>2817</v>
      </c>
      <c r="I958" s="10" t="s">
        <v>2818</v>
      </c>
      <c r="J958" s="15">
        <v>663725.35</v>
      </c>
      <c r="K958" s="15">
        <v>661141.50931999995</v>
      </c>
      <c r="L958" s="15">
        <v>2583.84</v>
      </c>
      <c r="M958" s="15">
        <v>2227.4499999999998</v>
      </c>
      <c r="N958" s="15">
        <v>0</v>
      </c>
      <c r="O958" s="15">
        <v>356.39</v>
      </c>
      <c r="P958" s="2" t="s">
        <v>55</v>
      </c>
      <c r="Q958" s="16"/>
    </row>
    <row r="959" spans="1:17" x14ac:dyDescent="0.3">
      <c r="A959" s="10">
        <v>21733</v>
      </c>
      <c r="B959" s="2" t="s">
        <v>4310</v>
      </c>
      <c r="C959" s="13">
        <v>5549</v>
      </c>
      <c r="D959" s="2" t="s">
        <v>44</v>
      </c>
      <c r="E959" s="14">
        <v>44466</v>
      </c>
      <c r="F959" s="10" t="s">
        <v>938</v>
      </c>
      <c r="G959" s="25">
        <v>44470</v>
      </c>
      <c r="H959" s="10" t="s">
        <v>2819</v>
      </c>
      <c r="I959" s="10" t="s">
        <v>2820</v>
      </c>
      <c r="J959" s="15">
        <v>1173704.99</v>
      </c>
      <c r="K959" s="15">
        <v>1171093.2725600004</v>
      </c>
      <c r="L959" s="15">
        <v>2611.7199999999998</v>
      </c>
      <c r="M959" s="15">
        <v>2251.48</v>
      </c>
      <c r="N959" s="15">
        <v>0</v>
      </c>
      <c r="O959" s="15">
        <v>360.24</v>
      </c>
      <c r="P959" s="2" t="s">
        <v>55</v>
      </c>
      <c r="Q959" s="16"/>
    </row>
    <row r="960" spans="1:17" x14ac:dyDescent="0.3">
      <c r="A960" s="10">
        <v>21733</v>
      </c>
      <c r="B960" s="2" t="s">
        <v>4311</v>
      </c>
      <c r="C960" s="13">
        <v>5537</v>
      </c>
      <c r="D960" s="2" t="s">
        <v>44</v>
      </c>
      <c r="E960" s="14">
        <v>44382</v>
      </c>
      <c r="F960" s="10" t="s">
        <v>2821</v>
      </c>
      <c r="G960" s="25">
        <v>44387</v>
      </c>
      <c r="H960" s="10" t="s">
        <v>2822</v>
      </c>
      <c r="I960" s="10" t="s">
        <v>2823</v>
      </c>
      <c r="J960" s="15">
        <v>423391.62</v>
      </c>
      <c r="K960" s="15">
        <v>420771.10708000005</v>
      </c>
      <c r="L960" s="15">
        <v>2620.5100000000002</v>
      </c>
      <c r="M960" s="15">
        <v>2259.06</v>
      </c>
      <c r="N960" s="15">
        <v>0</v>
      </c>
      <c r="O960" s="15">
        <v>361.45</v>
      </c>
      <c r="P960" s="2" t="s">
        <v>55</v>
      </c>
      <c r="Q960" s="16"/>
    </row>
    <row r="961" spans="1:17" x14ac:dyDescent="0.3">
      <c r="A961" s="10">
        <v>21733</v>
      </c>
      <c r="B961" s="2" t="s">
        <v>4312</v>
      </c>
      <c r="C961" s="13">
        <v>5557</v>
      </c>
      <c r="D961" s="2" t="s">
        <v>44</v>
      </c>
      <c r="E961" s="14">
        <v>44690</v>
      </c>
      <c r="F961" s="10" t="s">
        <v>2431</v>
      </c>
      <c r="G961" s="25">
        <v>44694</v>
      </c>
      <c r="H961" s="10" t="s">
        <v>2824</v>
      </c>
      <c r="I961" s="10" t="s">
        <v>2825</v>
      </c>
      <c r="J961" s="15">
        <v>966960.23</v>
      </c>
      <c r="K961" s="15">
        <v>964333.85175999999</v>
      </c>
      <c r="L961" s="15">
        <v>2626.38</v>
      </c>
      <c r="M961" s="15">
        <v>2264.12</v>
      </c>
      <c r="N961" s="15">
        <v>0</v>
      </c>
      <c r="O961" s="15">
        <v>362.26</v>
      </c>
      <c r="P961" s="2" t="s">
        <v>55</v>
      </c>
      <c r="Q961" s="16"/>
    </row>
    <row r="962" spans="1:17" x14ac:dyDescent="0.3">
      <c r="A962" s="10">
        <v>21733</v>
      </c>
      <c r="B962" s="2" t="s">
        <v>4313</v>
      </c>
      <c r="C962" s="13">
        <v>5548</v>
      </c>
      <c r="D962" s="2" t="s">
        <v>44</v>
      </c>
      <c r="E962" s="14">
        <v>44585</v>
      </c>
      <c r="F962" s="10" t="s">
        <v>2826</v>
      </c>
      <c r="G962" s="25">
        <v>44589</v>
      </c>
      <c r="H962" s="10" t="s">
        <v>2827</v>
      </c>
      <c r="I962" s="10" t="s">
        <v>2828</v>
      </c>
      <c r="J962" s="15">
        <v>396182.48</v>
      </c>
      <c r="K962" s="15">
        <v>393534.88824</v>
      </c>
      <c r="L962" s="15">
        <v>2647.59</v>
      </c>
      <c r="M962" s="15">
        <v>2282.41</v>
      </c>
      <c r="N962" s="15">
        <v>0</v>
      </c>
      <c r="O962" s="15">
        <v>365.19</v>
      </c>
      <c r="P962" s="2" t="s">
        <v>55</v>
      </c>
      <c r="Q962" s="16"/>
    </row>
    <row r="963" spans="1:17" x14ac:dyDescent="0.3">
      <c r="A963" s="10">
        <v>21733</v>
      </c>
      <c r="B963" s="2" t="s">
        <v>4314</v>
      </c>
      <c r="C963" s="13">
        <v>5548</v>
      </c>
      <c r="D963" s="2" t="s">
        <v>44</v>
      </c>
      <c r="E963" s="14">
        <v>44634</v>
      </c>
      <c r="F963" s="10" t="s">
        <v>1870</v>
      </c>
      <c r="G963" s="25">
        <v>44638</v>
      </c>
      <c r="H963" s="10" t="s">
        <v>2829</v>
      </c>
      <c r="I963" s="10" t="s">
        <v>2830</v>
      </c>
      <c r="J963" s="15">
        <v>1518155.98</v>
      </c>
      <c r="K963" s="15">
        <v>1515500.7444399998</v>
      </c>
      <c r="L963" s="15">
        <v>2655.24</v>
      </c>
      <c r="M963" s="15">
        <v>2289</v>
      </c>
      <c r="N963" s="15">
        <v>0</v>
      </c>
      <c r="O963" s="15">
        <v>366.24</v>
      </c>
      <c r="P963" s="2" t="s">
        <v>55</v>
      </c>
      <c r="Q963" s="16"/>
    </row>
    <row r="964" spans="1:17" x14ac:dyDescent="0.3">
      <c r="A964" s="10">
        <v>21733</v>
      </c>
      <c r="B964" s="2" t="s">
        <v>4315</v>
      </c>
      <c r="C964" s="13">
        <v>5537</v>
      </c>
      <c r="D964" s="2" t="s">
        <v>44</v>
      </c>
      <c r="E964" s="14">
        <v>44389</v>
      </c>
      <c r="F964" s="10" t="s">
        <v>2831</v>
      </c>
      <c r="G964" s="25">
        <v>44394</v>
      </c>
      <c r="H964" s="10" t="s">
        <v>2832</v>
      </c>
      <c r="I964" s="10" t="s">
        <v>2833</v>
      </c>
      <c r="J964" s="15">
        <v>261574.39999999999</v>
      </c>
      <c r="K964" s="15">
        <v>258913.59383999999</v>
      </c>
      <c r="L964" s="15">
        <v>2660.81</v>
      </c>
      <c r="M964" s="15">
        <v>2293.8000000000002</v>
      </c>
      <c r="N964" s="15">
        <v>0</v>
      </c>
      <c r="O964" s="15">
        <v>367.01</v>
      </c>
      <c r="P964" s="2" t="s">
        <v>55</v>
      </c>
      <c r="Q964" s="16"/>
    </row>
    <row r="965" spans="1:17" x14ac:dyDescent="0.3">
      <c r="A965" s="10">
        <v>21733</v>
      </c>
      <c r="B965" s="2" t="s">
        <v>4316</v>
      </c>
      <c r="C965" s="13">
        <v>5557</v>
      </c>
      <c r="D965" s="2" t="s">
        <v>44</v>
      </c>
      <c r="E965" s="14">
        <v>45005</v>
      </c>
      <c r="F965" s="10" t="s">
        <v>696</v>
      </c>
      <c r="G965" s="25">
        <v>45016</v>
      </c>
      <c r="H965" s="10" t="s">
        <v>2834</v>
      </c>
      <c r="I965" s="10" t="s">
        <v>2835</v>
      </c>
      <c r="J965" s="15">
        <v>839287.89</v>
      </c>
      <c r="K965" s="15">
        <v>836624.83495999966</v>
      </c>
      <c r="L965" s="15">
        <v>2663.06</v>
      </c>
      <c r="M965" s="15">
        <v>2295.7399999999998</v>
      </c>
      <c r="N965" s="15">
        <v>0</v>
      </c>
      <c r="O965" s="15">
        <v>367.32</v>
      </c>
      <c r="P965" s="2" t="s">
        <v>55</v>
      </c>
      <c r="Q965" s="16"/>
    </row>
    <row r="966" spans="1:17" x14ac:dyDescent="0.3">
      <c r="A966" s="10">
        <v>21733</v>
      </c>
      <c r="B966" s="2" t="s">
        <v>4317</v>
      </c>
      <c r="C966" s="13">
        <v>5557</v>
      </c>
      <c r="D966" s="2" t="s">
        <v>44</v>
      </c>
      <c r="E966" s="14">
        <v>44529</v>
      </c>
      <c r="F966" s="10" t="s">
        <v>2836</v>
      </c>
      <c r="G966" s="25">
        <v>44533</v>
      </c>
      <c r="H966" s="10" t="s">
        <v>2837</v>
      </c>
      <c r="I966" s="10" t="s">
        <v>2838</v>
      </c>
      <c r="J966" s="15">
        <v>375105.59</v>
      </c>
      <c r="K966" s="15">
        <v>372432.11487999989</v>
      </c>
      <c r="L966" s="15">
        <v>2673.48</v>
      </c>
      <c r="M966" s="15">
        <v>2304.7199999999998</v>
      </c>
      <c r="N966" s="15">
        <v>0</v>
      </c>
      <c r="O966" s="15">
        <v>368.76</v>
      </c>
      <c r="P966" s="2" t="s">
        <v>55</v>
      </c>
      <c r="Q966" s="16"/>
    </row>
    <row r="967" spans="1:17" x14ac:dyDescent="0.3">
      <c r="A967" s="10">
        <v>21733</v>
      </c>
      <c r="B967" s="2" t="s">
        <v>4318</v>
      </c>
      <c r="C967" s="13">
        <v>5548</v>
      </c>
      <c r="D967" s="2" t="s">
        <v>44</v>
      </c>
      <c r="E967" s="14">
        <v>44767</v>
      </c>
      <c r="F967" s="10" t="s">
        <v>2839</v>
      </c>
      <c r="G967" s="25">
        <v>44771</v>
      </c>
      <c r="H967" s="10" t="s">
        <v>2840</v>
      </c>
      <c r="I967" s="10" t="s">
        <v>2841</v>
      </c>
      <c r="J967" s="15">
        <v>599639.93999999994</v>
      </c>
      <c r="K967" s="15">
        <v>596920.88520000002</v>
      </c>
      <c r="L967" s="15">
        <v>2719.05</v>
      </c>
      <c r="M967" s="15">
        <v>2344.0100000000002</v>
      </c>
      <c r="N967" s="15">
        <v>0</v>
      </c>
      <c r="O967" s="15">
        <v>375.04</v>
      </c>
      <c r="P967" s="2" t="s">
        <v>55</v>
      </c>
      <c r="Q967" s="16"/>
    </row>
    <row r="968" spans="1:17" x14ac:dyDescent="0.3">
      <c r="A968" s="10">
        <v>21733</v>
      </c>
      <c r="B968" s="2" t="s">
        <v>4319</v>
      </c>
      <c r="C968" s="13">
        <v>5548</v>
      </c>
      <c r="D968" s="2" t="s">
        <v>44</v>
      </c>
      <c r="E968" s="14">
        <v>44662</v>
      </c>
      <c r="F968" s="10" t="s">
        <v>2842</v>
      </c>
      <c r="G968" s="25">
        <v>44666</v>
      </c>
      <c r="H968" s="10" t="s">
        <v>2843</v>
      </c>
      <c r="I968" s="10" t="s">
        <v>2844</v>
      </c>
      <c r="J968" s="15">
        <v>1267598.05</v>
      </c>
      <c r="K968" s="15">
        <v>1264851.3966000003</v>
      </c>
      <c r="L968" s="15">
        <v>2746.65</v>
      </c>
      <c r="M968" s="15">
        <v>2367.8000000000002</v>
      </c>
      <c r="N968" s="15">
        <v>0</v>
      </c>
      <c r="O968" s="15">
        <v>378.85</v>
      </c>
      <c r="P968" s="2" t="s">
        <v>55</v>
      </c>
      <c r="Q968" s="16"/>
    </row>
    <row r="969" spans="1:17" x14ac:dyDescent="0.3">
      <c r="A969" s="10">
        <v>21733</v>
      </c>
      <c r="B969" s="2" t="s">
        <v>4320</v>
      </c>
      <c r="C969" s="13">
        <v>5548</v>
      </c>
      <c r="D969" s="2" t="s">
        <v>44</v>
      </c>
      <c r="E969" s="14">
        <v>44669</v>
      </c>
      <c r="F969" s="10" t="s">
        <v>2302</v>
      </c>
      <c r="G969" s="25">
        <v>44673</v>
      </c>
      <c r="H969" s="10" t="s">
        <v>2845</v>
      </c>
      <c r="I969" s="10" t="s">
        <v>2846</v>
      </c>
      <c r="J969" s="15">
        <v>866378.85</v>
      </c>
      <c r="K969" s="15">
        <v>863600.18140000023</v>
      </c>
      <c r="L969" s="15">
        <v>2778.67</v>
      </c>
      <c r="M969" s="15">
        <v>2395.4</v>
      </c>
      <c r="N969" s="15">
        <v>0</v>
      </c>
      <c r="O969" s="15">
        <v>383.26</v>
      </c>
      <c r="P969" s="2" t="s">
        <v>55</v>
      </c>
      <c r="Q969" s="16"/>
    </row>
    <row r="970" spans="1:17" x14ac:dyDescent="0.3">
      <c r="A970" s="10">
        <v>21733</v>
      </c>
      <c r="B970" s="2" t="s">
        <v>4321</v>
      </c>
      <c r="C970" s="13">
        <v>5556</v>
      </c>
      <c r="D970" s="2" t="s">
        <v>44</v>
      </c>
      <c r="E970" s="14">
        <v>44657</v>
      </c>
      <c r="F970" s="10" t="s">
        <v>2847</v>
      </c>
      <c r="G970" s="25">
        <v>44664</v>
      </c>
      <c r="H970" s="10" t="s">
        <v>2848</v>
      </c>
      <c r="I970" s="10" t="s">
        <v>2849</v>
      </c>
      <c r="J970" s="15">
        <v>528997.28</v>
      </c>
      <c r="K970" s="15">
        <v>526210.57843999995</v>
      </c>
      <c r="L970" s="15">
        <v>2786.7</v>
      </c>
      <c r="M970" s="15">
        <v>2402.33</v>
      </c>
      <c r="N970" s="15">
        <v>0</v>
      </c>
      <c r="O970" s="15">
        <v>384.37</v>
      </c>
      <c r="P970" s="2" t="s">
        <v>55</v>
      </c>
      <c r="Q970" s="16"/>
    </row>
    <row r="971" spans="1:17" x14ac:dyDescent="0.3">
      <c r="A971" s="10">
        <v>21733</v>
      </c>
      <c r="B971" s="2" t="s">
        <v>4322</v>
      </c>
      <c r="C971" s="13">
        <v>5537</v>
      </c>
      <c r="D971" s="2" t="s">
        <v>44</v>
      </c>
      <c r="E971" s="14">
        <v>45026</v>
      </c>
      <c r="F971" s="10" t="s">
        <v>2850</v>
      </c>
      <c r="G971" s="25">
        <v>45034</v>
      </c>
      <c r="H971" s="10" t="s">
        <v>2851</v>
      </c>
      <c r="I971" s="10" t="s">
        <v>2852</v>
      </c>
      <c r="J971" s="15">
        <v>1166116.6599999999</v>
      </c>
      <c r="K971" s="15">
        <v>1163328.77312</v>
      </c>
      <c r="L971" s="15">
        <v>2787.89</v>
      </c>
      <c r="M971" s="15">
        <v>2403.35</v>
      </c>
      <c r="N971" s="15">
        <v>0</v>
      </c>
      <c r="O971" s="15">
        <v>384.54</v>
      </c>
      <c r="P971" s="2" t="s">
        <v>55</v>
      </c>
      <c r="Q971" s="16"/>
    </row>
    <row r="972" spans="1:17" x14ac:dyDescent="0.3">
      <c r="A972" s="10">
        <v>21733</v>
      </c>
      <c r="B972" s="2" t="s">
        <v>4323</v>
      </c>
      <c r="C972" s="13">
        <v>5549</v>
      </c>
      <c r="D972" s="2" t="s">
        <v>44</v>
      </c>
      <c r="E972" s="14">
        <v>44816</v>
      </c>
      <c r="F972" s="10" t="s">
        <v>2733</v>
      </c>
      <c r="G972" s="25">
        <v>44821</v>
      </c>
      <c r="H972" s="10" t="s">
        <v>2853</v>
      </c>
      <c r="I972" s="10" t="s">
        <v>2854</v>
      </c>
      <c r="J972" s="15">
        <v>186406.72</v>
      </c>
      <c r="K972" s="15">
        <v>183600.02312000003</v>
      </c>
      <c r="L972" s="15">
        <v>2806.7</v>
      </c>
      <c r="M972" s="15">
        <v>2419.5700000000002</v>
      </c>
      <c r="N972" s="15">
        <v>0</v>
      </c>
      <c r="O972" s="15">
        <v>387.13</v>
      </c>
      <c r="P972" s="2" t="s">
        <v>55</v>
      </c>
      <c r="Q972" s="16"/>
    </row>
    <row r="973" spans="1:17" x14ac:dyDescent="0.3">
      <c r="A973" s="10">
        <v>21733</v>
      </c>
      <c r="B973" s="2" t="s">
        <v>4324</v>
      </c>
      <c r="C973" s="13">
        <v>5557</v>
      </c>
      <c r="D973" s="2" t="s">
        <v>44</v>
      </c>
      <c r="E973" s="14">
        <v>44865</v>
      </c>
      <c r="F973" s="10" t="s">
        <v>2855</v>
      </c>
      <c r="G973" s="25">
        <v>44872</v>
      </c>
      <c r="H973" s="10" t="s">
        <v>2856</v>
      </c>
      <c r="I973" s="10" t="s">
        <v>2857</v>
      </c>
      <c r="J973" s="15">
        <v>421987.11</v>
      </c>
      <c r="K973" s="15">
        <v>419177.83548000001</v>
      </c>
      <c r="L973" s="15">
        <v>2809.27</v>
      </c>
      <c r="M973" s="15">
        <v>2421.79</v>
      </c>
      <c r="N973" s="15">
        <v>0</v>
      </c>
      <c r="O973" s="15">
        <v>387.49</v>
      </c>
      <c r="P973" s="2" t="s">
        <v>55</v>
      </c>
      <c r="Q973" s="16"/>
    </row>
    <row r="974" spans="1:17" x14ac:dyDescent="0.3">
      <c r="A974" s="10">
        <v>21733</v>
      </c>
      <c r="B974" s="2" t="s">
        <v>4325</v>
      </c>
      <c r="C974" s="13">
        <v>5548</v>
      </c>
      <c r="D974" s="2" t="s">
        <v>44</v>
      </c>
      <c r="E974" s="14">
        <v>44487</v>
      </c>
      <c r="F974" s="10" t="s">
        <v>2858</v>
      </c>
      <c r="G974" s="25">
        <v>44491</v>
      </c>
      <c r="H974" s="10" t="s">
        <v>2859</v>
      </c>
      <c r="I974" s="10" t="s">
        <v>2860</v>
      </c>
      <c r="J974" s="15">
        <v>676202.28</v>
      </c>
      <c r="K974" s="15">
        <v>673378.58131999976</v>
      </c>
      <c r="L974" s="15">
        <v>2823.7</v>
      </c>
      <c r="M974" s="15">
        <v>2434.2199999999998</v>
      </c>
      <c r="N974" s="15">
        <v>0</v>
      </c>
      <c r="O974" s="15">
        <v>389.48</v>
      </c>
      <c r="P974" s="2" t="s">
        <v>55</v>
      </c>
      <c r="Q974" s="16"/>
    </row>
    <row r="975" spans="1:17" x14ac:dyDescent="0.3">
      <c r="A975" s="10">
        <v>21733</v>
      </c>
      <c r="B975" s="2" t="s">
        <v>4326</v>
      </c>
      <c r="C975" s="13">
        <v>5548</v>
      </c>
      <c r="D975" s="2" t="s">
        <v>44</v>
      </c>
      <c r="E975" s="14">
        <v>44662</v>
      </c>
      <c r="F975" s="10" t="s">
        <v>2842</v>
      </c>
      <c r="G975" s="25">
        <v>44665</v>
      </c>
      <c r="H975" s="10" t="s">
        <v>2861</v>
      </c>
      <c r="I975" s="10" t="s">
        <v>2862</v>
      </c>
      <c r="J975" s="15">
        <v>687746.98</v>
      </c>
      <c r="K975" s="15">
        <v>684913.91712</v>
      </c>
      <c r="L975" s="15">
        <v>2833.06</v>
      </c>
      <c r="M975" s="15">
        <v>2442.3000000000002</v>
      </c>
      <c r="N975" s="15">
        <v>0</v>
      </c>
      <c r="O975" s="15">
        <v>390.77</v>
      </c>
      <c r="P975" s="2" t="s">
        <v>55</v>
      </c>
      <c r="Q975" s="16"/>
    </row>
    <row r="976" spans="1:17" x14ac:dyDescent="0.3">
      <c r="A976" s="10">
        <v>21733</v>
      </c>
      <c r="B976" s="2" t="s">
        <v>4327</v>
      </c>
      <c r="C976" s="13">
        <v>5557</v>
      </c>
      <c r="D976" s="2" t="s">
        <v>44</v>
      </c>
      <c r="E976" s="14">
        <v>44362</v>
      </c>
      <c r="F976" s="10" t="s">
        <v>2863</v>
      </c>
      <c r="G976" s="25">
        <v>44376</v>
      </c>
      <c r="H976" s="10" t="s">
        <v>2864</v>
      </c>
      <c r="I976" s="10" t="s">
        <v>2865</v>
      </c>
      <c r="J976" s="15">
        <v>600046.92000000004</v>
      </c>
      <c r="K976" s="15">
        <v>597212.59736000001</v>
      </c>
      <c r="L976" s="15">
        <v>2834.32</v>
      </c>
      <c r="M976" s="15">
        <v>2443.38</v>
      </c>
      <c r="N976" s="15">
        <v>0</v>
      </c>
      <c r="O976" s="15">
        <v>390.94</v>
      </c>
      <c r="P976" s="2" t="s">
        <v>55</v>
      </c>
      <c r="Q976" s="16"/>
    </row>
    <row r="977" spans="1:17" x14ac:dyDescent="0.3">
      <c r="A977" s="10">
        <v>21733</v>
      </c>
      <c r="B977" s="2" t="s">
        <v>4328</v>
      </c>
      <c r="C977" s="13">
        <v>5548</v>
      </c>
      <c r="D977" s="2" t="s">
        <v>44</v>
      </c>
      <c r="E977" s="14">
        <v>44830</v>
      </c>
      <c r="F977" s="10" t="s">
        <v>1334</v>
      </c>
      <c r="G977" s="25">
        <v>44835</v>
      </c>
      <c r="H977" s="10" t="s">
        <v>2866</v>
      </c>
      <c r="I977" s="10" t="s">
        <v>2867</v>
      </c>
      <c r="J977" s="15">
        <v>1229166.33</v>
      </c>
      <c r="K977" s="15">
        <v>1226319.9085999997</v>
      </c>
      <c r="L977" s="15">
        <v>2846.42</v>
      </c>
      <c r="M977" s="15">
        <v>2453.81</v>
      </c>
      <c r="N977" s="15">
        <v>0</v>
      </c>
      <c r="O977" s="15">
        <v>392.61</v>
      </c>
      <c r="P977" s="2" t="s">
        <v>55</v>
      </c>
      <c r="Q977" s="16"/>
    </row>
    <row r="978" spans="1:17" x14ac:dyDescent="0.3">
      <c r="A978" s="10">
        <v>21733</v>
      </c>
      <c r="B978" s="2" t="s">
        <v>4329</v>
      </c>
      <c r="C978" s="13">
        <v>5681</v>
      </c>
      <c r="D978" s="2" t="s">
        <v>44</v>
      </c>
      <c r="E978" s="14">
        <v>45054</v>
      </c>
      <c r="F978" s="10" t="s">
        <v>2868</v>
      </c>
      <c r="G978" s="25">
        <v>45060</v>
      </c>
      <c r="H978" s="10" t="s">
        <v>2869</v>
      </c>
      <c r="I978" s="10" t="s">
        <v>2870</v>
      </c>
      <c r="J978" s="15">
        <v>791382.2</v>
      </c>
      <c r="K978" s="15">
        <v>788526.95571999997</v>
      </c>
      <c r="L978" s="15">
        <v>2855.24</v>
      </c>
      <c r="M978" s="15">
        <v>2461.42</v>
      </c>
      <c r="N978" s="15">
        <v>0</v>
      </c>
      <c r="O978" s="15">
        <v>393.83</v>
      </c>
      <c r="P978" s="2" t="s">
        <v>55</v>
      </c>
      <c r="Q978" s="16"/>
    </row>
    <row r="979" spans="1:17" x14ac:dyDescent="0.3">
      <c r="A979" s="10">
        <v>21733</v>
      </c>
      <c r="B979" s="2" t="s">
        <v>4330</v>
      </c>
      <c r="C979" s="13">
        <v>5557</v>
      </c>
      <c r="D979" s="2" t="s">
        <v>44</v>
      </c>
      <c r="E979" s="14">
        <v>44655</v>
      </c>
      <c r="F979" s="10" t="s">
        <v>2871</v>
      </c>
      <c r="G979" s="25">
        <v>44659</v>
      </c>
      <c r="H979" s="10" t="s">
        <v>2872</v>
      </c>
      <c r="I979" s="10" t="s">
        <v>2873</v>
      </c>
      <c r="J979" s="15">
        <v>452881.72</v>
      </c>
      <c r="K979" s="15">
        <v>450011.23519999994</v>
      </c>
      <c r="L979" s="15">
        <v>2870.48</v>
      </c>
      <c r="M979" s="15">
        <v>2474.56</v>
      </c>
      <c r="N979" s="15">
        <v>0</v>
      </c>
      <c r="O979" s="15">
        <v>395.93</v>
      </c>
      <c r="P979" s="2" t="s">
        <v>55</v>
      </c>
      <c r="Q979" s="16"/>
    </row>
    <row r="980" spans="1:17" x14ac:dyDescent="0.3">
      <c r="A980" s="10">
        <v>21733</v>
      </c>
      <c r="B980" s="2" t="s">
        <v>4331</v>
      </c>
      <c r="C980" s="13">
        <v>5548</v>
      </c>
      <c r="D980" s="2" t="s">
        <v>44</v>
      </c>
      <c r="E980" s="14">
        <v>44480</v>
      </c>
      <c r="F980" s="10" t="s">
        <v>2406</v>
      </c>
      <c r="G980" s="25">
        <v>44484</v>
      </c>
      <c r="H980" s="10" t="s">
        <v>2874</v>
      </c>
      <c r="I980" s="10" t="s">
        <v>2875</v>
      </c>
      <c r="J980" s="15">
        <v>1308894.56</v>
      </c>
      <c r="K980" s="15">
        <v>1306015.1415200003</v>
      </c>
      <c r="L980" s="15">
        <v>2879.42</v>
      </c>
      <c r="M980" s="15">
        <v>2482.2600000000002</v>
      </c>
      <c r="N980" s="15">
        <v>0</v>
      </c>
      <c r="O980" s="15">
        <v>397.16</v>
      </c>
      <c r="P980" s="2" t="s">
        <v>55</v>
      </c>
      <c r="Q980" s="16"/>
    </row>
    <row r="981" spans="1:17" x14ac:dyDescent="0.3">
      <c r="A981" s="10">
        <v>21733</v>
      </c>
      <c r="B981" s="2" t="s">
        <v>4332</v>
      </c>
      <c r="C981" s="13">
        <v>5557</v>
      </c>
      <c r="D981" s="2" t="s">
        <v>44</v>
      </c>
      <c r="E981" s="14">
        <v>44746</v>
      </c>
      <c r="F981" s="10" t="s">
        <v>2876</v>
      </c>
      <c r="G981" s="25">
        <v>44752</v>
      </c>
      <c r="H981" s="10" t="s">
        <v>2877</v>
      </c>
      <c r="I981" s="10" t="s">
        <v>2878</v>
      </c>
      <c r="J981" s="15">
        <v>822756.75</v>
      </c>
      <c r="K981" s="15">
        <v>819848.51940000011</v>
      </c>
      <c r="L981" s="15">
        <v>2908.23</v>
      </c>
      <c r="M981" s="15">
        <v>2507.1</v>
      </c>
      <c r="N981" s="15">
        <v>0</v>
      </c>
      <c r="O981" s="15">
        <v>401.14</v>
      </c>
      <c r="P981" s="2" t="s">
        <v>55</v>
      </c>
      <c r="Q981" s="16"/>
    </row>
    <row r="982" spans="1:17" x14ac:dyDescent="0.3">
      <c r="A982" s="10">
        <v>21733</v>
      </c>
      <c r="B982" s="2" t="s">
        <v>4333</v>
      </c>
      <c r="C982" s="13">
        <v>5557</v>
      </c>
      <c r="D982" s="2" t="s">
        <v>44</v>
      </c>
      <c r="E982" s="14">
        <v>44802</v>
      </c>
      <c r="F982" s="10" t="s">
        <v>2879</v>
      </c>
      <c r="G982" s="25">
        <v>44806</v>
      </c>
      <c r="H982" s="10" t="s">
        <v>2880</v>
      </c>
      <c r="I982" s="10" t="s">
        <v>2881</v>
      </c>
      <c r="J982" s="15">
        <v>922379.61</v>
      </c>
      <c r="K982" s="15">
        <v>919430.4698399998</v>
      </c>
      <c r="L982" s="15">
        <v>2949.14</v>
      </c>
      <c r="M982" s="15">
        <v>2542.36</v>
      </c>
      <c r="N982" s="15">
        <v>0</v>
      </c>
      <c r="O982" s="15">
        <v>406.78</v>
      </c>
      <c r="P982" s="2" t="s">
        <v>55</v>
      </c>
      <c r="Q982" s="16"/>
    </row>
    <row r="983" spans="1:17" x14ac:dyDescent="0.3">
      <c r="A983" s="10">
        <v>21733</v>
      </c>
      <c r="B983" s="2" t="s">
        <v>4334</v>
      </c>
      <c r="C983" s="13">
        <v>5681</v>
      </c>
      <c r="D983" s="2" t="s">
        <v>44</v>
      </c>
      <c r="E983" s="14">
        <v>44690</v>
      </c>
      <c r="F983" s="10" t="s">
        <v>2882</v>
      </c>
      <c r="G983" s="25">
        <v>44695</v>
      </c>
      <c r="H983" s="10" t="s">
        <v>2883</v>
      </c>
      <c r="I983" s="10" t="s">
        <v>2884</v>
      </c>
      <c r="J983" s="15">
        <v>139932.54</v>
      </c>
      <c r="K983" s="15">
        <v>136973.89968000003</v>
      </c>
      <c r="L983" s="15">
        <v>2958.64</v>
      </c>
      <c r="M983" s="15">
        <v>2550.5500000000002</v>
      </c>
      <c r="N983" s="15">
        <v>0</v>
      </c>
      <c r="O983" s="15">
        <v>408.09</v>
      </c>
      <c r="P983" s="2" t="s">
        <v>55</v>
      </c>
      <c r="Q983" s="16"/>
    </row>
    <row r="984" spans="1:17" x14ac:dyDescent="0.3">
      <c r="A984" s="10">
        <v>21733</v>
      </c>
      <c r="B984" s="2" t="s">
        <v>4335</v>
      </c>
      <c r="C984" s="13">
        <v>5556</v>
      </c>
      <c r="D984" s="2" t="s">
        <v>44</v>
      </c>
      <c r="E984" s="14">
        <v>44713</v>
      </c>
      <c r="F984" s="10" t="s">
        <v>2885</v>
      </c>
      <c r="G984" s="25">
        <v>44719</v>
      </c>
      <c r="H984" s="10" t="s">
        <v>2886</v>
      </c>
      <c r="I984" s="10" t="s">
        <v>2887</v>
      </c>
      <c r="J984" s="15">
        <v>779765.96</v>
      </c>
      <c r="K984" s="15">
        <v>776806.70431999979</v>
      </c>
      <c r="L984" s="15">
        <v>2959.26</v>
      </c>
      <c r="M984" s="15">
        <v>2551.08</v>
      </c>
      <c r="N984" s="15">
        <v>0</v>
      </c>
      <c r="O984" s="15">
        <v>408.17</v>
      </c>
      <c r="P984" s="2" t="s">
        <v>55</v>
      </c>
      <c r="Q984" s="16"/>
    </row>
    <row r="985" spans="1:17" x14ac:dyDescent="0.3">
      <c r="A985" s="10">
        <v>21733</v>
      </c>
      <c r="B985" s="2" t="s">
        <v>4336</v>
      </c>
      <c r="C985" s="13">
        <v>5548</v>
      </c>
      <c r="D985" s="2" t="s">
        <v>44</v>
      </c>
      <c r="E985" s="14">
        <v>44291</v>
      </c>
      <c r="F985" s="10" t="s">
        <v>2888</v>
      </c>
      <c r="G985" s="25">
        <v>44296</v>
      </c>
      <c r="H985" s="10" t="s">
        <v>2889</v>
      </c>
      <c r="I985" s="10" t="s">
        <v>2890</v>
      </c>
      <c r="J985" s="15">
        <v>197433.46</v>
      </c>
      <c r="K985" s="15">
        <v>194464.81512000001</v>
      </c>
      <c r="L985" s="15">
        <v>2968.64</v>
      </c>
      <c r="M985" s="15">
        <v>2559.1799999999998</v>
      </c>
      <c r="N985" s="15">
        <v>0</v>
      </c>
      <c r="O985" s="15">
        <v>409.47</v>
      </c>
      <c r="P985" s="2" t="s">
        <v>55</v>
      </c>
      <c r="Q985" s="16"/>
    </row>
    <row r="986" spans="1:17" x14ac:dyDescent="0.3">
      <c r="A986" s="10">
        <v>21733</v>
      </c>
      <c r="B986" s="2" t="s">
        <v>4337</v>
      </c>
      <c r="C986" s="13">
        <v>5556</v>
      </c>
      <c r="D986" s="2" t="s">
        <v>44</v>
      </c>
      <c r="E986" s="14">
        <v>44986</v>
      </c>
      <c r="F986" s="10" t="s">
        <v>2891</v>
      </c>
      <c r="G986" s="25">
        <v>44992</v>
      </c>
      <c r="H986" s="10" t="s">
        <v>2892</v>
      </c>
      <c r="I986" s="10" t="s">
        <v>2893</v>
      </c>
      <c r="J986" s="15">
        <v>679280.56</v>
      </c>
      <c r="K986" s="15">
        <v>676299.17595999991</v>
      </c>
      <c r="L986" s="15">
        <v>2981.38</v>
      </c>
      <c r="M986" s="15">
        <v>2570.16</v>
      </c>
      <c r="N986" s="15">
        <v>0</v>
      </c>
      <c r="O986" s="15">
        <v>411.23</v>
      </c>
      <c r="P986" s="2" t="s">
        <v>55</v>
      </c>
      <c r="Q986" s="16"/>
    </row>
    <row r="987" spans="1:17" x14ac:dyDescent="0.3">
      <c r="A987" s="10">
        <v>21733</v>
      </c>
      <c r="B987" s="2" t="s">
        <v>4338</v>
      </c>
      <c r="C987" s="13">
        <v>5681</v>
      </c>
      <c r="D987" s="2" t="s">
        <v>44</v>
      </c>
      <c r="E987" s="14">
        <v>44452</v>
      </c>
      <c r="F987" s="10" t="s">
        <v>2894</v>
      </c>
      <c r="G987" s="25">
        <v>44457</v>
      </c>
      <c r="H987" s="10" t="s">
        <v>2895</v>
      </c>
      <c r="I987" s="10" t="s">
        <v>2896</v>
      </c>
      <c r="J987" s="15">
        <v>753863.33</v>
      </c>
      <c r="K987" s="15">
        <v>750860.35560000024</v>
      </c>
      <c r="L987" s="15">
        <v>3002.97</v>
      </c>
      <c r="M987" s="15">
        <v>2588.77</v>
      </c>
      <c r="N987" s="15">
        <v>0</v>
      </c>
      <c r="O987" s="15">
        <v>414.2</v>
      </c>
      <c r="P987" s="2" t="s">
        <v>55</v>
      </c>
      <c r="Q987" s="16"/>
    </row>
    <row r="988" spans="1:17" x14ac:dyDescent="0.3">
      <c r="A988" s="10">
        <v>21733</v>
      </c>
      <c r="B988" s="2" t="s">
        <v>4339</v>
      </c>
      <c r="C988" s="13">
        <v>5557</v>
      </c>
      <c r="D988" s="2" t="s">
        <v>44</v>
      </c>
      <c r="E988" s="14">
        <v>44354</v>
      </c>
      <c r="F988" s="10" t="s">
        <v>2897</v>
      </c>
      <c r="G988" s="25">
        <v>44360</v>
      </c>
      <c r="H988" s="10" t="s">
        <v>2898</v>
      </c>
      <c r="I988" s="10" t="s">
        <v>2899</v>
      </c>
      <c r="J988" s="15">
        <v>593919.30000000005</v>
      </c>
      <c r="K988" s="15">
        <v>590914.89935999992</v>
      </c>
      <c r="L988" s="15">
        <v>3004.4</v>
      </c>
      <c r="M988" s="15">
        <v>2590</v>
      </c>
      <c r="N988" s="15">
        <v>0</v>
      </c>
      <c r="O988" s="15">
        <v>414.4</v>
      </c>
      <c r="P988" s="2" t="s">
        <v>55</v>
      </c>
      <c r="Q988" s="16"/>
    </row>
    <row r="989" spans="1:17" x14ac:dyDescent="0.3">
      <c r="A989" s="10">
        <v>21733</v>
      </c>
      <c r="B989" s="2" t="s">
        <v>4340</v>
      </c>
      <c r="C989" s="13">
        <v>5557</v>
      </c>
      <c r="D989" s="2" t="s">
        <v>44</v>
      </c>
      <c r="E989" s="14">
        <v>44781</v>
      </c>
      <c r="F989" s="10" t="s">
        <v>2900</v>
      </c>
      <c r="G989" s="25">
        <v>44788</v>
      </c>
      <c r="H989" s="10" t="s">
        <v>2901</v>
      </c>
      <c r="I989" s="10" t="s">
        <v>2902</v>
      </c>
      <c r="J989" s="15">
        <v>1030020.43</v>
      </c>
      <c r="K989" s="15">
        <v>1027013.3891999995</v>
      </c>
      <c r="L989" s="15">
        <v>3007.04</v>
      </c>
      <c r="M989" s="15">
        <v>2592.2800000000002</v>
      </c>
      <c r="N989" s="15">
        <v>0</v>
      </c>
      <c r="O989" s="15">
        <v>414.76</v>
      </c>
      <c r="P989" s="2" t="s">
        <v>55</v>
      </c>
      <c r="Q989" s="16"/>
    </row>
    <row r="990" spans="1:17" x14ac:dyDescent="0.3">
      <c r="A990" s="10">
        <v>21733</v>
      </c>
      <c r="B990" s="2" t="s">
        <v>4341</v>
      </c>
      <c r="C990" s="13">
        <v>5549</v>
      </c>
      <c r="D990" s="2" t="s">
        <v>44</v>
      </c>
      <c r="E990" s="14">
        <v>44865</v>
      </c>
      <c r="F990" s="10" t="s">
        <v>2903</v>
      </c>
      <c r="G990" s="25">
        <v>44873</v>
      </c>
      <c r="H990" s="10" t="s">
        <v>2904</v>
      </c>
      <c r="I990" s="10" t="s">
        <v>2905</v>
      </c>
      <c r="J990" s="15">
        <v>1394331.11</v>
      </c>
      <c r="K990" s="15">
        <v>1391311.2047599994</v>
      </c>
      <c r="L990" s="15">
        <v>3019.91</v>
      </c>
      <c r="M990" s="15">
        <v>2603.37</v>
      </c>
      <c r="N990" s="15">
        <v>0</v>
      </c>
      <c r="O990" s="15">
        <v>416.54</v>
      </c>
      <c r="P990" s="2" t="s">
        <v>55</v>
      </c>
      <c r="Q990" s="16"/>
    </row>
    <row r="991" spans="1:17" x14ac:dyDescent="0.3">
      <c r="A991" s="10">
        <v>21733</v>
      </c>
      <c r="B991" s="2" t="s">
        <v>4342</v>
      </c>
      <c r="C991" s="13">
        <v>5556</v>
      </c>
      <c r="D991" s="2" t="s">
        <v>44</v>
      </c>
      <c r="E991" s="14">
        <v>44853</v>
      </c>
      <c r="F991" s="10" t="s">
        <v>616</v>
      </c>
      <c r="G991" s="25">
        <v>44859</v>
      </c>
      <c r="H991" s="10" t="s">
        <v>2906</v>
      </c>
      <c r="I991" s="10" t="s">
        <v>2907</v>
      </c>
      <c r="J991" s="15">
        <v>992113.82</v>
      </c>
      <c r="K991" s="15">
        <v>989059.33180000004</v>
      </c>
      <c r="L991" s="15">
        <v>3054.49</v>
      </c>
      <c r="M991" s="15">
        <v>2633.18</v>
      </c>
      <c r="N991" s="15">
        <v>0</v>
      </c>
      <c r="O991" s="15">
        <v>421.31</v>
      </c>
      <c r="P991" s="2" t="s">
        <v>55</v>
      </c>
      <c r="Q991" s="16"/>
    </row>
    <row r="992" spans="1:17" x14ac:dyDescent="0.3">
      <c r="A992" s="10">
        <v>21733</v>
      </c>
      <c r="B992" s="2" t="s">
        <v>4343</v>
      </c>
      <c r="C992" s="13">
        <v>5549</v>
      </c>
      <c r="D992" s="2" t="s">
        <v>44</v>
      </c>
      <c r="E992" s="14">
        <v>44466</v>
      </c>
      <c r="F992" s="10" t="s">
        <v>2908</v>
      </c>
      <c r="G992" s="25">
        <v>44470</v>
      </c>
      <c r="H992" s="10" t="s">
        <v>2909</v>
      </c>
      <c r="I992" s="10" t="s">
        <v>2910</v>
      </c>
      <c r="J992" s="15">
        <v>268010.12</v>
      </c>
      <c r="K992" s="15">
        <v>264933.36048000003</v>
      </c>
      <c r="L992" s="15">
        <v>3076.76</v>
      </c>
      <c r="M992" s="15">
        <v>2652.38</v>
      </c>
      <c r="N992" s="15">
        <v>0</v>
      </c>
      <c r="O992" s="15">
        <v>424.38</v>
      </c>
      <c r="P992" s="2" t="s">
        <v>55</v>
      </c>
      <c r="Q992" s="16"/>
    </row>
    <row r="993" spans="1:17" x14ac:dyDescent="0.3">
      <c r="A993" s="10">
        <v>21733</v>
      </c>
      <c r="B993" s="2" t="s">
        <v>4344</v>
      </c>
      <c r="C993" s="13">
        <v>5537</v>
      </c>
      <c r="D993" s="2" t="s">
        <v>44</v>
      </c>
      <c r="E993" s="14">
        <v>44781</v>
      </c>
      <c r="F993" s="10" t="s">
        <v>2911</v>
      </c>
      <c r="G993" s="25">
        <v>44786</v>
      </c>
      <c r="H993" s="10" t="s">
        <v>2912</v>
      </c>
      <c r="I993" s="10" t="s">
        <v>2913</v>
      </c>
      <c r="J993" s="15">
        <v>753825.7</v>
      </c>
      <c r="K993" s="15">
        <v>750724.25048000016</v>
      </c>
      <c r="L993" s="15">
        <v>3101.45</v>
      </c>
      <c r="M993" s="15">
        <v>2673.66</v>
      </c>
      <c r="N993" s="15">
        <v>0</v>
      </c>
      <c r="O993" s="15">
        <v>427.79</v>
      </c>
      <c r="P993" s="2" t="s">
        <v>55</v>
      </c>
      <c r="Q993" s="16"/>
    </row>
    <row r="994" spans="1:17" x14ac:dyDescent="0.3">
      <c r="A994" s="10">
        <v>21733</v>
      </c>
      <c r="B994" s="2" t="s">
        <v>4345</v>
      </c>
      <c r="C994" s="13">
        <v>5548</v>
      </c>
      <c r="D994" s="2" t="s">
        <v>44</v>
      </c>
      <c r="E994" s="14">
        <v>44347</v>
      </c>
      <c r="F994" s="10" t="s">
        <v>2914</v>
      </c>
      <c r="G994" s="25">
        <v>44351</v>
      </c>
      <c r="H994" s="10" t="s">
        <v>2915</v>
      </c>
      <c r="I994" s="10" t="s">
        <v>2916</v>
      </c>
      <c r="J994" s="15">
        <v>709256.49</v>
      </c>
      <c r="K994" s="15">
        <v>706116.42611999996</v>
      </c>
      <c r="L994" s="15">
        <v>3140.06</v>
      </c>
      <c r="M994" s="15">
        <v>2706.95</v>
      </c>
      <c r="N994" s="15">
        <v>0</v>
      </c>
      <c r="O994" s="15">
        <v>433.11</v>
      </c>
      <c r="P994" s="2" t="s">
        <v>55</v>
      </c>
      <c r="Q994" s="16"/>
    </row>
    <row r="995" spans="1:17" x14ac:dyDescent="0.3">
      <c r="A995" s="10">
        <v>21733</v>
      </c>
      <c r="B995" s="2" t="s">
        <v>4346</v>
      </c>
      <c r="C995" s="13">
        <v>5548</v>
      </c>
      <c r="D995" s="2" t="s">
        <v>44</v>
      </c>
      <c r="E995" s="14">
        <v>44537</v>
      </c>
      <c r="F995" s="10" t="s">
        <v>2072</v>
      </c>
      <c r="G995" s="25">
        <v>44544</v>
      </c>
      <c r="H995" s="10" t="s">
        <v>2917</v>
      </c>
      <c r="I995" s="10" t="s">
        <v>2918</v>
      </c>
      <c r="J995" s="15">
        <v>1466356.11</v>
      </c>
      <c r="K995" s="15">
        <v>1463198.2387200007</v>
      </c>
      <c r="L995" s="15">
        <v>3157.87</v>
      </c>
      <c r="M995" s="15">
        <v>2722.3</v>
      </c>
      <c r="N995" s="15">
        <v>0</v>
      </c>
      <c r="O995" s="15">
        <v>435.57</v>
      </c>
      <c r="P995" s="2" t="s">
        <v>55</v>
      </c>
      <c r="Q995" s="16"/>
    </row>
    <row r="996" spans="1:17" x14ac:dyDescent="0.3">
      <c r="A996" s="10">
        <v>21733</v>
      </c>
      <c r="B996" s="2" t="s">
        <v>4347</v>
      </c>
      <c r="C996" s="13">
        <v>5548</v>
      </c>
      <c r="D996" s="2" t="s">
        <v>44</v>
      </c>
      <c r="E996" s="14">
        <v>44984</v>
      </c>
      <c r="F996" s="10" t="s">
        <v>1882</v>
      </c>
      <c r="G996" s="25">
        <v>44989</v>
      </c>
      <c r="H996" s="10" t="s">
        <v>2919</v>
      </c>
      <c r="I996" s="10" t="s">
        <v>2920</v>
      </c>
      <c r="J996" s="15">
        <v>687461.16</v>
      </c>
      <c r="K996" s="15">
        <v>684217.79879999987</v>
      </c>
      <c r="L996" s="15">
        <v>3243.36</v>
      </c>
      <c r="M996" s="15">
        <v>2796</v>
      </c>
      <c r="N996" s="15">
        <v>0</v>
      </c>
      <c r="O996" s="15">
        <v>447.36</v>
      </c>
      <c r="P996" s="2" t="s">
        <v>55</v>
      </c>
      <c r="Q996" s="16"/>
    </row>
    <row r="997" spans="1:17" x14ac:dyDescent="0.3">
      <c r="A997" s="10">
        <v>21733</v>
      </c>
      <c r="B997" s="2" t="s">
        <v>4348</v>
      </c>
      <c r="C997" s="13">
        <v>5557</v>
      </c>
      <c r="D997" s="2" t="s">
        <v>44</v>
      </c>
      <c r="E997" s="14">
        <v>44774</v>
      </c>
      <c r="F997" s="10" t="s">
        <v>2921</v>
      </c>
      <c r="G997" s="25">
        <v>44778</v>
      </c>
      <c r="H997" s="10" t="s">
        <v>2922</v>
      </c>
      <c r="I997" s="10" t="s">
        <v>2923</v>
      </c>
      <c r="J997" s="15">
        <v>930151.83</v>
      </c>
      <c r="K997" s="15">
        <v>926884.34216</v>
      </c>
      <c r="L997" s="15">
        <v>3267.49</v>
      </c>
      <c r="M997" s="15">
        <v>2816.8</v>
      </c>
      <c r="N997" s="15">
        <v>0</v>
      </c>
      <c r="O997" s="15">
        <v>450.69</v>
      </c>
      <c r="P997" s="2" t="s">
        <v>55</v>
      </c>
      <c r="Q997" s="16"/>
    </row>
    <row r="998" spans="1:17" x14ac:dyDescent="0.3">
      <c r="A998" s="10">
        <v>21733</v>
      </c>
      <c r="B998" s="2" t="s">
        <v>4349</v>
      </c>
      <c r="C998" s="13">
        <v>5557</v>
      </c>
      <c r="D998" s="2" t="s">
        <v>44</v>
      </c>
      <c r="E998" s="14">
        <v>45026</v>
      </c>
      <c r="F998" s="10" t="s">
        <v>2924</v>
      </c>
      <c r="G998" s="25">
        <v>45032</v>
      </c>
      <c r="H998" s="10" t="s">
        <v>2925</v>
      </c>
      <c r="I998" s="10" t="s">
        <v>2926</v>
      </c>
      <c r="J998" s="15">
        <v>1275558.26</v>
      </c>
      <c r="K998" s="15">
        <v>1272290.5543200001</v>
      </c>
      <c r="L998" s="15">
        <v>3267.71</v>
      </c>
      <c r="M998" s="15">
        <v>2816.99</v>
      </c>
      <c r="N998" s="15">
        <v>0</v>
      </c>
      <c r="O998" s="15">
        <v>450.72</v>
      </c>
      <c r="P998" s="2" t="s">
        <v>55</v>
      </c>
      <c r="Q998" s="16"/>
    </row>
    <row r="999" spans="1:17" x14ac:dyDescent="0.3">
      <c r="A999" s="10">
        <v>21733</v>
      </c>
      <c r="B999" s="2" t="s">
        <v>4350</v>
      </c>
      <c r="C999" s="13">
        <v>5548</v>
      </c>
      <c r="D999" s="2" t="s">
        <v>44</v>
      </c>
      <c r="E999" s="14">
        <v>44368</v>
      </c>
      <c r="F999" s="10" t="s">
        <v>640</v>
      </c>
      <c r="G999" s="25">
        <v>44374</v>
      </c>
      <c r="H999" s="10" t="s">
        <v>2927</v>
      </c>
      <c r="I999" s="10" t="s">
        <v>2928</v>
      </c>
      <c r="J999" s="15">
        <v>944158.34</v>
      </c>
      <c r="K999" s="15">
        <v>940861.26567999984</v>
      </c>
      <c r="L999" s="15">
        <v>3297.07</v>
      </c>
      <c r="M999" s="15">
        <v>2842.31</v>
      </c>
      <c r="N999" s="15">
        <v>0</v>
      </c>
      <c r="O999" s="15">
        <v>454.77</v>
      </c>
      <c r="P999" s="2" t="s">
        <v>55</v>
      </c>
      <c r="Q999" s="16"/>
    </row>
    <row r="1000" spans="1:17" x14ac:dyDescent="0.3">
      <c r="A1000" s="10">
        <v>21733</v>
      </c>
      <c r="B1000" s="2" t="s">
        <v>4351</v>
      </c>
      <c r="C1000" s="13">
        <v>5548</v>
      </c>
      <c r="D1000" s="2" t="s">
        <v>44</v>
      </c>
      <c r="E1000" s="14">
        <v>44340</v>
      </c>
      <c r="F1000" s="10" t="s">
        <v>2929</v>
      </c>
      <c r="G1000" s="25">
        <v>44349</v>
      </c>
      <c r="H1000" s="10" t="s">
        <v>2930</v>
      </c>
      <c r="I1000" s="10" t="s">
        <v>2931</v>
      </c>
      <c r="J1000" s="15">
        <v>670630.05000000005</v>
      </c>
      <c r="K1000" s="15">
        <v>667331.21711999993</v>
      </c>
      <c r="L1000" s="15">
        <v>3298.83</v>
      </c>
      <c r="M1000" s="15">
        <v>2843.82</v>
      </c>
      <c r="N1000" s="15">
        <v>0</v>
      </c>
      <c r="O1000" s="15">
        <v>455.01</v>
      </c>
      <c r="P1000" s="2" t="s">
        <v>55</v>
      </c>
      <c r="Q1000" s="16"/>
    </row>
    <row r="1001" spans="1:17" x14ac:dyDescent="0.3">
      <c r="A1001" s="10">
        <v>21733</v>
      </c>
      <c r="B1001" s="2" t="s">
        <v>4352</v>
      </c>
      <c r="C1001" s="13">
        <v>5557</v>
      </c>
      <c r="D1001" s="2" t="s">
        <v>44</v>
      </c>
      <c r="E1001" s="14">
        <v>44704</v>
      </c>
      <c r="F1001" s="10" t="s">
        <v>2932</v>
      </c>
      <c r="G1001" s="25">
        <v>44708</v>
      </c>
      <c r="H1001" s="10" t="s">
        <v>2933</v>
      </c>
      <c r="I1001" s="10" t="s">
        <v>2934</v>
      </c>
      <c r="J1001" s="15">
        <v>187914.96</v>
      </c>
      <c r="K1001" s="15">
        <v>184568.86207999996</v>
      </c>
      <c r="L1001" s="15">
        <v>3346.1</v>
      </c>
      <c r="M1001" s="15">
        <v>2884.57</v>
      </c>
      <c r="N1001" s="15">
        <v>0</v>
      </c>
      <c r="O1001" s="15">
        <v>461.53</v>
      </c>
      <c r="P1001" s="2" t="s">
        <v>55</v>
      </c>
      <c r="Q1001" s="16"/>
    </row>
    <row r="1002" spans="1:17" x14ac:dyDescent="0.3">
      <c r="A1002" s="10">
        <v>21733</v>
      </c>
      <c r="B1002" s="2" t="s">
        <v>4353</v>
      </c>
      <c r="C1002" s="13">
        <v>5537</v>
      </c>
      <c r="D1002" s="2" t="s">
        <v>44</v>
      </c>
      <c r="E1002" s="14">
        <v>44655</v>
      </c>
      <c r="F1002" s="10" t="s">
        <v>2935</v>
      </c>
      <c r="G1002" s="25">
        <v>44660</v>
      </c>
      <c r="H1002" s="10" t="s">
        <v>2936</v>
      </c>
      <c r="I1002" s="10" t="s">
        <v>2937</v>
      </c>
      <c r="J1002" s="15">
        <v>213969.82</v>
      </c>
      <c r="K1002" s="15">
        <v>210612.96168000004</v>
      </c>
      <c r="L1002" s="15">
        <v>3356.86</v>
      </c>
      <c r="M1002" s="15">
        <v>2893.84</v>
      </c>
      <c r="N1002" s="15">
        <v>0</v>
      </c>
      <c r="O1002" s="15">
        <v>463.01</v>
      </c>
      <c r="P1002" s="2" t="s">
        <v>55</v>
      </c>
      <c r="Q1002" s="16"/>
    </row>
    <row r="1003" spans="1:17" x14ac:dyDescent="0.3">
      <c r="A1003" s="10">
        <v>21733</v>
      </c>
      <c r="B1003" s="2" t="s">
        <v>4354</v>
      </c>
      <c r="C1003" s="13">
        <v>5556</v>
      </c>
      <c r="D1003" s="2" t="s">
        <v>44</v>
      </c>
      <c r="E1003" s="14">
        <v>44664</v>
      </c>
      <c r="F1003" s="10" t="s">
        <v>2938</v>
      </c>
      <c r="G1003" s="25">
        <v>44672</v>
      </c>
      <c r="H1003" s="10" t="s">
        <v>2939</v>
      </c>
      <c r="I1003" s="10" t="s">
        <v>2940</v>
      </c>
      <c r="J1003" s="15">
        <v>77194.23</v>
      </c>
      <c r="K1003" s="15">
        <v>73833.276159999994</v>
      </c>
      <c r="L1003" s="15">
        <v>3360.95</v>
      </c>
      <c r="M1003" s="15">
        <v>2897.37</v>
      </c>
      <c r="N1003" s="15">
        <v>0</v>
      </c>
      <c r="O1003" s="15">
        <v>463.58</v>
      </c>
      <c r="P1003" s="2" t="s">
        <v>55</v>
      </c>
      <c r="Q1003" s="16"/>
    </row>
    <row r="1004" spans="1:17" x14ac:dyDescent="0.3">
      <c r="A1004" s="10">
        <v>21733</v>
      </c>
      <c r="B1004" s="2" t="s">
        <v>4355</v>
      </c>
      <c r="C1004" s="13">
        <v>5557</v>
      </c>
      <c r="D1004" s="2" t="s">
        <v>44</v>
      </c>
      <c r="E1004" s="14">
        <v>44788</v>
      </c>
      <c r="F1004" s="10" t="s">
        <v>2941</v>
      </c>
      <c r="G1004" s="25">
        <v>44796</v>
      </c>
      <c r="H1004" s="10" t="s">
        <v>2942</v>
      </c>
      <c r="I1004" s="10" t="s">
        <v>2943</v>
      </c>
      <c r="J1004" s="15">
        <v>876021.83</v>
      </c>
      <c r="K1004" s="15">
        <v>872639.85375999997</v>
      </c>
      <c r="L1004" s="15">
        <v>3381.98</v>
      </c>
      <c r="M1004" s="15">
        <v>2915.5</v>
      </c>
      <c r="N1004" s="15">
        <v>0</v>
      </c>
      <c r="O1004" s="15">
        <v>466.48</v>
      </c>
      <c r="P1004" s="2" t="s">
        <v>55</v>
      </c>
      <c r="Q1004" s="16"/>
    </row>
    <row r="1005" spans="1:17" x14ac:dyDescent="0.3">
      <c r="A1005" s="10">
        <v>21733</v>
      </c>
      <c r="B1005" s="2" t="s">
        <v>4356</v>
      </c>
      <c r="C1005" s="13">
        <v>5548</v>
      </c>
      <c r="D1005" s="2" t="s">
        <v>44</v>
      </c>
      <c r="E1005" s="14">
        <v>45040</v>
      </c>
      <c r="F1005" s="10" t="s">
        <v>1819</v>
      </c>
      <c r="G1005" s="25">
        <v>45045</v>
      </c>
      <c r="H1005" s="10" t="s">
        <v>2944</v>
      </c>
      <c r="I1005" s="10" t="s">
        <v>2945</v>
      </c>
      <c r="J1005" s="15">
        <v>995117.29</v>
      </c>
      <c r="K1005" s="15">
        <v>991724.84243999945</v>
      </c>
      <c r="L1005" s="15">
        <v>3392.45</v>
      </c>
      <c r="M1005" s="15">
        <v>2924.52</v>
      </c>
      <c r="N1005" s="15">
        <v>0</v>
      </c>
      <c r="O1005" s="15">
        <v>467.92</v>
      </c>
      <c r="P1005" s="2" t="s">
        <v>55</v>
      </c>
      <c r="Q1005" s="16"/>
    </row>
    <row r="1006" spans="1:17" x14ac:dyDescent="0.3">
      <c r="A1006" s="10">
        <v>21733</v>
      </c>
      <c r="B1006" s="2" t="s">
        <v>4357</v>
      </c>
      <c r="C1006" s="13">
        <v>5537</v>
      </c>
      <c r="D1006" s="2" t="s">
        <v>44</v>
      </c>
      <c r="E1006" s="14">
        <v>44648</v>
      </c>
      <c r="F1006" s="10" t="s">
        <v>2946</v>
      </c>
      <c r="G1006" s="25">
        <v>44652</v>
      </c>
      <c r="H1006" s="10" t="s">
        <v>2947</v>
      </c>
      <c r="I1006" s="10" t="s">
        <v>2948</v>
      </c>
      <c r="J1006" s="15">
        <v>621058.98</v>
      </c>
      <c r="K1006" s="15">
        <v>617661.19452000002</v>
      </c>
      <c r="L1006" s="15">
        <v>3397.79</v>
      </c>
      <c r="M1006" s="15">
        <v>2929.13</v>
      </c>
      <c r="N1006" s="15">
        <v>0</v>
      </c>
      <c r="O1006" s="15">
        <v>468.66</v>
      </c>
      <c r="P1006" s="2" t="s">
        <v>55</v>
      </c>
      <c r="Q1006" s="16"/>
    </row>
    <row r="1007" spans="1:17" x14ac:dyDescent="0.3">
      <c r="A1007" s="10">
        <v>21733</v>
      </c>
      <c r="B1007" s="2" t="s">
        <v>4358</v>
      </c>
      <c r="C1007" s="13">
        <v>5548</v>
      </c>
      <c r="D1007" s="2" t="s">
        <v>44</v>
      </c>
      <c r="E1007" s="14">
        <v>44606</v>
      </c>
      <c r="F1007" s="10" t="s">
        <v>335</v>
      </c>
      <c r="G1007" s="25">
        <v>44610</v>
      </c>
      <c r="H1007" s="10" t="s">
        <v>2949</v>
      </c>
      <c r="I1007" s="10" t="s">
        <v>2950</v>
      </c>
      <c r="J1007" s="15">
        <v>1308618.26</v>
      </c>
      <c r="K1007" s="15">
        <v>1305219.5125999996</v>
      </c>
      <c r="L1007" s="15">
        <v>3398.75</v>
      </c>
      <c r="M1007" s="15">
        <v>2929.95</v>
      </c>
      <c r="N1007" s="15">
        <v>0</v>
      </c>
      <c r="O1007" s="15">
        <v>468.79</v>
      </c>
      <c r="P1007" s="2" t="s">
        <v>55</v>
      </c>
      <c r="Q1007" s="16"/>
    </row>
    <row r="1008" spans="1:17" x14ac:dyDescent="0.3">
      <c r="A1008" s="10">
        <v>21733</v>
      </c>
      <c r="B1008" s="2" t="s">
        <v>4359</v>
      </c>
      <c r="C1008" s="13">
        <v>5556</v>
      </c>
      <c r="D1008" s="2" t="s">
        <v>44</v>
      </c>
      <c r="E1008" s="14">
        <v>45021</v>
      </c>
      <c r="F1008" s="10" t="s">
        <v>2951</v>
      </c>
      <c r="G1008" s="25">
        <v>45029</v>
      </c>
      <c r="H1008" s="10" t="s">
        <v>2952</v>
      </c>
      <c r="I1008" s="10" t="s">
        <v>2953</v>
      </c>
      <c r="J1008" s="15">
        <v>1329617.25</v>
      </c>
      <c r="K1008" s="15">
        <v>1326158.6772400001</v>
      </c>
      <c r="L1008" s="15">
        <v>3458.57</v>
      </c>
      <c r="M1008" s="15">
        <v>2981.53</v>
      </c>
      <c r="N1008" s="15">
        <v>0</v>
      </c>
      <c r="O1008" s="15">
        <v>477.04</v>
      </c>
      <c r="P1008" s="2" t="s">
        <v>55</v>
      </c>
      <c r="Q1008" s="16"/>
    </row>
    <row r="1009" spans="1:17" x14ac:dyDescent="0.3">
      <c r="A1009" s="10">
        <v>21733</v>
      </c>
      <c r="B1009" s="2" t="s">
        <v>4360</v>
      </c>
      <c r="C1009" s="13">
        <v>5557</v>
      </c>
      <c r="D1009" s="2" t="s">
        <v>44</v>
      </c>
      <c r="E1009" s="14">
        <v>44767</v>
      </c>
      <c r="F1009" s="10" t="s">
        <v>663</v>
      </c>
      <c r="G1009" s="25">
        <v>44771</v>
      </c>
      <c r="H1009" s="10" t="s">
        <v>2954</v>
      </c>
      <c r="I1009" s="10" t="s">
        <v>2955</v>
      </c>
      <c r="J1009" s="15">
        <v>775474.35</v>
      </c>
      <c r="K1009" s="15">
        <v>772007.73676000012</v>
      </c>
      <c r="L1009" s="15">
        <v>3466.61</v>
      </c>
      <c r="M1009" s="15">
        <v>2988.46</v>
      </c>
      <c r="N1009" s="15">
        <v>0</v>
      </c>
      <c r="O1009" s="15">
        <v>478.15</v>
      </c>
      <c r="P1009" s="2" t="s">
        <v>55</v>
      </c>
      <c r="Q1009" s="16"/>
    </row>
    <row r="1010" spans="1:17" x14ac:dyDescent="0.3">
      <c r="A1010" s="10">
        <v>21733</v>
      </c>
      <c r="B1010" s="2" t="s">
        <v>4361</v>
      </c>
      <c r="C1010" s="13">
        <v>5557</v>
      </c>
      <c r="D1010" s="2" t="s">
        <v>44</v>
      </c>
      <c r="E1010" s="14">
        <v>45012</v>
      </c>
      <c r="F1010" s="10" t="s">
        <v>224</v>
      </c>
      <c r="G1010" s="25">
        <v>45020</v>
      </c>
      <c r="H1010" s="10" t="s">
        <v>2956</v>
      </c>
      <c r="I1010" s="10" t="s">
        <v>2957</v>
      </c>
      <c r="J1010" s="15">
        <v>842688.19</v>
      </c>
      <c r="K1010" s="15">
        <v>839200.93628000002</v>
      </c>
      <c r="L1010" s="15">
        <v>3487.25</v>
      </c>
      <c r="M1010" s="15">
        <v>3006.25</v>
      </c>
      <c r="N1010" s="15">
        <v>0</v>
      </c>
      <c r="O1010" s="15">
        <v>481</v>
      </c>
      <c r="P1010" s="2" t="s">
        <v>55</v>
      </c>
      <c r="Q1010" s="16"/>
    </row>
    <row r="1011" spans="1:17" x14ac:dyDescent="0.3">
      <c r="A1011" s="10">
        <v>21733</v>
      </c>
      <c r="B1011" s="2" t="s">
        <v>4362</v>
      </c>
      <c r="C1011" s="13">
        <v>5650</v>
      </c>
      <c r="D1011" s="2" t="s">
        <v>886</v>
      </c>
      <c r="E1011" s="14">
        <v>44869</v>
      </c>
      <c r="F1011" s="10" t="s">
        <v>2958</v>
      </c>
      <c r="G1011" s="25">
        <v>44880</v>
      </c>
      <c r="H1011" s="10" t="s">
        <v>2959</v>
      </c>
      <c r="I1011" s="10" t="s">
        <v>2960</v>
      </c>
      <c r="J1011" s="15">
        <v>695865.88</v>
      </c>
      <c r="K1011" s="15">
        <v>692334.72480000008</v>
      </c>
      <c r="L1011" s="15">
        <v>3531.16</v>
      </c>
      <c r="M1011" s="15">
        <v>3044.1</v>
      </c>
      <c r="N1011" s="15">
        <v>0</v>
      </c>
      <c r="O1011" s="15">
        <v>487.06</v>
      </c>
      <c r="P1011" s="2" t="s">
        <v>55</v>
      </c>
      <c r="Q1011" s="16"/>
    </row>
    <row r="1012" spans="1:17" x14ac:dyDescent="0.3">
      <c r="A1012" s="10">
        <v>21733</v>
      </c>
      <c r="B1012" s="2" t="s">
        <v>4363</v>
      </c>
      <c r="C1012" s="13">
        <v>5681</v>
      </c>
      <c r="D1012" s="2" t="s">
        <v>44</v>
      </c>
      <c r="E1012" s="14">
        <v>44669</v>
      </c>
      <c r="F1012" s="10" t="s">
        <v>2961</v>
      </c>
      <c r="G1012" s="25">
        <v>44674</v>
      </c>
      <c r="H1012" s="10" t="s">
        <v>2962</v>
      </c>
      <c r="I1012" s="10" t="s">
        <v>2963</v>
      </c>
      <c r="J1012" s="15">
        <v>111526.59</v>
      </c>
      <c r="K1012" s="15">
        <v>107994.43284000001</v>
      </c>
      <c r="L1012" s="15">
        <v>3532.16</v>
      </c>
      <c r="M1012" s="15">
        <v>3044.96</v>
      </c>
      <c r="N1012" s="15">
        <v>0</v>
      </c>
      <c r="O1012" s="15">
        <v>487.19</v>
      </c>
      <c r="P1012" s="2" t="s">
        <v>55</v>
      </c>
      <c r="Q1012" s="16"/>
    </row>
    <row r="1013" spans="1:17" x14ac:dyDescent="0.3">
      <c r="A1013" s="10">
        <v>21733</v>
      </c>
      <c r="B1013" s="2" t="s">
        <v>4364</v>
      </c>
      <c r="C1013" s="13">
        <v>5556</v>
      </c>
      <c r="D1013" s="2" t="s">
        <v>44</v>
      </c>
      <c r="E1013" s="14">
        <v>44839</v>
      </c>
      <c r="F1013" s="10" t="s">
        <v>2964</v>
      </c>
      <c r="G1013" s="25">
        <v>44847</v>
      </c>
      <c r="H1013" s="10" t="s">
        <v>2965</v>
      </c>
      <c r="I1013" s="10" t="s">
        <v>2966</v>
      </c>
      <c r="J1013" s="15">
        <v>1239105.06</v>
      </c>
      <c r="K1013" s="15">
        <v>1235531.4140800002</v>
      </c>
      <c r="L1013" s="15">
        <v>3573.65</v>
      </c>
      <c r="M1013" s="15">
        <v>3080.73</v>
      </c>
      <c r="N1013" s="15">
        <v>0</v>
      </c>
      <c r="O1013" s="15">
        <v>492.92</v>
      </c>
      <c r="P1013" s="2" t="s">
        <v>55</v>
      </c>
      <c r="Q1013" s="16"/>
    </row>
    <row r="1014" spans="1:17" x14ac:dyDescent="0.3">
      <c r="A1014" s="10">
        <v>21733</v>
      </c>
      <c r="B1014" s="2" t="s">
        <v>4365</v>
      </c>
      <c r="C1014" s="13">
        <v>5548</v>
      </c>
      <c r="D1014" s="2" t="s">
        <v>44</v>
      </c>
      <c r="E1014" s="14">
        <v>44732</v>
      </c>
      <c r="F1014" s="10" t="s">
        <v>2967</v>
      </c>
      <c r="G1014" s="25">
        <v>44738</v>
      </c>
      <c r="H1014" s="10" t="s">
        <v>2968</v>
      </c>
      <c r="I1014" s="10" t="s">
        <v>2969</v>
      </c>
      <c r="J1014" s="15">
        <v>723075.77</v>
      </c>
      <c r="K1014" s="15">
        <v>719466.73272000009</v>
      </c>
      <c r="L1014" s="15">
        <v>3609.04</v>
      </c>
      <c r="M1014" s="15">
        <v>3111.24</v>
      </c>
      <c r="N1014" s="15">
        <v>0</v>
      </c>
      <c r="O1014" s="15">
        <v>497.8</v>
      </c>
      <c r="P1014" s="2" t="s">
        <v>55</v>
      </c>
      <c r="Q1014" s="16"/>
    </row>
    <row r="1015" spans="1:17" x14ac:dyDescent="0.3">
      <c r="A1015" s="10">
        <v>21733</v>
      </c>
      <c r="B1015" s="2" t="s">
        <v>4366</v>
      </c>
      <c r="C1015" s="13">
        <v>5557</v>
      </c>
      <c r="D1015" s="2" t="s">
        <v>44</v>
      </c>
      <c r="E1015" s="14">
        <v>44991</v>
      </c>
      <c r="F1015" s="10" t="s">
        <v>2970</v>
      </c>
      <c r="G1015" s="25">
        <v>44999</v>
      </c>
      <c r="H1015" s="10" t="s">
        <v>2971</v>
      </c>
      <c r="I1015" s="10" t="s">
        <v>2972</v>
      </c>
      <c r="J1015" s="15">
        <v>841220.25</v>
      </c>
      <c r="K1015" s="15">
        <v>837601.62340000004</v>
      </c>
      <c r="L1015" s="15">
        <v>3618.63</v>
      </c>
      <c r="M1015" s="15">
        <v>3119.51</v>
      </c>
      <c r="N1015" s="15">
        <v>0</v>
      </c>
      <c r="O1015" s="15">
        <v>499.12</v>
      </c>
      <c r="P1015" s="2" t="s">
        <v>55</v>
      </c>
      <c r="Q1015" s="16"/>
    </row>
    <row r="1016" spans="1:17" x14ac:dyDescent="0.3">
      <c r="A1016" s="10">
        <v>21733</v>
      </c>
      <c r="B1016" s="2" t="s">
        <v>4367</v>
      </c>
      <c r="C1016" s="13">
        <v>5549</v>
      </c>
      <c r="D1016" s="2" t="s">
        <v>44</v>
      </c>
      <c r="E1016" s="14">
        <v>44662</v>
      </c>
      <c r="F1016" s="10" t="s">
        <v>2466</v>
      </c>
      <c r="G1016" s="25">
        <v>44671</v>
      </c>
      <c r="H1016" s="10" t="s">
        <v>2973</v>
      </c>
      <c r="I1016" s="10" t="s">
        <v>2974</v>
      </c>
      <c r="J1016" s="15">
        <v>1086345.82</v>
      </c>
      <c r="K1016" s="15">
        <v>1082723.6477999997</v>
      </c>
      <c r="L1016" s="15">
        <v>3622.17</v>
      </c>
      <c r="M1016" s="15">
        <v>3122.56</v>
      </c>
      <c r="N1016" s="15">
        <v>0</v>
      </c>
      <c r="O1016" s="15">
        <v>499.61</v>
      </c>
      <c r="P1016" s="2" t="s">
        <v>55</v>
      </c>
      <c r="Q1016" s="16"/>
    </row>
    <row r="1017" spans="1:17" x14ac:dyDescent="0.3">
      <c r="A1017" s="10">
        <v>21733</v>
      </c>
      <c r="B1017" s="2" t="s">
        <v>4368</v>
      </c>
      <c r="C1017" s="13">
        <v>5556</v>
      </c>
      <c r="D1017" s="2" t="s">
        <v>44</v>
      </c>
      <c r="E1017" s="14">
        <v>44635</v>
      </c>
      <c r="F1017" s="10" t="s">
        <v>2975</v>
      </c>
      <c r="G1017" s="25">
        <v>44642</v>
      </c>
      <c r="H1017" s="10" t="s">
        <v>2976</v>
      </c>
      <c r="I1017" s="10" t="s">
        <v>2977</v>
      </c>
      <c r="J1017" s="15">
        <v>362731.43</v>
      </c>
      <c r="K1017" s="15">
        <v>359103.70559999999</v>
      </c>
      <c r="L1017" s="15">
        <v>3627.72</v>
      </c>
      <c r="M1017" s="15">
        <v>3127.35</v>
      </c>
      <c r="N1017" s="15">
        <v>0</v>
      </c>
      <c r="O1017" s="15">
        <v>500.38</v>
      </c>
      <c r="P1017" s="2" t="s">
        <v>55</v>
      </c>
      <c r="Q1017" s="16"/>
    </row>
    <row r="1018" spans="1:17" x14ac:dyDescent="0.3">
      <c r="A1018" s="10">
        <v>21733</v>
      </c>
      <c r="B1018" s="2" t="s">
        <v>4369</v>
      </c>
      <c r="C1018" s="13">
        <v>5557</v>
      </c>
      <c r="D1018" s="2" t="s">
        <v>44</v>
      </c>
      <c r="E1018" s="14">
        <v>44382</v>
      </c>
      <c r="F1018" s="10" t="s">
        <v>2978</v>
      </c>
      <c r="G1018" s="25">
        <v>44387</v>
      </c>
      <c r="H1018" s="10" t="s">
        <v>2979</v>
      </c>
      <c r="I1018" s="10" t="s">
        <v>2980</v>
      </c>
      <c r="J1018" s="15">
        <v>460174.43</v>
      </c>
      <c r="K1018" s="15">
        <v>456532.07312000002</v>
      </c>
      <c r="L1018" s="15">
        <v>3642.36</v>
      </c>
      <c r="M1018" s="15">
        <v>3139.96</v>
      </c>
      <c r="N1018" s="15">
        <v>0</v>
      </c>
      <c r="O1018" s="15">
        <v>502.39</v>
      </c>
      <c r="P1018" s="2" t="s">
        <v>55</v>
      </c>
      <c r="Q1018" s="16"/>
    </row>
    <row r="1019" spans="1:17" x14ac:dyDescent="0.3">
      <c r="A1019" s="10">
        <v>21733</v>
      </c>
      <c r="B1019" s="2" t="s">
        <v>4370</v>
      </c>
      <c r="C1019" s="13">
        <v>5537</v>
      </c>
      <c r="D1019" s="2" t="s">
        <v>44</v>
      </c>
      <c r="E1019" s="14">
        <v>44662</v>
      </c>
      <c r="F1019" s="10" t="s">
        <v>2981</v>
      </c>
      <c r="G1019" s="25">
        <v>44666</v>
      </c>
      <c r="H1019" s="10" t="s">
        <v>2982</v>
      </c>
      <c r="I1019" s="10" t="s">
        <v>2983</v>
      </c>
      <c r="J1019" s="15">
        <v>295360.77</v>
      </c>
      <c r="K1019" s="15">
        <v>291576.96315999998</v>
      </c>
      <c r="L1019" s="15">
        <v>3783.81</v>
      </c>
      <c r="M1019" s="15">
        <v>3261.9</v>
      </c>
      <c r="N1019" s="15">
        <v>0</v>
      </c>
      <c r="O1019" s="15">
        <v>521.9</v>
      </c>
      <c r="P1019" s="2" t="s">
        <v>55</v>
      </c>
      <c r="Q1019" s="16"/>
    </row>
    <row r="1020" spans="1:17" x14ac:dyDescent="0.3">
      <c r="A1020" s="10">
        <v>21733</v>
      </c>
      <c r="B1020" s="2" t="s">
        <v>4371</v>
      </c>
      <c r="C1020" s="13">
        <v>5556</v>
      </c>
      <c r="D1020" s="2" t="s">
        <v>44</v>
      </c>
      <c r="E1020" s="14">
        <v>45049</v>
      </c>
      <c r="F1020" s="10" t="s">
        <v>544</v>
      </c>
      <c r="G1020" s="25">
        <v>45058</v>
      </c>
      <c r="H1020" s="10" t="s">
        <v>2984</v>
      </c>
      <c r="I1020" s="10" t="s">
        <v>2985</v>
      </c>
      <c r="J1020" s="15">
        <v>544127.28</v>
      </c>
      <c r="K1020" s="15">
        <v>540337.55608000013</v>
      </c>
      <c r="L1020" s="15">
        <v>3789.72</v>
      </c>
      <c r="M1020" s="15">
        <v>3267</v>
      </c>
      <c r="N1020" s="15">
        <v>0</v>
      </c>
      <c r="O1020" s="15">
        <v>522.72</v>
      </c>
      <c r="P1020" s="2" t="s">
        <v>55</v>
      </c>
      <c r="Q1020" s="16"/>
    </row>
    <row r="1021" spans="1:17" x14ac:dyDescent="0.3">
      <c r="A1021" s="10">
        <v>21733</v>
      </c>
      <c r="B1021" s="2" t="s">
        <v>4372</v>
      </c>
      <c r="C1021" s="13">
        <v>5549</v>
      </c>
      <c r="D1021" s="2" t="s">
        <v>44</v>
      </c>
      <c r="E1021" s="14">
        <v>45048</v>
      </c>
      <c r="F1021" s="10" t="s">
        <v>2986</v>
      </c>
      <c r="G1021" s="25">
        <v>45072</v>
      </c>
      <c r="H1021" s="10" t="s">
        <v>2987</v>
      </c>
      <c r="I1021" s="10" t="s">
        <v>2988</v>
      </c>
      <c r="J1021" s="15">
        <v>1526329.24</v>
      </c>
      <c r="K1021" s="15">
        <v>1522527.5337599998</v>
      </c>
      <c r="L1021" s="15">
        <v>3801.71</v>
      </c>
      <c r="M1021" s="15">
        <v>3277.33</v>
      </c>
      <c r="N1021" s="15">
        <v>0</v>
      </c>
      <c r="O1021" s="15">
        <v>524.37</v>
      </c>
      <c r="P1021" s="2" t="s">
        <v>55</v>
      </c>
      <c r="Q1021" s="16"/>
    </row>
    <row r="1022" spans="1:17" x14ac:dyDescent="0.3">
      <c r="A1022" s="10">
        <v>21733</v>
      </c>
      <c r="B1022" s="2" t="s">
        <v>4373</v>
      </c>
      <c r="C1022" s="13">
        <v>5537</v>
      </c>
      <c r="D1022" s="2" t="s">
        <v>44</v>
      </c>
      <c r="E1022" s="14">
        <v>44635</v>
      </c>
      <c r="F1022" s="10" t="s">
        <v>2989</v>
      </c>
      <c r="G1022" s="25">
        <v>44642</v>
      </c>
      <c r="H1022" s="10" t="s">
        <v>2990</v>
      </c>
      <c r="I1022" s="10" t="s">
        <v>2991</v>
      </c>
      <c r="J1022" s="15">
        <v>381204.95</v>
      </c>
      <c r="K1022" s="15">
        <v>377392.51152000006</v>
      </c>
      <c r="L1022" s="15">
        <v>3812.44</v>
      </c>
      <c r="M1022" s="15">
        <v>3286.58</v>
      </c>
      <c r="N1022" s="15">
        <v>0</v>
      </c>
      <c r="O1022" s="15">
        <v>525.85</v>
      </c>
      <c r="P1022" s="2" t="s">
        <v>55</v>
      </c>
      <c r="Q1022" s="16"/>
    </row>
    <row r="1023" spans="1:17" x14ac:dyDescent="0.3">
      <c r="A1023" s="10">
        <v>21733</v>
      </c>
      <c r="B1023" s="2" t="s">
        <v>4374</v>
      </c>
      <c r="C1023" s="13">
        <v>5549</v>
      </c>
      <c r="D1023" s="2" t="s">
        <v>44</v>
      </c>
      <c r="E1023" s="14">
        <v>44726</v>
      </c>
      <c r="F1023" s="10" t="s">
        <v>260</v>
      </c>
      <c r="G1023" s="25">
        <v>44738</v>
      </c>
      <c r="H1023" s="10" t="s">
        <v>2992</v>
      </c>
      <c r="I1023" s="10" t="s">
        <v>2993</v>
      </c>
      <c r="J1023" s="15">
        <v>1414846.73</v>
      </c>
      <c r="K1023" s="15">
        <v>1411028.7768799996</v>
      </c>
      <c r="L1023" s="15">
        <v>3817.95</v>
      </c>
      <c r="M1023" s="15">
        <v>3291.34</v>
      </c>
      <c r="N1023" s="15">
        <v>0</v>
      </c>
      <c r="O1023" s="15">
        <v>526.61</v>
      </c>
      <c r="P1023" s="2" t="s">
        <v>55</v>
      </c>
      <c r="Q1023" s="16"/>
    </row>
    <row r="1024" spans="1:17" x14ac:dyDescent="0.3">
      <c r="A1024" s="10">
        <v>21733</v>
      </c>
      <c r="B1024" s="2" t="s">
        <v>4375</v>
      </c>
      <c r="C1024" s="13">
        <v>5681</v>
      </c>
      <c r="D1024" s="2" t="s">
        <v>44</v>
      </c>
      <c r="E1024" s="14">
        <v>44635</v>
      </c>
      <c r="F1024" s="10" t="s">
        <v>2994</v>
      </c>
      <c r="G1024" s="25">
        <v>44642</v>
      </c>
      <c r="H1024" s="10" t="s">
        <v>2995</v>
      </c>
      <c r="I1024" s="10" t="s">
        <v>2996</v>
      </c>
      <c r="J1024" s="15">
        <v>384702</v>
      </c>
      <c r="K1024" s="15">
        <v>380854.51295999996</v>
      </c>
      <c r="L1024" s="15">
        <v>3847.49</v>
      </c>
      <c r="M1024" s="15">
        <v>3316.8</v>
      </c>
      <c r="N1024" s="15">
        <v>0</v>
      </c>
      <c r="O1024" s="15">
        <v>530.69000000000005</v>
      </c>
      <c r="P1024" s="2" t="s">
        <v>55</v>
      </c>
      <c r="Q1024" s="16"/>
    </row>
    <row r="1025" spans="1:17" x14ac:dyDescent="0.3">
      <c r="A1025" s="10">
        <v>21733</v>
      </c>
      <c r="B1025" s="2" t="s">
        <v>4376</v>
      </c>
      <c r="C1025" s="13">
        <v>5556</v>
      </c>
      <c r="D1025" s="2" t="s">
        <v>44</v>
      </c>
      <c r="E1025" s="14">
        <v>44958</v>
      </c>
      <c r="F1025" s="10" t="s">
        <v>2997</v>
      </c>
      <c r="G1025" s="25">
        <v>44964</v>
      </c>
      <c r="H1025" s="10" t="s">
        <v>2998</v>
      </c>
      <c r="I1025" s="10" t="s">
        <v>2999</v>
      </c>
      <c r="J1025" s="15">
        <v>559550.39</v>
      </c>
      <c r="K1025" s="15">
        <v>555692.86120000004</v>
      </c>
      <c r="L1025" s="15">
        <v>3857.53</v>
      </c>
      <c r="M1025" s="15">
        <v>3325.46</v>
      </c>
      <c r="N1025" s="15">
        <v>0</v>
      </c>
      <c r="O1025" s="15">
        <v>532.07000000000005</v>
      </c>
      <c r="P1025" s="2" t="s">
        <v>55</v>
      </c>
      <c r="Q1025" s="16"/>
    </row>
    <row r="1026" spans="1:17" x14ac:dyDescent="0.3">
      <c r="A1026" s="10">
        <v>21733</v>
      </c>
      <c r="B1026" s="2" t="s">
        <v>4377</v>
      </c>
      <c r="C1026" s="13">
        <v>5556</v>
      </c>
      <c r="D1026" s="2" t="s">
        <v>44</v>
      </c>
      <c r="E1026" s="14">
        <v>45574</v>
      </c>
      <c r="F1026" s="10" t="s">
        <v>2631</v>
      </c>
      <c r="G1026" s="25">
        <v>45589</v>
      </c>
      <c r="H1026" s="10" t="s">
        <v>3000</v>
      </c>
      <c r="I1026" s="10" t="s">
        <v>3001</v>
      </c>
      <c r="J1026" s="15">
        <v>7810.24</v>
      </c>
      <c r="K1026" s="15">
        <v>3905.9519999999998</v>
      </c>
      <c r="L1026" s="15">
        <v>3904.29</v>
      </c>
      <c r="M1026" s="15">
        <v>3365.77</v>
      </c>
      <c r="N1026" s="15">
        <v>0</v>
      </c>
      <c r="O1026" s="15">
        <v>538.52</v>
      </c>
      <c r="P1026" s="2" t="s">
        <v>55</v>
      </c>
      <c r="Q1026" s="16"/>
    </row>
    <row r="1027" spans="1:17" x14ac:dyDescent="0.3">
      <c r="A1027" s="10">
        <v>21733</v>
      </c>
      <c r="B1027" s="2" t="s">
        <v>4378</v>
      </c>
      <c r="C1027" s="13">
        <v>5537</v>
      </c>
      <c r="D1027" s="2" t="s">
        <v>44</v>
      </c>
      <c r="E1027" s="14">
        <v>44326</v>
      </c>
      <c r="F1027" s="10" t="s">
        <v>3002</v>
      </c>
      <c r="G1027" s="25">
        <v>44330</v>
      </c>
      <c r="H1027" s="10" t="s">
        <v>3003</v>
      </c>
      <c r="I1027" s="10" t="s">
        <v>3004</v>
      </c>
      <c r="J1027" s="15">
        <v>343488.58</v>
      </c>
      <c r="K1027" s="15">
        <v>339516.76919999998</v>
      </c>
      <c r="L1027" s="15">
        <v>3971.81</v>
      </c>
      <c r="M1027" s="15">
        <v>3423.97</v>
      </c>
      <c r="N1027" s="15">
        <v>0</v>
      </c>
      <c r="O1027" s="15">
        <v>547.84</v>
      </c>
      <c r="P1027" s="2" t="s">
        <v>55</v>
      </c>
      <c r="Q1027" s="16"/>
    </row>
    <row r="1028" spans="1:17" x14ac:dyDescent="0.3">
      <c r="A1028" s="10">
        <v>21733</v>
      </c>
      <c r="B1028" s="2" t="s">
        <v>4379</v>
      </c>
      <c r="C1028" s="13">
        <v>5548</v>
      </c>
      <c r="D1028" s="2" t="s">
        <v>44</v>
      </c>
      <c r="E1028" s="14">
        <v>44599</v>
      </c>
      <c r="F1028" s="10" t="s">
        <v>3005</v>
      </c>
      <c r="G1028" s="25">
        <v>44604</v>
      </c>
      <c r="H1028" s="10" t="s">
        <v>3006</v>
      </c>
      <c r="I1028" s="10" t="s">
        <v>3007</v>
      </c>
      <c r="J1028" s="15">
        <v>531632.97</v>
      </c>
      <c r="K1028" s="15">
        <v>527646.39627999987</v>
      </c>
      <c r="L1028" s="15">
        <v>3986.57</v>
      </c>
      <c r="M1028" s="15">
        <v>3436.7</v>
      </c>
      <c r="N1028" s="15">
        <v>0</v>
      </c>
      <c r="O1028" s="15">
        <v>549.87</v>
      </c>
      <c r="P1028" s="2" t="s">
        <v>55</v>
      </c>
      <c r="Q1028" s="16"/>
    </row>
    <row r="1029" spans="1:17" x14ac:dyDescent="0.3">
      <c r="A1029" s="10">
        <v>21733</v>
      </c>
      <c r="B1029" s="2" t="s">
        <v>4380</v>
      </c>
      <c r="C1029" s="13">
        <v>5548</v>
      </c>
      <c r="D1029" s="2" t="s">
        <v>44</v>
      </c>
      <c r="E1029" s="14">
        <v>44389</v>
      </c>
      <c r="F1029" s="10" t="s">
        <v>1573</v>
      </c>
      <c r="G1029" s="25">
        <v>44393</v>
      </c>
      <c r="H1029" s="10" t="s">
        <v>3008</v>
      </c>
      <c r="I1029" s="10" t="s">
        <v>3009</v>
      </c>
      <c r="J1029" s="15">
        <v>786754.89</v>
      </c>
      <c r="K1029" s="15">
        <v>782757.07860000024</v>
      </c>
      <c r="L1029" s="15">
        <v>3997.81</v>
      </c>
      <c r="M1029" s="15">
        <v>3446.39</v>
      </c>
      <c r="N1029" s="15">
        <v>0</v>
      </c>
      <c r="O1029" s="15">
        <v>551.41999999999996</v>
      </c>
      <c r="P1029" s="2" t="s">
        <v>55</v>
      </c>
      <c r="Q1029" s="16"/>
    </row>
    <row r="1030" spans="1:17" x14ac:dyDescent="0.3">
      <c r="A1030" s="10">
        <v>21733</v>
      </c>
      <c r="B1030" s="2" t="s">
        <v>4381</v>
      </c>
      <c r="C1030" s="13">
        <v>5537</v>
      </c>
      <c r="D1030" s="2" t="s">
        <v>44</v>
      </c>
      <c r="E1030" s="14">
        <v>44617</v>
      </c>
      <c r="F1030" s="10" t="s">
        <v>3010</v>
      </c>
      <c r="G1030" s="25">
        <v>44624</v>
      </c>
      <c r="H1030" s="10" t="s">
        <v>3011</v>
      </c>
      <c r="I1030" s="10" t="s">
        <v>3012</v>
      </c>
      <c r="J1030" s="15">
        <v>70231.98</v>
      </c>
      <c r="K1030" s="15">
        <v>66217.808880000011</v>
      </c>
      <c r="L1030" s="15">
        <v>4014.17</v>
      </c>
      <c r="M1030" s="15">
        <v>3460.49</v>
      </c>
      <c r="N1030" s="15">
        <v>0</v>
      </c>
      <c r="O1030" s="15">
        <v>553.67999999999995</v>
      </c>
      <c r="P1030" s="2" t="s">
        <v>55</v>
      </c>
      <c r="Q1030" s="16"/>
    </row>
    <row r="1031" spans="1:17" x14ac:dyDescent="0.3">
      <c r="A1031" s="10">
        <v>21733</v>
      </c>
      <c r="B1031" s="2" t="s">
        <v>4382</v>
      </c>
      <c r="C1031" s="13">
        <v>5556</v>
      </c>
      <c r="D1031" s="2" t="s">
        <v>44</v>
      </c>
      <c r="E1031" s="14">
        <v>44671</v>
      </c>
      <c r="F1031" s="10" t="s">
        <v>3013</v>
      </c>
      <c r="G1031" s="25">
        <v>44677</v>
      </c>
      <c r="H1031" s="10" t="s">
        <v>3014</v>
      </c>
      <c r="I1031" s="10" t="s">
        <v>3015</v>
      </c>
      <c r="J1031" s="15">
        <v>70883.539999999994</v>
      </c>
      <c r="K1031" s="15">
        <v>66809.702359999996</v>
      </c>
      <c r="L1031" s="15">
        <v>4073.84</v>
      </c>
      <c r="M1031" s="15">
        <v>3511.93</v>
      </c>
      <c r="N1031" s="15">
        <v>0</v>
      </c>
      <c r="O1031" s="15">
        <v>561.91</v>
      </c>
      <c r="P1031" s="2" t="s">
        <v>55</v>
      </c>
      <c r="Q1031" s="16"/>
    </row>
    <row r="1032" spans="1:17" x14ac:dyDescent="0.3">
      <c r="A1032" s="10">
        <v>21733</v>
      </c>
      <c r="B1032" s="2" t="s">
        <v>4383</v>
      </c>
      <c r="C1032" s="13">
        <v>5548</v>
      </c>
      <c r="D1032" s="2" t="s">
        <v>44</v>
      </c>
      <c r="E1032" s="14">
        <v>44459</v>
      </c>
      <c r="F1032" s="10" t="s">
        <v>865</v>
      </c>
      <c r="G1032" s="25">
        <v>44463</v>
      </c>
      <c r="H1032" s="10" t="s">
        <v>3016</v>
      </c>
      <c r="I1032" s="10" t="s">
        <v>3017</v>
      </c>
      <c r="J1032" s="15">
        <v>660071.94999999995</v>
      </c>
      <c r="K1032" s="15">
        <v>655960.58855999971</v>
      </c>
      <c r="L1032" s="15">
        <v>4111.3599999999997</v>
      </c>
      <c r="M1032" s="15">
        <v>3544.28</v>
      </c>
      <c r="N1032" s="15">
        <v>0</v>
      </c>
      <c r="O1032" s="15">
        <v>567.08000000000004</v>
      </c>
      <c r="P1032" s="2" t="s">
        <v>55</v>
      </c>
      <c r="Q1032" s="16"/>
    </row>
    <row r="1033" spans="1:17" x14ac:dyDescent="0.3">
      <c r="A1033" s="10">
        <v>21733</v>
      </c>
      <c r="B1033" s="2" t="s">
        <v>4384</v>
      </c>
      <c r="C1033" s="13">
        <v>5537</v>
      </c>
      <c r="D1033" s="2" t="s">
        <v>44</v>
      </c>
      <c r="E1033" s="14">
        <v>44804</v>
      </c>
      <c r="F1033" s="10" t="s">
        <v>3018</v>
      </c>
      <c r="G1033" s="25">
        <v>44822</v>
      </c>
      <c r="H1033" s="10" t="s">
        <v>3019</v>
      </c>
      <c r="I1033" s="10" t="s">
        <v>3020</v>
      </c>
      <c r="J1033" s="15">
        <v>54705.32</v>
      </c>
      <c r="K1033" s="15">
        <v>50497.3056</v>
      </c>
      <c r="L1033" s="15">
        <v>4208.01</v>
      </c>
      <c r="M1033" s="15">
        <v>3627.6</v>
      </c>
      <c r="N1033" s="15">
        <v>0</v>
      </c>
      <c r="O1033" s="15">
        <v>580.41999999999996</v>
      </c>
      <c r="P1033" s="2" t="s">
        <v>55</v>
      </c>
      <c r="Q1033" s="16"/>
    </row>
    <row r="1034" spans="1:17" x14ac:dyDescent="0.3">
      <c r="A1034" s="10">
        <v>21733</v>
      </c>
      <c r="B1034" s="2" t="s">
        <v>4385</v>
      </c>
      <c r="C1034" s="13">
        <v>5548</v>
      </c>
      <c r="D1034" s="2" t="s">
        <v>44</v>
      </c>
      <c r="E1034" s="14">
        <v>44865</v>
      </c>
      <c r="F1034" s="10" t="s">
        <v>3021</v>
      </c>
      <c r="G1034" s="25">
        <v>44873</v>
      </c>
      <c r="H1034" s="10" t="s">
        <v>3022</v>
      </c>
      <c r="I1034" s="10" t="s">
        <v>3023</v>
      </c>
      <c r="J1034" s="15">
        <v>749041.52</v>
      </c>
      <c r="K1034" s="15">
        <v>744820.67871999985</v>
      </c>
      <c r="L1034" s="15">
        <v>4220.84</v>
      </c>
      <c r="M1034" s="15">
        <v>3638.66</v>
      </c>
      <c r="N1034" s="15">
        <v>0</v>
      </c>
      <c r="O1034" s="15">
        <v>582.19000000000005</v>
      </c>
      <c r="P1034" s="2" t="s">
        <v>55</v>
      </c>
      <c r="Q1034" s="16"/>
    </row>
    <row r="1035" spans="1:17" x14ac:dyDescent="0.3">
      <c r="A1035" s="10">
        <v>21733</v>
      </c>
      <c r="B1035" s="2" t="s">
        <v>4386</v>
      </c>
      <c r="C1035" s="13">
        <v>5548</v>
      </c>
      <c r="D1035" s="2" t="s">
        <v>44</v>
      </c>
      <c r="E1035" s="14">
        <v>44711</v>
      </c>
      <c r="F1035" s="10" t="s">
        <v>3024</v>
      </c>
      <c r="G1035" s="25">
        <v>44716</v>
      </c>
      <c r="H1035" s="10" t="s">
        <v>3025</v>
      </c>
      <c r="I1035" s="10" t="s">
        <v>3026</v>
      </c>
      <c r="J1035" s="15">
        <v>791545.11</v>
      </c>
      <c r="K1035" s="15">
        <v>787321.89551999979</v>
      </c>
      <c r="L1035" s="15">
        <v>4223.21</v>
      </c>
      <c r="M1035" s="15">
        <v>3640.7</v>
      </c>
      <c r="N1035" s="15">
        <v>0</v>
      </c>
      <c r="O1035" s="15">
        <v>582.51</v>
      </c>
      <c r="P1035" s="2" t="s">
        <v>55</v>
      </c>
      <c r="Q1035" s="16"/>
    </row>
    <row r="1036" spans="1:17" x14ac:dyDescent="0.3">
      <c r="A1036" s="10">
        <v>21733</v>
      </c>
      <c r="B1036" s="2" t="s">
        <v>4387</v>
      </c>
      <c r="C1036" s="13">
        <v>5681</v>
      </c>
      <c r="D1036" s="2" t="s">
        <v>44</v>
      </c>
      <c r="E1036" s="14">
        <v>44865</v>
      </c>
      <c r="F1036" s="10" t="s">
        <v>3027</v>
      </c>
      <c r="G1036" s="25">
        <v>44872</v>
      </c>
      <c r="H1036" s="10" t="s">
        <v>3028</v>
      </c>
      <c r="I1036" s="10" t="s">
        <v>3029</v>
      </c>
      <c r="J1036" s="15">
        <v>243665.77</v>
      </c>
      <c r="K1036" s="15">
        <v>239382.65643999999</v>
      </c>
      <c r="L1036" s="15">
        <v>4283.1099999999997</v>
      </c>
      <c r="M1036" s="15">
        <v>3692.34</v>
      </c>
      <c r="N1036" s="15">
        <v>0</v>
      </c>
      <c r="O1036" s="15">
        <v>590.77</v>
      </c>
      <c r="P1036" s="2" t="s">
        <v>55</v>
      </c>
      <c r="Q1036" s="16"/>
    </row>
    <row r="1037" spans="1:17" x14ac:dyDescent="0.3">
      <c r="A1037" s="10">
        <v>21733</v>
      </c>
      <c r="B1037" s="2" t="s">
        <v>4388</v>
      </c>
      <c r="C1037" s="13">
        <v>5548</v>
      </c>
      <c r="D1037" s="2" t="s">
        <v>44</v>
      </c>
      <c r="E1037" s="14">
        <v>44571</v>
      </c>
      <c r="F1037" s="10" t="s">
        <v>3030</v>
      </c>
      <c r="G1037" s="25">
        <v>44575</v>
      </c>
      <c r="H1037" s="10" t="s">
        <v>3031</v>
      </c>
      <c r="I1037" s="10" t="s">
        <v>3032</v>
      </c>
      <c r="J1037" s="15">
        <v>1095043.99</v>
      </c>
      <c r="K1037" s="15">
        <v>1090750.4174400002</v>
      </c>
      <c r="L1037" s="15">
        <v>4293.57</v>
      </c>
      <c r="M1037" s="15">
        <v>3701.36</v>
      </c>
      <c r="N1037" s="15">
        <v>0</v>
      </c>
      <c r="O1037" s="15">
        <v>592.22</v>
      </c>
      <c r="P1037" s="2" t="s">
        <v>55</v>
      </c>
      <c r="Q1037" s="16"/>
    </row>
    <row r="1038" spans="1:17" x14ac:dyDescent="0.3">
      <c r="A1038" s="10">
        <v>21733</v>
      </c>
      <c r="B1038" s="2" t="s">
        <v>4389</v>
      </c>
      <c r="C1038" s="13">
        <v>5556</v>
      </c>
      <c r="D1038" s="2" t="s">
        <v>44</v>
      </c>
      <c r="E1038" s="14">
        <v>44825</v>
      </c>
      <c r="F1038" s="10" t="s">
        <v>3033</v>
      </c>
      <c r="G1038" s="25">
        <v>44833</v>
      </c>
      <c r="H1038" s="10" t="s">
        <v>3034</v>
      </c>
      <c r="I1038" s="10" t="s">
        <v>3035</v>
      </c>
      <c r="J1038" s="15">
        <v>119715.67</v>
      </c>
      <c r="K1038" s="15">
        <v>115411.8104</v>
      </c>
      <c r="L1038" s="15">
        <v>4303.8599999999997</v>
      </c>
      <c r="M1038" s="15">
        <v>3710.22</v>
      </c>
      <c r="N1038" s="15">
        <v>0</v>
      </c>
      <c r="O1038" s="15">
        <v>593.64</v>
      </c>
      <c r="P1038" s="2" t="s">
        <v>55</v>
      </c>
      <c r="Q1038" s="16"/>
    </row>
    <row r="1039" spans="1:17" x14ac:dyDescent="0.3">
      <c r="A1039" s="10">
        <v>21733</v>
      </c>
      <c r="B1039" s="2" t="s">
        <v>4390</v>
      </c>
      <c r="C1039" s="13">
        <v>5557</v>
      </c>
      <c r="D1039" s="2" t="s">
        <v>44</v>
      </c>
      <c r="E1039" s="14">
        <v>45040</v>
      </c>
      <c r="F1039" s="10" t="s">
        <v>1198</v>
      </c>
      <c r="G1039" s="25">
        <v>45045</v>
      </c>
      <c r="H1039" s="10" t="s">
        <v>3036</v>
      </c>
      <c r="I1039" s="10" t="s">
        <v>3037</v>
      </c>
      <c r="J1039" s="15">
        <v>859419.64</v>
      </c>
      <c r="K1039" s="15">
        <v>855103.44935999974</v>
      </c>
      <c r="L1039" s="15">
        <v>4316.1899999999996</v>
      </c>
      <c r="M1039" s="15">
        <v>3720.85</v>
      </c>
      <c r="N1039" s="15">
        <v>0</v>
      </c>
      <c r="O1039" s="15">
        <v>595.34</v>
      </c>
      <c r="P1039" s="2" t="s">
        <v>55</v>
      </c>
      <c r="Q1039" s="16"/>
    </row>
    <row r="1040" spans="1:17" x14ac:dyDescent="0.3">
      <c r="A1040" s="10">
        <v>21733</v>
      </c>
      <c r="B1040" s="2" t="s">
        <v>4391</v>
      </c>
      <c r="C1040" s="13">
        <v>5548</v>
      </c>
      <c r="D1040" s="2" t="s">
        <v>44</v>
      </c>
      <c r="E1040" s="14">
        <v>45033</v>
      </c>
      <c r="F1040" s="10" t="s">
        <v>3038</v>
      </c>
      <c r="G1040" s="25">
        <v>45041</v>
      </c>
      <c r="H1040" s="10" t="s">
        <v>3039</v>
      </c>
      <c r="I1040" s="10" t="s">
        <v>3040</v>
      </c>
      <c r="J1040" s="15">
        <v>1238846.06</v>
      </c>
      <c r="K1040" s="15">
        <v>1234520.3371999995</v>
      </c>
      <c r="L1040" s="15">
        <v>4325.72</v>
      </c>
      <c r="M1040" s="15">
        <v>3729.07</v>
      </c>
      <c r="N1040" s="15">
        <v>0</v>
      </c>
      <c r="O1040" s="15">
        <v>596.65</v>
      </c>
      <c r="P1040" s="2" t="s">
        <v>55</v>
      </c>
      <c r="Q1040" s="16"/>
    </row>
    <row r="1041" spans="1:17" x14ac:dyDescent="0.3">
      <c r="A1041" s="10">
        <v>21733</v>
      </c>
      <c r="B1041" s="2" t="s">
        <v>4392</v>
      </c>
      <c r="C1041" s="13">
        <v>5537</v>
      </c>
      <c r="D1041" s="2" t="s">
        <v>44</v>
      </c>
      <c r="E1041" s="14">
        <v>44963</v>
      </c>
      <c r="F1041" s="10" t="s">
        <v>3041</v>
      </c>
      <c r="G1041" s="25">
        <v>44969</v>
      </c>
      <c r="H1041" s="10" t="s">
        <v>3042</v>
      </c>
      <c r="I1041" s="10" t="s">
        <v>3043</v>
      </c>
      <c r="J1041" s="15">
        <v>1148358.97</v>
      </c>
      <c r="K1041" s="15">
        <v>1144017.4828800003</v>
      </c>
      <c r="L1041" s="15">
        <v>4341.49</v>
      </c>
      <c r="M1041" s="15">
        <v>3742.66</v>
      </c>
      <c r="N1041" s="15">
        <v>0</v>
      </c>
      <c r="O1041" s="15">
        <v>598.83000000000004</v>
      </c>
      <c r="P1041" s="2" t="s">
        <v>55</v>
      </c>
      <c r="Q1041" s="16"/>
    </row>
    <row r="1042" spans="1:17" x14ac:dyDescent="0.3">
      <c r="A1042" s="10">
        <v>21733</v>
      </c>
      <c r="B1042" s="2" t="s">
        <v>4393</v>
      </c>
      <c r="C1042" s="13">
        <v>5681</v>
      </c>
      <c r="D1042" s="2" t="s">
        <v>44</v>
      </c>
      <c r="E1042" s="14">
        <v>44537</v>
      </c>
      <c r="F1042" s="10" t="s">
        <v>1337</v>
      </c>
      <c r="G1042" s="25">
        <v>44549</v>
      </c>
      <c r="H1042" s="10" t="s">
        <v>3044</v>
      </c>
      <c r="I1042" s="10" t="s">
        <v>3045</v>
      </c>
      <c r="J1042" s="15">
        <v>1047955.27</v>
      </c>
      <c r="K1042" s="15">
        <v>1043612.14356</v>
      </c>
      <c r="L1042" s="15">
        <v>4343.13</v>
      </c>
      <c r="M1042" s="15">
        <v>3744.07</v>
      </c>
      <c r="N1042" s="15">
        <v>0</v>
      </c>
      <c r="O1042" s="15">
        <v>599.04999999999995</v>
      </c>
      <c r="P1042" s="2" t="s">
        <v>55</v>
      </c>
      <c r="Q1042" s="16"/>
    </row>
    <row r="1043" spans="1:17" x14ac:dyDescent="0.3">
      <c r="A1043" s="10">
        <v>21733</v>
      </c>
      <c r="B1043" s="2" t="s">
        <v>4394</v>
      </c>
      <c r="C1043" s="13">
        <v>5549</v>
      </c>
      <c r="D1043" s="2" t="s">
        <v>44</v>
      </c>
      <c r="E1043" s="14">
        <v>45040</v>
      </c>
      <c r="F1043" s="10" t="s">
        <v>3046</v>
      </c>
      <c r="G1043" s="25">
        <v>45048</v>
      </c>
      <c r="H1043" s="10" t="s">
        <v>3047</v>
      </c>
      <c r="I1043" s="10" t="s">
        <v>3048</v>
      </c>
      <c r="J1043" s="15">
        <v>804512.16</v>
      </c>
      <c r="K1043" s="15">
        <v>800082.37575999973</v>
      </c>
      <c r="L1043" s="15">
        <v>4429.78</v>
      </c>
      <c r="M1043" s="15">
        <v>3818.78</v>
      </c>
      <c r="N1043" s="15">
        <v>0</v>
      </c>
      <c r="O1043" s="15">
        <v>611</v>
      </c>
      <c r="P1043" s="2" t="s">
        <v>55</v>
      </c>
      <c r="Q1043" s="16"/>
    </row>
    <row r="1044" spans="1:17" x14ac:dyDescent="0.3">
      <c r="A1044" s="10">
        <v>21733</v>
      </c>
      <c r="B1044" s="2" t="s">
        <v>4395</v>
      </c>
      <c r="C1044" s="13">
        <v>5548</v>
      </c>
      <c r="D1044" s="2" t="s">
        <v>44</v>
      </c>
      <c r="E1044" s="14">
        <v>44362</v>
      </c>
      <c r="F1044" s="10" t="s">
        <v>3049</v>
      </c>
      <c r="G1044" s="25">
        <v>44373</v>
      </c>
      <c r="H1044" s="10" t="s">
        <v>3050</v>
      </c>
      <c r="I1044" s="10" t="s">
        <v>3051</v>
      </c>
      <c r="J1044" s="15">
        <v>1722765.72</v>
      </c>
      <c r="K1044" s="15">
        <v>1718326.2479600001</v>
      </c>
      <c r="L1044" s="15">
        <v>4439.47</v>
      </c>
      <c r="M1044" s="15">
        <v>3827.13</v>
      </c>
      <c r="N1044" s="15">
        <v>0</v>
      </c>
      <c r="O1044" s="15">
        <v>612.34</v>
      </c>
      <c r="P1044" s="2" t="s">
        <v>55</v>
      </c>
      <c r="Q1044" s="16"/>
    </row>
    <row r="1045" spans="1:17" x14ac:dyDescent="0.3">
      <c r="A1045" s="10">
        <v>21733</v>
      </c>
      <c r="B1045" s="2" t="s">
        <v>4396</v>
      </c>
      <c r="C1045" s="13">
        <v>5681</v>
      </c>
      <c r="D1045" s="2" t="s">
        <v>44</v>
      </c>
      <c r="E1045" s="14">
        <v>44364</v>
      </c>
      <c r="F1045" s="10" t="s">
        <v>3052</v>
      </c>
      <c r="G1045" s="25">
        <v>44376</v>
      </c>
      <c r="H1045" s="10" t="s">
        <v>3053</v>
      </c>
      <c r="I1045" s="10" t="s">
        <v>3054</v>
      </c>
      <c r="J1045" s="15">
        <v>575041.80000000005</v>
      </c>
      <c r="K1045" s="15">
        <v>570448.48228</v>
      </c>
      <c r="L1045" s="15">
        <v>4593.32</v>
      </c>
      <c r="M1045" s="15">
        <v>3959.76</v>
      </c>
      <c r="N1045" s="15">
        <v>0</v>
      </c>
      <c r="O1045" s="15">
        <v>633.55999999999995</v>
      </c>
      <c r="P1045" s="2" t="s">
        <v>55</v>
      </c>
      <c r="Q1045" s="16"/>
    </row>
    <row r="1046" spans="1:17" x14ac:dyDescent="0.3">
      <c r="A1046" s="10">
        <v>21733</v>
      </c>
      <c r="B1046" s="2" t="s">
        <v>4397</v>
      </c>
      <c r="C1046" s="13">
        <v>5557</v>
      </c>
      <c r="D1046" s="2" t="s">
        <v>44</v>
      </c>
      <c r="E1046" s="14">
        <v>44298</v>
      </c>
      <c r="F1046" s="10" t="s">
        <v>3055</v>
      </c>
      <c r="G1046" s="25">
        <v>44302</v>
      </c>
      <c r="H1046" s="10" t="s">
        <v>3056</v>
      </c>
      <c r="I1046" s="10" t="s">
        <v>3057</v>
      </c>
      <c r="J1046" s="15">
        <v>5979.36</v>
      </c>
      <c r="K1046" s="15">
        <v>1374.0896</v>
      </c>
      <c r="L1046" s="15">
        <v>4605.2700000000004</v>
      </c>
      <c r="M1046" s="15">
        <v>3970.06</v>
      </c>
      <c r="N1046" s="15">
        <v>0</v>
      </c>
      <c r="O1046" s="15">
        <v>635.21</v>
      </c>
      <c r="P1046" s="2" t="s">
        <v>55</v>
      </c>
      <c r="Q1046" s="16"/>
    </row>
    <row r="1047" spans="1:17" x14ac:dyDescent="0.3">
      <c r="A1047" s="10">
        <v>21733</v>
      </c>
      <c r="B1047" s="2" t="s">
        <v>4398</v>
      </c>
      <c r="C1047" s="13">
        <v>5537</v>
      </c>
      <c r="D1047" s="2" t="s">
        <v>44</v>
      </c>
      <c r="E1047" s="14">
        <v>44865</v>
      </c>
      <c r="F1047" s="10" t="s">
        <v>3058</v>
      </c>
      <c r="G1047" s="25">
        <v>44874</v>
      </c>
      <c r="H1047" s="10" t="s">
        <v>3059</v>
      </c>
      <c r="I1047" s="10" t="s">
        <v>3060</v>
      </c>
      <c r="J1047" s="15">
        <v>538069.25</v>
      </c>
      <c r="K1047" s="15">
        <v>533439.45831999986</v>
      </c>
      <c r="L1047" s="15">
        <v>4629.79</v>
      </c>
      <c r="M1047" s="15">
        <v>3991.2</v>
      </c>
      <c r="N1047" s="15">
        <v>0</v>
      </c>
      <c r="O1047" s="15">
        <v>638.59</v>
      </c>
      <c r="P1047" s="2" t="s">
        <v>55</v>
      </c>
      <c r="Q1047" s="16"/>
    </row>
    <row r="1048" spans="1:17" x14ac:dyDescent="0.3">
      <c r="A1048" s="10">
        <v>21733</v>
      </c>
      <c r="B1048" s="2" t="s">
        <v>4399</v>
      </c>
      <c r="C1048" s="13">
        <v>5548</v>
      </c>
      <c r="D1048" s="2" t="s">
        <v>44</v>
      </c>
      <c r="E1048" s="14">
        <v>44536</v>
      </c>
      <c r="F1048" s="10" t="s">
        <v>649</v>
      </c>
      <c r="G1048" s="25">
        <v>44540</v>
      </c>
      <c r="H1048" s="10" t="s">
        <v>3061</v>
      </c>
      <c r="I1048" s="10" t="s">
        <v>3062</v>
      </c>
      <c r="J1048" s="15">
        <v>1242457.33</v>
      </c>
      <c r="K1048" s="15">
        <v>1237802.4864400006</v>
      </c>
      <c r="L1048" s="15">
        <v>4654.84</v>
      </c>
      <c r="M1048" s="15">
        <v>4012.8</v>
      </c>
      <c r="N1048" s="15">
        <v>0</v>
      </c>
      <c r="O1048" s="15">
        <v>642.04999999999995</v>
      </c>
      <c r="P1048" s="2" t="s">
        <v>55</v>
      </c>
      <c r="Q1048" s="16"/>
    </row>
    <row r="1049" spans="1:17" x14ac:dyDescent="0.3">
      <c r="A1049" s="10">
        <v>21733</v>
      </c>
      <c r="B1049" s="2" t="s">
        <v>4400</v>
      </c>
      <c r="C1049" s="13">
        <v>5549</v>
      </c>
      <c r="D1049" s="2" t="s">
        <v>44</v>
      </c>
      <c r="E1049" s="14">
        <v>44823</v>
      </c>
      <c r="F1049" s="10" t="s">
        <v>3063</v>
      </c>
      <c r="G1049" s="25">
        <v>44829</v>
      </c>
      <c r="H1049" s="10" t="s">
        <v>3064</v>
      </c>
      <c r="I1049" s="10" t="s">
        <v>3065</v>
      </c>
      <c r="J1049" s="15">
        <v>815830.91</v>
      </c>
      <c r="K1049" s="15">
        <v>811159.08351999999</v>
      </c>
      <c r="L1049" s="15">
        <v>4671.83</v>
      </c>
      <c r="M1049" s="15">
        <v>4027.44</v>
      </c>
      <c r="N1049" s="15">
        <v>0</v>
      </c>
      <c r="O1049" s="15">
        <v>644.39</v>
      </c>
      <c r="P1049" s="2" t="s">
        <v>55</v>
      </c>
      <c r="Q1049" s="16"/>
    </row>
    <row r="1050" spans="1:17" x14ac:dyDescent="0.3">
      <c r="A1050" s="10">
        <v>21733</v>
      </c>
      <c r="B1050" s="2" t="s">
        <v>4401</v>
      </c>
      <c r="C1050" s="13">
        <v>5681</v>
      </c>
      <c r="D1050" s="2" t="s">
        <v>44</v>
      </c>
      <c r="E1050" s="14">
        <v>44951</v>
      </c>
      <c r="F1050" s="10" t="s">
        <v>3066</v>
      </c>
      <c r="G1050" s="25">
        <v>44977</v>
      </c>
      <c r="H1050" s="10" t="s">
        <v>3067</v>
      </c>
      <c r="I1050" s="10" t="s">
        <v>3068</v>
      </c>
      <c r="J1050" s="15">
        <v>103716.5</v>
      </c>
      <c r="K1050" s="15">
        <v>98897.204760000022</v>
      </c>
      <c r="L1050" s="15">
        <v>4819.3</v>
      </c>
      <c r="M1050" s="15">
        <v>4154.5600000000004</v>
      </c>
      <c r="N1050" s="15">
        <v>0</v>
      </c>
      <c r="O1050" s="15">
        <v>664.73</v>
      </c>
      <c r="P1050" s="2" t="s">
        <v>55</v>
      </c>
      <c r="Q1050" s="16"/>
    </row>
    <row r="1051" spans="1:17" x14ac:dyDescent="0.3">
      <c r="A1051" s="10">
        <v>21733</v>
      </c>
      <c r="B1051" s="2" t="s">
        <v>4402</v>
      </c>
      <c r="C1051" s="13">
        <v>5548</v>
      </c>
      <c r="D1051" s="2" t="s">
        <v>44</v>
      </c>
      <c r="E1051" s="14">
        <v>44655</v>
      </c>
      <c r="F1051" s="10" t="s">
        <v>2691</v>
      </c>
      <c r="G1051" s="25">
        <v>44659</v>
      </c>
      <c r="H1051" s="10" t="s">
        <v>3069</v>
      </c>
      <c r="I1051" s="10" t="s">
        <v>3070</v>
      </c>
      <c r="J1051" s="15">
        <v>1087515.28</v>
      </c>
      <c r="K1051" s="15">
        <v>1082688.2295200003</v>
      </c>
      <c r="L1051" s="15">
        <v>4827.05</v>
      </c>
      <c r="M1051" s="15">
        <v>4161.25</v>
      </c>
      <c r="N1051" s="15">
        <v>0</v>
      </c>
      <c r="O1051" s="15">
        <v>665.8</v>
      </c>
      <c r="P1051" s="2" t="s">
        <v>55</v>
      </c>
      <c r="Q1051" s="16"/>
    </row>
    <row r="1052" spans="1:17" x14ac:dyDescent="0.3">
      <c r="A1052" s="10">
        <v>21733</v>
      </c>
      <c r="B1052" s="2" t="s">
        <v>4403</v>
      </c>
      <c r="C1052" s="13">
        <v>5537</v>
      </c>
      <c r="D1052" s="2" t="s">
        <v>44</v>
      </c>
      <c r="E1052" s="14">
        <v>44326</v>
      </c>
      <c r="F1052" s="10" t="s">
        <v>3071</v>
      </c>
      <c r="G1052" s="25">
        <v>44331</v>
      </c>
      <c r="H1052" s="10" t="s">
        <v>3072</v>
      </c>
      <c r="I1052" s="10" t="s">
        <v>3073</v>
      </c>
      <c r="J1052" s="15">
        <v>585404.62</v>
      </c>
      <c r="K1052" s="15">
        <v>580473.84724000003</v>
      </c>
      <c r="L1052" s="15">
        <v>4930.7700000000004</v>
      </c>
      <c r="M1052" s="15">
        <v>4250.67</v>
      </c>
      <c r="N1052" s="15">
        <v>0</v>
      </c>
      <c r="O1052" s="15">
        <v>680.11</v>
      </c>
      <c r="P1052" s="2" t="s">
        <v>55</v>
      </c>
      <c r="Q1052" s="16"/>
    </row>
    <row r="1053" spans="1:17" x14ac:dyDescent="0.3">
      <c r="A1053" s="10">
        <v>21733</v>
      </c>
      <c r="B1053" s="2" t="s">
        <v>4404</v>
      </c>
      <c r="C1053" s="13">
        <v>5557</v>
      </c>
      <c r="D1053" s="2" t="s">
        <v>44</v>
      </c>
      <c r="E1053" s="14">
        <v>44727</v>
      </c>
      <c r="F1053" s="10" t="s">
        <v>3074</v>
      </c>
      <c r="G1053" s="25">
        <v>44736</v>
      </c>
      <c r="H1053" s="10" t="s">
        <v>3075</v>
      </c>
      <c r="I1053" s="10" t="s">
        <v>3076</v>
      </c>
      <c r="J1053" s="15">
        <v>774258.77</v>
      </c>
      <c r="K1053" s="15">
        <v>769324.41431999998</v>
      </c>
      <c r="L1053" s="15">
        <v>4934.3599999999997</v>
      </c>
      <c r="M1053" s="15">
        <v>4253.75</v>
      </c>
      <c r="N1053" s="15">
        <v>0</v>
      </c>
      <c r="O1053" s="15">
        <v>680.6</v>
      </c>
      <c r="P1053" s="2" t="s">
        <v>55</v>
      </c>
      <c r="Q1053" s="16"/>
    </row>
    <row r="1054" spans="1:17" x14ac:dyDescent="0.3">
      <c r="A1054" s="10">
        <v>21733</v>
      </c>
      <c r="B1054" s="2" t="s">
        <v>4405</v>
      </c>
      <c r="C1054" s="13">
        <v>5549</v>
      </c>
      <c r="D1054" s="2" t="s">
        <v>44</v>
      </c>
      <c r="E1054" s="14">
        <v>44711</v>
      </c>
      <c r="F1054" s="10" t="s">
        <v>3077</v>
      </c>
      <c r="G1054" s="25">
        <v>44716</v>
      </c>
      <c r="H1054" s="10" t="s">
        <v>3078</v>
      </c>
      <c r="I1054" s="10" t="s">
        <v>3079</v>
      </c>
      <c r="J1054" s="15">
        <v>426886.99</v>
      </c>
      <c r="K1054" s="15">
        <v>421915.48188000004</v>
      </c>
      <c r="L1054" s="15">
        <v>4971.51</v>
      </c>
      <c r="M1054" s="15">
        <v>4285.78</v>
      </c>
      <c r="N1054" s="15">
        <v>0</v>
      </c>
      <c r="O1054" s="15">
        <v>685.73</v>
      </c>
      <c r="P1054" s="2" t="s">
        <v>55</v>
      </c>
      <c r="Q1054" s="16"/>
    </row>
    <row r="1055" spans="1:17" x14ac:dyDescent="0.3">
      <c r="A1055" s="10">
        <v>21733</v>
      </c>
      <c r="B1055" s="2" t="s">
        <v>4406</v>
      </c>
      <c r="C1055" s="13">
        <v>5548</v>
      </c>
      <c r="D1055" s="2" t="s">
        <v>44</v>
      </c>
      <c r="E1055" s="14">
        <v>44704</v>
      </c>
      <c r="F1055" s="10" t="s">
        <v>3080</v>
      </c>
      <c r="G1055" s="25">
        <v>44707</v>
      </c>
      <c r="H1055" s="10" t="s">
        <v>3081</v>
      </c>
      <c r="I1055" s="10" t="s">
        <v>3082</v>
      </c>
      <c r="J1055" s="15">
        <v>796447.7</v>
      </c>
      <c r="K1055" s="15">
        <v>791446.20939999982</v>
      </c>
      <c r="L1055" s="15">
        <v>5001.49</v>
      </c>
      <c r="M1055" s="15">
        <v>4311.63</v>
      </c>
      <c r="N1055" s="15">
        <v>0</v>
      </c>
      <c r="O1055" s="15">
        <v>689.86</v>
      </c>
      <c r="P1055" s="2" t="s">
        <v>55</v>
      </c>
      <c r="Q1055" s="16"/>
    </row>
    <row r="1056" spans="1:17" x14ac:dyDescent="0.3">
      <c r="A1056" s="10">
        <v>21733</v>
      </c>
      <c r="B1056" s="2" t="s">
        <v>4407</v>
      </c>
      <c r="C1056" s="13">
        <v>5549</v>
      </c>
      <c r="D1056" s="2" t="s">
        <v>44</v>
      </c>
      <c r="E1056" s="14">
        <v>44690</v>
      </c>
      <c r="F1056" s="10" t="s">
        <v>962</v>
      </c>
      <c r="G1056" s="25">
        <v>44694</v>
      </c>
      <c r="H1056" s="10" t="s">
        <v>3083</v>
      </c>
      <c r="I1056" s="10" t="s">
        <v>3084</v>
      </c>
      <c r="J1056" s="15">
        <v>626136.61</v>
      </c>
      <c r="K1056" s="15">
        <v>621082.37440000009</v>
      </c>
      <c r="L1056" s="15">
        <v>5054.24</v>
      </c>
      <c r="M1056" s="15">
        <v>4357.1000000000004</v>
      </c>
      <c r="N1056" s="15">
        <v>0</v>
      </c>
      <c r="O1056" s="15">
        <v>697.14</v>
      </c>
      <c r="P1056" s="2" t="s">
        <v>55</v>
      </c>
      <c r="Q1056" s="16"/>
    </row>
    <row r="1057" spans="1:17" x14ac:dyDescent="0.3">
      <c r="A1057" s="10">
        <v>21733</v>
      </c>
      <c r="B1057" s="2" t="s">
        <v>4408</v>
      </c>
      <c r="C1057" s="13">
        <v>5556</v>
      </c>
      <c r="D1057" s="2" t="s">
        <v>44</v>
      </c>
      <c r="E1057" s="14">
        <v>44818</v>
      </c>
      <c r="F1057" s="10" t="s">
        <v>3085</v>
      </c>
      <c r="G1057" s="25">
        <v>44826</v>
      </c>
      <c r="H1057" s="10" t="s">
        <v>3086</v>
      </c>
      <c r="I1057" s="10" t="s">
        <v>3087</v>
      </c>
      <c r="J1057" s="15">
        <v>108754.25</v>
      </c>
      <c r="K1057" s="15">
        <v>103695.96468000002</v>
      </c>
      <c r="L1057" s="15">
        <v>5058.29</v>
      </c>
      <c r="M1057" s="15">
        <v>4360.59</v>
      </c>
      <c r="N1057" s="15">
        <v>0</v>
      </c>
      <c r="O1057" s="15">
        <v>697.69</v>
      </c>
      <c r="P1057" s="2" t="s">
        <v>55</v>
      </c>
      <c r="Q1057" s="16"/>
    </row>
    <row r="1058" spans="1:17" x14ac:dyDescent="0.3">
      <c r="A1058" s="10">
        <v>21733</v>
      </c>
      <c r="B1058" s="2" t="s">
        <v>4409</v>
      </c>
      <c r="C1058" s="13">
        <v>5557</v>
      </c>
      <c r="D1058" s="2" t="s">
        <v>44</v>
      </c>
      <c r="E1058" s="14">
        <v>44536</v>
      </c>
      <c r="F1058" s="10" t="s">
        <v>3088</v>
      </c>
      <c r="G1058" s="25">
        <v>44540</v>
      </c>
      <c r="H1058" s="10" t="s">
        <v>3089</v>
      </c>
      <c r="I1058" s="10" t="s">
        <v>3090</v>
      </c>
      <c r="J1058" s="15">
        <v>686656.5</v>
      </c>
      <c r="K1058" s="15">
        <v>681587.70528000011</v>
      </c>
      <c r="L1058" s="15">
        <v>5068.79</v>
      </c>
      <c r="M1058" s="15">
        <v>4369.6499999999996</v>
      </c>
      <c r="N1058" s="15">
        <v>0</v>
      </c>
      <c r="O1058" s="15">
        <v>699.14</v>
      </c>
      <c r="P1058" s="2" t="s">
        <v>55</v>
      </c>
      <c r="Q1058" s="16"/>
    </row>
    <row r="1059" spans="1:17" x14ac:dyDescent="0.3">
      <c r="A1059" s="10">
        <v>21733</v>
      </c>
      <c r="B1059" s="2" t="s">
        <v>4410</v>
      </c>
      <c r="C1059" s="13">
        <v>5548</v>
      </c>
      <c r="D1059" s="2" t="s">
        <v>44</v>
      </c>
      <c r="E1059" s="14">
        <v>44564</v>
      </c>
      <c r="F1059" s="10" t="s">
        <v>2093</v>
      </c>
      <c r="G1059" s="25">
        <v>44569</v>
      </c>
      <c r="H1059" s="10" t="s">
        <v>3091</v>
      </c>
      <c r="I1059" s="10" t="s">
        <v>3092</v>
      </c>
      <c r="J1059" s="15">
        <v>1508499.21</v>
      </c>
      <c r="K1059" s="15">
        <v>1503308.8648800002</v>
      </c>
      <c r="L1059" s="15">
        <v>5190.3500000000004</v>
      </c>
      <c r="M1059" s="15">
        <v>4474.4399999999996</v>
      </c>
      <c r="N1059" s="15">
        <v>0</v>
      </c>
      <c r="O1059" s="15">
        <v>715.91</v>
      </c>
      <c r="P1059" s="2" t="s">
        <v>55</v>
      </c>
      <c r="Q1059" s="16"/>
    </row>
    <row r="1060" spans="1:17" x14ac:dyDescent="0.3">
      <c r="A1060" s="10">
        <v>21733</v>
      </c>
      <c r="B1060" s="2" t="s">
        <v>4411</v>
      </c>
      <c r="C1060" s="13">
        <v>5557</v>
      </c>
      <c r="D1060" s="2" t="s">
        <v>44</v>
      </c>
      <c r="E1060" s="14">
        <v>44662</v>
      </c>
      <c r="F1060" s="10" t="s">
        <v>3093</v>
      </c>
      <c r="G1060" s="25">
        <v>44666</v>
      </c>
      <c r="H1060" s="10" t="s">
        <v>3094</v>
      </c>
      <c r="I1060" s="10" t="s">
        <v>3095</v>
      </c>
      <c r="J1060" s="15">
        <v>412151.35</v>
      </c>
      <c r="K1060" s="15">
        <v>406960.7699999999</v>
      </c>
      <c r="L1060" s="15">
        <v>5190.58</v>
      </c>
      <c r="M1060" s="15">
        <v>4474.6400000000003</v>
      </c>
      <c r="N1060" s="15">
        <v>0</v>
      </c>
      <c r="O1060" s="15">
        <v>715.94</v>
      </c>
      <c r="P1060" s="2" t="s">
        <v>55</v>
      </c>
      <c r="Q1060" s="16"/>
    </row>
    <row r="1061" spans="1:17" x14ac:dyDescent="0.3">
      <c r="A1061" s="10">
        <v>21733</v>
      </c>
      <c r="B1061" s="2" t="s">
        <v>4412</v>
      </c>
      <c r="C1061" s="13">
        <v>5556</v>
      </c>
      <c r="D1061" s="2" t="s">
        <v>44</v>
      </c>
      <c r="E1061" s="14">
        <v>44832</v>
      </c>
      <c r="F1061" s="10" t="s">
        <v>3096</v>
      </c>
      <c r="G1061" s="25">
        <v>44839</v>
      </c>
      <c r="H1061" s="10" t="s">
        <v>3097</v>
      </c>
      <c r="I1061" s="10" t="s">
        <v>3098</v>
      </c>
      <c r="J1061" s="15">
        <v>162081.60999999999</v>
      </c>
      <c r="K1061" s="15">
        <v>156853.39968</v>
      </c>
      <c r="L1061" s="15">
        <v>5228.21</v>
      </c>
      <c r="M1061" s="15">
        <v>4507.08</v>
      </c>
      <c r="N1061" s="15">
        <v>0</v>
      </c>
      <c r="O1061" s="15">
        <v>721.13</v>
      </c>
      <c r="P1061" s="2" t="s">
        <v>55</v>
      </c>
      <c r="Q1061" s="16"/>
    </row>
    <row r="1062" spans="1:17" x14ac:dyDescent="0.3">
      <c r="A1062" s="10">
        <v>21733</v>
      </c>
      <c r="B1062" s="2" t="s">
        <v>4413</v>
      </c>
      <c r="C1062" s="13">
        <v>5549</v>
      </c>
      <c r="D1062" s="2" t="s">
        <v>44</v>
      </c>
      <c r="E1062" s="14">
        <v>44536</v>
      </c>
      <c r="F1062" s="10" t="s">
        <v>3099</v>
      </c>
      <c r="G1062" s="25">
        <v>44541</v>
      </c>
      <c r="H1062" s="10" t="s">
        <v>3100</v>
      </c>
      <c r="I1062" s="10" t="s">
        <v>3101</v>
      </c>
      <c r="J1062" s="15">
        <v>1264169.77</v>
      </c>
      <c r="K1062" s="15">
        <v>1258852.15384</v>
      </c>
      <c r="L1062" s="15">
        <v>5317.62</v>
      </c>
      <c r="M1062" s="15">
        <v>4584.1499999999996</v>
      </c>
      <c r="N1062" s="15">
        <v>0</v>
      </c>
      <c r="O1062" s="15">
        <v>733.46</v>
      </c>
      <c r="P1062" s="2" t="s">
        <v>55</v>
      </c>
      <c r="Q1062" s="16"/>
    </row>
    <row r="1063" spans="1:17" x14ac:dyDescent="0.3">
      <c r="A1063" s="10">
        <v>21733</v>
      </c>
      <c r="B1063" s="2" t="s">
        <v>4414</v>
      </c>
      <c r="C1063" s="13">
        <v>5548</v>
      </c>
      <c r="D1063" s="2" t="s">
        <v>44</v>
      </c>
      <c r="E1063" s="14">
        <v>44519</v>
      </c>
      <c r="F1063" s="10" t="s">
        <v>3102</v>
      </c>
      <c r="G1063" s="25">
        <v>44529</v>
      </c>
      <c r="H1063" s="10" t="s">
        <v>3103</v>
      </c>
      <c r="I1063" s="10" t="s">
        <v>3104</v>
      </c>
      <c r="J1063" s="15">
        <v>955519.34</v>
      </c>
      <c r="K1063" s="15">
        <v>950121.24639999995</v>
      </c>
      <c r="L1063" s="15">
        <v>5398.09</v>
      </c>
      <c r="M1063" s="15">
        <v>4653.53</v>
      </c>
      <c r="N1063" s="15">
        <v>0</v>
      </c>
      <c r="O1063" s="15">
        <v>744.56</v>
      </c>
      <c r="P1063" s="2" t="s">
        <v>55</v>
      </c>
      <c r="Q1063" s="16"/>
    </row>
    <row r="1064" spans="1:17" x14ac:dyDescent="0.3">
      <c r="A1064" s="10">
        <v>21733</v>
      </c>
      <c r="B1064" s="2" t="s">
        <v>4415</v>
      </c>
      <c r="C1064" s="13">
        <v>5557</v>
      </c>
      <c r="D1064" s="2" t="s">
        <v>44</v>
      </c>
      <c r="E1064" s="14">
        <v>44830</v>
      </c>
      <c r="F1064" s="10" t="s">
        <v>3105</v>
      </c>
      <c r="G1064" s="25">
        <v>44835</v>
      </c>
      <c r="H1064" s="10" t="s">
        <v>3106</v>
      </c>
      <c r="I1064" s="10" t="s">
        <v>3107</v>
      </c>
      <c r="J1064" s="15">
        <v>612169.36</v>
      </c>
      <c r="K1064" s="15">
        <v>606764.21483999991</v>
      </c>
      <c r="L1064" s="15">
        <v>5405.15</v>
      </c>
      <c r="M1064" s="15">
        <v>4659.6099999999997</v>
      </c>
      <c r="N1064" s="15">
        <v>0</v>
      </c>
      <c r="O1064" s="15">
        <v>745.54</v>
      </c>
      <c r="P1064" s="2" t="s">
        <v>55</v>
      </c>
      <c r="Q1064" s="16"/>
    </row>
    <row r="1065" spans="1:17" x14ac:dyDescent="0.3">
      <c r="A1065" s="10">
        <v>21733</v>
      </c>
      <c r="B1065" s="2" t="s">
        <v>4416</v>
      </c>
      <c r="C1065" s="13">
        <v>5549</v>
      </c>
      <c r="D1065" s="2" t="s">
        <v>44</v>
      </c>
      <c r="E1065" s="14">
        <v>44718</v>
      </c>
      <c r="F1065" s="10" t="s">
        <v>3108</v>
      </c>
      <c r="G1065" s="25">
        <v>44724</v>
      </c>
      <c r="H1065" s="10" t="s">
        <v>3109</v>
      </c>
      <c r="I1065" s="10" t="s">
        <v>3110</v>
      </c>
      <c r="J1065" s="15">
        <v>1299204.01</v>
      </c>
      <c r="K1065" s="15">
        <v>1293755.5260799995</v>
      </c>
      <c r="L1065" s="15">
        <v>5448.48</v>
      </c>
      <c r="M1065" s="15">
        <v>4696.97</v>
      </c>
      <c r="N1065" s="15">
        <v>0</v>
      </c>
      <c r="O1065" s="15">
        <v>751.52</v>
      </c>
      <c r="P1065" s="2" t="s">
        <v>55</v>
      </c>
      <c r="Q1065" s="16"/>
    </row>
    <row r="1066" spans="1:17" x14ac:dyDescent="0.3">
      <c r="A1066" s="10">
        <v>21733</v>
      </c>
      <c r="B1066" s="2" t="s">
        <v>4417</v>
      </c>
      <c r="C1066" s="13">
        <v>5556</v>
      </c>
      <c r="D1066" s="2" t="s">
        <v>44</v>
      </c>
      <c r="E1066" s="14">
        <v>44537</v>
      </c>
      <c r="F1066" s="10" t="s">
        <v>1761</v>
      </c>
      <c r="G1066" s="25">
        <v>44548</v>
      </c>
      <c r="H1066" s="10" t="s">
        <v>3111</v>
      </c>
      <c r="I1066" s="10" t="s">
        <v>3112</v>
      </c>
      <c r="J1066" s="15">
        <v>918575.64</v>
      </c>
      <c r="K1066" s="15">
        <v>913071.84747999965</v>
      </c>
      <c r="L1066" s="15">
        <v>5503.79</v>
      </c>
      <c r="M1066" s="15">
        <v>4744.6499999999996</v>
      </c>
      <c r="N1066" s="15">
        <v>0</v>
      </c>
      <c r="O1066" s="15">
        <v>759.14</v>
      </c>
      <c r="P1066" s="2" t="s">
        <v>55</v>
      </c>
      <c r="Q1066" s="16"/>
    </row>
    <row r="1067" spans="1:17" x14ac:dyDescent="0.3">
      <c r="A1067" s="10">
        <v>21733</v>
      </c>
      <c r="B1067" s="2" t="s">
        <v>4418</v>
      </c>
      <c r="C1067" s="13">
        <v>5548</v>
      </c>
      <c r="D1067" s="2" t="s">
        <v>44</v>
      </c>
      <c r="E1067" s="14">
        <v>44375</v>
      </c>
      <c r="F1067" s="10" t="s">
        <v>3113</v>
      </c>
      <c r="G1067" s="25">
        <v>44379</v>
      </c>
      <c r="H1067" s="10" t="s">
        <v>3114</v>
      </c>
      <c r="I1067" s="10" t="s">
        <v>3115</v>
      </c>
      <c r="J1067" s="15">
        <v>1253223.7</v>
      </c>
      <c r="K1067" s="15">
        <v>1247709.8295199997</v>
      </c>
      <c r="L1067" s="15">
        <v>5513.87</v>
      </c>
      <c r="M1067" s="15">
        <v>4753.34</v>
      </c>
      <c r="N1067" s="15">
        <v>0</v>
      </c>
      <c r="O1067" s="15">
        <v>760.53</v>
      </c>
      <c r="P1067" s="2" t="s">
        <v>55</v>
      </c>
      <c r="Q1067" s="16"/>
    </row>
    <row r="1068" spans="1:17" x14ac:dyDescent="0.3">
      <c r="A1068" s="10">
        <v>21733</v>
      </c>
      <c r="B1068" s="2" t="s">
        <v>4419</v>
      </c>
      <c r="C1068" s="13">
        <v>5548</v>
      </c>
      <c r="D1068" s="2" t="s">
        <v>44</v>
      </c>
      <c r="E1068" s="14">
        <v>45061</v>
      </c>
      <c r="F1068" s="10" t="s">
        <v>212</v>
      </c>
      <c r="G1068" s="25">
        <v>45069</v>
      </c>
      <c r="H1068" s="10" t="s">
        <v>3116</v>
      </c>
      <c r="I1068" s="10" t="s">
        <v>3117</v>
      </c>
      <c r="J1068" s="15">
        <v>848271.89</v>
      </c>
      <c r="K1068" s="15">
        <v>842682.82128000003</v>
      </c>
      <c r="L1068" s="15">
        <v>5589.07</v>
      </c>
      <c r="M1068" s="15">
        <v>4818.16</v>
      </c>
      <c r="N1068" s="15">
        <v>0</v>
      </c>
      <c r="O1068" s="15">
        <v>770.91</v>
      </c>
      <c r="P1068" s="2" t="s">
        <v>55</v>
      </c>
      <c r="Q1068" s="16"/>
    </row>
    <row r="1069" spans="1:17" x14ac:dyDescent="0.3">
      <c r="A1069" s="10">
        <v>21733</v>
      </c>
      <c r="B1069" s="2" t="s">
        <v>4420</v>
      </c>
      <c r="C1069" s="13">
        <v>5557</v>
      </c>
      <c r="D1069" s="2" t="s">
        <v>44</v>
      </c>
      <c r="E1069" s="14">
        <v>44658</v>
      </c>
      <c r="F1069" s="10" t="s">
        <v>3118</v>
      </c>
      <c r="G1069" s="25">
        <v>44666</v>
      </c>
      <c r="H1069" s="10" t="s">
        <v>3119</v>
      </c>
      <c r="I1069" s="10" t="s">
        <v>3120</v>
      </c>
      <c r="J1069" s="15">
        <v>560334.47</v>
      </c>
      <c r="K1069" s="15">
        <v>554730.38832000003</v>
      </c>
      <c r="L1069" s="15">
        <v>5604.08</v>
      </c>
      <c r="M1069" s="15">
        <v>4831.1000000000004</v>
      </c>
      <c r="N1069" s="15">
        <v>0</v>
      </c>
      <c r="O1069" s="15">
        <v>772.98</v>
      </c>
      <c r="P1069" s="2" t="s">
        <v>55</v>
      </c>
      <c r="Q1069" s="16"/>
    </row>
    <row r="1070" spans="1:17" x14ac:dyDescent="0.3">
      <c r="A1070" s="10">
        <v>21733</v>
      </c>
      <c r="B1070" s="2" t="s">
        <v>4421</v>
      </c>
      <c r="C1070" s="13">
        <v>5548</v>
      </c>
      <c r="D1070" s="2" t="s">
        <v>44</v>
      </c>
      <c r="E1070" s="14">
        <v>44620</v>
      </c>
      <c r="F1070" s="10" t="s">
        <v>562</v>
      </c>
      <c r="G1070" s="25">
        <v>44624</v>
      </c>
      <c r="H1070" s="10" t="s">
        <v>3121</v>
      </c>
      <c r="I1070" s="10" t="s">
        <v>3122</v>
      </c>
      <c r="J1070" s="15">
        <v>1539492.03</v>
      </c>
      <c r="K1070" s="15">
        <v>1533881.18572</v>
      </c>
      <c r="L1070" s="15">
        <v>5610.84</v>
      </c>
      <c r="M1070" s="15">
        <v>4836.93</v>
      </c>
      <c r="N1070" s="15">
        <v>0</v>
      </c>
      <c r="O1070" s="15">
        <v>773.91</v>
      </c>
      <c r="P1070" s="2" t="s">
        <v>55</v>
      </c>
      <c r="Q1070" s="16"/>
    </row>
    <row r="1071" spans="1:17" x14ac:dyDescent="0.3">
      <c r="A1071" s="10">
        <v>21733</v>
      </c>
      <c r="B1071" s="2" t="s">
        <v>4422</v>
      </c>
      <c r="C1071" s="13">
        <v>5548</v>
      </c>
      <c r="D1071" s="2" t="s">
        <v>44</v>
      </c>
      <c r="E1071" s="14">
        <v>44537</v>
      </c>
      <c r="F1071" s="10" t="s">
        <v>2072</v>
      </c>
      <c r="G1071" s="25">
        <v>44546</v>
      </c>
      <c r="H1071" s="10" t="s">
        <v>3123</v>
      </c>
      <c r="I1071" s="10" t="s">
        <v>3124</v>
      </c>
      <c r="J1071" s="15">
        <v>813413.63</v>
      </c>
      <c r="K1071" s="15">
        <v>807746.68831999996</v>
      </c>
      <c r="L1071" s="15">
        <v>5666.94</v>
      </c>
      <c r="M1071" s="15">
        <v>4885.29</v>
      </c>
      <c r="N1071" s="15">
        <v>0</v>
      </c>
      <c r="O1071" s="15">
        <v>781.65</v>
      </c>
      <c r="P1071" s="2" t="s">
        <v>55</v>
      </c>
      <c r="Q1071" s="16"/>
    </row>
    <row r="1072" spans="1:17" x14ac:dyDescent="0.3">
      <c r="A1072" s="10">
        <v>21733</v>
      </c>
      <c r="B1072" s="2" t="s">
        <v>4423</v>
      </c>
      <c r="C1072" s="13">
        <v>5537</v>
      </c>
      <c r="D1072" s="2" t="s">
        <v>44</v>
      </c>
      <c r="E1072" s="14">
        <v>44669</v>
      </c>
      <c r="F1072" s="10" t="s">
        <v>3125</v>
      </c>
      <c r="G1072" s="25">
        <v>44674</v>
      </c>
      <c r="H1072" s="10" t="s">
        <v>3126</v>
      </c>
      <c r="I1072" s="10" t="s">
        <v>3127</v>
      </c>
      <c r="J1072" s="15">
        <v>346353.31</v>
      </c>
      <c r="K1072" s="15">
        <v>340645.90623999992</v>
      </c>
      <c r="L1072" s="15">
        <v>5707.4</v>
      </c>
      <c r="M1072" s="15">
        <v>4920.18</v>
      </c>
      <c r="N1072" s="15">
        <v>0</v>
      </c>
      <c r="O1072" s="15">
        <v>787.23</v>
      </c>
      <c r="P1072" s="2" t="s">
        <v>55</v>
      </c>
      <c r="Q1072" s="16"/>
    </row>
    <row r="1073" spans="1:17" x14ac:dyDescent="0.3">
      <c r="A1073" s="10">
        <v>21733</v>
      </c>
      <c r="B1073" s="2" t="s">
        <v>4424</v>
      </c>
      <c r="C1073" s="13">
        <v>5548</v>
      </c>
      <c r="D1073" s="2" t="s">
        <v>44</v>
      </c>
      <c r="E1073" s="14">
        <v>44537</v>
      </c>
      <c r="F1073" s="10" t="s">
        <v>2072</v>
      </c>
      <c r="G1073" s="25">
        <v>44547</v>
      </c>
      <c r="H1073" s="10" t="s">
        <v>3128</v>
      </c>
      <c r="I1073" s="10" t="s">
        <v>3129</v>
      </c>
      <c r="J1073" s="15">
        <v>1029732.27</v>
      </c>
      <c r="K1073" s="15">
        <v>1023928.29264</v>
      </c>
      <c r="L1073" s="15">
        <v>5803.98</v>
      </c>
      <c r="M1073" s="15">
        <v>5003.43</v>
      </c>
      <c r="N1073" s="15">
        <v>0</v>
      </c>
      <c r="O1073" s="15">
        <v>800.55</v>
      </c>
      <c r="P1073" s="2" t="s">
        <v>55</v>
      </c>
      <c r="Q1073" s="16"/>
    </row>
    <row r="1074" spans="1:17" x14ac:dyDescent="0.3">
      <c r="A1074" s="10">
        <v>21733</v>
      </c>
      <c r="B1074" s="2" t="s">
        <v>4425</v>
      </c>
      <c r="C1074" s="13">
        <v>5549</v>
      </c>
      <c r="D1074" s="2" t="s">
        <v>44</v>
      </c>
      <c r="E1074" s="14">
        <v>44616</v>
      </c>
      <c r="F1074" s="10" t="s">
        <v>1305</v>
      </c>
      <c r="G1074" s="25">
        <v>44630</v>
      </c>
      <c r="H1074" s="10" t="s">
        <v>3130</v>
      </c>
      <c r="I1074" s="10" t="s">
        <v>3131</v>
      </c>
      <c r="J1074" s="15">
        <v>1014241.6</v>
      </c>
      <c r="K1074" s="15">
        <v>1008410.65248</v>
      </c>
      <c r="L1074" s="15">
        <v>5830.95</v>
      </c>
      <c r="M1074" s="15">
        <v>5026.68</v>
      </c>
      <c r="N1074" s="15">
        <v>0</v>
      </c>
      <c r="O1074" s="15">
        <v>804.27</v>
      </c>
      <c r="P1074" s="2" t="s">
        <v>55</v>
      </c>
      <c r="Q1074" s="16"/>
    </row>
    <row r="1075" spans="1:17" x14ac:dyDescent="0.3">
      <c r="A1075" s="10">
        <v>21733</v>
      </c>
      <c r="B1075" s="2" t="s">
        <v>4426</v>
      </c>
      <c r="C1075" s="13">
        <v>5548</v>
      </c>
      <c r="D1075" s="2" t="s">
        <v>44</v>
      </c>
      <c r="E1075" s="14">
        <v>44676</v>
      </c>
      <c r="F1075" s="10" t="s">
        <v>3132</v>
      </c>
      <c r="G1075" s="25">
        <v>44681</v>
      </c>
      <c r="H1075" s="10" t="s">
        <v>3133</v>
      </c>
      <c r="I1075" s="10" t="s">
        <v>3134</v>
      </c>
      <c r="J1075" s="15">
        <v>859916.96</v>
      </c>
      <c r="K1075" s="15">
        <v>854063.54300000018</v>
      </c>
      <c r="L1075" s="15">
        <v>5853.42</v>
      </c>
      <c r="M1075" s="15">
        <v>5046.05</v>
      </c>
      <c r="N1075" s="15">
        <v>0</v>
      </c>
      <c r="O1075" s="15">
        <v>807.37</v>
      </c>
      <c r="P1075" s="2" t="s">
        <v>55</v>
      </c>
      <c r="Q1075" s="16"/>
    </row>
    <row r="1076" spans="1:17" x14ac:dyDescent="0.3">
      <c r="A1076" s="10">
        <v>21733</v>
      </c>
      <c r="B1076" s="2" t="s">
        <v>4427</v>
      </c>
      <c r="C1076" s="13">
        <v>5557</v>
      </c>
      <c r="D1076" s="2" t="s">
        <v>44</v>
      </c>
      <c r="E1076" s="14">
        <v>44635</v>
      </c>
      <c r="F1076" s="10" t="s">
        <v>3135</v>
      </c>
      <c r="G1076" s="25">
        <v>44642</v>
      </c>
      <c r="H1076" s="10" t="s">
        <v>3136</v>
      </c>
      <c r="I1076" s="10" t="s">
        <v>3137</v>
      </c>
      <c r="J1076" s="15">
        <v>590596.89</v>
      </c>
      <c r="K1076" s="15">
        <v>584690.25120000006</v>
      </c>
      <c r="L1076" s="15">
        <v>5906.64</v>
      </c>
      <c r="M1076" s="15">
        <v>5091.93</v>
      </c>
      <c r="N1076" s="15">
        <v>0</v>
      </c>
      <c r="O1076" s="15">
        <v>814.71</v>
      </c>
      <c r="P1076" s="2" t="s">
        <v>55</v>
      </c>
      <c r="Q1076" s="16"/>
    </row>
    <row r="1077" spans="1:17" x14ac:dyDescent="0.3">
      <c r="A1077" s="10">
        <v>21733</v>
      </c>
      <c r="B1077" s="2" t="s">
        <v>4428</v>
      </c>
      <c r="C1077" s="13">
        <v>5557</v>
      </c>
      <c r="D1077" s="2" t="s">
        <v>44</v>
      </c>
      <c r="E1077" s="14">
        <v>44872</v>
      </c>
      <c r="F1077" s="10" t="s">
        <v>3138</v>
      </c>
      <c r="G1077" s="25">
        <v>44876</v>
      </c>
      <c r="H1077" s="10" t="s">
        <v>3139</v>
      </c>
      <c r="I1077" s="10" t="s">
        <v>3140</v>
      </c>
      <c r="J1077" s="15">
        <v>1002348.12</v>
      </c>
      <c r="K1077" s="15">
        <v>996307.4154800002</v>
      </c>
      <c r="L1077" s="15">
        <v>6040.7</v>
      </c>
      <c r="M1077" s="15">
        <v>5207.5</v>
      </c>
      <c r="N1077" s="15">
        <v>0</v>
      </c>
      <c r="O1077" s="15">
        <v>833.2</v>
      </c>
      <c r="P1077" s="2" t="s">
        <v>55</v>
      </c>
      <c r="Q1077" s="16"/>
    </row>
    <row r="1078" spans="1:17" x14ac:dyDescent="0.3">
      <c r="A1078" s="10">
        <v>21733</v>
      </c>
      <c r="B1078" s="2" t="s">
        <v>4429</v>
      </c>
      <c r="C1078" s="13">
        <v>5681</v>
      </c>
      <c r="D1078" s="2" t="s">
        <v>44</v>
      </c>
      <c r="E1078" s="14">
        <v>44690</v>
      </c>
      <c r="F1078" s="10" t="s">
        <v>3141</v>
      </c>
      <c r="G1078" s="25">
        <v>44695</v>
      </c>
      <c r="H1078" s="10" t="s">
        <v>3142</v>
      </c>
      <c r="I1078" s="10" t="s">
        <v>3143</v>
      </c>
      <c r="J1078" s="15">
        <v>422415.35</v>
      </c>
      <c r="K1078" s="15">
        <v>416305.08387999993</v>
      </c>
      <c r="L1078" s="15">
        <v>6110.27</v>
      </c>
      <c r="M1078" s="15">
        <v>5267.47</v>
      </c>
      <c r="N1078" s="15">
        <v>0</v>
      </c>
      <c r="O1078" s="15">
        <v>842.8</v>
      </c>
      <c r="P1078" s="2" t="s">
        <v>55</v>
      </c>
      <c r="Q1078" s="16"/>
    </row>
    <row r="1079" spans="1:17" x14ac:dyDescent="0.3">
      <c r="A1079" s="10">
        <v>21733</v>
      </c>
      <c r="B1079" s="2" t="s">
        <v>4430</v>
      </c>
      <c r="C1079" s="13">
        <v>5549</v>
      </c>
      <c r="D1079" s="2" t="s">
        <v>44</v>
      </c>
      <c r="E1079" s="14">
        <v>44726</v>
      </c>
      <c r="F1079" s="10" t="s">
        <v>260</v>
      </c>
      <c r="G1079" s="25">
        <v>44743</v>
      </c>
      <c r="H1079" s="10" t="s">
        <v>3144</v>
      </c>
      <c r="I1079" s="10" t="s">
        <v>3145</v>
      </c>
      <c r="J1079" s="15">
        <v>1242408.69</v>
      </c>
      <c r="K1079" s="15">
        <v>1236116.2652</v>
      </c>
      <c r="L1079" s="15">
        <v>6292.42</v>
      </c>
      <c r="M1079" s="15">
        <v>5424.5</v>
      </c>
      <c r="N1079" s="15">
        <v>0</v>
      </c>
      <c r="O1079" s="15">
        <v>867.92</v>
      </c>
      <c r="P1079" s="2" t="s">
        <v>55</v>
      </c>
      <c r="Q1079" s="16"/>
    </row>
    <row r="1080" spans="1:17" x14ac:dyDescent="0.3">
      <c r="A1080" s="10">
        <v>21733</v>
      </c>
      <c r="B1080" s="2" t="s">
        <v>4431</v>
      </c>
      <c r="C1080" s="13">
        <v>5548</v>
      </c>
      <c r="D1080" s="2" t="s">
        <v>44</v>
      </c>
      <c r="E1080" s="14">
        <v>44658</v>
      </c>
      <c r="F1080" s="10" t="s">
        <v>3146</v>
      </c>
      <c r="G1080" s="25">
        <v>44665</v>
      </c>
      <c r="H1080" s="10" t="s">
        <v>3147</v>
      </c>
      <c r="I1080" s="10" t="s">
        <v>3148</v>
      </c>
      <c r="J1080" s="15">
        <v>631402.35</v>
      </c>
      <c r="K1080" s="15">
        <v>625087.51104000001</v>
      </c>
      <c r="L1080" s="15">
        <v>6314.84</v>
      </c>
      <c r="M1080" s="15">
        <v>5443.83</v>
      </c>
      <c r="N1080" s="15">
        <v>0</v>
      </c>
      <c r="O1080" s="15">
        <v>871.01</v>
      </c>
      <c r="P1080" s="2" t="s">
        <v>55</v>
      </c>
      <c r="Q1080" s="16"/>
    </row>
    <row r="1081" spans="1:17" x14ac:dyDescent="0.3">
      <c r="A1081" s="10">
        <v>21733</v>
      </c>
      <c r="B1081" s="2" t="s">
        <v>4432</v>
      </c>
      <c r="C1081" s="13">
        <v>5557</v>
      </c>
      <c r="D1081" s="2" t="s">
        <v>44</v>
      </c>
      <c r="E1081" s="14">
        <v>44690</v>
      </c>
      <c r="F1081" s="10" t="s">
        <v>3149</v>
      </c>
      <c r="G1081" s="25">
        <v>44694</v>
      </c>
      <c r="H1081" s="10" t="s">
        <v>3150</v>
      </c>
      <c r="I1081" s="10" t="s">
        <v>3151</v>
      </c>
      <c r="J1081" s="15">
        <v>524643.87</v>
      </c>
      <c r="K1081" s="15">
        <v>518151.91112000006</v>
      </c>
      <c r="L1081" s="15">
        <v>6491.96</v>
      </c>
      <c r="M1081" s="15">
        <v>5596.52</v>
      </c>
      <c r="N1081" s="15">
        <v>0</v>
      </c>
      <c r="O1081" s="15">
        <v>895.44</v>
      </c>
      <c r="P1081" s="2" t="s">
        <v>55</v>
      </c>
      <c r="Q1081" s="16"/>
    </row>
    <row r="1082" spans="1:17" x14ac:dyDescent="0.3">
      <c r="A1082" s="10">
        <v>21733</v>
      </c>
      <c r="B1082" s="2" t="s">
        <v>4433</v>
      </c>
      <c r="C1082" s="13">
        <v>5548</v>
      </c>
      <c r="D1082" s="2" t="s">
        <v>44</v>
      </c>
      <c r="E1082" s="14">
        <v>45019</v>
      </c>
      <c r="F1082" s="10" t="s">
        <v>1931</v>
      </c>
      <c r="G1082" s="25">
        <v>45024</v>
      </c>
      <c r="H1082" s="10" t="s">
        <v>3152</v>
      </c>
      <c r="I1082" s="10" t="s">
        <v>3153</v>
      </c>
      <c r="J1082" s="15">
        <v>1356269.23</v>
      </c>
      <c r="K1082" s="15">
        <v>1349696.3822399997</v>
      </c>
      <c r="L1082" s="15">
        <v>6572.85</v>
      </c>
      <c r="M1082" s="15">
        <v>5666.25</v>
      </c>
      <c r="N1082" s="15">
        <v>0</v>
      </c>
      <c r="O1082" s="15">
        <v>906.6</v>
      </c>
      <c r="P1082" s="2" t="s">
        <v>55</v>
      </c>
      <c r="Q1082" s="16"/>
    </row>
    <row r="1083" spans="1:17" x14ac:dyDescent="0.3">
      <c r="A1083" s="10">
        <v>21733</v>
      </c>
      <c r="B1083" s="2" t="s">
        <v>4434</v>
      </c>
      <c r="C1083" s="13">
        <v>5557</v>
      </c>
      <c r="D1083" s="2" t="s">
        <v>44</v>
      </c>
      <c r="E1083" s="14">
        <v>44291</v>
      </c>
      <c r="F1083" s="10" t="s">
        <v>3154</v>
      </c>
      <c r="G1083" s="25">
        <v>44300</v>
      </c>
      <c r="H1083" s="10" t="s">
        <v>3155</v>
      </c>
      <c r="I1083" s="10" t="s">
        <v>3156</v>
      </c>
      <c r="J1083" s="15">
        <v>13301.82</v>
      </c>
      <c r="K1083" s="15">
        <v>6651.1152000000002</v>
      </c>
      <c r="L1083" s="15">
        <v>6650.7</v>
      </c>
      <c r="M1083" s="15">
        <v>5733.37</v>
      </c>
      <c r="N1083" s="15">
        <v>0</v>
      </c>
      <c r="O1083" s="15">
        <v>917.34</v>
      </c>
      <c r="P1083" s="2" t="s">
        <v>55</v>
      </c>
      <c r="Q1083" s="16"/>
    </row>
    <row r="1084" spans="1:17" x14ac:dyDescent="0.3">
      <c r="A1084" s="10">
        <v>21733</v>
      </c>
      <c r="B1084" s="2" t="s">
        <v>4435</v>
      </c>
      <c r="C1084" s="13">
        <v>5557</v>
      </c>
      <c r="D1084" s="2" t="s">
        <v>44</v>
      </c>
      <c r="E1084" s="14">
        <v>44655</v>
      </c>
      <c r="F1084" s="10" t="s">
        <v>3157</v>
      </c>
      <c r="G1084" s="25">
        <v>44659</v>
      </c>
      <c r="H1084" s="10" t="s">
        <v>3158</v>
      </c>
      <c r="I1084" s="10" t="s">
        <v>3159</v>
      </c>
      <c r="J1084" s="15">
        <v>551696.49</v>
      </c>
      <c r="K1084" s="15">
        <v>544963.66044000001</v>
      </c>
      <c r="L1084" s="15">
        <v>6732.83</v>
      </c>
      <c r="M1084" s="15">
        <v>5804.16</v>
      </c>
      <c r="N1084" s="15">
        <v>0</v>
      </c>
      <c r="O1084" s="15">
        <v>928.67</v>
      </c>
      <c r="P1084" s="2" t="s">
        <v>55</v>
      </c>
      <c r="Q1084" s="16"/>
    </row>
    <row r="1085" spans="1:17" x14ac:dyDescent="0.3">
      <c r="A1085" s="10">
        <v>21733</v>
      </c>
      <c r="B1085" s="2" t="s">
        <v>4436</v>
      </c>
      <c r="C1085" s="13">
        <v>5557</v>
      </c>
      <c r="D1085" s="2" t="s">
        <v>44</v>
      </c>
      <c r="E1085" s="14">
        <v>44676</v>
      </c>
      <c r="F1085" s="10" t="s">
        <v>2793</v>
      </c>
      <c r="G1085" s="25">
        <v>44680</v>
      </c>
      <c r="H1085" s="10" t="s">
        <v>3160</v>
      </c>
      <c r="I1085" s="10" t="s">
        <v>3161</v>
      </c>
      <c r="J1085" s="15">
        <v>965808.94</v>
      </c>
      <c r="K1085" s="15">
        <v>958965.62463999994</v>
      </c>
      <c r="L1085" s="15">
        <v>6843.32</v>
      </c>
      <c r="M1085" s="15">
        <v>5899.41</v>
      </c>
      <c r="N1085" s="15">
        <v>0</v>
      </c>
      <c r="O1085" s="15">
        <v>943.91</v>
      </c>
      <c r="P1085" s="2" t="s">
        <v>55</v>
      </c>
      <c r="Q1085" s="16"/>
    </row>
    <row r="1086" spans="1:17" x14ac:dyDescent="0.3">
      <c r="A1086" s="10">
        <v>21733</v>
      </c>
      <c r="B1086" s="2" t="s">
        <v>4437</v>
      </c>
      <c r="C1086" s="13">
        <v>5548</v>
      </c>
      <c r="D1086" s="2" t="s">
        <v>44</v>
      </c>
      <c r="E1086" s="14">
        <v>44515</v>
      </c>
      <c r="F1086" s="10" t="s">
        <v>3162</v>
      </c>
      <c r="G1086" s="25">
        <v>44519</v>
      </c>
      <c r="H1086" s="10" t="s">
        <v>3163</v>
      </c>
      <c r="I1086" s="10" t="s">
        <v>3164</v>
      </c>
      <c r="J1086" s="15">
        <v>1193508.4099999999</v>
      </c>
      <c r="K1086" s="15">
        <v>1186627.1214000001</v>
      </c>
      <c r="L1086" s="15">
        <v>6881.29</v>
      </c>
      <c r="M1086" s="15">
        <v>5932.15</v>
      </c>
      <c r="N1086" s="15">
        <v>0</v>
      </c>
      <c r="O1086" s="15">
        <v>949.14</v>
      </c>
      <c r="P1086" s="2" t="s">
        <v>55</v>
      </c>
      <c r="Q1086" s="16"/>
    </row>
    <row r="1087" spans="1:17" x14ac:dyDescent="0.3">
      <c r="A1087" s="10">
        <v>21733</v>
      </c>
      <c r="B1087" s="2" t="s">
        <v>4438</v>
      </c>
      <c r="C1087" s="13">
        <v>5548</v>
      </c>
      <c r="D1087" s="2" t="s">
        <v>44</v>
      </c>
      <c r="E1087" s="14">
        <v>44508</v>
      </c>
      <c r="F1087" s="10" t="s">
        <v>3165</v>
      </c>
      <c r="G1087" s="25">
        <v>44512</v>
      </c>
      <c r="H1087" s="10" t="s">
        <v>3166</v>
      </c>
      <c r="I1087" s="10" t="s">
        <v>3167</v>
      </c>
      <c r="J1087" s="15">
        <v>1147889.1299999999</v>
      </c>
      <c r="K1087" s="15">
        <v>1140981.34876</v>
      </c>
      <c r="L1087" s="15">
        <v>6907.78</v>
      </c>
      <c r="M1087" s="15">
        <v>5954.98</v>
      </c>
      <c r="N1087" s="15">
        <v>0</v>
      </c>
      <c r="O1087" s="15">
        <v>952.8</v>
      </c>
      <c r="P1087" s="2" t="s">
        <v>55</v>
      </c>
      <c r="Q1087" s="16"/>
    </row>
    <row r="1088" spans="1:17" x14ac:dyDescent="0.3">
      <c r="A1088" s="10">
        <v>21733</v>
      </c>
      <c r="B1088" s="2" t="s">
        <v>4439</v>
      </c>
      <c r="C1088" s="13">
        <v>5548</v>
      </c>
      <c r="D1088" s="2" t="s">
        <v>44</v>
      </c>
      <c r="E1088" s="14">
        <v>44574</v>
      </c>
      <c r="F1088" s="10" t="s">
        <v>3168</v>
      </c>
      <c r="G1088" s="25">
        <v>44582</v>
      </c>
      <c r="H1088" s="10" t="s">
        <v>3169</v>
      </c>
      <c r="I1088" s="10" t="s">
        <v>3170</v>
      </c>
      <c r="J1088" s="15">
        <v>271458.87</v>
      </c>
      <c r="K1088" s="15">
        <v>264537.57312000002</v>
      </c>
      <c r="L1088" s="15">
        <v>6921.3</v>
      </c>
      <c r="M1088" s="15">
        <v>5966.64</v>
      </c>
      <c r="N1088" s="15">
        <v>0</v>
      </c>
      <c r="O1088" s="15">
        <v>954.66</v>
      </c>
      <c r="P1088" s="2" t="s">
        <v>55</v>
      </c>
      <c r="Q1088" s="16"/>
    </row>
    <row r="1089" spans="1:17" x14ac:dyDescent="0.3">
      <c r="A1089" s="10">
        <v>21733</v>
      </c>
      <c r="B1089" s="2" t="s">
        <v>4440</v>
      </c>
      <c r="C1089" s="13">
        <v>5681</v>
      </c>
      <c r="D1089" s="2" t="s">
        <v>44</v>
      </c>
      <c r="E1089" s="14">
        <v>44617</v>
      </c>
      <c r="F1089" s="10" t="s">
        <v>3171</v>
      </c>
      <c r="G1089" s="25">
        <v>44625</v>
      </c>
      <c r="H1089" s="10" t="s">
        <v>3172</v>
      </c>
      <c r="I1089" s="10" t="s">
        <v>3173</v>
      </c>
      <c r="J1089" s="15">
        <v>85799.7</v>
      </c>
      <c r="K1089" s="15">
        <v>78641.708160000009</v>
      </c>
      <c r="L1089" s="15">
        <v>7157.99</v>
      </c>
      <c r="M1089" s="15">
        <v>6170.68</v>
      </c>
      <c r="N1089" s="15">
        <v>0</v>
      </c>
      <c r="O1089" s="15">
        <v>987.31</v>
      </c>
      <c r="P1089" s="2" t="s">
        <v>55</v>
      </c>
      <c r="Q1089" s="16"/>
    </row>
    <row r="1090" spans="1:17" x14ac:dyDescent="0.3">
      <c r="A1090" s="10">
        <v>21733</v>
      </c>
      <c r="B1090" s="2" t="s">
        <v>4441</v>
      </c>
      <c r="C1090" s="13">
        <v>5557</v>
      </c>
      <c r="D1090" s="2" t="s">
        <v>44</v>
      </c>
      <c r="E1090" s="14">
        <v>44844</v>
      </c>
      <c r="F1090" s="10" t="s">
        <v>771</v>
      </c>
      <c r="G1090" s="25">
        <v>44848</v>
      </c>
      <c r="H1090" s="10" t="s">
        <v>3174</v>
      </c>
      <c r="I1090" s="10" t="s">
        <v>3175</v>
      </c>
      <c r="J1090" s="15">
        <v>676406.6</v>
      </c>
      <c r="K1090" s="15">
        <v>669162.67384000006</v>
      </c>
      <c r="L1090" s="15">
        <v>7243.93</v>
      </c>
      <c r="M1090" s="15">
        <v>6244.76</v>
      </c>
      <c r="N1090" s="15">
        <v>0</v>
      </c>
      <c r="O1090" s="15">
        <v>999.16</v>
      </c>
      <c r="P1090" s="2" t="s">
        <v>55</v>
      </c>
      <c r="Q1090" s="16"/>
    </row>
    <row r="1091" spans="1:17" x14ac:dyDescent="0.3">
      <c r="A1091" s="10">
        <v>21733</v>
      </c>
      <c r="B1091" s="2" t="s">
        <v>4442</v>
      </c>
      <c r="C1091" s="13">
        <v>5557</v>
      </c>
      <c r="D1091" s="2" t="s">
        <v>44</v>
      </c>
      <c r="E1091" s="14">
        <v>44648</v>
      </c>
      <c r="F1091" s="10" t="s">
        <v>3176</v>
      </c>
      <c r="G1091" s="25">
        <v>44653</v>
      </c>
      <c r="H1091" s="10" t="s">
        <v>3177</v>
      </c>
      <c r="I1091" s="10" t="s">
        <v>3178</v>
      </c>
      <c r="J1091" s="15">
        <v>540491.69999999995</v>
      </c>
      <c r="K1091" s="15">
        <v>533164.12651999993</v>
      </c>
      <c r="L1091" s="15">
        <v>7327.57</v>
      </c>
      <c r="M1091" s="15">
        <v>6316.87</v>
      </c>
      <c r="N1091" s="15">
        <v>0</v>
      </c>
      <c r="O1091" s="15">
        <v>1010.7</v>
      </c>
      <c r="P1091" s="2" t="s">
        <v>55</v>
      </c>
      <c r="Q1091" s="16"/>
    </row>
    <row r="1092" spans="1:17" x14ac:dyDescent="0.3">
      <c r="A1092" s="10">
        <v>21733</v>
      </c>
      <c r="B1092" s="2" t="s">
        <v>4443</v>
      </c>
      <c r="C1092" s="13">
        <v>5548</v>
      </c>
      <c r="D1092" s="2" t="s">
        <v>44</v>
      </c>
      <c r="E1092" s="14">
        <v>44711</v>
      </c>
      <c r="F1092" s="10" t="s">
        <v>3024</v>
      </c>
      <c r="G1092" s="25">
        <v>44716</v>
      </c>
      <c r="H1092" s="10" t="s">
        <v>3179</v>
      </c>
      <c r="I1092" s="10" t="s">
        <v>3180</v>
      </c>
      <c r="J1092" s="15">
        <v>1100996.53</v>
      </c>
      <c r="K1092" s="15">
        <v>1093554.6838000005</v>
      </c>
      <c r="L1092" s="15">
        <v>7441.85</v>
      </c>
      <c r="M1092" s="15">
        <v>6415.38</v>
      </c>
      <c r="N1092" s="15">
        <v>0</v>
      </c>
      <c r="O1092" s="15">
        <v>1026.46</v>
      </c>
      <c r="P1092" s="2" t="s">
        <v>55</v>
      </c>
      <c r="Q1092" s="16"/>
    </row>
    <row r="1093" spans="1:17" x14ac:dyDescent="0.3">
      <c r="A1093" s="10">
        <v>21733</v>
      </c>
      <c r="B1093" s="2" t="s">
        <v>4444</v>
      </c>
      <c r="C1093" s="13">
        <v>5537</v>
      </c>
      <c r="D1093" s="2" t="s">
        <v>44</v>
      </c>
      <c r="E1093" s="14">
        <v>44537</v>
      </c>
      <c r="F1093" s="10" t="s">
        <v>1186</v>
      </c>
      <c r="G1093" s="25">
        <v>44544</v>
      </c>
      <c r="H1093" s="10" t="s">
        <v>3181</v>
      </c>
      <c r="I1093" s="10" t="s">
        <v>3182</v>
      </c>
      <c r="J1093" s="15">
        <v>1074672.1000000001</v>
      </c>
      <c r="K1093" s="15">
        <v>1067162.6990399999</v>
      </c>
      <c r="L1093" s="15">
        <v>7509.4</v>
      </c>
      <c r="M1093" s="15">
        <v>6473.62</v>
      </c>
      <c r="N1093" s="15">
        <v>0</v>
      </c>
      <c r="O1093" s="15">
        <v>1035.78</v>
      </c>
      <c r="P1093" s="2" t="s">
        <v>55</v>
      </c>
      <c r="Q1093" s="16"/>
    </row>
    <row r="1094" spans="1:17" x14ac:dyDescent="0.3">
      <c r="A1094" s="10">
        <v>21733</v>
      </c>
      <c r="B1094" s="2" t="s">
        <v>4445</v>
      </c>
      <c r="C1094" s="13">
        <v>5549</v>
      </c>
      <c r="D1094" s="2" t="s">
        <v>44</v>
      </c>
      <c r="E1094" s="14">
        <v>44635</v>
      </c>
      <c r="F1094" s="10" t="s">
        <v>3183</v>
      </c>
      <c r="G1094" s="25">
        <v>44642</v>
      </c>
      <c r="H1094" s="10" t="s">
        <v>3184</v>
      </c>
      <c r="I1094" s="10" t="s">
        <v>3185</v>
      </c>
      <c r="J1094" s="15">
        <v>784811.54</v>
      </c>
      <c r="K1094" s="15">
        <v>776961.9216</v>
      </c>
      <c r="L1094" s="15">
        <v>7849.62</v>
      </c>
      <c r="M1094" s="15">
        <v>6766.91</v>
      </c>
      <c r="N1094" s="15">
        <v>0</v>
      </c>
      <c r="O1094" s="15">
        <v>1082.71</v>
      </c>
      <c r="P1094" s="2" t="s">
        <v>55</v>
      </c>
      <c r="Q1094" s="16"/>
    </row>
    <row r="1095" spans="1:17" x14ac:dyDescent="0.3">
      <c r="A1095" s="10">
        <v>21733</v>
      </c>
      <c r="B1095" s="2" t="s">
        <v>4446</v>
      </c>
      <c r="C1095" s="13">
        <v>5549</v>
      </c>
      <c r="D1095" s="2" t="s">
        <v>44</v>
      </c>
      <c r="E1095" s="14">
        <v>44634</v>
      </c>
      <c r="F1095" s="10" t="s">
        <v>3186</v>
      </c>
      <c r="G1095" s="25">
        <v>44642</v>
      </c>
      <c r="H1095" s="10" t="s">
        <v>3187</v>
      </c>
      <c r="I1095" s="10" t="s">
        <v>3188</v>
      </c>
      <c r="J1095" s="15">
        <v>785770.96</v>
      </c>
      <c r="K1095" s="15">
        <v>777911.75280000002</v>
      </c>
      <c r="L1095" s="15">
        <v>7859.21</v>
      </c>
      <c r="M1095" s="15">
        <v>6775.18</v>
      </c>
      <c r="N1095" s="15">
        <v>0</v>
      </c>
      <c r="O1095" s="15">
        <v>1084.03</v>
      </c>
      <c r="P1095" s="2" t="s">
        <v>55</v>
      </c>
      <c r="Q1095" s="16"/>
    </row>
    <row r="1096" spans="1:17" x14ac:dyDescent="0.3">
      <c r="A1096" s="10">
        <v>21733</v>
      </c>
      <c r="B1096" s="2" t="s">
        <v>4447</v>
      </c>
      <c r="C1096" s="13">
        <v>5548</v>
      </c>
      <c r="D1096" s="2" t="s">
        <v>44</v>
      </c>
      <c r="E1096" s="14">
        <v>44627</v>
      </c>
      <c r="F1096" s="10" t="s">
        <v>3189</v>
      </c>
      <c r="G1096" s="25">
        <v>44631</v>
      </c>
      <c r="H1096" s="10" t="s">
        <v>3190</v>
      </c>
      <c r="I1096" s="10" t="s">
        <v>3191</v>
      </c>
      <c r="J1096" s="15">
        <v>1082448.76</v>
      </c>
      <c r="K1096" s="15">
        <v>1074570.0646400002</v>
      </c>
      <c r="L1096" s="15">
        <v>7878.7</v>
      </c>
      <c r="M1096" s="15">
        <v>6791.98</v>
      </c>
      <c r="N1096" s="15">
        <v>0</v>
      </c>
      <c r="O1096" s="15">
        <v>1086.72</v>
      </c>
      <c r="P1096" s="2" t="s">
        <v>55</v>
      </c>
      <c r="Q1096" s="16"/>
    </row>
    <row r="1097" spans="1:17" x14ac:dyDescent="0.3">
      <c r="A1097" s="10">
        <v>21733</v>
      </c>
      <c r="B1097" s="2" t="s">
        <v>4448</v>
      </c>
      <c r="C1097" s="13">
        <v>5549</v>
      </c>
      <c r="D1097" s="2" t="s">
        <v>44</v>
      </c>
      <c r="E1097" s="14">
        <v>44711</v>
      </c>
      <c r="F1097" s="10" t="s">
        <v>3077</v>
      </c>
      <c r="G1097" s="25">
        <v>44719</v>
      </c>
      <c r="H1097" s="10" t="s">
        <v>3192</v>
      </c>
      <c r="I1097" s="10" t="s">
        <v>3193</v>
      </c>
      <c r="J1097" s="15">
        <v>847270.33</v>
      </c>
      <c r="K1097" s="15">
        <v>839204.66220000014</v>
      </c>
      <c r="L1097" s="15">
        <v>8065.67</v>
      </c>
      <c r="M1097" s="15">
        <v>6953.16</v>
      </c>
      <c r="N1097" s="15">
        <v>0</v>
      </c>
      <c r="O1097" s="15">
        <v>1112.51</v>
      </c>
      <c r="P1097" s="2" t="s">
        <v>55</v>
      </c>
      <c r="Q1097" s="16"/>
    </row>
    <row r="1098" spans="1:17" x14ac:dyDescent="0.3">
      <c r="A1098" s="10">
        <v>21733</v>
      </c>
      <c r="B1098" s="2" t="s">
        <v>4449</v>
      </c>
      <c r="C1098" s="13">
        <v>5548</v>
      </c>
      <c r="D1098" s="2" t="s">
        <v>44</v>
      </c>
      <c r="E1098" s="14">
        <v>44635</v>
      </c>
      <c r="F1098" s="10" t="s">
        <v>3194</v>
      </c>
      <c r="G1098" s="25">
        <v>44642</v>
      </c>
      <c r="H1098" s="10" t="s">
        <v>3195</v>
      </c>
      <c r="I1098" s="10" t="s">
        <v>3196</v>
      </c>
      <c r="J1098" s="15">
        <v>806988.16</v>
      </c>
      <c r="K1098" s="15">
        <v>798917.3668800001</v>
      </c>
      <c r="L1098" s="15">
        <v>8070.79</v>
      </c>
      <c r="M1098" s="15">
        <v>6957.58</v>
      </c>
      <c r="N1098" s="15">
        <v>0</v>
      </c>
      <c r="O1098" s="15">
        <v>1113.21</v>
      </c>
      <c r="P1098" s="2" t="s">
        <v>55</v>
      </c>
      <c r="Q1098" s="16"/>
    </row>
    <row r="1099" spans="1:17" x14ac:dyDescent="0.3">
      <c r="A1099" s="10">
        <v>21733</v>
      </c>
      <c r="B1099" s="2" t="s">
        <v>4450</v>
      </c>
      <c r="C1099" s="13">
        <v>5681</v>
      </c>
      <c r="D1099" s="2" t="s">
        <v>44</v>
      </c>
      <c r="E1099" s="14">
        <v>44574</v>
      </c>
      <c r="F1099" s="10" t="s">
        <v>3197</v>
      </c>
      <c r="G1099" s="25">
        <v>44582</v>
      </c>
      <c r="H1099" s="10" t="s">
        <v>3198</v>
      </c>
      <c r="I1099" s="10" t="s">
        <v>3199</v>
      </c>
      <c r="J1099" s="15">
        <v>196913.49</v>
      </c>
      <c r="K1099" s="15">
        <v>188676.13440000001</v>
      </c>
      <c r="L1099" s="15">
        <v>8237.36</v>
      </c>
      <c r="M1099" s="15">
        <v>7101.17</v>
      </c>
      <c r="N1099" s="15">
        <v>0</v>
      </c>
      <c r="O1099" s="15">
        <v>1136.19</v>
      </c>
      <c r="P1099" s="2" t="s">
        <v>55</v>
      </c>
      <c r="Q1099" s="16"/>
    </row>
    <row r="1100" spans="1:17" x14ac:dyDescent="0.3">
      <c r="A1100" s="10">
        <v>21733</v>
      </c>
      <c r="B1100" s="2" t="s">
        <v>4451</v>
      </c>
      <c r="C1100" s="13">
        <v>5557</v>
      </c>
      <c r="D1100" s="2" t="s">
        <v>44</v>
      </c>
      <c r="E1100" s="14">
        <v>44697</v>
      </c>
      <c r="F1100" s="10" t="s">
        <v>3200</v>
      </c>
      <c r="G1100" s="25">
        <v>44702</v>
      </c>
      <c r="H1100" s="10" t="s">
        <v>3201</v>
      </c>
      <c r="I1100" s="10" t="s">
        <v>3202</v>
      </c>
      <c r="J1100" s="15">
        <v>852817.41</v>
      </c>
      <c r="K1100" s="15">
        <v>844285.35895999987</v>
      </c>
      <c r="L1100" s="15">
        <v>8532.0499999999993</v>
      </c>
      <c r="M1100" s="15">
        <v>7355.22</v>
      </c>
      <c r="N1100" s="15">
        <v>0</v>
      </c>
      <c r="O1100" s="15">
        <v>1176.83</v>
      </c>
      <c r="P1100" s="2" t="s">
        <v>55</v>
      </c>
      <c r="Q1100" s="16"/>
    </row>
    <row r="1101" spans="1:17" x14ac:dyDescent="0.3">
      <c r="A1101" s="10">
        <v>21733</v>
      </c>
      <c r="B1101" s="2" t="s">
        <v>4452</v>
      </c>
      <c r="C1101" s="13">
        <v>5548</v>
      </c>
      <c r="D1101" s="2" t="s">
        <v>44</v>
      </c>
      <c r="E1101" s="14">
        <v>44529</v>
      </c>
      <c r="F1101" s="10" t="s">
        <v>3203</v>
      </c>
      <c r="G1101" s="25">
        <v>44531</v>
      </c>
      <c r="H1101" s="10" t="s">
        <v>3204</v>
      </c>
      <c r="I1101" s="10" t="s">
        <v>3205</v>
      </c>
      <c r="J1101" s="15">
        <v>1134167.49</v>
      </c>
      <c r="K1101" s="15">
        <v>1125390.4522799999</v>
      </c>
      <c r="L1101" s="15">
        <v>8777.0400000000009</v>
      </c>
      <c r="M1101" s="15">
        <v>7566.41</v>
      </c>
      <c r="N1101" s="15">
        <v>0</v>
      </c>
      <c r="O1101" s="15">
        <v>1210.6300000000001</v>
      </c>
      <c r="P1101" s="2" t="s">
        <v>55</v>
      </c>
      <c r="Q1101" s="16"/>
    </row>
    <row r="1102" spans="1:17" x14ac:dyDescent="0.3">
      <c r="A1102" s="10">
        <v>21733</v>
      </c>
      <c r="B1102" s="2" t="s">
        <v>4453</v>
      </c>
      <c r="C1102" s="13">
        <v>5549</v>
      </c>
      <c r="D1102" s="2" t="s">
        <v>44</v>
      </c>
      <c r="E1102" s="14">
        <v>44658</v>
      </c>
      <c r="F1102" s="10" t="s">
        <v>3206</v>
      </c>
      <c r="G1102" s="25">
        <v>44665</v>
      </c>
      <c r="H1102" s="10" t="s">
        <v>3207</v>
      </c>
      <c r="I1102" s="10" t="s">
        <v>3208</v>
      </c>
      <c r="J1102" s="15">
        <v>880247.68</v>
      </c>
      <c r="K1102" s="15">
        <v>871443.96336000005</v>
      </c>
      <c r="L1102" s="15">
        <v>8803.7199999999993</v>
      </c>
      <c r="M1102" s="15">
        <v>7589.41</v>
      </c>
      <c r="N1102" s="15">
        <v>0</v>
      </c>
      <c r="O1102" s="15">
        <v>1214.31</v>
      </c>
      <c r="P1102" s="2" t="s">
        <v>55</v>
      </c>
      <c r="Q1102" s="16"/>
    </row>
    <row r="1103" spans="1:17" x14ac:dyDescent="0.3">
      <c r="A1103" s="10">
        <v>21733</v>
      </c>
      <c r="B1103" s="2" t="s">
        <v>4454</v>
      </c>
      <c r="C1103" s="13">
        <v>5548</v>
      </c>
      <c r="D1103" s="2" t="s">
        <v>44</v>
      </c>
      <c r="E1103" s="14">
        <v>44522</v>
      </c>
      <c r="F1103" s="10" t="s">
        <v>3209</v>
      </c>
      <c r="G1103" s="25">
        <v>44526</v>
      </c>
      <c r="H1103" s="10" t="s">
        <v>3210</v>
      </c>
      <c r="I1103" s="10" t="s">
        <v>3211</v>
      </c>
      <c r="J1103" s="15">
        <v>1268612.52</v>
      </c>
      <c r="K1103" s="15">
        <v>1259458.8895199995</v>
      </c>
      <c r="L1103" s="15">
        <v>9153.6299999999992</v>
      </c>
      <c r="M1103" s="15">
        <v>7891.06</v>
      </c>
      <c r="N1103" s="15">
        <v>0</v>
      </c>
      <c r="O1103" s="15">
        <v>1262.57</v>
      </c>
      <c r="P1103" s="2" t="s">
        <v>55</v>
      </c>
      <c r="Q1103" s="16"/>
    </row>
    <row r="1104" spans="1:17" x14ac:dyDescent="0.3">
      <c r="A1104" s="10">
        <v>21733</v>
      </c>
      <c r="B1104" s="2" t="s">
        <v>4455</v>
      </c>
      <c r="C1104" s="13">
        <v>5549</v>
      </c>
      <c r="D1104" s="2" t="s">
        <v>44</v>
      </c>
      <c r="E1104" s="14">
        <v>44635</v>
      </c>
      <c r="F1104" s="10" t="s">
        <v>3183</v>
      </c>
      <c r="G1104" s="25">
        <v>44642</v>
      </c>
      <c r="H1104" s="10" t="s">
        <v>3212</v>
      </c>
      <c r="I1104" s="10" t="s">
        <v>3213</v>
      </c>
      <c r="J1104" s="15">
        <v>951235.86</v>
      </c>
      <c r="K1104" s="15">
        <v>941723.06447999994</v>
      </c>
      <c r="L1104" s="15">
        <v>9512.7999999999993</v>
      </c>
      <c r="M1104" s="15">
        <v>8200.69</v>
      </c>
      <c r="N1104" s="15">
        <v>0</v>
      </c>
      <c r="O1104" s="15">
        <v>1312.11</v>
      </c>
      <c r="P1104" s="2" t="s">
        <v>55</v>
      </c>
      <c r="Q1104" s="16"/>
    </row>
    <row r="1105" spans="1:17" x14ac:dyDescent="0.3">
      <c r="A1105" s="10">
        <v>21733</v>
      </c>
      <c r="B1105" s="2" t="s">
        <v>4456</v>
      </c>
      <c r="C1105" s="13">
        <v>5549</v>
      </c>
      <c r="D1105" s="2" t="s">
        <v>44</v>
      </c>
      <c r="E1105" s="14">
        <v>44634</v>
      </c>
      <c r="F1105" s="10" t="s">
        <v>3186</v>
      </c>
      <c r="G1105" s="25">
        <v>44642</v>
      </c>
      <c r="H1105" s="10" t="s">
        <v>3214</v>
      </c>
      <c r="I1105" s="10" t="s">
        <v>3215</v>
      </c>
      <c r="J1105" s="15">
        <v>951235.86</v>
      </c>
      <c r="K1105" s="15">
        <v>941723.06447999994</v>
      </c>
      <c r="L1105" s="15">
        <v>9512.7999999999993</v>
      </c>
      <c r="M1105" s="15">
        <v>8200.69</v>
      </c>
      <c r="N1105" s="15">
        <v>0</v>
      </c>
      <c r="O1105" s="15">
        <v>1312.11</v>
      </c>
      <c r="P1105" s="2" t="s">
        <v>55</v>
      </c>
      <c r="Q1105" s="16"/>
    </row>
    <row r="1106" spans="1:17" x14ac:dyDescent="0.3">
      <c r="A1106" s="10">
        <v>21733</v>
      </c>
      <c r="B1106" s="2" t="s">
        <v>4457</v>
      </c>
      <c r="C1106" s="13">
        <v>5549</v>
      </c>
      <c r="D1106" s="2" t="s">
        <v>44</v>
      </c>
      <c r="E1106" s="14">
        <v>44537</v>
      </c>
      <c r="F1106" s="10" t="s">
        <v>3216</v>
      </c>
      <c r="G1106" s="25">
        <v>44548</v>
      </c>
      <c r="H1106" s="10" t="s">
        <v>3217</v>
      </c>
      <c r="I1106" s="10" t="s">
        <v>3218</v>
      </c>
      <c r="J1106" s="15">
        <v>1487320.56</v>
      </c>
      <c r="K1106" s="15">
        <v>1477775.1652799996</v>
      </c>
      <c r="L1106" s="15">
        <v>9545.39</v>
      </c>
      <c r="M1106" s="15">
        <v>8228.7900000000009</v>
      </c>
      <c r="N1106" s="15">
        <v>0</v>
      </c>
      <c r="O1106" s="15">
        <v>1316.61</v>
      </c>
      <c r="P1106" s="2" t="s">
        <v>55</v>
      </c>
      <c r="Q1106" s="16"/>
    </row>
    <row r="1107" spans="1:17" x14ac:dyDescent="0.3">
      <c r="A1107" s="10">
        <v>21733</v>
      </c>
      <c r="B1107" s="2" t="s">
        <v>4458</v>
      </c>
      <c r="C1107" s="13">
        <v>5681</v>
      </c>
      <c r="D1107" s="2" t="s">
        <v>44</v>
      </c>
      <c r="E1107" s="14">
        <v>44536</v>
      </c>
      <c r="F1107" s="10" t="s">
        <v>3219</v>
      </c>
      <c r="G1107" s="25">
        <v>44541</v>
      </c>
      <c r="H1107" s="10" t="s">
        <v>3220</v>
      </c>
      <c r="I1107" s="10" t="s">
        <v>3221</v>
      </c>
      <c r="J1107" s="15">
        <v>533030.6</v>
      </c>
      <c r="K1107" s="15">
        <v>523348.16359999991</v>
      </c>
      <c r="L1107" s="15">
        <v>9682.44</v>
      </c>
      <c r="M1107" s="15">
        <v>8346.93</v>
      </c>
      <c r="N1107" s="15">
        <v>0</v>
      </c>
      <c r="O1107" s="15">
        <v>1335.51</v>
      </c>
      <c r="P1107" s="2" t="s">
        <v>55</v>
      </c>
      <c r="Q1107" s="16"/>
    </row>
    <row r="1108" spans="1:17" x14ac:dyDescent="0.3">
      <c r="A1108" s="10">
        <v>21733</v>
      </c>
      <c r="B1108" s="2" t="s">
        <v>4459</v>
      </c>
      <c r="C1108" s="13">
        <v>5556</v>
      </c>
      <c r="D1108" s="2" t="s">
        <v>44</v>
      </c>
      <c r="E1108" s="14">
        <v>44860</v>
      </c>
      <c r="F1108" s="10" t="s">
        <v>3222</v>
      </c>
      <c r="G1108" s="25">
        <v>44869</v>
      </c>
      <c r="H1108" s="10" t="s">
        <v>3223</v>
      </c>
      <c r="I1108" s="10" t="s">
        <v>3224</v>
      </c>
      <c r="J1108" s="15">
        <v>302413.46999999997</v>
      </c>
      <c r="K1108" s="15">
        <v>292676.54223999998</v>
      </c>
      <c r="L1108" s="15">
        <v>9736.93</v>
      </c>
      <c r="M1108" s="15">
        <v>8393.9</v>
      </c>
      <c r="N1108" s="15">
        <v>0</v>
      </c>
      <c r="O1108" s="15">
        <v>1343.02</v>
      </c>
      <c r="P1108" s="2" t="s">
        <v>55</v>
      </c>
      <c r="Q1108" s="16"/>
    </row>
    <row r="1109" spans="1:17" x14ac:dyDescent="0.3">
      <c r="A1109" s="10">
        <v>21733</v>
      </c>
      <c r="B1109" s="2" t="s">
        <v>4460</v>
      </c>
      <c r="C1109" s="13">
        <v>5557</v>
      </c>
      <c r="D1109" s="2" t="s">
        <v>44</v>
      </c>
      <c r="E1109" s="14">
        <v>44851</v>
      </c>
      <c r="F1109" s="10" t="s">
        <v>720</v>
      </c>
      <c r="G1109" s="25">
        <v>44856</v>
      </c>
      <c r="H1109" s="10" t="s">
        <v>3225</v>
      </c>
      <c r="I1109" s="10" t="s">
        <v>3226</v>
      </c>
      <c r="J1109" s="15">
        <v>610711.49</v>
      </c>
      <c r="K1109" s="15">
        <v>600302.13092000003</v>
      </c>
      <c r="L1109" s="15">
        <v>10409.36</v>
      </c>
      <c r="M1109" s="15">
        <v>8973.59</v>
      </c>
      <c r="N1109" s="15">
        <v>0</v>
      </c>
      <c r="O1109" s="15">
        <v>1435.77</v>
      </c>
      <c r="P1109" s="2" t="s">
        <v>55</v>
      </c>
      <c r="Q1109" s="16"/>
    </row>
    <row r="1110" spans="1:17" x14ac:dyDescent="0.3">
      <c r="A1110" s="10">
        <v>21733</v>
      </c>
      <c r="B1110" s="2" t="s">
        <v>4461</v>
      </c>
      <c r="C1110" s="13">
        <v>5650</v>
      </c>
      <c r="D1110" s="2" t="s">
        <v>886</v>
      </c>
      <c r="E1110" s="14">
        <v>44960</v>
      </c>
      <c r="F1110" s="10" t="s">
        <v>3227</v>
      </c>
      <c r="G1110" s="25">
        <v>44971</v>
      </c>
      <c r="H1110" s="10" t="s">
        <v>3228</v>
      </c>
      <c r="I1110" s="10" t="s">
        <v>3229</v>
      </c>
      <c r="J1110" s="15">
        <v>533509.17000000004</v>
      </c>
      <c r="K1110" s="15">
        <v>522302.35399999999</v>
      </c>
      <c r="L1110" s="15">
        <v>11206.82</v>
      </c>
      <c r="M1110" s="15">
        <v>9661.0499999999993</v>
      </c>
      <c r="N1110" s="15">
        <v>0</v>
      </c>
      <c r="O1110" s="15">
        <v>1545.77</v>
      </c>
      <c r="P1110" s="2" t="s">
        <v>55</v>
      </c>
      <c r="Q1110" s="16"/>
    </row>
    <row r="1111" spans="1:17" x14ac:dyDescent="0.3">
      <c r="A1111" s="10">
        <v>21733</v>
      </c>
      <c r="B1111" s="2" t="s">
        <v>4462</v>
      </c>
      <c r="C1111" s="13">
        <v>5549</v>
      </c>
      <c r="D1111" s="2" t="s">
        <v>44</v>
      </c>
      <c r="E1111" s="14">
        <v>44669</v>
      </c>
      <c r="F1111" s="10" t="s">
        <v>919</v>
      </c>
      <c r="G1111" s="25">
        <v>44675</v>
      </c>
      <c r="H1111" s="10" t="s">
        <v>3230</v>
      </c>
      <c r="I1111" s="10" t="s">
        <v>3231</v>
      </c>
      <c r="J1111" s="15">
        <v>1077340.1000000001</v>
      </c>
      <c r="K1111" s="15">
        <v>1065936.6382000004</v>
      </c>
      <c r="L1111" s="15">
        <v>11403.46</v>
      </c>
      <c r="M1111" s="15">
        <v>9830.57</v>
      </c>
      <c r="N1111" s="15">
        <v>0</v>
      </c>
      <c r="O1111" s="15">
        <v>1572.89</v>
      </c>
      <c r="P1111" s="2" t="s">
        <v>55</v>
      </c>
      <c r="Q1111" s="16"/>
    </row>
    <row r="1112" spans="1:17" x14ac:dyDescent="0.3">
      <c r="A1112" s="10">
        <v>21733</v>
      </c>
      <c r="B1112" s="2" t="s">
        <v>4463</v>
      </c>
      <c r="C1112" s="13">
        <v>5548</v>
      </c>
      <c r="D1112" s="2" t="s">
        <v>44</v>
      </c>
      <c r="E1112" s="14">
        <v>44683</v>
      </c>
      <c r="F1112" s="10" t="s">
        <v>2715</v>
      </c>
      <c r="G1112" s="25">
        <v>44687</v>
      </c>
      <c r="H1112" s="10" t="s">
        <v>3232</v>
      </c>
      <c r="I1112" s="10" t="s">
        <v>3233</v>
      </c>
      <c r="J1112" s="15">
        <v>657392.61</v>
      </c>
      <c r="K1112" s="15">
        <v>645658.02072000015</v>
      </c>
      <c r="L1112" s="15">
        <v>11734.59</v>
      </c>
      <c r="M1112" s="15">
        <v>10116.030000000001</v>
      </c>
      <c r="N1112" s="15">
        <v>0</v>
      </c>
      <c r="O1112" s="15">
        <v>1618.56</v>
      </c>
      <c r="P1112" s="2" t="s">
        <v>55</v>
      </c>
      <c r="Q1112" s="16"/>
    </row>
    <row r="1113" spans="1:17" x14ac:dyDescent="0.3">
      <c r="A1113" s="10">
        <v>21733</v>
      </c>
      <c r="B1113" s="2" t="s">
        <v>4464</v>
      </c>
      <c r="C1113" s="13">
        <v>5556</v>
      </c>
      <c r="D1113" s="2" t="s">
        <v>44</v>
      </c>
      <c r="E1113" s="14">
        <v>44846</v>
      </c>
      <c r="F1113" s="10" t="s">
        <v>2105</v>
      </c>
      <c r="G1113" s="25">
        <v>44853</v>
      </c>
      <c r="H1113" s="10" t="s">
        <v>3234</v>
      </c>
      <c r="I1113" s="10" t="s">
        <v>3235</v>
      </c>
      <c r="J1113" s="15">
        <v>1115971.43</v>
      </c>
      <c r="K1113" s="15">
        <v>1103899.3874799998</v>
      </c>
      <c r="L1113" s="15">
        <v>12072.04</v>
      </c>
      <c r="M1113" s="15">
        <v>10406.93</v>
      </c>
      <c r="N1113" s="15">
        <v>0</v>
      </c>
      <c r="O1113" s="15">
        <v>1665.11</v>
      </c>
      <c r="P1113" s="2" t="s">
        <v>55</v>
      </c>
      <c r="Q1113" s="16"/>
    </row>
    <row r="1114" spans="1:17" x14ac:dyDescent="0.3">
      <c r="A1114" s="10">
        <v>21733</v>
      </c>
      <c r="B1114" s="2" t="s">
        <v>4465</v>
      </c>
      <c r="C1114" s="13">
        <v>5557</v>
      </c>
      <c r="D1114" s="2" t="s">
        <v>44</v>
      </c>
      <c r="E1114" s="14">
        <v>44730</v>
      </c>
      <c r="F1114" s="10" t="s">
        <v>3236</v>
      </c>
      <c r="G1114" s="25">
        <v>44740</v>
      </c>
      <c r="H1114" s="10" t="s">
        <v>3237</v>
      </c>
      <c r="I1114" s="10" t="s">
        <v>3238</v>
      </c>
      <c r="J1114" s="15">
        <v>660263.19999999995</v>
      </c>
      <c r="K1114" s="15">
        <v>648074.31463999988</v>
      </c>
      <c r="L1114" s="15">
        <v>12188.89</v>
      </c>
      <c r="M1114" s="15">
        <v>10507.66</v>
      </c>
      <c r="N1114" s="15">
        <v>0</v>
      </c>
      <c r="O1114" s="15">
        <v>1681.23</v>
      </c>
      <c r="P1114" s="2" t="s">
        <v>55</v>
      </c>
      <c r="Q1114" s="16"/>
    </row>
    <row r="1115" spans="1:17" x14ac:dyDescent="0.3">
      <c r="A1115" s="10">
        <v>21733</v>
      </c>
      <c r="B1115" s="2" t="s">
        <v>4466</v>
      </c>
      <c r="C1115" s="13">
        <v>5537</v>
      </c>
      <c r="D1115" s="2" t="s">
        <v>44</v>
      </c>
      <c r="E1115" s="14">
        <v>44362</v>
      </c>
      <c r="F1115" s="10" t="s">
        <v>3239</v>
      </c>
      <c r="G1115" s="25">
        <v>44375</v>
      </c>
      <c r="H1115" s="10" t="s">
        <v>3240</v>
      </c>
      <c r="I1115" s="10" t="s">
        <v>3241</v>
      </c>
      <c r="J1115" s="15">
        <v>1102046.6200000001</v>
      </c>
      <c r="K1115" s="15">
        <v>1089089.4482400001</v>
      </c>
      <c r="L1115" s="15">
        <v>12957.17</v>
      </c>
      <c r="M1115" s="15">
        <v>11169.98</v>
      </c>
      <c r="N1115" s="15">
        <v>0</v>
      </c>
      <c r="O1115" s="15">
        <v>1787.2</v>
      </c>
      <c r="P1115" s="2" t="s">
        <v>55</v>
      </c>
      <c r="Q1115" s="16"/>
    </row>
    <row r="1116" spans="1:17" x14ac:dyDescent="0.3">
      <c r="A1116" s="10">
        <v>21733</v>
      </c>
      <c r="B1116" s="2" t="s">
        <v>4467</v>
      </c>
      <c r="C1116" s="13">
        <v>5548</v>
      </c>
      <c r="D1116" s="2" t="s">
        <v>44</v>
      </c>
      <c r="E1116" s="14">
        <v>44655</v>
      </c>
      <c r="F1116" s="10" t="s">
        <v>3242</v>
      </c>
      <c r="G1116" s="25">
        <v>44659</v>
      </c>
      <c r="H1116" s="10" t="s">
        <v>3243</v>
      </c>
      <c r="I1116" s="10" t="s">
        <v>3244</v>
      </c>
      <c r="J1116" s="15">
        <v>128213.59</v>
      </c>
      <c r="K1116" s="15">
        <v>115212.27532</v>
      </c>
      <c r="L1116" s="15">
        <v>13001.31</v>
      </c>
      <c r="M1116" s="15">
        <v>11208.03</v>
      </c>
      <c r="N1116" s="15">
        <v>0</v>
      </c>
      <c r="O1116" s="15">
        <v>1793.28</v>
      </c>
      <c r="P1116" s="2" t="s">
        <v>55</v>
      </c>
      <c r="Q1116" s="16"/>
    </row>
    <row r="1117" spans="1:17" ht="12.65" customHeight="1" x14ac:dyDescent="0.3">
      <c r="A1117" s="10">
        <v>21733</v>
      </c>
      <c r="B1117" s="2" t="s">
        <v>4468</v>
      </c>
      <c r="C1117" s="13">
        <v>5549</v>
      </c>
      <c r="D1117" s="2" t="s">
        <v>44</v>
      </c>
      <c r="E1117" s="14">
        <v>44697</v>
      </c>
      <c r="F1117" s="10" t="s">
        <v>619</v>
      </c>
      <c r="G1117" s="25">
        <v>44710</v>
      </c>
      <c r="H1117" s="10" t="s">
        <v>3245</v>
      </c>
      <c r="I1117" s="10" t="s">
        <v>3246</v>
      </c>
      <c r="J1117" s="15">
        <v>921140.97</v>
      </c>
      <c r="K1117" s="15">
        <v>907823.44024000014</v>
      </c>
      <c r="L1117" s="15">
        <v>13317.53</v>
      </c>
      <c r="M1117" s="15">
        <v>11480.63</v>
      </c>
      <c r="N1117" s="15">
        <v>0</v>
      </c>
      <c r="O1117" s="15">
        <v>1836.9</v>
      </c>
      <c r="P1117" s="2" t="s">
        <v>55</v>
      </c>
      <c r="Q1117" s="16"/>
    </row>
    <row r="1118" spans="1:17" ht="12.65" customHeight="1" x14ac:dyDescent="0.3">
      <c r="A1118" s="10">
        <v>394213</v>
      </c>
      <c r="B1118" s="2" t="s">
        <v>4469</v>
      </c>
      <c r="C1118" s="13">
        <v>5531</v>
      </c>
      <c r="D1118" s="2" t="s">
        <v>44</v>
      </c>
      <c r="E1118" s="14">
        <v>44357</v>
      </c>
      <c r="F1118" s="10" t="s">
        <v>3257</v>
      </c>
      <c r="G1118" s="25">
        <v>44362</v>
      </c>
      <c r="H1118" s="10">
        <v>274193</v>
      </c>
      <c r="I1118" s="10" t="s">
        <v>3258</v>
      </c>
      <c r="J1118" s="15">
        <v>566356.34</v>
      </c>
      <c r="K1118" s="15">
        <v>556757.07999999996</v>
      </c>
      <c r="L1118" s="15">
        <f>+J1118-K1118</f>
        <v>9599.2600000000093</v>
      </c>
      <c r="M1118" s="15">
        <v>9599.2600000000093</v>
      </c>
      <c r="N1118" s="15">
        <v>0</v>
      </c>
      <c r="O1118" s="15">
        <v>0</v>
      </c>
      <c r="P1118" s="2" t="s">
        <v>3259</v>
      </c>
      <c r="Q1118" s="16"/>
    </row>
    <row r="1119" spans="1:17" x14ac:dyDescent="0.3">
      <c r="A1119" s="10">
        <v>8557</v>
      </c>
      <c r="B1119" s="2" t="s">
        <v>4470</v>
      </c>
      <c r="C1119" s="13">
        <v>5548</v>
      </c>
      <c r="D1119" s="2" t="s">
        <v>44</v>
      </c>
      <c r="E1119" s="14">
        <v>44334</v>
      </c>
      <c r="F1119" s="10">
        <v>18011316</v>
      </c>
      <c r="G1119" s="25">
        <v>44340</v>
      </c>
      <c r="H1119" s="10">
        <v>3287042</v>
      </c>
      <c r="I1119" s="10" t="s">
        <v>3268</v>
      </c>
      <c r="J1119" s="15">
        <v>15866.28</v>
      </c>
      <c r="K1119" s="15">
        <v>14556.024000000001</v>
      </c>
      <c r="L1119" s="15">
        <v>1310.2559999999994</v>
      </c>
      <c r="M1119" s="15">
        <f>L1119/1.08</f>
        <v>1213.1999999999994</v>
      </c>
      <c r="N1119" s="15">
        <f>M1119*8%</f>
        <v>97.055999999999955</v>
      </c>
      <c r="O1119" s="15">
        <v>0</v>
      </c>
      <c r="P1119" s="15" t="s">
        <v>3295</v>
      </c>
      <c r="Q1119" s="16"/>
    </row>
    <row r="1120" spans="1:17" x14ac:dyDescent="0.3">
      <c r="A1120" s="10">
        <v>8557</v>
      </c>
      <c r="B1120" s="2" t="s">
        <v>4471</v>
      </c>
      <c r="C1120" s="13">
        <v>5681</v>
      </c>
      <c r="D1120" s="2" t="s">
        <v>44</v>
      </c>
      <c r="E1120" s="14">
        <v>44299</v>
      </c>
      <c r="F1120" s="10">
        <v>17127883</v>
      </c>
      <c r="G1120" s="25">
        <v>44305</v>
      </c>
      <c r="H1120" s="10">
        <v>879787</v>
      </c>
      <c r="I1120" s="10" t="s">
        <v>3269</v>
      </c>
      <c r="J1120" s="15">
        <v>45525.47</v>
      </c>
      <c r="K1120" s="15">
        <v>44398.82160000001</v>
      </c>
      <c r="L1120" s="15">
        <v>1126.6483999999909</v>
      </c>
      <c r="M1120" s="15">
        <f t="shared" ref="M1120:M1131" si="0">L1120/1.08</f>
        <v>1043.1929629629544</v>
      </c>
      <c r="N1120" s="15">
        <f t="shared" ref="N1120:N1131" si="1">M1120*8%</f>
        <v>83.455437037036361</v>
      </c>
      <c r="O1120" s="15">
        <v>0</v>
      </c>
      <c r="P1120" s="2" t="s">
        <v>3281</v>
      </c>
      <c r="Q1120" s="16"/>
    </row>
    <row r="1121" spans="1:17" x14ac:dyDescent="0.3">
      <c r="A1121" s="10">
        <v>8557</v>
      </c>
      <c r="B1121" s="2" t="s">
        <v>4472</v>
      </c>
      <c r="C1121" s="13">
        <v>5548</v>
      </c>
      <c r="D1121" s="2" t="s">
        <v>44</v>
      </c>
      <c r="E1121" s="14">
        <v>44362</v>
      </c>
      <c r="F1121" s="10">
        <v>18863317</v>
      </c>
      <c r="G1121" s="25">
        <v>44368</v>
      </c>
      <c r="H1121" s="10">
        <v>3317095</v>
      </c>
      <c r="I1121" s="10" t="s">
        <v>3270</v>
      </c>
      <c r="J1121" s="15">
        <v>11106.4</v>
      </c>
      <c r="K1121" s="15">
        <v>10189.216800000002</v>
      </c>
      <c r="L1121" s="15">
        <v>917.18319999999767</v>
      </c>
      <c r="M1121" s="15">
        <f t="shared" si="0"/>
        <v>849.2437037037015</v>
      </c>
      <c r="N1121" s="15">
        <f t="shared" si="1"/>
        <v>67.939496296296127</v>
      </c>
      <c r="O1121" s="15">
        <v>0</v>
      </c>
      <c r="P1121" s="15" t="s">
        <v>3295</v>
      </c>
      <c r="Q1121" s="16"/>
    </row>
    <row r="1122" spans="1:17" x14ac:dyDescent="0.3">
      <c r="A1122" s="10">
        <v>8557</v>
      </c>
      <c r="B1122" s="2" t="s">
        <v>4473</v>
      </c>
      <c r="C1122" s="13">
        <v>5548</v>
      </c>
      <c r="D1122" s="2" t="s">
        <v>44</v>
      </c>
      <c r="E1122" s="14">
        <v>44355</v>
      </c>
      <c r="F1122" s="10">
        <v>18833234</v>
      </c>
      <c r="G1122" s="25">
        <v>44361</v>
      </c>
      <c r="H1122" s="10">
        <v>3310220</v>
      </c>
      <c r="I1122" s="10" t="s">
        <v>3271</v>
      </c>
      <c r="J1122" s="15">
        <v>88338.42</v>
      </c>
      <c r="K1122" s="15">
        <v>87722.308799999999</v>
      </c>
      <c r="L1122" s="15">
        <v>616.11119999999937</v>
      </c>
      <c r="M1122" s="15">
        <f t="shared" si="0"/>
        <v>570.47333333333268</v>
      </c>
      <c r="N1122" s="15">
        <f t="shared" si="1"/>
        <v>45.637866666666618</v>
      </c>
      <c r="O1122" s="15">
        <v>0</v>
      </c>
      <c r="P1122" s="15" t="s">
        <v>3295</v>
      </c>
      <c r="Q1122" s="16"/>
    </row>
    <row r="1123" spans="1:17" x14ac:dyDescent="0.3">
      <c r="A1123" s="10">
        <v>8557</v>
      </c>
      <c r="B1123" s="2" t="s">
        <v>4474</v>
      </c>
      <c r="C1123" s="13">
        <v>5537</v>
      </c>
      <c r="D1123" s="2" t="s">
        <v>44</v>
      </c>
      <c r="E1123" s="14">
        <v>44320</v>
      </c>
      <c r="F1123" s="10">
        <v>17803908</v>
      </c>
      <c r="G1123" s="25">
        <v>44334</v>
      </c>
      <c r="H1123" s="10">
        <v>951714</v>
      </c>
      <c r="I1123" s="10" t="s">
        <v>3272</v>
      </c>
      <c r="J1123" s="15">
        <v>69098.100000000006</v>
      </c>
      <c r="K1123" s="15">
        <v>68565.268800000005</v>
      </c>
      <c r="L1123" s="15">
        <v>532.83120000000054</v>
      </c>
      <c r="M1123" s="15">
        <f t="shared" si="0"/>
        <v>493.36222222222267</v>
      </c>
      <c r="N1123" s="15">
        <f t="shared" si="1"/>
        <v>39.468977777777816</v>
      </c>
      <c r="O1123" s="15">
        <v>0</v>
      </c>
      <c r="P1123" s="2" t="s">
        <v>3281</v>
      </c>
      <c r="Q1123" s="16"/>
    </row>
    <row r="1124" spans="1:17" x14ac:dyDescent="0.3">
      <c r="A1124" s="10">
        <v>8557</v>
      </c>
      <c r="B1124" s="2" t="s">
        <v>4475</v>
      </c>
      <c r="C1124" s="13">
        <v>5548</v>
      </c>
      <c r="D1124" s="2" t="s">
        <v>44</v>
      </c>
      <c r="E1124" s="14">
        <v>44390</v>
      </c>
      <c r="F1124" s="10">
        <v>19885213</v>
      </c>
      <c r="G1124" s="25">
        <v>44396</v>
      </c>
      <c r="H1124" s="10">
        <v>3348585</v>
      </c>
      <c r="I1124" s="10" t="s">
        <v>3273</v>
      </c>
      <c r="J1124" s="15">
        <v>78185.240000000005</v>
      </c>
      <c r="K1124" s="15">
        <v>77654.792879999994</v>
      </c>
      <c r="L1124" s="15">
        <v>530.44712000001164</v>
      </c>
      <c r="M1124" s="15">
        <f t="shared" si="0"/>
        <v>491.15474074075149</v>
      </c>
      <c r="N1124" s="15">
        <f t="shared" si="1"/>
        <v>39.292379259260123</v>
      </c>
      <c r="O1124" s="15">
        <v>0</v>
      </c>
      <c r="P1124" s="2" t="s">
        <v>3281</v>
      </c>
      <c r="Q1124" s="16"/>
    </row>
    <row r="1125" spans="1:17" x14ac:dyDescent="0.3">
      <c r="A1125" s="10">
        <v>8557</v>
      </c>
      <c r="B1125" s="2" t="s">
        <v>4476</v>
      </c>
      <c r="C1125" s="13">
        <v>5548</v>
      </c>
      <c r="D1125" s="2" t="s">
        <v>44</v>
      </c>
      <c r="E1125" s="14">
        <v>44446</v>
      </c>
      <c r="F1125" s="10">
        <v>33008724</v>
      </c>
      <c r="G1125" s="25">
        <v>44452</v>
      </c>
      <c r="H1125" s="10">
        <v>3396174</v>
      </c>
      <c r="I1125" s="10" t="s">
        <v>3274</v>
      </c>
      <c r="J1125" s="15">
        <v>81732.34</v>
      </c>
      <c r="K1125" s="15">
        <v>81215.17488000002</v>
      </c>
      <c r="L1125" s="15">
        <v>517.16511999997601</v>
      </c>
      <c r="M1125" s="15">
        <f t="shared" si="0"/>
        <v>478.85659259257034</v>
      </c>
      <c r="N1125" s="15">
        <f t="shared" si="1"/>
        <v>38.308527407405627</v>
      </c>
      <c r="O1125" s="15">
        <v>0</v>
      </c>
      <c r="P1125" s="15" t="s">
        <v>3295</v>
      </c>
      <c r="Q1125" s="16"/>
    </row>
    <row r="1126" spans="1:17" x14ac:dyDescent="0.3">
      <c r="A1126" s="10">
        <v>8557</v>
      </c>
      <c r="B1126" s="2" t="s">
        <v>4477</v>
      </c>
      <c r="C1126" s="13">
        <v>5548</v>
      </c>
      <c r="D1126" s="2" t="s">
        <v>44</v>
      </c>
      <c r="E1126" s="14">
        <v>44369</v>
      </c>
      <c r="F1126" s="10">
        <v>19260846</v>
      </c>
      <c r="G1126" s="25">
        <v>44375</v>
      </c>
      <c r="H1126" s="10">
        <v>3325554</v>
      </c>
      <c r="I1126" s="10" t="s">
        <v>3275</v>
      </c>
      <c r="J1126" s="15">
        <v>5817.64</v>
      </c>
      <c r="K1126" s="15">
        <v>5337.2088000000012</v>
      </c>
      <c r="L1126" s="15">
        <v>480.43119999999908</v>
      </c>
      <c r="M1126" s="15">
        <f t="shared" si="0"/>
        <v>444.84370370370283</v>
      </c>
      <c r="N1126" s="15">
        <f t="shared" si="1"/>
        <v>35.58749629629623</v>
      </c>
      <c r="O1126" s="15">
        <v>0</v>
      </c>
      <c r="P1126" s="15" t="s">
        <v>3295</v>
      </c>
      <c r="Q1126" s="16"/>
    </row>
    <row r="1127" spans="1:17" x14ac:dyDescent="0.3">
      <c r="A1127" s="10">
        <v>8557</v>
      </c>
      <c r="B1127" s="2" t="s">
        <v>4478</v>
      </c>
      <c r="C1127" s="13">
        <v>5548</v>
      </c>
      <c r="D1127" s="2" t="s">
        <v>44</v>
      </c>
      <c r="E1127" s="14">
        <v>44453</v>
      </c>
      <c r="F1127" s="10">
        <v>33198875</v>
      </c>
      <c r="G1127" s="25">
        <v>44459</v>
      </c>
      <c r="H1127" s="10">
        <v>3402897</v>
      </c>
      <c r="I1127" s="10" t="s">
        <v>3276</v>
      </c>
      <c r="J1127" s="15">
        <v>70841.850000000006</v>
      </c>
      <c r="K1127" s="15">
        <v>70410.846239999999</v>
      </c>
      <c r="L1127" s="15">
        <v>431.00376000000688</v>
      </c>
      <c r="M1127" s="15">
        <f t="shared" si="0"/>
        <v>399.0775555555619</v>
      </c>
      <c r="N1127" s="15">
        <f t="shared" si="1"/>
        <v>31.926204444444952</v>
      </c>
      <c r="O1127" s="15">
        <v>0</v>
      </c>
      <c r="P1127" s="15" t="s">
        <v>3295</v>
      </c>
      <c r="Q1127" s="16"/>
    </row>
    <row r="1128" spans="1:17" x14ac:dyDescent="0.3">
      <c r="A1128" s="10">
        <v>8557</v>
      </c>
      <c r="B1128" s="2" t="s">
        <v>4479</v>
      </c>
      <c r="C1128" s="13">
        <v>5548</v>
      </c>
      <c r="D1128" s="2" t="s">
        <v>44</v>
      </c>
      <c r="E1128" s="14">
        <v>44397</v>
      </c>
      <c r="F1128" s="10">
        <v>20091492</v>
      </c>
      <c r="G1128" s="25">
        <v>44403</v>
      </c>
      <c r="H1128" s="10">
        <v>3355140</v>
      </c>
      <c r="I1128" s="10" t="s">
        <v>3277</v>
      </c>
      <c r="J1128" s="15">
        <v>46384.22</v>
      </c>
      <c r="K1128" s="15">
        <v>46032.386400000003</v>
      </c>
      <c r="L1128" s="15">
        <v>351.83359999999811</v>
      </c>
      <c r="M1128" s="15">
        <f t="shared" si="0"/>
        <v>325.7718518518501</v>
      </c>
      <c r="N1128" s="15">
        <f t="shared" si="1"/>
        <v>26.061748148148009</v>
      </c>
      <c r="O1128" s="15">
        <v>0</v>
      </c>
      <c r="P1128" s="15" t="s">
        <v>3295</v>
      </c>
      <c r="Q1128" s="16"/>
    </row>
    <row r="1129" spans="1:17" x14ac:dyDescent="0.3">
      <c r="A1129" s="10">
        <v>8557</v>
      </c>
      <c r="B1129" s="2" t="s">
        <v>4480</v>
      </c>
      <c r="C1129" s="13">
        <v>5548</v>
      </c>
      <c r="D1129" s="2" t="s">
        <v>44</v>
      </c>
      <c r="E1129" s="14">
        <v>44411</v>
      </c>
      <c r="F1129" s="10">
        <v>20489008</v>
      </c>
      <c r="G1129" s="25">
        <v>44414</v>
      </c>
      <c r="H1129" s="10">
        <v>3365212</v>
      </c>
      <c r="I1129" s="10" t="s">
        <v>3278</v>
      </c>
      <c r="J1129" s="15">
        <v>3173.26</v>
      </c>
      <c r="K1129" s="15">
        <v>2911.2048000000004</v>
      </c>
      <c r="L1129" s="15">
        <v>262.05519999999979</v>
      </c>
      <c r="M1129" s="15">
        <f t="shared" si="0"/>
        <v>242.64370370370349</v>
      </c>
      <c r="N1129" s="15">
        <f t="shared" si="1"/>
        <v>19.411496296296281</v>
      </c>
      <c r="O1129" s="15">
        <v>0</v>
      </c>
      <c r="P1129" s="15" t="s">
        <v>3295</v>
      </c>
      <c r="Q1129" s="16"/>
    </row>
    <row r="1130" spans="1:17" x14ac:dyDescent="0.3">
      <c r="A1130" s="10">
        <v>8557</v>
      </c>
      <c r="B1130" s="2" t="s">
        <v>4481</v>
      </c>
      <c r="C1130" s="13">
        <v>5548</v>
      </c>
      <c r="D1130" s="2" t="s">
        <v>44</v>
      </c>
      <c r="E1130" s="14">
        <v>44439</v>
      </c>
      <c r="F1130" s="10">
        <v>32817194</v>
      </c>
      <c r="G1130" s="25">
        <v>44445</v>
      </c>
      <c r="H1130" s="10">
        <v>3390274</v>
      </c>
      <c r="I1130" s="10" t="s">
        <v>3279</v>
      </c>
      <c r="J1130" s="15">
        <v>49703.63</v>
      </c>
      <c r="K1130" s="15">
        <v>49531.003200000006</v>
      </c>
      <c r="L1130" s="15">
        <v>172.62679999999091</v>
      </c>
      <c r="M1130" s="15">
        <f t="shared" si="0"/>
        <v>159.83962962962121</v>
      </c>
      <c r="N1130" s="15">
        <f t="shared" si="1"/>
        <v>12.787170370369697</v>
      </c>
      <c r="O1130" s="15">
        <v>0</v>
      </c>
      <c r="P1130" s="15" t="s">
        <v>3295</v>
      </c>
      <c r="Q1130" s="16"/>
    </row>
    <row r="1131" spans="1:17" x14ac:dyDescent="0.3">
      <c r="A1131" s="10">
        <v>8557</v>
      </c>
      <c r="B1131" s="2" t="s">
        <v>4482</v>
      </c>
      <c r="C1131" s="13">
        <v>5548</v>
      </c>
      <c r="D1131" s="2" t="s">
        <v>44</v>
      </c>
      <c r="E1131" s="14">
        <v>44376</v>
      </c>
      <c r="F1131" s="10">
        <v>19463608</v>
      </c>
      <c r="G1131" s="25">
        <v>44382</v>
      </c>
      <c r="H1131" s="10">
        <v>3332453</v>
      </c>
      <c r="I1131" s="10" t="s">
        <v>3280</v>
      </c>
      <c r="J1131" s="15">
        <v>3834.8</v>
      </c>
      <c r="K1131" s="15">
        <v>3703.6440000000002</v>
      </c>
      <c r="L1131" s="15">
        <v>131.15599999999995</v>
      </c>
      <c r="M1131" s="15">
        <f t="shared" si="0"/>
        <v>121.44074074074068</v>
      </c>
      <c r="N1131" s="15">
        <f t="shared" si="1"/>
        <v>9.7152592592592537</v>
      </c>
      <c r="O1131" s="15">
        <v>0</v>
      </c>
      <c r="P1131" s="15" t="s">
        <v>3295</v>
      </c>
      <c r="Q1131" s="16"/>
    </row>
    <row r="1132" spans="1:17" x14ac:dyDescent="0.3">
      <c r="A1132" s="10">
        <v>303452</v>
      </c>
      <c r="B1132" s="2" t="s">
        <v>4483</v>
      </c>
      <c r="C1132" s="13">
        <v>911</v>
      </c>
      <c r="D1132" s="2" t="s">
        <v>44</v>
      </c>
      <c r="E1132" s="14">
        <v>43855</v>
      </c>
      <c r="F1132" s="10">
        <v>4162301</v>
      </c>
      <c r="G1132" s="25">
        <v>43857</v>
      </c>
      <c r="H1132" s="10">
        <v>43541</v>
      </c>
      <c r="I1132" s="10" t="s">
        <v>3294</v>
      </c>
      <c r="J1132" s="15">
        <v>9975</v>
      </c>
      <c r="K1132" s="15">
        <v>9585</v>
      </c>
      <c r="L1132" s="15">
        <v>390</v>
      </c>
      <c r="M1132" s="15">
        <f>L1132</f>
        <v>390</v>
      </c>
      <c r="N1132" s="15">
        <v>0</v>
      </c>
      <c r="O1132" s="15">
        <v>0</v>
      </c>
      <c r="P1132" s="15" t="s">
        <v>3295</v>
      </c>
      <c r="Q1132" s="16"/>
    </row>
    <row r="1133" spans="1:17" x14ac:dyDescent="0.3">
      <c r="A1133" s="10">
        <v>303452</v>
      </c>
      <c r="B1133" s="2" t="s">
        <v>4484</v>
      </c>
      <c r="C1133" s="13">
        <v>911</v>
      </c>
      <c r="D1133" s="2" t="s">
        <v>44</v>
      </c>
      <c r="E1133" s="14">
        <v>43857</v>
      </c>
      <c r="F1133" s="10">
        <v>4179800</v>
      </c>
      <c r="G1133" s="25">
        <v>43857</v>
      </c>
      <c r="H1133" s="10">
        <v>43567</v>
      </c>
      <c r="I1133" s="10" t="s">
        <v>3296</v>
      </c>
      <c r="J1133" s="15">
        <v>12925</v>
      </c>
      <c r="K1133" s="15">
        <v>12405</v>
      </c>
      <c r="L1133" s="15">
        <v>520</v>
      </c>
      <c r="M1133" s="15">
        <f t="shared" ref="M1133:M1182" si="2">L1133</f>
        <v>520</v>
      </c>
      <c r="N1133" s="15">
        <v>0</v>
      </c>
      <c r="O1133" s="15">
        <v>0</v>
      </c>
      <c r="P1133" s="15" t="s">
        <v>3295</v>
      </c>
      <c r="Q1133" s="16"/>
    </row>
    <row r="1134" spans="1:17" x14ac:dyDescent="0.3">
      <c r="A1134" s="10">
        <v>303452</v>
      </c>
      <c r="B1134" s="2" t="s">
        <v>4485</v>
      </c>
      <c r="C1134" s="13">
        <v>911</v>
      </c>
      <c r="D1134" s="2" t="s">
        <v>44</v>
      </c>
      <c r="E1134" s="14">
        <v>43858</v>
      </c>
      <c r="F1134" s="10">
        <v>4204947</v>
      </c>
      <c r="G1134" s="25">
        <v>43858</v>
      </c>
      <c r="H1134" s="10">
        <v>43694</v>
      </c>
      <c r="I1134" s="10" t="s">
        <v>3297</v>
      </c>
      <c r="J1134" s="15">
        <v>11100</v>
      </c>
      <c r="K1134" s="15">
        <v>10710</v>
      </c>
      <c r="L1134" s="15">
        <v>390</v>
      </c>
      <c r="M1134" s="15">
        <f t="shared" si="2"/>
        <v>390</v>
      </c>
      <c r="N1134" s="15">
        <v>0</v>
      </c>
      <c r="O1134" s="15">
        <v>0</v>
      </c>
      <c r="P1134" s="15" t="s">
        <v>3295</v>
      </c>
      <c r="Q1134" s="16"/>
    </row>
    <row r="1135" spans="1:17" x14ac:dyDescent="0.3">
      <c r="A1135" s="10">
        <v>303452</v>
      </c>
      <c r="B1135" s="2" t="s">
        <v>4486</v>
      </c>
      <c r="C1135" s="13">
        <v>911</v>
      </c>
      <c r="D1135" s="2" t="s">
        <v>44</v>
      </c>
      <c r="E1135" s="14">
        <v>43859</v>
      </c>
      <c r="F1135" s="10">
        <v>4227715</v>
      </c>
      <c r="G1135" s="25">
        <v>43859</v>
      </c>
      <c r="H1135" s="10">
        <v>43752</v>
      </c>
      <c r="I1135" s="10" t="s">
        <v>3298</v>
      </c>
      <c r="J1135" s="15">
        <v>13540</v>
      </c>
      <c r="K1135" s="15">
        <v>13150</v>
      </c>
      <c r="L1135" s="15">
        <v>390</v>
      </c>
      <c r="M1135" s="15">
        <f t="shared" si="2"/>
        <v>390</v>
      </c>
      <c r="N1135" s="15">
        <v>0</v>
      </c>
      <c r="O1135" s="15">
        <v>0</v>
      </c>
      <c r="P1135" s="15" t="s">
        <v>3295</v>
      </c>
      <c r="Q1135" s="16"/>
    </row>
    <row r="1136" spans="1:17" x14ac:dyDescent="0.3">
      <c r="A1136" s="10">
        <v>303452</v>
      </c>
      <c r="B1136" s="2" t="s">
        <v>4487</v>
      </c>
      <c r="C1136" s="13">
        <v>911</v>
      </c>
      <c r="D1136" s="2" t="s">
        <v>44</v>
      </c>
      <c r="E1136" s="14">
        <v>43869</v>
      </c>
      <c r="F1136" s="10">
        <v>4412235</v>
      </c>
      <c r="G1136" s="25">
        <v>43869</v>
      </c>
      <c r="H1136" s="10">
        <v>44346</v>
      </c>
      <c r="I1136" s="10" t="s">
        <v>3299</v>
      </c>
      <c r="J1136" s="15">
        <v>9100</v>
      </c>
      <c r="K1136" s="15">
        <v>8568</v>
      </c>
      <c r="L1136" s="15">
        <v>532</v>
      </c>
      <c r="M1136" s="15">
        <f t="shared" si="2"/>
        <v>532</v>
      </c>
      <c r="N1136" s="15">
        <v>0</v>
      </c>
      <c r="O1136" s="15">
        <v>0</v>
      </c>
      <c r="P1136" s="15" t="s">
        <v>3295</v>
      </c>
      <c r="Q1136" s="16"/>
    </row>
    <row r="1137" spans="1:17" x14ac:dyDescent="0.3">
      <c r="A1137" s="10">
        <v>303452</v>
      </c>
      <c r="B1137" s="2" t="s">
        <v>4488</v>
      </c>
      <c r="C1137" s="13">
        <v>911</v>
      </c>
      <c r="D1137" s="2" t="s">
        <v>44</v>
      </c>
      <c r="E1137" s="14">
        <v>43871</v>
      </c>
      <c r="F1137" s="10">
        <v>4488005</v>
      </c>
      <c r="G1137" s="25">
        <v>43871</v>
      </c>
      <c r="H1137" s="10">
        <v>44424</v>
      </c>
      <c r="I1137" s="10" t="s">
        <v>3300</v>
      </c>
      <c r="J1137" s="15">
        <v>10300</v>
      </c>
      <c r="K1137" s="15">
        <v>9788</v>
      </c>
      <c r="L1137" s="15">
        <v>512</v>
      </c>
      <c r="M1137" s="15">
        <f t="shared" si="2"/>
        <v>512</v>
      </c>
      <c r="N1137" s="15">
        <v>0</v>
      </c>
      <c r="O1137" s="15">
        <v>0</v>
      </c>
      <c r="P1137" s="15" t="s">
        <v>3295</v>
      </c>
      <c r="Q1137" s="16"/>
    </row>
    <row r="1138" spans="1:17" x14ac:dyDescent="0.3">
      <c r="A1138" s="10">
        <v>303452</v>
      </c>
      <c r="B1138" s="2" t="s">
        <v>4489</v>
      </c>
      <c r="C1138" s="13">
        <v>911</v>
      </c>
      <c r="D1138" s="2" t="s">
        <v>44</v>
      </c>
      <c r="E1138" s="14">
        <v>43872</v>
      </c>
      <c r="F1138" s="10">
        <v>4489288</v>
      </c>
      <c r="G1138" s="25">
        <v>43872</v>
      </c>
      <c r="H1138" s="10">
        <v>44476</v>
      </c>
      <c r="I1138" s="10" t="s">
        <v>3301</v>
      </c>
      <c r="J1138" s="15">
        <v>6945</v>
      </c>
      <c r="K1138" s="15">
        <v>6613</v>
      </c>
      <c r="L1138" s="15">
        <v>332</v>
      </c>
      <c r="M1138" s="15">
        <f t="shared" si="2"/>
        <v>332</v>
      </c>
      <c r="N1138" s="15">
        <v>0</v>
      </c>
      <c r="O1138" s="15">
        <v>0</v>
      </c>
      <c r="P1138" s="15" t="s">
        <v>3295</v>
      </c>
      <c r="Q1138" s="16"/>
    </row>
    <row r="1139" spans="1:17" x14ac:dyDescent="0.3">
      <c r="A1139" s="10">
        <v>303452</v>
      </c>
      <c r="B1139" s="2" t="s">
        <v>4490</v>
      </c>
      <c r="C1139" s="13">
        <v>911</v>
      </c>
      <c r="D1139" s="2" t="s">
        <v>44</v>
      </c>
      <c r="E1139" s="14">
        <v>43876</v>
      </c>
      <c r="F1139" s="10">
        <v>4597072</v>
      </c>
      <c r="G1139" s="25">
        <v>43876</v>
      </c>
      <c r="H1139" s="10">
        <v>44790</v>
      </c>
      <c r="I1139" s="10" t="s">
        <v>3302</v>
      </c>
      <c r="J1139" s="15">
        <v>6500</v>
      </c>
      <c r="K1139" s="15">
        <v>6226</v>
      </c>
      <c r="L1139" s="15">
        <v>274</v>
      </c>
      <c r="M1139" s="15">
        <f t="shared" si="2"/>
        <v>274</v>
      </c>
      <c r="N1139" s="15">
        <v>0</v>
      </c>
      <c r="O1139" s="15">
        <v>0</v>
      </c>
      <c r="P1139" s="15" t="s">
        <v>3295</v>
      </c>
      <c r="Q1139" s="16"/>
    </row>
    <row r="1140" spans="1:17" x14ac:dyDescent="0.3">
      <c r="A1140" s="10">
        <v>303452</v>
      </c>
      <c r="B1140" s="2" t="s">
        <v>4491</v>
      </c>
      <c r="C1140" s="13">
        <v>911</v>
      </c>
      <c r="D1140" s="2" t="s">
        <v>44</v>
      </c>
      <c r="E1140" s="14">
        <v>43878</v>
      </c>
      <c r="F1140" s="10">
        <v>4654111</v>
      </c>
      <c r="G1140" s="25">
        <v>43878</v>
      </c>
      <c r="H1140" s="10">
        <v>44872</v>
      </c>
      <c r="I1140" s="10" t="s">
        <v>3303</v>
      </c>
      <c r="J1140" s="15">
        <v>7700</v>
      </c>
      <c r="K1140" s="15">
        <v>7385</v>
      </c>
      <c r="L1140" s="15">
        <v>315</v>
      </c>
      <c r="M1140" s="15">
        <f t="shared" si="2"/>
        <v>315</v>
      </c>
      <c r="N1140" s="15">
        <v>0</v>
      </c>
      <c r="O1140" s="15">
        <v>0</v>
      </c>
      <c r="P1140" s="15" t="s">
        <v>3295</v>
      </c>
      <c r="Q1140" s="16"/>
    </row>
    <row r="1141" spans="1:17" x14ac:dyDescent="0.3">
      <c r="A1141" s="10">
        <v>303452</v>
      </c>
      <c r="B1141" s="2" t="s">
        <v>4492</v>
      </c>
      <c r="C1141" s="13">
        <v>911</v>
      </c>
      <c r="D1141" s="2" t="s">
        <v>44</v>
      </c>
      <c r="E1141" s="14">
        <v>43878</v>
      </c>
      <c r="F1141" s="10">
        <v>4657224</v>
      </c>
      <c r="G1141" s="25">
        <v>43878</v>
      </c>
      <c r="H1141" s="10">
        <v>44881</v>
      </c>
      <c r="I1141" s="10" t="s">
        <v>3304</v>
      </c>
      <c r="J1141" s="15">
        <v>6808</v>
      </c>
      <c r="K1141" s="15">
        <v>6208</v>
      </c>
      <c r="L1141" s="15">
        <v>600</v>
      </c>
      <c r="M1141" s="15">
        <f t="shared" si="2"/>
        <v>600</v>
      </c>
      <c r="N1141" s="15">
        <v>0</v>
      </c>
      <c r="O1141" s="15">
        <v>0</v>
      </c>
      <c r="P1141" s="15" t="s">
        <v>3295</v>
      </c>
      <c r="Q1141" s="16"/>
    </row>
    <row r="1142" spans="1:17" x14ac:dyDescent="0.3">
      <c r="A1142" s="10">
        <v>303452</v>
      </c>
      <c r="B1142" s="2" t="s">
        <v>4493</v>
      </c>
      <c r="C1142" s="13">
        <v>911</v>
      </c>
      <c r="D1142" s="2" t="s">
        <v>44</v>
      </c>
      <c r="E1142" s="14">
        <v>43880</v>
      </c>
      <c r="F1142" s="10">
        <v>4689502</v>
      </c>
      <c r="G1142" s="25">
        <v>43880</v>
      </c>
      <c r="H1142" s="10">
        <v>44934</v>
      </c>
      <c r="I1142" s="10" t="s">
        <v>3305</v>
      </c>
      <c r="J1142" s="15">
        <v>6485</v>
      </c>
      <c r="K1142" s="15">
        <v>6057</v>
      </c>
      <c r="L1142" s="15">
        <v>428</v>
      </c>
      <c r="M1142" s="15">
        <f t="shared" si="2"/>
        <v>428</v>
      </c>
      <c r="N1142" s="15">
        <v>0</v>
      </c>
      <c r="O1142" s="15">
        <v>0</v>
      </c>
      <c r="P1142" s="15" t="s">
        <v>3295</v>
      </c>
      <c r="Q1142" s="16"/>
    </row>
    <row r="1143" spans="1:17" x14ac:dyDescent="0.3">
      <c r="A1143" s="10">
        <v>303452</v>
      </c>
      <c r="B1143" s="2" t="s">
        <v>4494</v>
      </c>
      <c r="C1143" s="13">
        <v>911</v>
      </c>
      <c r="D1143" s="2" t="s">
        <v>44</v>
      </c>
      <c r="E1143" s="14">
        <v>43886</v>
      </c>
      <c r="F1143" s="10">
        <v>4851147</v>
      </c>
      <c r="G1143" s="25">
        <v>43886</v>
      </c>
      <c r="H1143" s="10">
        <v>45272</v>
      </c>
      <c r="I1143" s="10" t="s">
        <v>3306</v>
      </c>
      <c r="J1143" s="15">
        <v>6575</v>
      </c>
      <c r="K1143" s="15">
        <v>6325</v>
      </c>
      <c r="L1143" s="15">
        <v>250</v>
      </c>
      <c r="M1143" s="15">
        <f t="shared" si="2"/>
        <v>250</v>
      </c>
      <c r="N1143" s="15">
        <v>0</v>
      </c>
      <c r="O1143" s="15">
        <v>0</v>
      </c>
      <c r="P1143" s="15" t="s">
        <v>3295</v>
      </c>
      <c r="Q1143" s="16"/>
    </row>
    <row r="1144" spans="1:17" x14ac:dyDescent="0.3">
      <c r="A1144" s="10">
        <v>303452</v>
      </c>
      <c r="B1144" s="2" t="s">
        <v>4495</v>
      </c>
      <c r="C1144" s="13">
        <v>911</v>
      </c>
      <c r="D1144" s="2" t="s">
        <v>44</v>
      </c>
      <c r="E1144" s="14">
        <v>43890</v>
      </c>
      <c r="F1144" s="10">
        <v>4930306</v>
      </c>
      <c r="G1144" s="25">
        <v>43890</v>
      </c>
      <c r="H1144" s="10">
        <v>45503</v>
      </c>
      <c r="I1144" s="10" t="s">
        <v>3307</v>
      </c>
      <c r="J1144" s="15">
        <v>5360</v>
      </c>
      <c r="K1144" s="15">
        <v>4932</v>
      </c>
      <c r="L1144" s="15">
        <v>428</v>
      </c>
      <c r="M1144" s="15">
        <f t="shared" si="2"/>
        <v>428</v>
      </c>
      <c r="N1144" s="15">
        <v>0</v>
      </c>
      <c r="O1144" s="15">
        <v>0</v>
      </c>
      <c r="P1144" s="15" t="s">
        <v>3295</v>
      </c>
      <c r="Q1144" s="16"/>
    </row>
    <row r="1145" spans="1:17" x14ac:dyDescent="0.3">
      <c r="A1145" s="10">
        <v>303452</v>
      </c>
      <c r="B1145" s="2" t="s">
        <v>4496</v>
      </c>
      <c r="C1145" s="13">
        <v>911</v>
      </c>
      <c r="D1145" s="2" t="s">
        <v>44</v>
      </c>
      <c r="E1145" s="14">
        <v>43892</v>
      </c>
      <c r="F1145" s="10">
        <v>4997948</v>
      </c>
      <c r="G1145" s="25">
        <v>43892</v>
      </c>
      <c r="H1145" s="10">
        <v>45625</v>
      </c>
      <c r="I1145" s="10" t="s">
        <v>3308</v>
      </c>
      <c r="J1145" s="15">
        <v>10275</v>
      </c>
      <c r="K1145" s="15">
        <v>9513</v>
      </c>
      <c r="L1145" s="15">
        <v>762</v>
      </c>
      <c r="M1145" s="15">
        <f t="shared" si="2"/>
        <v>762</v>
      </c>
      <c r="N1145" s="15">
        <v>0</v>
      </c>
      <c r="O1145" s="15">
        <v>0</v>
      </c>
      <c r="P1145" s="15" t="s">
        <v>3295</v>
      </c>
      <c r="Q1145" s="16"/>
    </row>
    <row r="1146" spans="1:17" x14ac:dyDescent="0.3">
      <c r="A1146" s="10">
        <v>303452</v>
      </c>
      <c r="B1146" s="2" t="s">
        <v>4497</v>
      </c>
      <c r="C1146" s="13">
        <v>911</v>
      </c>
      <c r="D1146" s="2" t="s">
        <v>44</v>
      </c>
      <c r="E1146" s="14">
        <v>43893</v>
      </c>
      <c r="F1146" s="10">
        <v>5031661</v>
      </c>
      <c r="G1146" s="25">
        <v>43893</v>
      </c>
      <c r="H1146" s="10">
        <v>45720</v>
      </c>
      <c r="I1146" s="10" t="s">
        <v>3309</v>
      </c>
      <c r="J1146" s="15">
        <v>8369.5</v>
      </c>
      <c r="K1146" s="15">
        <v>7877</v>
      </c>
      <c r="L1146" s="15">
        <v>492.5</v>
      </c>
      <c r="M1146" s="15">
        <f t="shared" si="2"/>
        <v>492.5</v>
      </c>
      <c r="N1146" s="15">
        <v>0</v>
      </c>
      <c r="O1146" s="15">
        <v>0</v>
      </c>
      <c r="P1146" s="15" t="s">
        <v>3295</v>
      </c>
      <c r="Q1146" s="16"/>
    </row>
    <row r="1147" spans="1:17" x14ac:dyDescent="0.3">
      <c r="A1147" s="10">
        <v>303452</v>
      </c>
      <c r="B1147" s="2" t="s">
        <v>4498</v>
      </c>
      <c r="C1147" s="13">
        <v>911</v>
      </c>
      <c r="D1147" s="2" t="s">
        <v>44</v>
      </c>
      <c r="E1147" s="14">
        <v>43894</v>
      </c>
      <c r="F1147" s="10">
        <v>5036867</v>
      </c>
      <c r="G1147" s="25">
        <v>43894</v>
      </c>
      <c r="H1147" s="10">
        <v>45773</v>
      </c>
      <c r="I1147" s="10" t="s">
        <v>3310</v>
      </c>
      <c r="J1147" s="15">
        <v>9550</v>
      </c>
      <c r="K1147" s="15">
        <v>9022</v>
      </c>
      <c r="L1147" s="15">
        <v>528</v>
      </c>
      <c r="M1147" s="15">
        <f t="shared" si="2"/>
        <v>528</v>
      </c>
      <c r="N1147" s="15">
        <v>0</v>
      </c>
      <c r="O1147" s="15">
        <v>0</v>
      </c>
      <c r="P1147" s="15" t="s">
        <v>3295</v>
      </c>
      <c r="Q1147" s="16"/>
    </row>
    <row r="1148" spans="1:17" x14ac:dyDescent="0.3">
      <c r="A1148" s="10">
        <v>303452</v>
      </c>
      <c r="B1148" s="2" t="s">
        <v>4499</v>
      </c>
      <c r="C1148" s="13">
        <v>911</v>
      </c>
      <c r="D1148" s="2" t="s">
        <v>44</v>
      </c>
      <c r="E1148" s="14">
        <v>43899</v>
      </c>
      <c r="F1148" s="10">
        <v>5190329</v>
      </c>
      <c r="G1148" s="25">
        <v>43899</v>
      </c>
      <c r="H1148" s="10">
        <v>46091</v>
      </c>
      <c r="I1148" s="10" t="s">
        <v>3311</v>
      </c>
      <c r="J1148" s="15">
        <v>4088</v>
      </c>
      <c r="K1148" s="15">
        <v>3818</v>
      </c>
      <c r="L1148" s="15">
        <v>270</v>
      </c>
      <c r="M1148" s="15">
        <f t="shared" si="2"/>
        <v>270</v>
      </c>
      <c r="N1148" s="15">
        <v>0</v>
      </c>
      <c r="O1148" s="15">
        <v>0</v>
      </c>
      <c r="P1148" s="15" t="s">
        <v>3295</v>
      </c>
      <c r="Q1148" s="16"/>
    </row>
    <row r="1149" spans="1:17" x14ac:dyDescent="0.3">
      <c r="A1149" s="10">
        <v>303452</v>
      </c>
      <c r="B1149" s="2" t="s">
        <v>4500</v>
      </c>
      <c r="C1149" s="13">
        <v>911</v>
      </c>
      <c r="D1149" s="2" t="s">
        <v>44</v>
      </c>
      <c r="E1149" s="14">
        <v>43900</v>
      </c>
      <c r="F1149" s="10">
        <v>5216531</v>
      </c>
      <c r="G1149" s="25">
        <v>43900</v>
      </c>
      <c r="H1149" s="10">
        <v>46177</v>
      </c>
      <c r="I1149" s="10">
        <v>46177</v>
      </c>
      <c r="J1149" s="15">
        <v>6625</v>
      </c>
      <c r="K1149" s="15">
        <v>6325</v>
      </c>
      <c r="L1149" s="15">
        <v>300</v>
      </c>
      <c r="M1149" s="15">
        <f t="shared" si="2"/>
        <v>300</v>
      </c>
      <c r="N1149" s="15">
        <v>0</v>
      </c>
      <c r="O1149" s="15">
        <v>0</v>
      </c>
      <c r="P1149" s="15" t="s">
        <v>3295</v>
      </c>
      <c r="Q1149" s="16"/>
    </row>
    <row r="1150" spans="1:17" x14ac:dyDescent="0.3">
      <c r="A1150" s="10">
        <v>303452</v>
      </c>
      <c r="B1150" s="2" t="s">
        <v>4501</v>
      </c>
      <c r="C1150" s="13">
        <v>911</v>
      </c>
      <c r="D1150" s="2" t="s">
        <v>44</v>
      </c>
      <c r="E1150" s="14">
        <v>43904</v>
      </c>
      <c r="F1150" s="10">
        <v>5300844</v>
      </c>
      <c r="G1150" s="25">
        <v>43904</v>
      </c>
      <c r="H1150" s="10">
        <v>46462</v>
      </c>
      <c r="I1150" s="10" t="s">
        <v>3312</v>
      </c>
      <c r="J1150" s="15">
        <v>6569.5</v>
      </c>
      <c r="K1150" s="15">
        <v>6272.5</v>
      </c>
      <c r="L1150" s="15">
        <v>297</v>
      </c>
      <c r="M1150" s="15">
        <f t="shared" si="2"/>
        <v>297</v>
      </c>
      <c r="N1150" s="15">
        <v>0</v>
      </c>
      <c r="O1150" s="15">
        <v>0</v>
      </c>
      <c r="P1150" s="15" t="s">
        <v>3295</v>
      </c>
      <c r="Q1150" s="16"/>
    </row>
    <row r="1151" spans="1:17" x14ac:dyDescent="0.3">
      <c r="A1151" s="10">
        <v>303452</v>
      </c>
      <c r="B1151" s="2" t="s">
        <v>4502</v>
      </c>
      <c r="C1151" s="13">
        <v>911</v>
      </c>
      <c r="D1151" s="2" t="s">
        <v>44</v>
      </c>
      <c r="E1151" s="14">
        <v>43906</v>
      </c>
      <c r="F1151" s="10">
        <v>5374069</v>
      </c>
      <c r="G1151" s="25">
        <v>43906</v>
      </c>
      <c r="H1151" s="10">
        <v>46551</v>
      </c>
      <c r="I1151" s="10">
        <v>46551</v>
      </c>
      <c r="J1151" s="15">
        <v>6625</v>
      </c>
      <c r="K1151" s="15">
        <v>6309</v>
      </c>
      <c r="L1151" s="15">
        <v>316</v>
      </c>
      <c r="M1151" s="15">
        <f t="shared" si="2"/>
        <v>316</v>
      </c>
      <c r="N1151" s="15">
        <v>0</v>
      </c>
      <c r="O1151" s="15">
        <v>0</v>
      </c>
      <c r="P1151" s="15" t="s">
        <v>3295</v>
      </c>
      <c r="Q1151" s="16"/>
    </row>
    <row r="1152" spans="1:17" x14ac:dyDescent="0.3">
      <c r="A1152" s="10">
        <v>303452</v>
      </c>
      <c r="B1152" s="2" t="s">
        <v>4503</v>
      </c>
      <c r="C1152" s="13">
        <v>911</v>
      </c>
      <c r="D1152" s="2" t="s">
        <v>44</v>
      </c>
      <c r="E1152" s="14">
        <v>43907</v>
      </c>
      <c r="F1152" s="10">
        <v>5393712</v>
      </c>
      <c r="G1152" s="25">
        <v>43907</v>
      </c>
      <c r="H1152" s="10">
        <v>46586</v>
      </c>
      <c r="I1152" s="10" t="s">
        <v>3313</v>
      </c>
      <c r="J1152" s="15">
        <v>7765</v>
      </c>
      <c r="K1152" s="15">
        <v>7285</v>
      </c>
      <c r="L1152" s="15">
        <v>480</v>
      </c>
      <c r="M1152" s="15">
        <f t="shared" si="2"/>
        <v>480</v>
      </c>
      <c r="N1152" s="15">
        <v>0</v>
      </c>
      <c r="O1152" s="15">
        <v>0</v>
      </c>
      <c r="P1152" s="15" t="s">
        <v>3295</v>
      </c>
      <c r="Q1152" s="16"/>
    </row>
    <row r="1153" spans="1:17" x14ac:dyDescent="0.3">
      <c r="A1153" s="10">
        <v>303452</v>
      </c>
      <c r="B1153" s="2" t="s">
        <v>4504</v>
      </c>
      <c r="C1153" s="13">
        <v>911</v>
      </c>
      <c r="D1153" s="2" t="s">
        <v>44</v>
      </c>
      <c r="E1153" s="14">
        <v>43908</v>
      </c>
      <c r="F1153" s="10">
        <v>5409320</v>
      </c>
      <c r="G1153" s="25">
        <v>43908</v>
      </c>
      <c r="H1153" s="10">
        <v>46668</v>
      </c>
      <c r="I1153" s="10">
        <v>46668</v>
      </c>
      <c r="J1153" s="15">
        <v>13250</v>
      </c>
      <c r="K1153" s="15">
        <v>12650</v>
      </c>
      <c r="L1153" s="15">
        <v>600</v>
      </c>
      <c r="M1153" s="15">
        <f t="shared" si="2"/>
        <v>600</v>
      </c>
      <c r="N1153" s="15">
        <v>0</v>
      </c>
      <c r="O1153" s="15">
        <v>0</v>
      </c>
      <c r="P1153" s="15" t="s">
        <v>3295</v>
      </c>
      <c r="Q1153" s="16"/>
    </row>
    <row r="1154" spans="1:17" x14ac:dyDescent="0.3">
      <c r="A1154" s="10">
        <v>303452</v>
      </c>
      <c r="B1154" s="2" t="s">
        <v>4505</v>
      </c>
      <c r="C1154" s="13">
        <v>911</v>
      </c>
      <c r="D1154" s="2" t="s">
        <v>44</v>
      </c>
      <c r="E1154" s="14">
        <v>44109</v>
      </c>
      <c r="F1154" s="10">
        <v>10674195</v>
      </c>
      <c r="G1154" s="25">
        <v>44109</v>
      </c>
      <c r="H1154" s="10">
        <v>59519</v>
      </c>
      <c r="I1154" s="10" t="s">
        <v>3314</v>
      </c>
      <c r="J1154" s="15">
        <v>18720</v>
      </c>
      <c r="K1154" s="15">
        <v>18301.5</v>
      </c>
      <c r="L1154" s="15">
        <v>418.5</v>
      </c>
      <c r="M1154" s="15">
        <f t="shared" si="2"/>
        <v>418.5</v>
      </c>
      <c r="N1154" s="15">
        <v>0</v>
      </c>
      <c r="O1154" s="15">
        <v>0</v>
      </c>
      <c r="P1154" s="15" t="s">
        <v>3259</v>
      </c>
      <c r="Q1154" s="16"/>
    </row>
    <row r="1155" spans="1:17" x14ac:dyDescent="0.3">
      <c r="A1155" s="10">
        <v>303452</v>
      </c>
      <c r="B1155" s="2" t="s">
        <v>4506</v>
      </c>
      <c r="C1155" s="13">
        <v>911</v>
      </c>
      <c r="D1155" s="2" t="s">
        <v>44</v>
      </c>
      <c r="E1155" s="14">
        <v>44198</v>
      </c>
      <c r="F1155" s="10">
        <v>14447761</v>
      </c>
      <c r="G1155" s="25">
        <v>44198</v>
      </c>
      <c r="H1155" s="10">
        <v>64662</v>
      </c>
      <c r="I1155" s="10" t="s">
        <v>3315</v>
      </c>
      <c r="J1155" s="15">
        <v>7830</v>
      </c>
      <c r="K1155" s="15">
        <v>7695</v>
      </c>
      <c r="L1155" s="15">
        <v>135</v>
      </c>
      <c r="M1155" s="15">
        <f t="shared" si="2"/>
        <v>135</v>
      </c>
      <c r="N1155" s="15">
        <v>0</v>
      </c>
      <c r="O1155" s="15">
        <v>0</v>
      </c>
      <c r="P1155" s="15" t="s">
        <v>3259</v>
      </c>
      <c r="Q1155" s="16"/>
    </row>
    <row r="1156" spans="1:17" x14ac:dyDescent="0.3">
      <c r="A1156" s="10">
        <v>303452</v>
      </c>
      <c r="B1156" s="2" t="s">
        <v>4507</v>
      </c>
      <c r="C1156" s="13">
        <v>911</v>
      </c>
      <c r="D1156" s="2" t="s">
        <v>44</v>
      </c>
      <c r="E1156" s="14">
        <v>44201</v>
      </c>
      <c r="F1156" s="10">
        <v>14532165</v>
      </c>
      <c r="G1156" s="25">
        <v>44201</v>
      </c>
      <c r="H1156" s="10">
        <v>64716</v>
      </c>
      <c r="I1156" s="10" t="s">
        <v>3316</v>
      </c>
      <c r="J1156" s="15">
        <v>15660</v>
      </c>
      <c r="K1156" s="15">
        <v>15336</v>
      </c>
      <c r="L1156" s="15">
        <v>324</v>
      </c>
      <c r="M1156" s="15">
        <f t="shared" si="2"/>
        <v>324</v>
      </c>
      <c r="N1156" s="15">
        <v>0</v>
      </c>
      <c r="O1156" s="15">
        <v>0</v>
      </c>
      <c r="P1156" s="15" t="s">
        <v>3259</v>
      </c>
      <c r="Q1156" s="16"/>
    </row>
    <row r="1157" spans="1:17" x14ac:dyDescent="0.3">
      <c r="A1157" s="10">
        <v>303452</v>
      </c>
      <c r="B1157" s="2" t="s">
        <v>4508</v>
      </c>
      <c r="C1157" s="13">
        <v>911</v>
      </c>
      <c r="D1157" s="2" t="s">
        <v>44</v>
      </c>
      <c r="E1157" s="14">
        <v>44202</v>
      </c>
      <c r="F1157" s="10">
        <v>14557275</v>
      </c>
      <c r="G1157" s="25">
        <v>44202</v>
      </c>
      <c r="H1157" s="10">
        <v>64826</v>
      </c>
      <c r="I1157" s="10" t="s">
        <v>3317</v>
      </c>
      <c r="J1157" s="15">
        <v>9045</v>
      </c>
      <c r="K1157" s="15">
        <v>8937</v>
      </c>
      <c r="L1157" s="15">
        <v>108</v>
      </c>
      <c r="M1157" s="15">
        <f t="shared" si="2"/>
        <v>108</v>
      </c>
      <c r="N1157" s="15">
        <v>0</v>
      </c>
      <c r="O1157" s="15">
        <v>0</v>
      </c>
      <c r="P1157" s="15" t="s">
        <v>3259</v>
      </c>
      <c r="Q1157" s="16"/>
    </row>
    <row r="1158" spans="1:17" x14ac:dyDescent="0.3">
      <c r="A1158" s="10">
        <v>303452</v>
      </c>
      <c r="B1158" s="2" t="s">
        <v>4509</v>
      </c>
      <c r="C1158" s="13">
        <v>979</v>
      </c>
      <c r="D1158" s="2" t="s">
        <v>44</v>
      </c>
      <c r="E1158" s="14">
        <v>43857</v>
      </c>
      <c r="F1158" s="10">
        <v>4180115</v>
      </c>
      <c r="G1158" s="25">
        <v>43857</v>
      </c>
      <c r="H1158" s="10">
        <v>50700</v>
      </c>
      <c r="I1158" s="10" t="s">
        <v>3318</v>
      </c>
      <c r="J1158" s="15">
        <v>17512</v>
      </c>
      <c r="K1158" s="15">
        <v>17200</v>
      </c>
      <c r="L1158" s="15">
        <v>312</v>
      </c>
      <c r="M1158" s="15">
        <f t="shared" si="2"/>
        <v>312</v>
      </c>
      <c r="N1158" s="15">
        <v>0</v>
      </c>
      <c r="O1158" s="15">
        <v>0</v>
      </c>
      <c r="P1158" s="15" t="s">
        <v>3295</v>
      </c>
      <c r="Q1158" s="16"/>
    </row>
    <row r="1159" spans="1:17" x14ac:dyDescent="0.3">
      <c r="A1159" s="10">
        <v>303452</v>
      </c>
      <c r="B1159" s="2" t="s">
        <v>4510</v>
      </c>
      <c r="C1159" s="13">
        <v>979</v>
      </c>
      <c r="D1159" s="2" t="s">
        <v>44</v>
      </c>
      <c r="E1159" s="14">
        <v>43858</v>
      </c>
      <c r="F1159" s="10">
        <v>4206338</v>
      </c>
      <c r="G1159" s="25">
        <v>43858</v>
      </c>
      <c r="H1159" s="10">
        <v>50780</v>
      </c>
      <c r="I1159" s="10" t="s">
        <v>3319</v>
      </c>
      <c r="J1159" s="15">
        <v>7008</v>
      </c>
      <c r="K1159" s="15">
        <v>6800</v>
      </c>
      <c r="L1159" s="15">
        <v>208</v>
      </c>
      <c r="M1159" s="15">
        <f t="shared" si="2"/>
        <v>208</v>
      </c>
      <c r="N1159" s="15">
        <v>0</v>
      </c>
      <c r="O1159" s="15">
        <v>0</v>
      </c>
      <c r="P1159" s="15" t="s">
        <v>3295</v>
      </c>
      <c r="Q1159" s="16"/>
    </row>
    <row r="1160" spans="1:17" x14ac:dyDescent="0.3">
      <c r="A1160" s="10">
        <v>303452</v>
      </c>
      <c r="B1160" s="2" t="s">
        <v>4511</v>
      </c>
      <c r="C1160" s="13">
        <v>979</v>
      </c>
      <c r="D1160" s="2" t="s">
        <v>44</v>
      </c>
      <c r="E1160" s="14">
        <v>43859</v>
      </c>
      <c r="F1160" s="10">
        <v>4228090</v>
      </c>
      <c r="G1160" s="25">
        <v>43859</v>
      </c>
      <c r="H1160" s="10">
        <v>50851</v>
      </c>
      <c r="I1160" s="10" t="s">
        <v>3320</v>
      </c>
      <c r="J1160" s="15">
        <v>15556</v>
      </c>
      <c r="K1160" s="15">
        <v>15140</v>
      </c>
      <c r="L1160" s="15">
        <v>416</v>
      </c>
      <c r="M1160" s="15">
        <f t="shared" si="2"/>
        <v>416</v>
      </c>
      <c r="N1160" s="15">
        <v>0</v>
      </c>
      <c r="O1160" s="15">
        <v>0</v>
      </c>
      <c r="P1160" s="15" t="s">
        <v>3295</v>
      </c>
      <c r="Q1160" s="16"/>
    </row>
    <row r="1161" spans="1:17" x14ac:dyDescent="0.3">
      <c r="A1161" s="10">
        <v>303452</v>
      </c>
      <c r="B1161" s="2" t="s">
        <v>4512</v>
      </c>
      <c r="C1161" s="13">
        <v>979</v>
      </c>
      <c r="D1161" s="2" t="s">
        <v>44</v>
      </c>
      <c r="E1161" s="14">
        <v>43862</v>
      </c>
      <c r="F1161" s="10">
        <v>4288993</v>
      </c>
      <c r="G1161" s="25">
        <v>43862</v>
      </c>
      <c r="H1161" s="10">
        <v>51123</v>
      </c>
      <c r="I1161" s="10" t="s">
        <v>3321</v>
      </c>
      <c r="J1161" s="15">
        <v>11616</v>
      </c>
      <c r="K1161" s="15">
        <v>11400</v>
      </c>
      <c r="L1161" s="15">
        <v>216</v>
      </c>
      <c r="M1161" s="15">
        <f t="shared" si="2"/>
        <v>216</v>
      </c>
      <c r="N1161" s="15">
        <v>0</v>
      </c>
      <c r="O1161" s="15">
        <v>0</v>
      </c>
      <c r="P1161" s="15" t="s">
        <v>3295</v>
      </c>
      <c r="Q1161" s="16"/>
    </row>
    <row r="1162" spans="1:17" x14ac:dyDescent="0.3">
      <c r="A1162" s="10">
        <v>303452</v>
      </c>
      <c r="B1162" s="2" t="s">
        <v>4513</v>
      </c>
      <c r="C1162" s="13">
        <v>979</v>
      </c>
      <c r="D1162" s="2" t="s">
        <v>44</v>
      </c>
      <c r="E1162" s="14">
        <v>43864</v>
      </c>
      <c r="F1162" s="10">
        <v>4310003</v>
      </c>
      <c r="G1162" s="25">
        <v>43864</v>
      </c>
      <c r="H1162" s="10">
        <v>51199</v>
      </c>
      <c r="I1162" s="10" t="s">
        <v>3322</v>
      </c>
      <c r="J1162" s="15">
        <v>30620</v>
      </c>
      <c r="K1162" s="15">
        <v>30300</v>
      </c>
      <c r="L1162" s="15">
        <v>320</v>
      </c>
      <c r="M1162" s="15">
        <f t="shared" si="2"/>
        <v>320</v>
      </c>
      <c r="N1162" s="15">
        <v>0</v>
      </c>
      <c r="O1162" s="15">
        <v>0</v>
      </c>
      <c r="P1162" s="15" t="s">
        <v>3295</v>
      </c>
      <c r="Q1162" s="16"/>
    </row>
    <row r="1163" spans="1:17" x14ac:dyDescent="0.3">
      <c r="A1163" s="10">
        <v>303452</v>
      </c>
      <c r="B1163" s="2" t="s">
        <v>4514</v>
      </c>
      <c r="C1163" s="13">
        <v>979</v>
      </c>
      <c r="D1163" s="2" t="s">
        <v>44</v>
      </c>
      <c r="E1163" s="14">
        <v>43869</v>
      </c>
      <c r="F1163" s="10">
        <v>4408191</v>
      </c>
      <c r="G1163" s="25">
        <v>43868</v>
      </c>
      <c r="H1163" s="10">
        <v>51249</v>
      </c>
      <c r="I1163" s="10" t="s">
        <v>3323</v>
      </c>
      <c r="J1163" s="15">
        <v>15887</v>
      </c>
      <c r="K1163" s="15">
        <v>15695</v>
      </c>
      <c r="L1163" s="15">
        <v>192</v>
      </c>
      <c r="M1163" s="15">
        <f t="shared" si="2"/>
        <v>192</v>
      </c>
      <c r="N1163" s="15">
        <v>0</v>
      </c>
      <c r="O1163" s="15">
        <v>0</v>
      </c>
      <c r="P1163" s="15" t="s">
        <v>3295</v>
      </c>
      <c r="Q1163" s="16"/>
    </row>
    <row r="1164" spans="1:17" x14ac:dyDescent="0.3">
      <c r="A1164" s="10">
        <v>303452</v>
      </c>
      <c r="B1164" s="2" t="s">
        <v>4515</v>
      </c>
      <c r="C1164" s="13">
        <v>979</v>
      </c>
      <c r="D1164" s="2" t="s">
        <v>44</v>
      </c>
      <c r="E1164" s="14">
        <v>43869</v>
      </c>
      <c r="F1164" s="10">
        <v>4426442</v>
      </c>
      <c r="G1164" s="25">
        <v>43869</v>
      </c>
      <c r="H1164" s="10">
        <v>51593</v>
      </c>
      <c r="I1164" s="10" t="s">
        <v>3324</v>
      </c>
      <c r="J1164" s="15">
        <v>13140</v>
      </c>
      <c r="K1164" s="15">
        <v>12540</v>
      </c>
      <c r="L1164" s="15">
        <v>600</v>
      </c>
      <c r="M1164" s="15">
        <f t="shared" si="2"/>
        <v>600</v>
      </c>
      <c r="N1164" s="15">
        <v>0</v>
      </c>
      <c r="O1164" s="15">
        <v>0</v>
      </c>
      <c r="P1164" s="15" t="s">
        <v>3295</v>
      </c>
      <c r="Q1164" s="16"/>
    </row>
    <row r="1165" spans="1:17" x14ac:dyDescent="0.3">
      <c r="A1165" s="10">
        <v>303452</v>
      </c>
      <c r="B1165" s="2" t="s">
        <v>4516</v>
      </c>
      <c r="C1165" s="13">
        <v>979</v>
      </c>
      <c r="D1165" s="2" t="s">
        <v>44</v>
      </c>
      <c r="E1165" s="14">
        <v>43871</v>
      </c>
      <c r="F1165" s="10">
        <v>4488546</v>
      </c>
      <c r="G1165" s="25">
        <v>43871</v>
      </c>
      <c r="H1165" s="10">
        <v>51721</v>
      </c>
      <c r="I1165" s="10" t="s">
        <v>3325</v>
      </c>
      <c r="J1165" s="15">
        <v>20960</v>
      </c>
      <c r="K1165" s="15">
        <v>20560</v>
      </c>
      <c r="L1165" s="15">
        <v>400</v>
      </c>
      <c r="M1165" s="15">
        <f t="shared" si="2"/>
        <v>400</v>
      </c>
      <c r="N1165" s="15">
        <v>0</v>
      </c>
      <c r="O1165" s="15">
        <v>0</v>
      </c>
      <c r="P1165" s="15" t="s">
        <v>3295</v>
      </c>
      <c r="Q1165" s="16"/>
    </row>
    <row r="1166" spans="1:17" x14ac:dyDescent="0.3">
      <c r="A1166" s="10">
        <v>303452</v>
      </c>
      <c r="B1166" s="2" t="s">
        <v>4517</v>
      </c>
      <c r="C1166" s="13">
        <v>979</v>
      </c>
      <c r="D1166" s="2" t="s">
        <v>44</v>
      </c>
      <c r="E1166" s="14">
        <v>43872</v>
      </c>
      <c r="F1166" s="10">
        <v>4515046</v>
      </c>
      <c r="G1166" s="25">
        <v>43872</v>
      </c>
      <c r="H1166" s="10">
        <v>51795</v>
      </c>
      <c r="I1166" s="10" t="s">
        <v>3326</v>
      </c>
      <c r="J1166" s="15">
        <v>12490</v>
      </c>
      <c r="K1166" s="15">
        <v>12140</v>
      </c>
      <c r="L1166" s="15">
        <v>350</v>
      </c>
      <c r="M1166" s="15">
        <f t="shared" si="2"/>
        <v>350</v>
      </c>
      <c r="N1166" s="15">
        <v>0</v>
      </c>
      <c r="O1166" s="15">
        <v>0</v>
      </c>
      <c r="P1166" s="15" t="s">
        <v>3295</v>
      </c>
      <c r="Q1166" s="16"/>
    </row>
    <row r="1167" spans="1:17" x14ac:dyDescent="0.3">
      <c r="A1167" s="10">
        <v>303452</v>
      </c>
      <c r="B1167" s="2" t="s">
        <v>4518</v>
      </c>
      <c r="C1167" s="13">
        <v>979</v>
      </c>
      <c r="D1167" s="2" t="s">
        <v>44</v>
      </c>
      <c r="E1167" s="14">
        <v>43874</v>
      </c>
      <c r="F1167" s="10">
        <v>4561738</v>
      </c>
      <c r="G1167" s="25">
        <v>43874</v>
      </c>
      <c r="H1167" s="10">
        <v>51923</v>
      </c>
      <c r="I1167" s="10" t="s">
        <v>3327</v>
      </c>
      <c r="J1167" s="15">
        <v>12800</v>
      </c>
      <c r="K1167" s="15">
        <v>12175</v>
      </c>
      <c r="L1167" s="15">
        <v>625</v>
      </c>
      <c r="M1167" s="15">
        <f t="shared" si="2"/>
        <v>625</v>
      </c>
      <c r="N1167" s="15">
        <v>0</v>
      </c>
      <c r="O1167" s="15">
        <v>0</v>
      </c>
      <c r="P1167" s="15" t="s">
        <v>3259</v>
      </c>
      <c r="Q1167" s="16"/>
    </row>
    <row r="1168" spans="1:17" x14ac:dyDescent="0.3">
      <c r="A1168" s="10">
        <v>303452</v>
      </c>
      <c r="B1168" s="2" t="s">
        <v>4519</v>
      </c>
      <c r="C1168" s="13">
        <v>979</v>
      </c>
      <c r="D1168" s="2" t="s">
        <v>44</v>
      </c>
      <c r="E1168" s="14">
        <v>43892</v>
      </c>
      <c r="F1168" s="10">
        <v>5006888</v>
      </c>
      <c r="G1168" s="25">
        <v>43892</v>
      </c>
      <c r="H1168" s="10">
        <v>53249</v>
      </c>
      <c r="I1168" s="10" t="s">
        <v>3328</v>
      </c>
      <c r="J1168" s="15">
        <v>16500</v>
      </c>
      <c r="K1168" s="15">
        <v>14100</v>
      </c>
      <c r="L1168" s="15">
        <v>2400</v>
      </c>
      <c r="M1168" s="15">
        <f t="shared" si="2"/>
        <v>2400</v>
      </c>
      <c r="N1168" s="15">
        <v>0</v>
      </c>
      <c r="O1168" s="15">
        <v>0</v>
      </c>
      <c r="P1168" s="15" t="s">
        <v>3259</v>
      </c>
      <c r="Q1168" s="16"/>
    </row>
    <row r="1169" spans="1:17" x14ac:dyDescent="0.3">
      <c r="A1169" s="10">
        <v>303452</v>
      </c>
      <c r="B1169" s="2" t="s">
        <v>4520</v>
      </c>
      <c r="C1169" s="13">
        <v>979</v>
      </c>
      <c r="D1169" s="2" t="s">
        <v>44</v>
      </c>
      <c r="E1169" s="14">
        <v>43991</v>
      </c>
      <c r="F1169" s="10">
        <v>7592788</v>
      </c>
      <c r="G1169" s="25">
        <v>43991</v>
      </c>
      <c r="H1169" s="10">
        <v>62265</v>
      </c>
      <c r="I1169" s="10" t="s">
        <v>3329</v>
      </c>
      <c r="J1169" s="15">
        <v>14106</v>
      </c>
      <c r="K1169" s="15">
        <v>13980</v>
      </c>
      <c r="L1169" s="15">
        <v>126</v>
      </c>
      <c r="M1169" s="15">
        <f t="shared" si="2"/>
        <v>126</v>
      </c>
      <c r="N1169" s="15">
        <v>0</v>
      </c>
      <c r="O1169" s="15">
        <v>0</v>
      </c>
      <c r="P1169" s="15" t="s">
        <v>3295</v>
      </c>
      <c r="Q1169" s="16"/>
    </row>
    <row r="1170" spans="1:17" x14ac:dyDescent="0.3">
      <c r="A1170" s="10">
        <v>303452</v>
      </c>
      <c r="B1170" s="2" t="s">
        <v>4521</v>
      </c>
      <c r="C1170" s="13">
        <v>979</v>
      </c>
      <c r="D1170" s="2" t="s">
        <v>44</v>
      </c>
      <c r="E1170" s="14">
        <v>43995</v>
      </c>
      <c r="F1170" s="10">
        <v>7675378</v>
      </c>
      <c r="G1170" s="25">
        <v>43995</v>
      </c>
      <c r="H1170" s="10">
        <v>62731</v>
      </c>
      <c r="I1170" s="10" t="s">
        <v>3330</v>
      </c>
      <c r="J1170" s="15">
        <v>27231</v>
      </c>
      <c r="K1170" s="15">
        <v>27060</v>
      </c>
      <c r="L1170" s="15">
        <v>171</v>
      </c>
      <c r="M1170" s="15">
        <f t="shared" si="2"/>
        <v>171</v>
      </c>
      <c r="N1170" s="15">
        <v>0</v>
      </c>
      <c r="O1170" s="15">
        <v>0</v>
      </c>
      <c r="P1170" s="15" t="s">
        <v>3295</v>
      </c>
      <c r="Q1170" s="16"/>
    </row>
    <row r="1171" spans="1:17" x14ac:dyDescent="0.3">
      <c r="A1171" s="10">
        <v>303452</v>
      </c>
      <c r="B1171" s="2" t="s">
        <v>4522</v>
      </c>
      <c r="C1171" s="13">
        <v>979</v>
      </c>
      <c r="D1171" s="2" t="s">
        <v>44</v>
      </c>
      <c r="E1171" s="14">
        <v>43997</v>
      </c>
      <c r="F1171" s="10">
        <v>7753284</v>
      </c>
      <c r="G1171" s="25">
        <v>43997</v>
      </c>
      <c r="H1171" s="10">
        <v>62845</v>
      </c>
      <c r="I1171" s="10" t="s">
        <v>3331</v>
      </c>
      <c r="J1171" s="15">
        <v>20880</v>
      </c>
      <c r="K1171" s="15">
        <v>20700</v>
      </c>
      <c r="L1171" s="15">
        <v>180</v>
      </c>
      <c r="M1171" s="15">
        <f t="shared" si="2"/>
        <v>180</v>
      </c>
      <c r="N1171" s="15">
        <v>0</v>
      </c>
      <c r="O1171" s="15">
        <v>0</v>
      </c>
      <c r="P1171" s="15" t="s">
        <v>3295</v>
      </c>
      <c r="Q1171" s="16"/>
    </row>
    <row r="1172" spans="1:17" x14ac:dyDescent="0.3">
      <c r="A1172" s="10">
        <v>303452</v>
      </c>
      <c r="B1172" s="2" t="s">
        <v>4523</v>
      </c>
      <c r="C1172" s="13">
        <v>979</v>
      </c>
      <c r="D1172" s="2" t="s">
        <v>44</v>
      </c>
      <c r="E1172" s="14">
        <v>43998</v>
      </c>
      <c r="F1172" s="10">
        <v>7766673</v>
      </c>
      <c r="G1172" s="25">
        <v>43998</v>
      </c>
      <c r="H1172" s="10">
        <v>62941</v>
      </c>
      <c r="I1172" s="10" t="s">
        <v>3332</v>
      </c>
      <c r="J1172" s="15">
        <v>15222</v>
      </c>
      <c r="K1172" s="15">
        <v>15060</v>
      </c>
      <c r="L1172" s="15">
        <v>162</v>
      </c>
      <c r="M1172" s="15">
        <f t="shared" si="2"/>
        <v>162</v>
      </c>
      <c r="N1172" s="15">
        <v>0</v>
      </c>
      <c r="O1172" s="15">
        <v>0</v>
      </c>
      <c r="P1172" s="15" t="s">
        <v>3295</v>
      </c>
      <c r="Q1172" s="16"/>
    </row>
    <row r="1173" spans="1:17" x14ac:dyDescent="0.3">
      <c r="A1173" s="10">
        <v>303452</v>
      </c>
      <c r="B1173" s="2" t="s">
        <v>4524</v>
      </c>
      <c r="C1173" s="13">
        <v>979</v>
      </c>
      <c r="D1173" s="2" t="s">
        <v>44</v>
      </c>
      <c r="E1173" s="14">
        <v>43999</v>
      </c>
      <c r="F1173" s="10">
        <v>7800042</v>
      </c>
      <c r="G1173" s="25">
        <v>43999</v>
      </c>
      <c r="H1173" s="10">
        <v>63065</v>
      </c>
      <c r="I1173" s="10" t="s">
        <v>3333</v>
      </c>
      <c r="J1173" s="15">
        <v>16364</v>
      </c>
      <c r="K1173" s="15">
        <v>16220</v>
      </c>
      <c r="L1173" s="15">
        <v>144</v>
      </c>
      <c r="M1173" s="15">
        <f t="shared" si="2"/>
        <v>144</v>
      </c>
      <c r="N1173" s="15">
        <v>0</v>
      </c>
      <c r="O1173" s="15">
        <v>0</v>
      </c>
      <c r="P1173" s="15" t="s">
        <v>3295</v>
      </c>
      <c r="Q1173" s="16"/>
    </row>
    <row r="1174" spans="1:17" x14ac:dyDescent="0.3">
      <c r="A1174" s="10">
        <v>303452</v>
      </c>
      <c r="B1174" s="2" t="s">
        <v>4525</v>
      </c>
      <c r="C1174" s="13">
        <v>979</v>
      </c>
      <c r="D1174" s="2" t="s">
        <v>44</v>
      </c>
      <c r="E1174" s="14">
        <v>44034</v>
      </c>
      <c r="F1174" s="10">
        <v>8686614</v>
      </c>
      <c r="G1174" s="25">
        <v>44034</v>
      </c>
      <c r="H1174" s="10">
        <v>66227</v>
      </c>
      <c r="I1174" s="10" t="s">
        <v>3334</v>
      </c>
      <c r="J1174" s="15">
        <v>15208</v>
      </c>
      <c r="K1174" s="15">
        <v>15102.5</v>
      </c>
      <c r="L1174" s="15">
        <v>105.5</v>
      </c>
      <c r="M1174" s="15">
        <f t="shared" si="2"/>
        <v>105.5</v>
      </c>
      <c r="N1174" s="15">
        <v>0</v>
      </c>
      <c r="O1174" s="15">
        <v>0</v>
      </c>
      <c r="P1174" s="15" t="s">
        <v>3295</v>
      </c>
      <c r="Q1174" s="16"/>
    </row>
    <row r="1175" spans="1:17" x14ac:dyDescent="0.3">
      <c r="A1175" s="10">
        <v>303452</v>
      </c>
      <c r="B1175" s="2" t="s">
        <v>4526</v>
      </c>
      <c r="C1175" s="13">
        <v>979</v>
      </c>
      <c r="D1175" s="2" t="s">
        <v>44</v>
      </c>
      <c r="E1175" s="14">
        <v>44065</v>
      </c>
      <c r="F1175" s="10">
        <v>9508799</v>
      </c>
      <c r="G1175" s="25">
        <v>44065</v>
      </c>
      <c r="H1175" s="10">
        <v>68648</v>
      </c>
      <c r="I1175" s="10" t="s">
        <v>3335</v>
      </c>
      <c r="J1175" s="15">
        <v>8872</v>
      </c>
      <c r="K1175" s="15">
        <v>8764</v>
      </c>
      <c r="L1175" s="15">
        <v>108</v>
      </c>
      <c r="M1175" s="15">
        <f t="shared" si="2"/>
        <v>108</v>
      </c>
      <c r="N1175" s="15">
        <v>0</v>
      </c>
      <c r="O1175" s="15">
        <v>0</v>
      </c>
      <c r="P1175" s="15" t="s">
        <v>3295</v>
      </c>
      <c r="Q1175" s="16"/>
    </row>
    <row r="1176" spans="1:17" x14ac:dyDescent="0.3">
      <c r="A1176" s="10">
        <v>303452</v>
      </c>
      <c r="B1176" s="2" t="s">
        <v>4527</v>
      </c>
      <c r="C1176" s="13">
        <v>979</v>
      </c>
      <c r="D1176" s="2" t="s">
        <v>44</v>
      </c>
      <c r="E1176" s="14">
        <v>44174</v>
      </c>
      <c r="F1176" s="10">
        <v>13817332</v>
      </c>
      <c r="G1176" s="25">
        <v>44174</v>
      </c>
      <c r="H1176" s="10">
        <v>77038</v>
      </c>
      <c r="I1176" s="10" t="s">
        <v>3336</v>
      </c>
      <c r="J1176" s="15">
        <v>9180</v>
      </c>
      <c r="K1176" s="15">
        <v>9031.5</v>
      </c>
      <c r="L1176" s="15">
        <v>148.5</v>
      </c>
      <c r="M1176" s="15">
        <f t="shared" si="2"/>
        <v>148.5</v>
      </c>
      <c r="N1176" s="15">
        <v>0</v>
      </c>
      <c r="O1176" s="15">
        <v>0</v>
      </c>
      <c r="P1176" s="15" t="s">
        <v>3259</v>
      </c>
      <c r="Q1176" s="16"/>
    </row>
    <row r="1177" spans="1:17" x14ac:dyDescent="0.3">
      <c r="A1177" s="10">
        <v>303452</v>
      </c>
      <c r="B1177" s="2" t="s">
        <v>4528</v>
      </c>
      <c r="C1177" s="13">
        <v>979</v>
      </c>
      <c r="D1177" s="2" t="s">
        <v>44</v>
      </c>
      <c r="E1177" s="14">
        <v>44177</v>
      </c>
      <c r="F1177" s="10">
        <v>13894805</v>
      </c>
      <c r="G1177" s="25">
        <v>44177</v>
      </c>
      <c r="H1177" s="10">
        <v>77383</v>
      </c>
      <c r="I1177" s="10" t="s">
        <v>3337</v>
      </c>
      <c r="J1177" s="15">
        <v>4086</v>
      </c>
      <c r="K1177" s="15">
        <v>3942</v>
      </c>
      <c r="L1177" s="15">
        <v>144</v>
      </c>
      <c r="M1177" s="15">
        <f t="shared" si="2"/>
        <v>144</v>
      </c>
      <c r="N1177" s="15">
        <v>0</v>
      </c>
      <c r="O1177" s="15">
        <v>0</v>
      </c>
      <c r="P1177" s="15" t="s">
        <v>3295</v>
      </c>
      <c r="Q1177" s="16"/>
    </row>
    <row r="1178" spans="1:17" x14ac:dyDescent="0.3">
      <c r="A1178" s="10">
        <v>303452</v>
      </c>
      <c r="B1178" s="2" t="s">
        <v>4529</v>
      </c>
      <c r="C1178" s="13">
        <v>979</v>
      </c>
      <c r="D1178" s="2" t="s">
        <v>44</v>
      </c>
      <c r="E1178" s="14">
        <v>44202</v>
      </c>
      <c r="F1178" s="10">
        <v>14573755</v>
      </c>
      <c r="G1178" s="25">
        <v>44202</v>
      </c>
      <c r="H1178" s="10">
        <v>79030</v>
      </c>
      <c r="I1178" s="10" t="s">
        <v>3338</v>
      </c>
      <c r="J1178" s="15">
        <v>10507.5</v>
      </c>
      <c r="K1178" s="15">
        <v>10327.5</v>
      </c>
      <c r="L1178" s="15">
        <v>180</v>
      </c>
      <c r="M1178" s="15">
        <f t="shared" si="2"/>
        <v>180</v>
      </c>
      <c r="N1178" s="15">
        <v>0</v>
      </c>
      <c r="O1178" s="15">
        <v>0</v>
      </c>
      <c r="P1178" s="15" t="s">
        <v>3295</v>
      </c>
      <c r="Q1178" s="16"/>
    </row>
    <row r="1179" spans="1:17" x14ac:dyDescent="0.3">
      <c r="A1179" s="10">
        <v>303452</v>
      </c>
      <c r="B1179" s="2" t="s">
        <v>4530</v>
      </c>
      <c r="C1179" s="13">
        <v>979</v>
      </c>
      <c r="D1179" s="2" t="s">
        <v>44</v>
      </c>
      <c r="E1179" s="14">
        <v>44211</v>
      </c>
      <c r="F1179" s="10">
        <v>14807773</v>
      </c>
      <c r="G1179" s="25">
        <v>44211</v>
      </c>
      <c r="H1179" s="10">
        <v>79798</v>
      </c>
      <c r="I1179" s="10" t="s">
        <v>3339</v>
      </c>
      <c r="J1179" s="15">
        <v>5750</v>
      </c>
      <c r="K1179" s="15">
        <v>5497</v>
      </c>
      <c r="L1179" s="15">
        <v>253</v>
      </c>
      <c r="M1179" s="15">
        <f t="shared" si="2"/>
        <v>253</v>
      </c>
      <c r="N1179" s="15">
        <v>0</v>
      </c>
      <c r="O1179" s="15">
        <v>0</v>
      </c>
      <c r="P1179" s="15" t="s">
        <v>3259</v>
      </c>
      <c r="Q1179" s="16"/>
    </row>
    <row r="1180" spans="1:17" x14ac:dyDescent="0.3">
      <c r="A1180" s="10">
        <v>303452</v>
      </c>
      <c r="B1180" s="2" t="s">
        <v>4531</v>
      </c>
      <c r="C1180" s="13">
        <v>979</v>
      </c>
      <c r="D1180" s="2" t="s">
        <v>44</v>
      </c>
      <c r="E1180" s="14">
        <v>44212</v>
      </c>
      <c r="F1180" s="10">
        <v>14826605</v>
      </c>
      <c r="G1180" s="25">
        <v>44212</v>
      </c>
      <c r="H1180" s="10">
        <v>79910</v>
      </c>
      <c r="I1180" s="10" t="s">
        <v>3340</v>
      </c>
      <c r="J1180" s="15">
        <v>7950</v>
      </c>
      <c r="K1180" s="15">
        <v>7673.5</v>
      </c>
      <c r="L1180" s="15">
        <v>276.5</v>
      </c>
      <c r="M1180" s="15">
        <f t="shared" si="2"/>
        <v>276.5</v>
      </c>
      <c r="N1180" s="15">
        <v>0</v>
      </c>
      <c r="O1180" s="15">
        <v>0</v>
      </c>
      <c r="P1180" s="15" t="s">
        <v>3259</v>
      </c>
      <c r="Q1180" s="16"/>
    </row>
    <row r="1181" spans="1:17" x14ac:dyDescent="0.3">
      <c r="A1181" s="10">
        <v>303452</v>
      </c>
      <c r="B1181" s="2" t="s">
        <v>4532</v>
      </c>
      <c r="C1181" s="13">
        <v>979</v>
      </c>
      <c r="D1181" s="2" t="s">
        <v>44</v>
      </c>
      <c r="E1181" s="14">
        <v>44223</v>
      </c>
      <c r="F1181" s="10">
        <v>15139960</v>
      </c>
      <c r="G1181" s="25">
        <v>44223</v>
      </c>
      <c r="H1181" s="10">
        <v>80722</v>
      </c>
      <c r="I1181" s="10" t="s">
        <v>3341</v>
      </c>
      <c r="J1181" s="15">
        <v>10204</v>
      </c>
      <c r="K1181" s="15">
        <v>10072</v>
      </c>
      <c r="L1181" s="15">
        <v>132</v>
      </c>
      <c r="M1181" s="15">
        <f t="shared" si="2"/>
        <v>132</v>
      </c>
      <c r="N1181" s="15">
        <v>0</v>
      </c>
      <c r="O1181" s="15">
        <v>0</v>
      </c>
      <c r="P1181" s="15" t="s">
        <v>3259</v>
      </c>
      <c r="Q1181" s="16"/>
    </row>
    <row r="1182" spans="1:17" x14ac:dyDescent="0.3">
      <c r="A1182" s="10">
        <v>303452</v>
      </c>
      <c r="B1182" s="2" t="s">
        <v>4533</v>
      </c>
      <c r="C1182" s="13">
        <v>979</v>
      </c>
      <c r="D1182" s="2" t="s">
        <v>44</v>
      </c>
      <c r="E1182" s="14">
        <v>44459</v>
      </c>
      <c r="F1182" s="10">
        <v>33296018</v>
      </c>
      <c r="G1182" s="25">
        <v>44459</v>
      </c>
      <c r="H1182" s="10">
        <v>99386</v>
      </c>
      <c r="I1182" s="10" t="s">
        <v>3342</v>
      </c>
      <c r="J1182" s="15">
        <v>25330</v>
      </c>
      <c r="K1182" s="15">
        <v>25032</v>
      </c>
      <c r="L1182" s="15">
        <v>298</v>
      </c>
      <c r="M1182" s="15">
        <f t="shared" si="2"/>
        <v>298</v>
      </c>
      <c r="N1182" s="15">
        <v>0</v>
      </c>
      <c r="O1182" s="15">
        <v>0</v>
      </c>
      <c r="P1182" s="15" t="s">
        <v>3295</v>
      </c>
      <c r="Q1182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08C8-18E0-4EE6-B3D2-3BE8F22B9533}">
  <sheetPr>
    <tabColor theme="7" tint="0.79998168889431442"/>
  </sheetPr>
  <dimension ref="A1:L8"/>
  <sheetViews>
    <sheetView showGridLines="0" zoomScale="85" zoomScaleNormal="85" workbookViewId="0">
      <pane ySplit="2" topLeftCell="A3" activePane="bottomLeft" state="frozen"/>
      <selection pane="bottomLeft" activeCell="A3" sqref="A3"/>
    </sheetView>
  </sheetViews>
  <sheetFormatPr defaultRowHeight="14.5" x14ac:dyDescent="0.35"/>
  <cols>
    <col min="1" max="1" width="13.453125" style="4" bestFit="1" customWidth="1"/>
    <col min="2" max="2" width="39.1796875" customWidth="1"/>
    <col min="3" max="3" width="5.453125" bestFit="1" customWidth="1"/>
    <col min="4" max="4" width="11.81640625" bestFit="1" customWidth="1"/>
    <col min="5" max="5" width="10.81640625" bestFit="1" customWidth="1"/>
    <col min="6" max="6" width="21.453125" customWidth="1"/>
    <col min="7" max="7" width="12.453125" bestFit="1" customWidth="1"/>
    <col min="8" max="8" width="19.81640625" customWidth="1"/>
    <col min="9" max="9" width="21.26953125" style="1" bestFit="1" customWidth="1"/>
    <col min="10" max="10" width="13.81640625" style="1" bestFit="1" customWidth="1"/>
    <col min="11" max="11" width="12.1796875" style="1" bestFit="1" customWidth="1"/>
    <col min="12" max="12" width="15.453125" style="1" bestFit="1" customWidth="1"/>
    <col min="13" max="13" width="12.7265625" bestFit="1" customWidth="1"/>
  </cols>
  <sheetData>
    <row r="1" spans="1:12" x14ac:dyDescent="0.35">
      <c r="H1" s="5"/>
      <c r="I1" s="3">
        <f>SUBTOTAL(9,I3:I1751)</f>
        <v>0</v>
      </c>
      <c r="J1" s="3">
        <f>SUBTOTAL(9,J3:J1751)</f>
        <v>0</v>
      </c>
      <c r="K1" s="3">
        <f>SUBTOTAL(9,K3:K1751)</f>
        <v>0</v>
      </c>
      <c r="L1" s="3">
        <f>SUBTOTAL(9,L3:L1751)</f>
        <v>0</v>
      </c>
    </row>
    <row r="2" spans="1:12" ht="33.65" customHeight="1" x14ac:dyDescent="0.35">
      <c r="A2" s="7" t="s">
        <v>17</v>
      </c>
      <c r="B2" s="7" t="s">
        <v>0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8" t="s">
        <v>24</v>
      </c>
      <c r="J2" s="8" t="s">
        <v>14</v>
      </c>
      <c r="K2" s="8" t="s">
        <v>34</v>
      </c>
      <c r="L2" s="9" t="s">
        <v>25</v>
      </c>
    </row>
    <row r="3" spans="1:12" x14ac:dyDescent="0.35">
      <c r="I3" s="12"/>
      <c r="J3" s="12"/>
      <c r="K3" s="12"/>
      <c r="L3" s="12"/>
    </row>
    <row r="4" spans="1:12" x14ac:dyDescent="0.35">
      <c r="I4" s="12"/>
      <c r="J4" s="12"/>
      <c r="K4" s="12"/>
      <c r="L4" s="12"/>
    </row>
    <row r="5" spans="1:12" x14ac:dyDescent="0.35">
      <c r="I5" s="12"/>
      <c r="J5" s="12"/>
      <c r="K5" s="12"/>
      <c r="L5" s="12"/>
    </row>
    <row r="6" spans="1:12" x14ac:dyDescent="0.35">
      <c r="I6" s="12"/>
      <c r="J6" s="12"/>
      <c r="K6" s="12"/>
      <c r="L6" s="12"/>
    </row>
    <row r="7" spans="1:12" x14ac:dyDescent="0.35">
      <c r="I7" s="12"/>
      <c r="J7" s="12"/>
      <c r="K7" s="12"/>
      <c r="L7" s="12"/>
    </row>
    <row r="8" spans="1:12" x14ac:dyDescent="0.35">
      <c r="I8" s="12"/>
      <c r="J8" s="12"/>
      <c r="K8" s="12"/>
      <c r="L8" s="1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2112FC1AFF42B5FA3EEE79CB8163" ma:contentTypeVersion="15" ma:contentTypeDescription="Create a new document." ma:contentTypeScope="" ma:versionID="a93cf871a77aa5db6aa0d815347f4a03">
  <xsd:schema xmlns:xsd="http://www.w3.org/2001/XMLSchema" xmlns:xs="http://www.w3.org/2001/XMLSchema" xmlns:p="http://schemas.microsoft.com/office/2006/metadata/properties" xmlns:ns3="9b631879-2d0c-41a9-8433-5c8fe2fddf12" xmlns:ns4="0f4ca9fc-fc7a-4d0c-8c0f-5ac3d2b8c95b" targetNamespace="http://schemas.microsoft.com/office/2006/metadata/properties" ma:root="true" ma:fieldsID="56f213d3820c7c045d76ecd8df11ac77" ns3:_="" ns4:_="">
    <xsd:import namespace="9b631879-2d0c-41a9-8433-5c8fe2fddf12"/>
    <xsd:import namespace="0f4ca9fc-fc7a-4d0c-8c0f-5ac3d2b8c9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31879-2d0c-41a9-8433-5c8fe2fdd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ca9fc-fc7a-4d0c-8c0f-5ac3d2b8c95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631879-2d0c-41a9-8433-5c8fe2fddf12" xsi:nil="true"/>
  </documentManagement>
</p:properties>
</file>

<file path=customXml/itemProps1.xml><?xml version="1.0" encoding="utf-8"?>
<ds:datastoreItem xmlns:ds="http://schemas.openxmlformats.org/officeDocument/2006/customXml" ds:itemID="{A43E8AAE-5A8A-4C8A-B8C3-1CAB768F8F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631879-2d0c-41a9-8433-5c8fe2fddf12"/>
    <ds:schemaRef ds:uri="0f4ca9fc-fc7a-4d0c-8c0f-5ac3d2b8c9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68CB01-F135-4BD3-B524-1909D1E680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869C13-8AB0-40ED-983A-EB674D30D4C3}">
  <ds:schemaRefs>
    <ds:schemaRef ds:uri="http://schemas.microsoft.com/office/2006/documentManagement/types"/>
    <ds:schemaRef ds:uri="9b631879-2d0c-41a9-8433-5c8fe2fddf12"/>
    <ds:schemaRef ds:uri="0f4ca9fc-fc7a-4d0c-8c0f-5ac3d2b8c95b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MontoxProveedorxFase</vt:lpstr>
      <vt:lpstr>MontoxConceptoxAño </vt:lpstr>
      <vt:lpstr>AP-PAGOS</vt:lpstr>
      <vt:lpstr>CONVENIOS</vt:lpstr>
      <vt:lpstr>VALIDACION DE CONDICIONES</vt:lpstr>
      <vt:lpstr>CONVENIOS DOLARES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Monica</dc:creator>
  <cp:lastModifiedBy>Maya, Perla</cp:lastModifiedBy>
  <dcterms:created xsi:type="dcterms:W3CDTF">2025-07-25T15:37:17Z</dcterms:created>
  <dcterms:modified xsi:type="dcterms:W3CDTF">2026-02-06T23:00:36Z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0x010100D2572112FC1AFF42B5FA3EEE79CB8163</vt:lpwstr>
  </property>
</Properties>
</file>